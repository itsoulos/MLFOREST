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Κωνσταντίνα\Desktop\climatechange_fires\modified_data\"/>
    </mc:Choice>
  </mc:AlternateContent>
  <xr:revisionPtr revIDLastSave="0" documentId="13_ncr:1_{F89D1E62-A50F-4EF4-8E09-F6C98D1FE8BE}" xr6:coauthVersionLast="36" xr6:coauthVersionMax="36" xr10:uidLastSave="{00000000-0000-0000-0000-000000000000}"/>
  <bookViews>
    <workbookView xWindow="0" yWindow="0" windowWidth="27210" windowHeight="8145" xr2:uid="{00000000-000D-0000-FFFF-FFFF00000000}"/>
  </bookViews>
  <sheets>
    <sheet name="Sheet1" sheetId="1" r:id="rId1"/>
  </sheets>
  <definedNames>
    <definedName name="_xlnm._FilterDatabase" localSheetId="0" hidden="1">Sheet1!$BE$1:$BE$2894</definedName>
  </definedNames>
  <calcPr calcId="191029"/>
</workbook>
</file>

<file path=xl/calcChain.xml><?xml version="1.0" encoding="utf-8"?>
<calcChain xmlns="http://schemas.openxmlformats.org/spreadsheetml/2006/main">
  <c r="AI3" i="1" l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1531" i="1"/>
  <c r="AI1532" i="1"/>
  <c r="AI1533" i="1"/>
  <c r="AI1534" i="1"/>
  <c r="AI1535" i="1"/>
  <c r="AI1536" i="1"/>
  <c r="AI1537" i="1"/>
  <c r="AI1538" i="1"/>
  <c r="AI1539" i="1"/>
  <c r="AI1540" i="1"/>
  <c r="AI1541" i="1"/>
  <c r="AI1542" i="1"/>
  <c r="AI1543" i="1"/>
  <c r="AI1544" i="1"/>
  <c r="AI1545" i="1"/>
  <c r="AI1546" i="1"/>
  <c r="AI1547" i="1"/>
  <c r="AI1548" i="1"/>
  <c r="AI1549" i="1"/>
  <c r="AI1550" i="1"/>
  <c r="AI1551" i="1"/>
  <c r="AI1552" i="1"/>
  <c r="AI1553" i="1"/>
  <c r="AI1554" i="1"/>
  <c r="AI1555" i="1"/>
  <c r="AI1556" i="1"/>
  <c r="AI1557" i="1"/>
  <c r="AI1558" i="1"/>
  <c r="AI1559" i="1"/>
  <c r="AI1560" i="1"/>
  <c r="AI1561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I1577" i="1"/>
  <c r="AI1578" i="1"/>
  <c r="AI1579" i="1"/>
  <c r="AI1580" i="1"/>
  <c r="AI1581" i="1"/>
  <c r="AI1582" i="1"/>
  <c r="AI1583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I1706" i="1"/>
  <c r="AI1707" i="1"/>
  <c r="AI1708" i="1"/>
  <c r="AI1709" i="1"/>
  <c r="AI1710" i="1"/>
  <c r="AI1711" i="1"/>
  <c r="AI1712" i="1"/>
  <c r="AI1713" i="1"/>
  <c r="AI1714" i="1"/>
  <c r="AI1715" i="1"/>
  <c r="AI1716" i="1"/>
  <c r="AI1717" i="1"/>
  <c r="AI1718" i="1"/>
  <c r="AI1719" i="1"/>
  <c r="AI1720" i="1"/>
  <c r="AI1721" i="1"/>
  <c r="AI1722" i="1"/>
  <c r="AI1723" i="1"/>
  <c r="AI1724" i="1"/>
  <c r="AI1725" i="1"/>
  <c r="AI1726" i="1"/>
  <c r="AI1727" i="1"/>
  <c r="AI1728" i="1"/>
  <c r="AI1729" i="1"/>
  <c r="AI1730" i="1"/>
  <c r="AI1731" i="1"/>
  <c r="AI1732" i="1"/>
  <c r="AI1733" i="1"/>
  <c r="AI1734" i="1"/>
  <c r="AI1735" i="1"/>
  <c r="AI1736" i="1"/>
  <c r="AI1737" i="1"/>
  <c r="AI1738" i="1"/>
  <c r="AI1739" i="1"/>
  <c r="AI1740" i="1"/>
  <c r="AI1741" i="1"/>
  <c r="AI1742" i="1"/>
  <c r="AI1743" i="1"/>
  <c r="AI1744" i="1"/>
  <c r="AI1745" i="1"/>
  <c r="AI1746" i="1"/>
  <c r="AI1747" i="1"/>
  <c r="AI1748" i="1"/>
  <c r="AI1749" i="1"/>
  <c r="AI1750" i="1"/>
  <c r="AI1751" i="1"/>
  <c r="AI1752" i="1"/>
  <c r="AI1753" i="1"/>
  <c r="AI1754" i="1"/>
  <c r="AI1755" i="1"/>
  <c r="AI1756" i="1"/>
  <c r="AI1757" i="1"/>
  <c r="AI1758" i="1"/>
  <c r="AI1759" i="1"/>
  <c r="AI1760" i="1"/>
  <c r="AI1761" i="1"/>
  <c r="AI1762" i="1"/>
  <c r="AI1763" i="1"/>
  <c r="AI1764" i="1"/>
  <c r="AI1765" i="1"/>
  <c r="AI1766" i="1"/>
  <c r="AI1767" i="1"/>
  <c r="AI1768" i="1"/>
  <c r="AI1769" i="1"/>
  <c r="AI1770" i="1"/>
  <c r="AI1771" i="1"/>
  <c r="AI1772" i="1"/>
  <c r="AI1773" i="1"/>
  <c r="AI1774" i="1"/>
  <c r="AI1775" i="1"/>
  <c r="AI1776" i="1"/>
  <c r="AI1777" i="1"/>
  <c r="AI1778" i="1"/>
  <c r="AI1779" i="1"/>
  <c r="AI1780" i="1"/>
  <c r="AI1781" i="1"/>
  <c r="AI1782" i="1"/>
  <c r="AI1783" i="1"/>
  <c r="AI1784" i="1"/>
  <c r="AI1785" i="1"/>
  <c r="AI1786" i="1"/>
  <c r="AI1787" i="1"/>
  <c r="AI1788" i="1"/>
  <c r="AI1789" i="1"/>
  <c r="AI1790" i="1"/>
  <c r="AI1791" i="1"/>
  <c r="AI1792" i="1"/>
  <c r="AI1793" i="1"/>
  <c r="AI1794" i="1"/>
  <c r="AI1795" i="1"/>
  <c r="AI1796" i="1"/>
  <c r="AI1797" i="1"/>
  <c r="AI1798" i="1"/>
  <c r="AI1799" i="1"/>
  <c r="AI1800" i="1"/>
  <c r="AI1801" i="1"/>
  <c r="AI1802" i="1"/>
  <c r="AI1803" i="1"/>
  <c r="AI1804" i="1"/>
  <c r="AI1805" i="1"/>
  <c r="AI1806" i="1"/>
  <c r="AI1807" i="1"/>
  <c r="AI1808" i="1"/>
  <c r="AI1809" i="1"/>
  <c r="AI1810" i="1"/>
  <c r="AI1811" i="1"/>
  <c r="AI1812" i="1"/>
  <c r="AI1813" i="1"/>
  <c r="AI1814" i="1"/>
  <c r="AI1815" i="1"/>
  <c r="AI1816" i="1"/>
  <c r="AI1817" i="1"/>
  <c r="AI1818" i="1"/>
  <c r="AI1819" i="1"/>
  <c r="AI1820" i="1"/>
  <c r="AI1821" i="1"/>
  <c r="AI1822" i="1"/>
  <c r="AI1823" i="1"/>
  <c r="AI1824" i="1"/>
  <c r="AI1825" i="1"/>
  <c r="AI1826" i="1"/>
  <c r="AI1827" i="1"/>
  <c r="AI1828" i="1"/>
  <c r="AI1829" i="1"/>
  <c r="AI1830" i="1"/>
  <c r="AI1831" i="1"/>
  <c r="AI1832" i="1"/>
  <c r="AI1833" i="1"/>
  <c r="AI1834" i="1"/>
  <c r="AI1835" i="1"/>
  <c r="AI1836" i="1"/>
  <c r="AI1837" i="1"/>
  <c r="AI1838" i="1"/>
  <c r="AI1839" i="1"/>
  <c r="AI1840" i="1"/>
  <c r="AI1841" i="1"/>
  <c r="AI1842" i="1"/>
  <c r="AI1843" i="1"/>
  <c r="AI1844" i="1"/>
  <c r="AI1845" i="1"/>
  <c r="AI1846" i="1"/>
  <c r="AI1847" i="1"/>
  <c r="AI1848" i="1"/>
  <c r="AI1849" i="1"/>
  <c r="AI1850" i="1"/>
  <c r="AI1851" i="1"/>
  <c r="AI1852" i="1"/>
  <c r="AI1853" i="1"/>
  <c r="AI1854" i="1"/>
  <c r="AI1855" i="1"/>
  <c r="AI1856" i="1"/>
  <c r="AI1857" i="1"/>
  <c r="AI1858" i="1"/>
  <c r="AI1859" i="1"/>
  <c r="AI1860" i="1"/>
  <c r="AI1861" i="1"/>
  <c r="AI1862" i="1"/>
  <c r="AI1863" i="1"/>
  <c r="AI1864" i="1"/>
  <c r="AI1865" i="1"/>
  <c r="AI1866" i="1"/>
  <c r="AI1867" i="1"/>
  <c r="AI1868" i="1"/>
  <c r="AI1869" i="1"/>
  <c r="AI1870" i="1"/>
  <c r="AI1871" i="1"/>
  <c r="AI1872" i="1"/>
  <c r="AI1873" i="1"/>
  <c r="AI1874" i="1"/>
  <c r="AI1875" i="1"/>
  <c r="AI1876" i="1"/>
  <c r="AI1877" i="1"/>
  <c r="AI1878" i="1"/>
  <c r="AI1879" i="1"/>
  <c r="AI1880" i="1"/>
  <c r="AI1881" i="1"/>
  <c r="AI1882" i="1"/>
  <c r="AI1883" i="1"/>
  <c r="AI1884" i="1"/>
  <c r="AI1885" i="1"/>
  <c r="AI1886" i="1"/>
  <c r="AI1887" i="1"/>
  <c r="AI1888" i="1"/>
  <c r="AI1889" i="1"/>
  <c r="AI1890" i="1"/>
  <c r="AI1891" i="1"/>
  <c r="AI1892" i="1"/>
  <c r="AI1893" i="1"/>
  <c r="AI1894" i="1"/>
  <c r="AI1895" i="1"/>
  <c r="AI1896" i="1"/>
  <c r="AI1897" i="1"/>
  <c r="AI1898" i="1"/>
  <c r="AI1899" i="1"/>
  <c r="AI1900" i="1"/>
  <c r="AI1901" i="1"/>
  <c r="AI1902" i="1"/>
  <c r="AI1903" i="1"/>
  <c r="AI1904" i="1"/>
  <c r="AI1905" i="1"/>
  <c r="AI1906" i="1"/>
  <c r="AI1907" i="1"/>
  <c r="AI1908" i="1"/>
  <c r="AI1909" i="1"/>
  <c r="AI1910" i="1"/>
  <c r="AI1911" i="1"/>
  <c r="AI1912" i="1"/>
  <c r="AI1913" i="1"/>
  <c r="AI1914" i="1"/>
  <c r="AI1915" i="1"/>
  <c r="AI1916" i="1"/>
  <c r="AI1917" i="1"/>
  <c r="AI1918" i="1"/>
  <c r="AI1919" i="1"/>
  <c r="AI1920" i="1"/>
  <c r="AI1921" i="1"/>
  <c r="AI1922" i="1"/>
  <c r="AI1923" i="1"/>
  <c r="AI1924" i="1"/>
  <c r="AI1925" i="1"/>
  <c r="AI1926" i="1"/>
  <c r="AI1927" i="1"/>
  <c r="AI1928" i="1"/>
  <c r="AI1929" i="1"/>
  <c r="AI1930" i="1"/>
  <c r="AI1931" i="1"/>
  <c r="AI1932" i="1"/>
  <c r="AI1933" i="1"/>
  <c r="AI1934" i="1"/>
  <c r="AI1935" i="1"/>
  <c r="AI1936" i="1"/>
  <c r="AI1937" i="1"/>
  <c r="AI1938" i="1"/>
  <c r="AI1939" i="1"/>
  <c r="AI1940" i="1"/>
  <c r="AI1941" i="1"/>
  <c r="AI1942" i="1"/>
  <c r="AI1943" i="1"/>
  <c r="AI1944" i="1"/>
  <c r="AI1945" i="1"/>
  <c r="AI1946" i="1"/>
  <c r="AI1947" i="1"/>
  <c r="AI1948" i="1"/>
  <c r="AI1949" i="1"/>
  <c r="AI1950" i="1"/>
  <c r="AI1951" i="1"/>
  <c r="AI1952" i="1"/>
  <c r="AI1953" i="1"/>
  <c r="AI1954" i="1"/>
  <c r="AI1955" i="1"/>
  <c r="AI1956" i="1"/>
  <c r="AI1957" i="1"/>
  <c r="AI1958" i="1"/>
  <c r="AI1959" i="1"/>
  <c r="AI1960" i="1"/>
  <c r="AI1961" i="1"/>
  <c r="AI1962" i="1"/>
  <c r="AI1963" i="1"/>
  <c r="AI1964" i="1"/>
  <c r="AI1965" i="1"/>
  <c r="AI1966" i="1"/>
  <c r="AI1967" i="1"/>
  <c r="AI1968" i="1"/>
  <c r="AI1969" i="1"/>
  <c r="AI1970" i="1"/>
  <c r="AI1971" i="1"/>
  <c r="AI1972" i="1"/>
  <c r="AI1973" i="1"/>
  <c r="AI1974" i="1"/>
  <c r="AI1975" i="1"/>
  <c r="AI1976" i="1"/>
  <c r="AI1977" i="1"/>
  <c r="AI1978" i="1"/>
  <c r="AI1979" i="1"/>
  <c r="AI1980" i="1"/>
  <c r="AI1981" i="1"/>
  <c r="AI1982" i="1"/>
  <c r="AI1983" i="1"/>
  <c r="AI1984" i="1"/>
  <c r="AI1985" i="1"/>
  <c r="AI1986" i="1"/>
  <c r="AI1987" i="1"/>
  <c r="AI1988" i="1"/>
  <c r="AI1989" i="1"/>
  <c r="AI1990" i="1"/>
  <c r="AI1991" i="1"/>
  <c r="AI1992" i="1"/>
  <c r="AI1993" i="1"/>
  <c r="AI1994" i="1"/>
  <c r="AI1995" i="1"/>
  <c r="AI1996" i="1"/>
  <c r="AI1997" i="1"/>
  <c r="AI1998" i="1"/>
  <c r="AI1999" i="1"/>
  <c r="AI2000" i="1"/>
  <c r="AI2001" i="1"/>
  <c r="AI2002" i="1"/>
  <c r="AI2003" i="1"/>
  <c r="AI2004" i="1"/>
  <c r="AI2005" i="1"/>
  <c r="AI2006" i="1"/>
  <c r="AI2007" i="1"/>
  <c r="AI2008" i="1"/>
  <c r="AI2009" i="1"/>
  <c r="AI2010" i="1"/>
  <c r="AI2011" i="1"/>
  <c r="AI2012" i="1"/>
  <c r="AI2013" i="1"/>
  <c r="AI2014" i="1"/>
  <c r="AI2015" i="1"/>
  <c r="AI2016" i="1"/>
  <c r="AI2017" i="1"/>
  <c r="AI2018" i="1"/>
  <c r="AI2019" i="1"/>
  <c r="AI2020" i="1"/>
  <c r="AI2021" i="1"/>
  <c r="AI2022" i="1"/>
  <c r="AI2023" i="1"/>
  <c r="AI2024" i="1"/>
  <c r="AI2025" i="1"/>
  <c r="AI2026" i="1"/>
  <c r="AI2027" i="1"/>
  <c r="AI2028" i="1"/>
  <c r="AI2029" i="1"/>
  <c r="AI2030" i="1"/>
  <c r="AI2031" i="1"/>
  <c r="AI2032" i="1"/>
  <c r="AI2033" i="1"/>
  <c r="AI2034" i="1"/>
  <c r="AI2035" i="1"/>
  <c r="AI2036" i="1"/>
  <c r="AI2037" i="1"/>
  <c r="AI2038" i="1"/>
  <c r="AI2039" i="1"/>
  <c r="AI2040" i="1"/>
  <c r="AI2041" i="1"/>
  <c r="AI2042" i="1"/>
  <c r="AI2043" i="1"/>
  <c r="AI2044" i="1"/>
  <c r="AI2045" i="1"/>
  <c r="AI2046" i="1"/>
  <c r="AI2047" i="1"/>
  <c r="AI2048" i="1"/>
  <c r="AI2049" i="1"/>
  <c r="AI2050" i="1"/>
  <c r="AI2051" i="1"/>
  <c r="AI2052" i="1"/>
  <c r="AI2053" i="1"/>
  <c r="AI2054" i="1"/>
  <c r="AI2055" i="1"/>
  <c r="AI2056" i="1"/>
  <c r="AI2057" i="1"/>
  <c r="AI2058" i="1"/>
  <c r="AI2059" i="1"/>
  <c r="AI2060" i="1"/>
  <c r="AI2061" i="1"/>
  <c r="AI2062" i="1"/>
  <c r="AI2063" i="1"/>
  <c r="AI2064" i="1"/>
  <c r="AI2065" i="1"/>
  <c r="AI2066" i="1"/>
  <c r="AI2067" i="1"/>
  <c r="AI2068" i="1"/>
  <c r="AI2069" i="1"/>
  <c r="AI2070" i="1"/>
  <c r="AI2071" i="1"/>
  <c r="AI2072" i="1"/>
  <c r="AI2073" i="1"/>
  <c r="AI2074" i="1"/>
  <c r="AI2075" i="1"/>
  <c r="AI2076" i="1"/>
  <c r="AI2077" i="1"/>
  <c r="AI2078" i="1"/>
  <c r="AI2079" i="1"/>
  <c r="AI2080" i="1"/>
  <c r="AI2081" i="1"/>
  <c r="AI2082" i="1"/>
  <c r="AI2083" i="1"/>
  <c r="AI2084" i="1"/>
  <c r="AI2085" i="1"/>
  <c r="AI2086" i="1"/>
  <c r="AI2087" i="1"/>
  <c r="AI2088" i="1"/>
  <c r="AI2089" i="1"/>
  <c r="AI2090" i="1"/>
  <c r="AI2091" i="1"/>
  <c r="AI2092" i="1"/>
  <c r="AI2093" i="1"/>
  <c r="AI2094" i="1"/>
  <c r="AI2095" i="1"/>
  <c r="AI2096" i="1"/>
  <c r="AI2097" i="1"/>
  <c r="AI2098" i="1"/>
  <c r="AI2099" i="1"/>
  <c r="AI2100" i="1"/>
  <c r="AI2101" i="1"/>
  <c r="AI2102" i="1"/>
  <c r="AI2103" i="1"/>
  <c r="AI2104" i="1"/>
  <c r="AI2105" i="1"/>
  <c r="AI2106" i="1"/>
  <c r="AI2107" i="1"/>
  <c r="AI2108" i="1"/>
  <c r="AI2109" i="1"/>
  <c r="AI2110" i="1"/>
  <c r="AI2111" i="1"/>
  <c r="AI2112" i="1"/>
  <c r="AI2113" i="1"/>
  <c r="AI2114" i="1"/>
  <c r="AI2115" i="1"/>
  <c r="AI2116" i="1"/>
  <c r="AI2117" i="1"/>
  <c r="AI2118" i="1"/>
  <c r="AI2119" i="1"/>
  <c r="AI2120" i="1"/>
  <c r="AI2121" i="1"/>
  <c r="AI2122" i="1"/>
  <c r="AI2123" i="1"/>
  <c r="AI2124" i="1"/>
  <c r="AI2125" i="1"/>
  <c r="AI2126" i="1"/>
  <c r="AI2127" i="1"/>
  <c r="AI2128" i="1"/>
  <c r="AI2129" i="1"/>
  <c r="AI2130" i="1"/>
  <c r="AI2131" i="1"/>
  <c r="AI2132" i="1"/>
  <c r="AI2133" i="1"/>
  <c r="AI2134" i="1"/>
  <c r="AI2135" i="1"/>
  <c r="AI2136" i="1"/>
  <c r="AI2137" i="1"/>
  <c r="AI2138" i="1"/>
  <c r="AI2139" i="1"/>
  <c r="AI2140" i="1"/>
  <c r="AI2141" i="1"/>
  <c r="AI2142" i="1"/>
  <c r="AI2143" i="1"/>
  <c r="AI2144" i="1"/>
  <c r="AI2145" i="1"/>
  <c r="AI2146" i="1"/>
  <c r="AI2147" i="1"/>
  <c r="AI2148" i="1"/>
  <c r="AI2149" i="1"/>
  <c r="AI2150" i="1"/>
  <c r="AI2151" i="1"/>
  <c r="AI2152" i="1"/>
  <c r="AI2153" i="1"/>
  <c r="AI2154" i="1"/>
  <c r="AI2155" i="1"/>
  <c r="AI2156" i="1"/>
  <c r="AI2157" i="1"/>
  <c r="AI2158" i="1"/>
  <c r="AI2159" i="1"/>
  <c r="AI2160" i="1"/>
  <c r="AI2161" i="1"/>
  <c r="AI2162" i="1"/>
  <c r="AI2163" i="1"/>
  <c r="AI2164" i="1"/>
  <c r="AI2165" i="1"/>
  <c r="AI2166" i="1"/>
  <c r="AI2167" i="1"/>
  <c r="AI2168" i="1"/>
  <c r="AI2169" i="1"/>
  <c r="AI2170" i="1"/>
  <c r="AI2171" i="1"/>
  <c r="AI2172" i="1"/>
  <c r="AI2173" i="1"/>
  <c r="AI2174" i="1"/>
  <c r="AI2175" i="1"/>
  <c r="AI2176" i="1"/>
  <c r="AI2177" i="1"/>
  <c r="AI2178" i="1"/>
  <c r="AI2179" i="1"/>
  <c r="AI2180" i="1"/>
  <c r="AI2181" i="1"/>
  <c r="AI2182" i="1"/>
  <c r="AI2183" i="1"/>
  <c r="AI2184" i="1"/>
  <c r="AI2185" i="1"/>
  <c r="AI2186" i="1"/>
  <c r="AI2187" i="1"/>
  <c r="AI2188" i="1"/>
  <c r="AI2189" i="1"/>
  <c r="AI2190" i="1"/>
  <c r="AI2191" i="1"/>
  <c r="AI2192" i="1"/>
  <c r="AI2193" i="1"/>
  <c r="AI2194" i="1"/>
  <c r="AI2195" i="1"/>
  <c r="AI2196" i="1"/>
  <c r="AI2197" i="1"/>
  <c r="AI2198" i="1"/>
  <c r="AI2199" i="1"/>
  <c r="AI2200" i="1"/>
  <c r="AI2201" i="1"/>
  <c r="AI2202" i="1"/>
  <c r="AI2203" i="1"/>
  <c r="AI2204" i="1"/>
  <c r="AI2205" i="1"/>
  <c r="AI2206" i="1"/>
  <c r="AI2207" i="1"/>
  <c r="AI2208" i="1"/>
  <c r="AI2209" i="1"/>
  <c r="AI2210" i="1"/>
  <c r="AI2211" i="1"/>
  <c r="AI2212" i="1"/>
  <c r="AI2213" i="1"/>
  <c r="AI2214" i="1"/>
  <c r="AI2215" i="1"/>
  <c r="AI2216" i="1"/>
  <c r="AI2217" i="1"/>
  <c r="AI2218" i="1"/>
  <c r="AI2219" i="1"/>
  <c r="AI2220" i="1"/>
  <c r="AI2221" i="1"/>
  <c r="AI2222" i="1"/>
  <c r="AI2223" i="1"/>
  <c r="AI2224" i="1"/>
  <c r="AI2225" i="1"/>
  <c r="AI2226" i="1"/>
  <c r="AI2227" i="1"/>
  <c r="AI2228" i="1"/>
  <c r="AI2229" i="1"/>
  <c r="AI2230" i="1"/>
  <c r="AI2231" i="1"/>
  <c r="AI2232" i="1"/>
  <c r="AI2233" i="1"/>
  <c r="AI2234" i="1"/>
  <c r="AI2235" i="1"/>
  <c r="AI2236" i="1"/>
  <c r="AI2237" i="1"/>
  <c r="AI2238" i="1"/>
  <c r="AI2239" i="1"/>
  <c r="AI2240" i="1"/>
  <c r="AI2241" i="1"/>
  <c r="AI2242" i="1"/>
  <c r="AI2243" i="1"/>
  <c r="AI2244" i="1"/>
  <c r="AI2245" i="1"/>
  <c r="AI2246" i="1"/>
  <c r="AI2247" i="1"/>
  <c r="AI2248" i="1"/>
  <c r="AI2249" i="1"/>
  <c r="AI2250" i="1"/>
  <c r="AI2251" i="1"/>
  <c r="AI2252" i="1"/>
  <c r="AI2253" i="1"/>
  <c r="AI2254" i="1"/>
  <c r="AI2255" i="1"/>
  <c r="AI2256" i="1"/>
  <c r="AI2257" i="1"/>
  <c r="AI2258" i="1"/>
  <c r="AI2259" i="1"/>
  <c r="AI2260" i="1"/>
  <c r="AI2261" i="1"/>
  <c r="AI2262" i="1"/>
  <c r="AI2263" i="1"/>
  <c r="AI2264" i="1"/>
  <c r="AI2265" i="1"/>
  <c r="AI2266" i="1"/>
  <c r="AI2267" i="1"/>
  <c r="AI2268" i="1"/>
  <c r="AI2269" i="1"/>
  <c r="AI2270" i="1"/>
  <c r="AI2271" i="1"/>
  <c r="AI2272" i="1"/>
  <c r="AI2273" i="1"/>
  <c r="AI2274" i="1"/>
  <c r="AI2275" i="1"/>
  <c r="AI2276" i="1"/>
  <c r="AI2277" i="1"/>
  <c r="AI2278" i="1"/>
  <c r="AI2279" i="1"/>
  <c r="AI2280" i="1"/>
  <c r="AI2281" i="1"/>
  <c r="AI2282" i="1"/>
  <c r="AI2283" i="1"/>
  <c r="AI2284" i="1"/>
  <c r="AI2285" i="1"/>
  <c r="AI2286" i="1"/>
  <c r="AI2287" i="1"/>
  <c r="AI2288" i="1"/>
  <c r="AI2289" i="1"/>
  <c r="AI2290" i="1"/>
  <c r="AI2291" i="1"/>
  <c r="AI2292" i="1"/>
  <c r="AI2293" i="1"/>
  <c r="AI2294" i="1"/>
  <c r="AI2295" i="1"/>
  <c r="AI2296" i="1"/>
  <c r="AI2297" i="1"/>
  <c r="AI2298" i="1"/>
  <c r="AI2299" i="1"/>
  <c r="AI2300" i="1"/>
  <c r="AI2301" i="1"/>
  <c r="AI2302" i="1"/>
  <c r="AI2303" i="1"/>
  <c r="AI2304" i="1"/>
  <c r="AI2305" i="1"/>
  <c r="AI2306" i="1"/>
  <c r="AI2307" i="1"/>
  <c r="AI2308" i="1"/>
  <c r="AI2309" i="1"/>
  <c r="AI2310" i="1"/>
  <c r="AI2311" i="1"/>
  <c r="AI2312" i="1"/>
  <c r="AI2313" i="1"/>
  <c r="AI2314" i="1"/>
  <c r="AI2315" i="1"/>
  <c r="AI2316" i="1"/>
  <c r="AI2317" i="1"/>
  <c r="AI2318" i="1"/>
  <c r="AI2319" i="1"/>
  <c r="AI2320" i="1"/>
  <c r="AI2321" i="1"/>
  <c r="AI2322" i="1"/>
  <c r="AI2323" i="1"/>
  <c r="AI2324" i="1"/>
  <c r="AI2325" i="1"/>
  <c r="AI2326" i="1"/>
  <c r="AI2327" i="1"/>
  <c r="AI2328" i="1"/>
  <c r="AI2329" i="1"/>
  <c r="AI2330" i="1"/>
  <c r="AI2331" i="1"/>
  <c r="AI2332" i="1"/>
  <c r="AI2333" i="1"/>
  <c r="AI2334" i="1"/>
  <c r="AI2335" i="1"/>
  <c r="AI2336" i="1"/>
  <c r="AI2337" i="1"/>
  <c r="AI2338" i="1"/>
  <c r="AI2339" i="1"/>
  <c r="AI2340" i="1"/>
  <c r="AI2341" i="1"/>
  <c r="AI2342" i="1"/>
  <c r="AI2343" i="1"/>
  <c r="AI2344" i="1"/>
  <c r="AI2345" i="1"/>
  <c r="AI2346" i="1"/>
  <c r="AI2347" i="1"/>
  <c r="AI2348" i="1"/>
  <c r="AI2349" i="1"/>
  <c r="AI2350" i="1"/>
  <c r="AI2351" i="1"/>
  <c r="AI2352" i="1"/>
  <c r="AI2353" i="1"/>
  <c r="AI2354" i="1"/>
  <c r="AI2355" i="1"/>
  <c r="AI2356" i="1"/>
  <c r="AI2357" i="1"/>
  <c r="AI2358" i="1"/>
  <c r="AI2359" i="1"/>
  <c r="AI2360" i="1"/>
  <c r="AI2361" i="1"/>
  <c r="AI2362" i="1"/>
  <c r="AI2363" i="1"/>
  <c r="AI2364" i="1"/>
  <c r="AI2365" i="1"/>
  <c r="AI2366" i="1"/>
  <c r="AI2367" i="1"/>
  <c r="AI2368" i="1"/>
  <c r="AI2369" i="1"/>
  <c r="AI2370" i="1"/>
  <c r="AI2371" i="1"/>
  <c r="AI2372" i="1"/>
  <c r="AI2373" i="1"/>
  <c r="AI2374" i="1"/>
  <c r="AI2375" i="1"/>
  <c r="AI2376" i="1"/>
  <c r="AI2377" i="1"/>
  <c r="AI2378" i="1"/>
  <c r="AI2379" i="1"/>
  <c r="AI2380" i="1"/>
  <c r="AI2381" i="1"/>
  <c r="AI2382" i="1"/>
  <c r="AI2383" i="1"/>
  <c r="AI2384" i="1"/>
  <c r="AI2385" i="1"/>
  <c r="AI2386" i="1"/>
  <c r="AI2387" i="1"/>
  <c r="AI2388" i="1"/>
  <c r="AI2389" i="1"/>
  <c r="AI2390" i="1"/>
  <c r="AI2391" i="1"/>
  <c r="AI2392" i="1"/>
  <c r="AI2393" i="1"/>
  <c r="AI2394" i="1"/>
  <c r="AI2395" i="1"/>
  <c r="AI2396" i="1"/>
  <c r="AI2397" i="1"/>
  <c r="AI2398" i="1"/>
  <c r="AI2399" i="1"/>
  <c r="AI2400" i="1"/>
  <c r="AI2401" i="1"/>
  <c r="AI2402" i="1"/>
  <c r="AI2403" i="1"/>
  <c r="AI2404" i="1"/>
  <c r="AI2405" i="1"/>
  <c r="AI2406" i="1"/>
  <c r="AI2407" i="1"/>
  <c r="AI2408" i="1"/>
  <c r="AI2409" i="1"/>
  <c r="AI2410" i="1"/>
  <c r="AI2411" i="1"/>
  <c r="AI2412" i="1"/>
  <c r="AI2413" i="1"/>
  <c r="AI2414" i="1"/>
  <c r="AI2415" i="1"/>
  <c r="AI2416" i="1"/>
  <c r="AI2417" i="1"/>
  <c r="AI2418" i="1"/>
  <c r="AI2419" i="1"/>
  <c r="AI2420" i="1"/>
  <c r="AI2421" i="1"/>
  <c r="AI2422" i="1"/>
  <c r="AI2423" i="1"/>
  <c r="AI2424" i="1"/>
  <c r="AI2425" i="1"/>
  <c r="AI2426" i="1"/>
  <c r="AI2427" i="1"/>
  <c r="AI2428" i="1"/>
  <c r="AI2429" i="1"/>
  <c r="AI2430" i="1"/>
  <c r="AI2431" i="1"/>
  <c r="AI2432" i="1"/>
  <c r="AI2433" i="1"/>
  <c r="AI2434" i="1"/>
  <c r="AI2435" i="1"/>
  <c r="AI2436" i="1"/>
  <c r="AI2437" i="1"/>
  <c r="AI2438" i="1"/>
  <c r="AI2439" i="1"/>
  <c r="AI2440" i="1"/>
  <c r="AI2441" i="1"/>
  <c r="AI2442" i="1"/>
  <c r="AI2443" i="1"/>
  <c r="AI2444" i="1"/>
  <c r="AI2445" i="1"/>
  <c r="AI2446" i="1"/>
  <c r="AI2447" i="1"/>
  <c r="AI2448" i="1"/>
  <c r="AI2449" i="1"/>
  <c r="AI2450" i="1"/>
  <c r="AI2451" i="1"/>
  <c r="AI2452" i="1"/>
  <c r="AI2453" i="1"/>
  <c r="AI2454" i="1"/>
  <c r="AI2455" i="1"/>
  <c r="AI2456" i="1"/>
  <c r="AI2457" i="1"/>
  <c r="AI2458" i="1"/>
  <c r="AI2459" i="1"/>
  <c r="AI2460" i="1"/>
  <c r="AI2461" i="1"/>
  <c r="AI2462" i="1"/>
  <c r="AI2463" i="1"/>
  <c r="AI2464" i="1"/>
  <c r="AI2465" i="1"/>
  <c r="AI2466" i="1"/>
  <c r="AI2467" i="1"/>
  <c r="AI2468" i="1"/>
  <c r="AI2469" i="1"/>
  <c r="AI2470" i="1"/>
  <c r="AI2471" i="1"/>
  <c r="AI2472" i="1"/>
  <c r="AI2473" i="1"/>
  <c r="AI2474" i="1"/>
  <c r="AI2475" i="1"/>
  <c r="AI2476" i="1"/>
  <c r="AI2477" i="1"/>
  <c r="AI2478" i="1"/>
  <c r="AI2479" i="1"/>
  <c r="AI2480" i="1"/>
  <c r="AI2481" i="1"/>
  <c r="AI2482" i="1"/>
  <c r="AI2483" i="1"/>
  <c r="AI2484" i="1"/>
  <c r="AI2485" i="1"/>
  <c r="AI2486" i="1"/>
  <c r="AI2487" i="1"/>
  <c r="AI2488" i="1"/>
  <c r="AI2489" i="1"/>
  <c r="AI2490" i="1"/>
  <c r="AI2491" i="1"/>
  <c r="AI2492" i="1"/>
  <c r="AI2493" i="1"/>
  <c r="AI2494" i="1"/>
  <c r="AI2495" i="1"/>
  <c r="AI2496" i="1"/>
  <c r="AI2497" i="1"/>
  <c r="AI2498" i="1"/>
  <c r="AI2499" i="1"/>
  <c r="AI2500" i="1"/>
  <c r="AI2501" i="1"/>
  <c r="AI2502" i="1"/>
  <c r="AI2503" i="1"/>
  <c r="AI2504" i="1"/>
  <c r="AI2505" i="1"/>
  <c r="AI2506" i="1"/>
  <c r="AI2507" i="1"/>
  <c r="AI2508" i="1"/>
  <c r="AI2509" i="1"/>
  <c r="AI2510" i="1"/>
  <c r="AI2511" i="1"/>
  <c r="AI2512" i="1"/>
  <c r="AI2513" i="1"/>
  <c r="AI2514" i="1"/>
  <c r="AI2515" i="1"/>
  <c r="AI2516" i="1"/>
  <c r="AI2517" i="1"/>
  <c r="AI2518" i="1"/>
  <c r="AI2519" i="1"/>
  <c r="AI2520" i="1"/>
  <c r="AI2521" i="1"/>
  <c r="AI2522" i="1"/>
  <c r="AI2523" i="1"/>
  <c r="AI2524" i="1"/>
  <c r="AI2525" i="1"/>
  <c r="AI2526" i="1"/>
  <c r="AI2527" i="1"/>
  <c r="AI2528" i="1"/>
  <c r="AI2529" i="1"/>
  <c r="AI2530" i="1"/>
  <c r="AI2531" i="1"/>
  <c r="AI2532" i="1"/>
  <c r="AI2533" i="1"/>
  <c r="AI2534" i="1"/>
  <c r="AI2535" i="1"/>
  <c r="AI2536" i="1"/>
  <c r="AI2537" i="1"/>
  <c r="AI2538" i="1"/>
  <c r="AI2539" i="1"/>
  <c r="AI2540" i="1"/>
  <c r="AI2541" i="1"/>
  <c r="AI2542" i="1"/>
  <c r="AI2543" i="1"/>
  <c r="AI2544" i="1"/>
  <c r="AI2545" i="1"/>
  <c r="AI2546" i="1"/>
  <c r="AI2547" i="1"/>
  <c r="AI2548" i="1"/>
  <c r="AI2549" i="1"/>
  <c r="AI2550" i="1"/>
  <c r="AI2551" i="1"/>
  <c r="AI2552" i="1"/>
  <c r="AI2553" i="1"/>
  <c r="AI2554" i="1"/>
  <c r="AI2555" i="1"/>
  <c r="AI2556" i="1"/>
  <c r="AI2557" i="1"/>
  <c r="AI2558" i="1"/>
  <c r="AI2559" i="1"/>
  <c r="AI2560" i="1"/>
  <c r="AI2561" i="1"/>
  <c r="AI2562" i="1"/>
  <c r="AI2563" i="1"/>
  <c r="AI2564" i="1"/>
  <c r="AI2565" i="1"/>
  <c r="AI2566" i="1"/>
  <c r="AI2567" i="1"/>
  <c r="AI2568" i="1"/>
  <c r="AI2569" i="1"/>
  <c r="AI2570" i="1"/>
  <c r="AI2571" i="1"/>
  <c r="AI2572" i="1"/>
  <c r="AI2573" i="1"/>
  <c r="AI2574" i="1"/>
  <c r="AI2575" i="1"/>
  <c r="AI2576" i="1"/>
  <c r="AI2577" i="1"/>
  <c r="AI2578" i="1"/>
  <c r="AI2579" i="1"/>
  <c r="AI2580" i="1"/>
  <c r="AI2581" i="1"/>
  <c r="AI2582" i="1"/>
  <c r="AI2583" i="1"/>
  <c r="AI2584" i="1"/>
  <c r="AI2585" i="1"/>
  <c r="AI2586" i="1"/>
  <c r="AI2587" i="1"/>
  <c r="AI2588" i="1"/>
  <c r="AI2589" i="1"/>
  <c r="AI2590" i="1"/>
  <c r="AI2591" i="1"/>
  <c r="AI2592" i="1"/>
  <c r="AI2593" i="1"/>
  <c r="AI2594" i="1"/>
  <c r="AI2595" i="1"/>
  <c r="AI2596" i="1"/>
  <c r="AI2597" i="1"/>
  <c r="AI2598" i="1"/>
  <c r="AI2599" i="1"/>
  <c r="AI2600" i="1"/>
  <c r="AI2601" i="1"/>
  <c r="AI2602" i="1"/>
  <c r="AI2603" i="1"/>
  <c r="AI2604" i="1"/>
  <c r="AI2605" i="1"/>
  <c r="AI2606" i="1"/>
  <c r="AI2607" i="1"/>
  <c r="AI2608" i="1"/>
  <c r="AI2609" i="1"/>
  <c r="AI2610" i="1"/>
  <c r="AI2611" i="1"/>
  <c r="AI2612" i="1"/>
  <c r="AI2613" i="1"/>
  <c r="AI2614" i="1"/>
  <c r="AI2615" i="1"/>
  <c r="AI2616" i="1"/>
  <c r="AI2617" i="1"/>
  <c r="AI2618" i="1"/>
  <c r="AI2619" i="1"/>
  <c r="AI2620" i="1"/>
  <c r="AI2621" i="1"/>
  <c r="AI2622" i="1"/>
  <c r="AI2623" i="1"/>
  <c r="AI2624" i="1"/>
  <c r="AI2625" i="1"/>
  <c r="AI2626" i="1"/>
  <c r="AI2627" i="1"/>
  <c r="AI2628" i="1"/>
  <c r="AI2629" i="1"/>
  <c r="AI2630" i="1"/>
  <c r="AI2631" i="1"/>
  <c r="AI2632" i="1"/>
  <c r="AI2633" i="1"/>
  <c r="AI2634" i="1"/>
  <c r="AI2635" i="1"/>
  <c r="AI2636" i="1"/>
  <c r="AI2637" i="1"/>
  <c r="AI2638" i="1"/>
  <c r="AI2639" i="1"/>
  <c r="AI2640" i="1"/>
  <c r="AI2641" i="1"/>
  <c r="AI2642" i="1"/>
  <c r="AI2643" i="1"/>
  <c r="AI2644" i="1"/>
  <c r="AI2645" i="1"/>
  <c r="AI2646" i="1"/>
  <c r="AI2647" i="1"/>
  <c r="AI2648" i="1"/>
  <c r="AI2649" i="1"/>
  <c r="AI2650" i="1"/>
  <c r="AI2651" i="1"/>
  <c r="AI2652" i="1"/>
  <c r="AI2653" i="1"/>
  <c r="AI2654" i="1"/>
  <c r="AI2655" i="1"/>
  <c r="AI2656" i="1"/>
  <c r="AI2657" i="1"/>
  <c r="AI2658" i="1"/>
  <c r="AI2659" i="1"/>
  <c r="AI2660" i="1"/>
  <c r="AI2661" i="1"/>
  <c r="AI2662" i="1"/>
  <c r="AI2663" i="1"/>
  <c r="AI2664" i="1"/>
  <c r="AI2665" i="1"/>
  <c r="AI2666" i="1"/>
  <c r="AI2667" i="1"/>
  <c r="AI2668" i="1"/>
  <c r="AI2669" i="1"/>
  <c r="AI2670" i="1"/>
  <c r="AI2671" i="1"/>
  <c r="AI2672" i="1"/>
  <c r="AI2673" i="1"/>
  <c r="AI2674" i="1"/>
  <c r="AI2675" i="1"/>
  <c r="AI2676" i="1"/>
  <c r="AI2677" i="1"/>
  <c r="AI2678" i="1"/>
  <c r="AI2679" i="1"/>
  <c r="AI2680" i="1"/>
  <c r="AI2681" i="1"/>
  <c r="AI2682" i="1"/>
  <c r="AI2683" i="1"/>
  <c r="AI2684" i="1"/>
  <c r="AI2685" i="1"/>
  <c r="AI2686" i="1"/>
  <c r="AI2687" i="1"/>
  <c r="AI2688" i="1"/>
  <c r="AI2689" i="1"/>
  <c r="AI2690" i="1"/>
  <c r="AI2691" i="1"/>
  <c r="AI2692" i="1"/>
  <c r="AI2693" i="1"/>
  <c r="AI2694" i="1"/>
  <c r="AI2695" i="1"/>
  <c r="AI2696" i="1"/>
  <c r="AI2697" i="1"/>
  <c r="AI2698" i="1"/>
  <c r="AI2699" i="1"/>
  <c r="AI2700" i="1"/>
  <c r="AI2701" i="1"/>
  <c r="AI2702" i="1"/>
  <c r="AI2703" i="1"/>
  <c r="AI2704" i="1"/>
  <c r="AI2705" i="1"/>
  <c r="AI2706" i="1"/>
  <c r="AI2707" i="1"/>
  <c r="AI2708" i="1"/>
  <c r="AI2709" i="1"/>
  <c r="AI2710" i="1"/>
  <c r="AI2711" i="1"/>
  <c r="AI2712" i="1"/>
  <c r="AI2713" i="1"/>
  <c r="AI2714" i="1"/>
  <c r="AI2715" i="1"/>
  <c r="AI2716" i="1"/>
  <c r="AI2717" i="1"/>
  <c r="AI2718" i="1"/>
  <c r="AI2719" i="1"/>
  <c r="AI2720" i="1"/>
  <c r="AI2721" i="1"/>
  <c r="AI2722" i="1"/>
  <c r="AI2723" i="1"/>
  <c r="AI2724" i="1"/>
  <c r="AI2725" i="1"/>
  <c r="AI2726" i="1"/>
  <c r="AI2727" i="1"/>
  <c r="AI2728" i="1"/>
  <c r="AI2729" i="1"/>
  <c r="AI2730" i="1"/>
  <c r="AI2731" i="1"/>
  <c r="AI2732" i="1"/>
  <c r="AI2733" i="1"/>
  <c r="AI2734" i="1"/>
  <c r="AI2735" i="1"/>
  <c r="AI2736" i="1"/>
  <c r="AI2737" i="1"/>
  <c r="AI2738" i="1"/>
  <c r="AI2739" i="1"/>
  <c r="AI2740" i="1"/>
  <c r="AI2741" i="1"/>
  <c r="AI2742" i="1"/>
  <c r="AI2743" i="1"/>
  <c r="AI2744" i="1"/>
  <c r="AI2745" i="1"/>
  <c r="AI2746" i="1"/>
  <c r="AI2747" i="1"/>
  <c r="AI2748" i="1"/>
  <c r="AI2749" i="1"/>
  <c r="AI2750" i="1"/>
  <c r="AI2751" i="1"/>
  <c r="AI2752" i="1"/>
  <c r="AI2753" i="1"/>
  <c r="AI2754" i="1"/>
  <c r="AI2755" i="1"/>
  <c r="AI2756" i="1"/>
  <c r="AI2757" i="1"/>
  <c r="AI2758" i="1"/>
  <c r="AI2759" i="1"/>
  <c r="AI2760" i="1"/>
  <c r="AI2761" i="1"/>
  <c r="AI2762" i="1"/>
  <c r="AI2763" i="1"/>
  <c r="AI2764" i="1"/>
  <c r="AI2765" i="1"/>
  <c r="AI2766" i="1"/>
  <c r="AI2767" i="1"/>
  <c r="AI2768" i="1"/>
  <c r="AI2769" i="1"/>
  <c r="AI2770" i="1"/>
  <c r="AI2771" i="1"/>
  <c r="AI2772" i="1"/>
  <c r="AI2773" i="1"/>
  <c r="AI2774" i="1"/>
  <c r="AI2775" i="1"/>
  <c r="AI2776" i="1"/>
  <c r="AI2777" i="1"/>
  <c r="AI2778" i="1"/>
  <c r="AI2779" i="1"/>
  <c r="AI2780" i="1"/>
  <c r="AI2781" i="1"/>
  <c r="AI2782" i="1"/>
  <c r="AI2783" i="1"/>
  <c r="AI2784" i="1"/>
  <c r="AI2785" i="1"/>
  <c r="AI2786" i="1"/>
  <c r="AI2787" i="1"/>
  <c r="AI2788" i="1"/>
  <c r="AI2789" i="1"/>
  <c r="AI2790" i="1"/>
  <c r="AI2791" i="1"/>
  <c r="AI2792" i="1"/>
  <c r="AI2793" i="1"/>
  <c r="AI2794" i="1"/>
  <c r="AI2795" i="1"/>
  <c r="AI2796" i="1"/>
  <c r="AI2797" i="1"/>
  <c r="AI2798" i="1"/>
  <c r="AI2799" i="1"/>
  <c r="AI2800" i="1"/>
  <c r="AI2801" i="1"/>
  <c r="AI2802" i="1"/>
  <c r="AI2803" i="1"/>
  <c r="AI2804" i="1"/>
  <c r="AI2805" i="1"/>
  <c r="AI2806" i="1"/>
  <c r="AI2807" i="1"/>
  <c r="AI2808" i="1"/>
  <c r="AI2809" i="1"/>
  <c r="AI2810" i="1"/>
  <c r="AI2811" i="1"/>
  <c r="AI2812" i="1"/>
  <c r="AI2813" i="1"/>
  <c r="AI2814" i="1"/>
  <c r="AI2815" i="1"/>
  <c r="AI2816" i="1"/>
  <c r="AI2817" i="1"/>
  <c r="AI2818" i="1"/>
  <c r="AI2819" i="1"/>
  <c r="AI2820" i="1"/>
  <c r="AI2821" i="1"/>
  <c r="AI2822" i="1"/>
  <c r="AI2823" i="1"/>
  <c r="AI2824" i="1"/>
  <c r="AI2825" i="1"/>
  <c r="AI2826" i="1"/>
  <c r="AI2827" i="1"/>
  <c r="AI2828" i="1"/>
  <c r="AI2829" i="1"/>
  <c r="AI2830" i="1"/>
  <c r="AI2831" i="1"/>
  <c r="AI2832" i="1"/>
  <c r="AI2833" i="1"/>
  <c r="AI2834" i="1"/>
  <c r="AI2835" i="1"/>
  <c r="AI2836" i="1"/>
  <c r="AI2837" i="1"/>
  <c r="AI2838" i="1"/>
  <c r="AI2839" i="1"/>
  <c r="AI2840" i="1"/>
  <c r="AI2841" i="1"/>
  <c r="AI2842" i="1"/>
  <c r="AI2843" i="1"/>
  <c r="AI2844" i="1"/>
  <c r="AI2845" i="1"/>
  <c r="AI2846" i="1"/>
  <c r="AI2847" i="1"/>
  <c r="AI2848" i="1"/>
  <c r="AI2849" i="1"/>
  <c r="AI2850" i="1"/>
  <c r="AI2851" i="1"/>
  <c r="AI2852" i="1"/>
  <c r="AI2853" i="1"/>
  <c r="AI2854" i="1"/>
  <c r="AI2855" i="1"/>
  <c r="AI2856" i="1"/>
  <c r="AI2857" i="1"/>
  <c r="AI2858" i="1"/>
  <c r="AI2859" i="1"/>
  <c r="AI2860" i="1"/>
  <c r="AI2861" i="1"/>
  <c r="AI2862" i="1"/>
  <c r="AI2863" i="1"/>
  <c r="AI2864" i="1"/>
  <c r="AI2865" i="1"/>
  <c r="AI2866" i="1"/>
  <c r="AI2867" i="1"/>
  <c r="AI2868" i="1"/>
  <c r="AI2869" i="1"/>
  <c r="AI2870" i="1"/>
  <c r="AI2871" i="1"/>
  <c r="AI2872" i="1"/>
  <c r="AI2873" i="1"/>
  <c r="AI2874" i="1"/>
  <c r="AI2875" i="1"/>
  <c r="AI2876" i="1"/>
  <c r="AI2877" i="1"/>
  <c r="AI2878" i="1"/>
  <c r="AI2879" i="1"/>
  <c r="AI2880" i="1"/>
  <c r="AI2881" i="1"/>
  <c r="AI2882" i="1"/>
  <c r="AI2883" i="1"/>
  <c r="AI2884" i="1"/>
  <c r="AI2885" i="1"/>
  <c r="AI2886" i="1"/>
  <c r="AI2887" i="1"/>
  <c r="AI2888" i="1"/>
  <c r="AI2889" i="1"/>
  <c r="AI2890" i="1"/>
  <c r="AI2891" i="1"/>
  <c r="AI2892" i="1"/>
  <c r="AI2893" i="1"/>
  <c r="AI2894" i="1"/>
  <c r="AI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H2002" i="1"/>
  <c r="AH2003" i="1"/>
  <c r="AH2004" i="1"/>
  <c r="AH2005" i="1"/>
  <c r="AH2006" i="1"/>
  <c r="AH2007" i="1"/>
  <c r="AH2008" i="1"/>
  <c r="AH2009" i="1"/>
  <c r="AH2010" i="1"/>
  <c r="AH2011" i="1"/>
  <c r="AH2012" i="1"/>
  <c r="AH2013" i="1"/>
  <c r="AH2014" i="1"/>
  <c r="AH2015" i="1"/>
  <c r="AH2016" i="1"/>
  <c r="AH2017" i="1"/>
  <c r="AH2018" i="1"/>
  <c r="AH2019" i="1"/>
  <c r="AH2020" i="1"/>
  <c r="AH2021" i="1"/>
  <c r="AH2022" i="1"/>
  <c r="AH2023" i="1"/>
  <c r="AH2024" i="1"/>
  <c r="AH2025" i="1"/>
  <c r="AH2026" i="1"/>
  <c r="AH2027" i="1"/>
  <c r="AH2028" i="1"/>
  <c r="AH2029" i="1"/>
  <c r="AH2030" i="1"/>
  <c r="AH2031" i="1"/>
  <c r="AH2032" i="1"/>
  <c r="AH2033" i="1"/>
  <c r="AH2034" i="1"/>
  <c r="AH2035" i="1"/>
  <c r="AH2036" i="1"/>
  <c r="AH2037" i="1"/>
  <c r="AH2038" i="1"/>
  <c r="AH2039" i="1"/>
  <c r="AH2040" i="1"/>
  <c r="AH2041" i="1"/>
  <c r="AH2042" i="1"/>
  <c r="AH2043" i="1"/>
  <c r="AH2044" i="1"/>
  <c r="AH2045" i="1"/>
  <c r="AH2046" i="1"/>
  <c r="AH2047" i="1"/>
  <c r="AH2048" i="1"/>
  <c r="AH2049" i="1"/>
  <c r="AH2050" i="1"/>
  <c r="AH2051" i="1"/>
  <c r="AH2052" i="1"/>
  <c r="AH2053" i="1"/>
  <c r="AH2054" i="1"/>
  <c r="AH2055" i="1"/>
  <c r="AH2056" i="1"/>
  <c r="AH2057" i="1"/>
  <c r="AH2058" i="1"/>
  <c r="AH2059" i="1"/>
  <c r="AH2060" i="1"/>
  <c r="AH2061" i="1"/>
  <c r="AH2062" i="1"/>
  <c r="AH2063" i="1"/>
  <c r="AH2064" i="1"/>
  <c r="AH2065" i="1"/>
  <c r="AH2066" i="1"/>
  <c r="AH2067" i="1"/>
  <c r="AH2068" i="1"/>
  <c r="AH2069" i="1"/>
  <c r="AH2070" i="1"/>
  <c r="AH2071" i="1"/>
  <c r="AH2072" i="1"/>
  <c r="AH2073" i="1"/>
  <c r="AH2074" i="1"/>
  <c r="AH2075" i="1"/>
  <c r="AH2076" i="1"/>
  <c r="AH2077" i="1"/>
  <c r="AH2078" i="1"/>
  <c r="AH2079" i="1"/>
  <c r="AH2080" i="1"/>
  <c r="AH2081" i="1"/>
  <c r="AH2082" i="1"/>
  <c r="AH2083" i="1"/>
  <c r="AH2084" i="1"/>
  <c r="AH2085" i="1"/>
  <c r="AH2086" i="1"/>
  <c r="AH2087" i="1"/>
  <c r="AH2088" i="1"/>
  <c r="AH2089" i="1"/>
  <c r="AH2090" i="1"/>
  <c r="AH2091" i="1"/>
  <c r="AH2092" i="1"/>
  <c r="AH2093" i="1"/>
  <c r="AH2094" i="1"/>
  <c r="AH2095" i="1"/>
  <c r="AH2096" i="1"/>
  <c r="AH2097" i="1"/>
  <c r="AH2098" i="1"/>
  <c r="AH2099" i="1"/>
  <c r="AH2100" i="1"/>
  <c r="AH2101" i="1"/>
  <c r="AH2102" i="1"/>
  <c r="AH2103" i="1"/>
  <c r="AH2104" i="1"/>
  <c r="AH2105" i="1"/>
  <c r="AH2106" i="1"/>
  <c r="AH2107" i="1"/>
  <c r="AH2108" i="1"/>
  <c r="AH2109" i="1"/>
  <c r="AH2110" i="1"/>
  <c r="AH2111" i="1"/>
  <c r="AH2112" i="1"/>
  <c r="AH2113" i="1"/>
  <c r="AH2114" i="1"/>
  <c r="AH2115" i="1"/>
  <c r="AH2116" i="1"/>
  <c r="AH2117" i="1"/>
  <c r="AH2118" i="1"/>
  <c r="AH2119" i="1"/>
  <c r="AH2120" i="1"/>
  <c r="AH2121" i="1"/>
  <c r="AH2122" i="1"/>
  <c r="AH2123" i="1"/>
  <c r="AH2124" i="1"/>
  <c r="AH2125" i="1"/>
  <c r="AH2126" i="1"/>
  <c r="AH2127" i="1"/>
  <c r="AH2128" i="1"/>
  <c r="AH2129" i="1"/>
  <c r="AH2130" i="1"/>
  <c r="AH2131" i="1"/>
  <c r="AH2132" i="1"/>
  <c r="AH2133" i="1"/>
  <c r="AH2134" i="1"/>
  <c r="AH2135" i="1"/>
  <c r="AH2136" i="1"/>
  <c r="AH2137" i="1"/>
  <c r="AH2138" i="1"/>
  <c r="AH2139" i="1"/>
  <c r="AH2140" i="1"/>
  <c r="AH2141" i="1"/>
  <c r="AH2142" i="1"/>
  <c r="AH2143" i="1"/>
  <c r="AH2144" i="1"/>
  <c r="AH2145" i="1"/>
  <c r="AH2146" i="1"/>
  <c r="AH2147" i="1"/>
  <c r="AH2148" i="1"/>
  <c r="AH2149" i="1"/>
  <c r="AH2150" i="1"/>
  <c r="AH2151" i="1"/>
  <c r="AH2152" i="1"/>
  <c r="AH2153" i="1"/>
  <c r="AH2154" i="1"/>
  <c r="AH2155" i="1"/>
  <c r="AH2156" i="1"/>
  <c r="AH2157" i="1"/>
  <c r="AH2158" i="1"/>
  <c r="AH2159" i="1"/>
  <c r="AH2160" i="1"/>
  <c r="AH2161" i="1"/>
  <c r="AH2162" i="1"/>
  <c r="AH2163" i="1"/>
  <c r="AH2164" i="1"/>
  <c r="AH2165" i="1"/>
  <c r="AH2166" i="1"/>
  <c r="AH2167" i="1"/>
  <c r="AH2168" i="1"/>
  <c r="AH2169" i="1"/>
  <c r="AH2170" i="1"/>
  <c r="AH2171" i="1"/>
  <c r="AH2172" i="1"/>
  <c r="AH2173" i="1"/>
  <c r="AH2174" i="1"/>
  <c r="AH2175" i="1"/>
  <c r="AH2176" i="1"/>
  <c r="AH2177" i="1"/>
  <c r="AH2178" i="1"/>
  <c r="AH2179" i="1"/>
  <c r="AH2180" i="1"/>
  <c r="AH2181" i="1"/>
  <c r="AH2182" i="1"/>
  <c r="AH2183" i="1"/>
  <c r="AH2184" i="1"/>
  <c r="AH2185" i="1"/>
  <c r="AH2186" i="1"/>
  <c r="AH2187" i="1"/>
  <c r="AH2188" i="1"/>
  <c r="AH2189" i="1"/>
  <c r="AH2190" i="1"/>
  <c r="AH2191" i="1"/>
  <c r="AH2192" i="1"/>
  <c r="AH2193" i="1"/>
  <c r="AH2194" i="1"/>
  <c r="AH2195" i="1"/>
  <c r="AH2196" i="1"/>
  <c r="AH2197" i="1"/>
  <c r="AH2198" i="1"/>
  <c r="AH2199" i="1"/>
  <c r="AH2200" i="1"/>
  <c r="AH2201" i="1"/>
  <c r="AH2202" i="1"/>
  <c r="AH2203" i="1"/>
  <c r="AH2204" i="1"/>
  <c r="AH2205" i="1"/>
  <c r="AH2206" i="1"/>
  <c r="AH2207" i="1"/>
  <c r="AH2208" i="1"/>
  <c r="AH2209" i="1"/>
  <c r="AH2210" i="1"/>
  <c r="AH2211" i="1"/>
  <c r="AH2212" i="1"/>
  <c r="AH2213" i="1"/>
  <c r="AH2214" i="1"/>
  <c r="AH2215" i="1"/>
  <c r="AH2216" i="1"/>
  <c r="AH2217" i="1"/>
  <c r="AH2218" i="1"/>
  <c r="AH2219" i="1"/>
  <c r="AH2220" i="1"/>
  <c r="AH2221" i="1"/>
  <c r="AH2222" i="1"/>
  <c r="AH2223" i="1"/>
  <c r="AH2224" i="1"/>
  <c r="AH2225" i="1"/>
  <c r="AH2226" i="1"/>
  <c r="AH2227" i="1"/>
  <c r="AH2228" i="1"/>
  <c r="AH2229" i="1"/>
  <c r="AH2230" i="1"/>
  <c r="AH2231" i="1"/>
  <c r="AH2232" i="1"/>
  <c r="AH2233" i="1"/>
  <c r="AH2234" i="1"/>
  <c r="AH2235" i="1"/>
  <c r="AH2236" i="1"/>
  <c r="AH2237" i="1"/>
  <c r="AH2238" i="1"/>
  <c r="AH2239" i="1"/>
  <c r="AH2240" i="1"/>
  <c r="AH2241" i="1"/>
  <c r="AH2242" i="1"/>
  <c r="AH2243" i="1"/>
  <c r="AH2244" i="1"/>
  <c r="AH2245" i="1"/>
  <c r="AH2246" i="1"/>
  <c r="AH2247" i="1"/>
  <c r="AH2248" i="1"/>
  <c r="AH2249" i="1"/>
  <c r="AH2250" i="1"/>
  <c r="AH2251" i="1"/>
  <c r="AH2252" i="1"/>
  <c r="AH2253" i="1"/>
  <c r="AH2254" i="1"/>
  <c r="AH2255" i="1"/>
  <c r="AH2256" i="1"/>
  <c r="AH2257" i="1"/>
  <c r="AH2258" i="1"/>
  <c r="AH2259" i="1"/>
  <c r="AH2260" i="1"/>
  <c r="AH2261" i="1"/>
  <c r="AH2262" i="1"/>
  <c r="AH2263" i="1"/>
  <c r="AH2264" i="1"/>
  <c r="AH2265" i="1"/>
  <c r="AH2266" i="1"/>
  <c r="AH2267" i="1"/>
  <c r="AH2268" i="1"/>
  <c r="AH2269" i="1"/>
  <c r="AH2270" i="1"/>
  <c r="AH2271" i="1"/>
  <c r="AH2272" i="1"/>
  <c r="AH2273" i="1"/>
  <c r="AH2274" i="1"/>
  <c r="AH2275" i="1"/>
  <c r="AH2276" i="1"/>
  <c r="AH2277" i="1"/>
  <c r="AH2278" i="1"/>
  <c r="AH2279" i="1"/>
  <c r="AH2280" i="1"/>
  <c r="AH2281" i="1"/>
  <c r="AH2282" i="1"/>
  <c r="AH2283" i="1"/>
  <c r="AH2284" i="1"/>
  <c r="AH2285" i="1"/>
  <c r="AH2286" i="1"/>
  <c r="AH2287" i="1"/>
  <c r="AH2288" i="1"/>
  <c r="AH2289" i="1"/>
  <c r="AH2290" i="1"/>
  <c r="AH2291" i="1"/>
  <c r="AH2292" i="1"/>
  <c r="AH2293" i="1"/>
  <c r="AH2294" i="1"/>
  <c r="AH2295" i="1"/>
  <c r="AH2296" i="1"/>
  <c r="AH2297" i="1"/>
  <c r="AH2298" i="1"/>
  <c r="AH2299" i="1"/>
  <c r="AH2300" i="1"/>
  <c r="AH2301" i="1"/>
  <c r="AH2302" i="1"/>
  <c r="AH2303" i="1"/>
  <c r="AH2304" i="1"/>
  <c r="AH2305" i="1"/>
  <c r="AH2306" i="1"/>
  <c r="AH2307" i="1"/>
  <c r="AH2308" i="1"/>
  <c r="AH2309" i="1"/>
  <c r="AH2310" i="1"/>
  <c r="AH2311" i="1"/>
  <c r="AH2312" i="1"/>
  <c r="AH2313" i="1"/>
  <c r="AH2314" i="1"/>
  <c r="AH2315" i="1"/>
  <c r="AH2316" i="1"/>
  <c r="AH2317" i="1"/>
  <c r="AH2318" i="1"/>
  <c r="AH2319" i="1"/>
  <c r="AH2320" i="1"/>
  <c r="AH2321" i="1"/>
  <c r="AH2322" i="1"/>
  <c r="AH2323" i="1"/>
  <c r="AH2324" i="1"/>
  <c r="AH2325" i="1"/>
  <c r="AH2326" i="1"/>
  <c r="AH2327" i="1"/>
  <c r="AH2328" i="1"/>
  <c r="AH2329" i="1"/>
  <c r="AH2330" i="1"/>
  <c r="AH2331" i="1"/>
  <c r="AH2332" i="1"/>
  <c r="AH2333" i="1"/>
  <c r="AH2334" i="1"/>
  <c r="AH2335" i="1"/>
  <c r="AH2336" i="1"/>
  <c r="AH2337" i="1"/>
  <c r="AH2338" i="1"/>
  <c r="AH2339" i="1"/>
  <c r="AH2340" i="1"/>
  <c r="AH2341" i="1"/>
  <c r="AH2342" i="1"/>
  <c r="AH2343" i="1"/>
  <c r="AH2344" i="1"/>
  <c r="AH2345" i="1"/>
  <c r="AH2346" i="1"/>
  <c r="AH2347" i="1"/>
  <c r="AH2348" i="1"/>
  <c r="AH2349" i="1"/>
  <c r="AH2350" i="1"/>
  <c r="AH2351" i="1"/>
  <c r="AH2352" i="1"/>
  <c r="AH2353" i="1"/>
  <c r="AH2354" i="1"/>
  <c r="AH2355" i="1"/>
  <c r="AH2356" i="1"/>
  <c r="AH2357" i="1"/>
  <c r="AH2358" i="1"/>
  <c r="AH2359" i="1"/>
  <c r="AH2360" i="1"/>
  <c r="AH2361" i="1"/>
  <c r="AH2362" i="1"/>
  <c r="AH2363" i="1"/>
  <c r="AH2364" i="1"/>
  <c r="AH2365" i="1"/>
  <c r="AH2366" i="1"/>
  <c r="AH2367" i="1"/>
  <c r="AH2368" i="1"/>
  <c r="AH2369" i="1"/>
  <c r="AH2370" i="1"/>
  <c r="AH2371" i="1"/>
  <c r="AH2372" i="1"/>
  <c r="AH2373" i="1"/>
  <c r="AH2374" i="1"/>
  <c r="AH2375" i="1"/>
  <c r="AH2376" i="1"/>
  <c r="AH2377" i="1"/>
  <c r="AH2378" i="1"/>
  <c r="AH2379" i="1"/>
  <c r="AH2380" i="1"/>
  <c r="AH2381" i="1"/>
  <c r="AH2382" i="1"/>
  <c r="AH2383" i="1"/>
  <c r="AH2384" i="1"/>
  <c r="AH2385" i="1"/>
  <c r="AH2386" i="1"/>
  <c r="AH2387" i="1"/>
  <c r="AH2388" i="1"/>
  <c r="AH2389" i="1"/>
  <c r="AH2390" i="1"/>
  <c r="AH2391" i="1"/>
  <c r="AH2392" i="1"/>
  <c r="AH2393" i="1"/>
  <c r="AH2394" i="1"/>
  <c r="AH2395" i="1"/>
  <c r="AH2396" i="1"/>
  <c r="AH2397" i="1"/>
  <c r="AH2398" i="1"/>
  <c r="AH2399" i="1"/>
  <c r="AH2400" i="1"/>
  <c r="AH2401" i="1"/>
  <c r="AH2402" i="1"/>
  <c r="AH2403" i="1"/>
  <c r="AH2404" i="1"/>
  <c r="AH2405" i="1"/>
  <c r="AH2406" i="1"/>
  <c r="AH2407" i="1"/>
  <c r="AH2408" i="1"/>
  <c r="AH2409" i="1"/>
  <c r="AH2410" i="1"/>
  <c r="AH2411" i="1"/>
  <c r="AH2412" i="1"/>
  <c r="AH2413" i="1"/>
  <c r="AH2414" i="1"/>
  <c r="AH2415" i="1"/>
  <c r="AH2416" i="1"/>
  <c r="AH2417" i="1"/>
  <c r="AH2418" i="1"/>
  <c r="AH2419" i="1"/>
  <c r="AH2420" i="1"/>
  <c r="AH2421" i="1"/>
  <c r="AH2422" i="1"/>
  <c r="AH2423" i="1"/>
  <c r="AH2424" i="1"/>
  <c r="AH2425" i="1"/>
  <c r="AH2426" i="1"/>
  <c r="AH2427" i="1"/>
  <c r="AH2428" i="1"/>
  <c r="AH2429" i="1"/>
  <c r="AH2430" i="1"/>
  <c r="AH2431" i="1"/>
  <c r="AH2432" i="1"/>
  <c r="AH2433" i="1"/>
  <c r="AH2434" i="1"/>
  <c r="AH2435" i="1"/>
  <c r="AH2436" i="1"/>
  <c r="AH2437" i="1"/>
  <c r="AH2438" i="1"/>
  <c r="AH2439" i="1"/>
  <c r="AH2440" i="1"/>
  <c r="AH2441" i="1"/>
  <c r="AH2442" i="1"/>
  <c r="AH2443" i="1"/>
  <c r="AH2444" i="1"/>
  <c r="AH2445" i="1"/>
  <c r="AH2446" i="1"/>
  <c r="AH2447" i="1"/>
  <c r="AH2448" i="1"/>
  <c r="AH2449" i="1"/>
  <c r="AH2450" i="1"/>
  <c r="AH2451" i="1"/>
  <c r="AH2452" i="1"/>
  <c r="AH2453" i="1"/>
  <c r="AH2454" i="1"/>
  <c r="AH2455" i="1"/>
  <c r="AH2456" i="1"/>
  <c r="AH2457" i="1"/>
  <c r="AH2458" i="1"/>
  <c r="AH2459" i="1"/>
  <c r="AH2460" i="1"/>
  <c r="AH2461" i="1"/>
  <c r="AH2462" i="1"/>
  <c r="AH2463" i="1"/>
  <c r="AH2464" i="1"/>
  <c r="AH2465" i="1"/>
  <c r="AH2466" i="1"/>
  <c r="AH2467" i="1"/>
  <c r="AH2468" i="1"/>
  <c r="AH2469" i="1"/>
  <c r="AH2470" i="1"/>
  <c r="AH2471" i="1"/>
  <c r="AH2472" i="1"/>
  <c r="AH2473" i="1"/>
  <c r="AH2474" i="1"/>
  <c r="AH2475" i="1"/>
  <c r="AH2476" i="1"/>
  <c r="AH2477" i="1"/>
  <c r="AH2478" i="1"/>
  <c r="AH2479" i="1"/>
  <c r="AH2480" i="1"/>
  <c r="AH2481" i="1"/>
  <c r="AH2482" i="1"/>
  <c r="AH2483" i="1"/>
  <c r="AH2484" i="1"/>
  <c r="AH2485" i="1"/>
  <c r="AH2486" i="1"/>
  <c r="AH2487" i="1"/>
  <c r="AH2488" i="1"/>
  <c r="AH2489" i="1"/>
  <c r="AH2490" i="1"/>
  <c r="AH2491" i="1"/>
  <c r="AH2492" i="1"/>
  <c r="AH2493" i="1"/>
  <c r="AH2494" i="1"/>
  <c r="AH2495" i="1"/>
  <c r="AH2496" i="1"/>
  <c r="AH2497" i="1"/>
  <c r="AH2498" i="1"/>
  <c r="AH2499" i="1"/>
  <c r="AH2500" i="1"/>
  <c r="AH2501" i="1"/>
  <c r="AH2502" i="1"/>
  <c r="AH2503" i="1"/>
  <c r="AH2504" i="1"/>
  <c r="AH2505" i="1"/>
  <c r="AH2506" i="1"/>
  <c r="AH2507" i="1"/>
  <c r="AH2508" i="1"/>
  <c r="AH2509" i="1"/>
  <c r="AH2510" i="1"/>
  <c r="AH2511" i="1"/>
  <c r="AH2512" i="1"/>
  <c r="AH2513" i="1"/>
  <c r="AH2514" i="1"/>
  <c r="AH2515" i="1"/>
  <c r="AH2516" i="1"/>
  <c r="AH2517" i="1"/>
  <c r="AH2518" i="1"/>
  <c r="AH2519" i="1"/>
  <c r="AH2520" i="1"/>
  <c r="AH2521" i="1"/>
  <c r="AH2522" i="1"/>
  <c r="AH2523" i="1"/>
  <c r="AH2524" i="1"/>
  <c r="AH2525" i="1"/>
  <c r="AH2526" i="1"/>
  <c r="AH2527" i="1"/>
  <c r="AH2528" i="1"/>
  <c r="AH2529" i="1"/>
  <c r="AH2530" i="1"/>
  <c r="AH2531" i="1"/>
  <c r="AH2532" i="1"/>
  <c r="AH2533" i="1"/>
  <c r="AH2534" i="1"/>
  <c r="AH2535" i="1"/>
  <c r="AH2536" i="1"/>
  <c r="AH2537" i="1"/>
  <c r="AH2538" i="1"/>
  <c r="AH2539" i="1"/>
  <c r="AH2540" i="1"/>
  <c r="AH2541" i="1"/>
  <c r="AH2542" i="1"/>
  <c r="AH2543" i="1"/>
  <c r="AH2544" i="1"/>
  <c r="AH2545" i="1"/>
  <c r="AH2546" i="1"/>
  <c r="AH2547" i="1"/>
  <c r="AH2548" i="1"/>
  <c r="AH2549" i="1"/>
  <c r="AH2550" i="1"/>
  <c r="AH2551" i="1"/>
  <c r="AH2552" i="1"/>
  <c r="AH2553" i="1"/>
  <c r="AH2554" i="1"/>
  <c r="AH2555" i="1"/>
  <c r="AH2556" i="1"/>
  <c r="AH2557" i="1"/>
  <c r="AH2558" i="1"/>
  <c r="AH2559" i="1"/>
  <c r="AH2560" i="1"/>
  <c r="AH2561" i="1"/>
  <c r="AH2562" i="1"/>
  <c r="AH2563" i="1"/>
  <c r="AH2564" i="1"/>
  <c r="AH2565" i="1"/>
  <c r="AH2566" i="1"/>
  <c r="AH2567" i="1"/>
  <c r="AH2568" i="1"/>
  <c r="AH2569" i="1"/>
  <c r="AH2570" i="1"/>
  <c r="AH2571" i="1"/>
  <c r="AH2572" i="1"/>
  <c r="AH2573" i="1"/>
  <c r="AH2574" i="1"/>
  <c r="AH2575" i="1"/>
  <c r="AH2576" i="1"/>
  <c r="AH2577" i="1"/>
  <c r="AH2578" i="1"/>
  <c r="AH2579" i="1"/>
  <c r="AH2580" i="1"/>
  <c r="AH2581" i="1"/>
  <c r="AH2582" i="1"/>
  <c r="AH2583" i="1"/>
  <c r="AH2584" i="1"/>
  <c r="AH2585" i="1"/>
  <c r="AH2586" i="1"/>
  <c r="AH2587" i="1"/>
  <c r="AH2588" i="1"/>
  <c r="AH2589" i="1"/>
  <c r="AH2590" i="1"/>
  <c r="AH2591" i="1"/>
  <c r="AH2592" i="1"/>
  <c r="AH2593" i="1"/>
  <c r="AH2594" i="1"/>
  <c r="AH2595" i="1"/>
  <c r="AH2596" i="1"/>
  <c r="AH2597" i="1"/>
  <c r="AH2598" i="1"/>
  <c r="AH2599" i="1"/>
  <c r="AH2600" i="1"/>
  <c r="AH2601" i="1"/>
  <c r="AH2602" i="1"/>
  <c r="AH2603" i="1"/>
  <c r="AH2604" i="1"/>
  <c r="AH2605" i="1"/>
  <c r="AH2606" i="1"/>
  <c r="AH2607" i="1"/>
  <c r="AH2608" i="1"/>
  <c r="AH2609" i="1"/>
  <c r="AH2610" i="1"/>
  <c r="AH2611" i="1"/>
  <c r="AH2612" i="1"/>
  <c r="AH2613" i="1"/>
  <c r="AH2614" i="1"/>
  <c r="AH2615" i="1"/>
  <c r="AH2616" i="1"/>
  <c r="AH2617" i="1"/>
  <c r="AH2618" i="1"/>
  <c r="AH2619" i="1"/>
  <c r="AH2620" i="1"/>
  <c r="AH2621" i="1"/>
  <c r="AH2622" i="1"/>
  <c r="AH2623" i="1"/>
  <c r="AH2624" i="1"/>
  <c r="AH2625" i="1"/>
  <c r="AH2626" i="1"/>
  <c r="AH2627" i="1"/>
  <c r="AH2628" i="1"/>
  <c r="AH2629" i="1"/>
  <c r="AH2630" i="1"/>
  <c r="AH2631" i="1"/>
  <c r="AH2632" i="1"/>
  <c r="AH2633" i="1"/>
  <c r="AH2634" i="1"/>
  <c r="AH2635" i="1"/>
  <c r="AH2636" i="1"/>
  <c r="AH2637" i="1"/>
  <c r="AH2638" i="1"/>
  <c r="AH2639" i="1"/>
  <c r="AH2640" i="1"/>
  <c r="AH2641" i="1"/>
  <c r="AH2642" i="1"/>
  <c r="AH2643" i="1"/>
  <c r="AH2644" i="1"/>
  <c r="AH2645" i="1"/>
  <c r="AH2646" i="1"/>
  <c r="AH2647" i="1"/>
  <c r="AH2648" i="1"/>
  <c r="AH2649" i="1"/>
  <c r="AH2650" i="1"/>
  <c r="AH2651" i="1"/>
  <c r="AH2652" i="1"/>
  <c r="AH2653" i="1"/>
  <c r="AH2654" i="1"/>
  <c r="AH2655" i="1"/>
  <c r="AH2656" i="1"/>
  <c r="AH2657" i="1"/>
  <c r="AH2658" i="1"/>
  <c r="AH2659" i="1"/>
  <c r="AH2660" i="1"/>
  <c r="AH2661" i="1"/>
  <c r="AH2662" i="1"/>
  <c r="AH2663" i="1"/>
  <c r="AH2664" i="1"/>
  <c r="AH2665" i="1"/>
  <c r="AH2666" i="1"/>
  <c r="AH2667" i="1"/>
  <c r="AH2668" i="1"/>
  <c r="AH2669" i="1"/>
  <c r="AH2670" i="1"/>
  <c r="AH2671" i="1"/>
  <c r="AH2672" i="1"/>
  <c r="AH2673" i="1"/>
  <c r="AH2674" i="1"/>
  <c r="AH2675" i="1"/>
  <c r="AH2676" i="1"/>
  <c r="AH2677" i="1"/>
  <c r="AH2678" i="1"/>
  <c r="AH2679" i="1"/>
  <c r="AH2680" i="1"/>
  <c r="AH2681" i="1"/>
  <c r="AH2682" i="1"/>
  <c r="AH2683" i="1"/>
  <c r="AH2684" i="1"/>
  <c r="AH2685" i="1"/>
  <c r="AH2686" i="1"/>
  <c r="AH2687" i="1"/>
  <c r="AH2688" i="1"/>
  <c r="AH2689" i="1"/>
  <c r="AH2690" i="1"/>
  <c r="AH2691" i="1"/>
  <c r="AH2692" i="1"/>
  <c r="AH2693" i="1"/>
  <c r="AH2694" i="1"/>
  <c r="AH2695" i="1"/>
  <c r="AH2696" i="1"/>
  <c r="AH2697" i="1"/>
  <c r="AH2698" i="1"/>
  <c r="AH2699" i="1"/>
  <c r="AH2700" i="1"/>
  <c r="AH2701" i="1"/>
  <c r="AH2702" i="1"/>
  <c r="AH2703" i="1"/>
  <c r="AH2704" i="1"/>
  <c r="AH2705" i="1"/>
  <c r="AH2706" i="1"/>
  <c r="AH2707" i="1"/>
  <c r="AH2708" i="1"/>
  <c r="AH2709" i="1"/>
  <c r="AH2710" i="1"/>
  <c r="AH2711" i="1"/>
  <c r="AH2712" i="1"/>
  <c r="AH2713" i="1"/>
  <c r="AH2714" i="1"/>
  <c r="AH2715" i="1"/>
  <c r="AH2716" i="1"/>
  <c r="AH2717" i="1"/>
  <c r="AH2718" i="1"/>
  <c r="AH2719" i="1"/>
  <c r="AH2720" i="1"/>
  <c r="AH2721" i="1"/>
  <c r="AH2722" i="1"/>
  <c r="AH2723" i="1"/>
  <c r="AH2724" i="1"/>
  <c r="AH2725" i="1"/>
  <c r="AH2726" i="1"/>
  <c r="AH2727" i="1"/>
  <c r="AH2728" i="1"/>
  <c r="AH2729" i="1"/>
  <c r="AH2730" i="1"/>
  <c r="AH2731" i="1"/>
  <c r="AH2732" i="1"/>
  <c r="AH2733" i="1"/>
  <c r="AH2734" i="1"/>
  <c r="AH2735" i="1"/>
  <c r="AH2736" i="1"/>
  <c r="AH2737" i="1"/>
  <c r="AH2738" i="1"/>
  <c r="AH2739" i="1"/>
  <c r="AH2740" i="1"/>
  <c r="AH2741" i="1"/>
  <c r="AH2742" i="1"/>
  <c r="AH2743" i="1"/>
  <c r="AH2744" i="1"/>
  <c r="AH2745" i="1"/>
  <c r="AH2746" i="1"/>
  <c r="AH2747" i="1"/>
  <c r="AH2748" i="1"/>
  <c r="AH2749" i="1"/>
  <c r="AH2750" i="1"/>
  <c r="AH2751" i="1"/>
  <c r="AH2752" i="1"/>
  <c r="AH2753" i="1"/>
  <c r="AH2754" i="1"/>
  <c r="AH2755" i="1"/>
  <c r="AH2756" i="1"/>
  <c r="AH2757" i="1"/>
  <c r="AH2758" i="1"/>
  <c r="AH2759" i="1"/>
  <c r="AH2760" i="1"/>
  <c r="AH2761" i="1"/>
  <c r="AH2762" i="1"/>
  <c r="AH2763" i="1"/>
  <c r="AH2764" i="1"/>
  <c r="AH2765" i="1"/>
  <c r="AH2766" i="1"/>
  <c r="AH2767" i="1"/>
  <c r="AH2768" i="1"/>
  <c r="AH2769" i="1"/>
  <c r="AH2770" i="1"/>
  <c r="AH2771" i="1"/>
  <c r="AH2772" i="1"/>
  <c r="AH2773" i="1"/>
  <c r="AH2774" i="1"/>
  <c r="AH2775" i="1"/>
  <c r="AH2776" i="1"/>
  <c r="AH2777" i="1"/>
  <c r="AH2778" i="1"/>
  <c r="AH2779" i="1"/>
  <c r="AH2780" i="1"/>
  <c r="AH2781" i="1"/>
  <c r="AH2782" i="1"/>
  <c r="AH2783" i="1"/>
  <c r="AH2784" i="1"/>
  <c r="AH2785" i="1"/>
  <c r="AH2786" i="1"/>
  <c r="AH2787" i="1"/>
  <c r="AH2788" i="1"/>
  <c r="AH2789" i="1"/>
  <c r="AH2790" i="1"/>
  <c r="AH2791" i="1"/>
  <c r="AH2792" i="1"/>
  <c r="AH2793" i="1"/>
  <c r="AH2794" i="1"/>
  <c r="AH2795" i="1"/>
  <c r="AH2796" i="1"/>
  <c r="AH2797" i="1"/>
  <c r="AH2798" i="1"/>
  <c r="AH2799" i="1"/>
  <c r="AH2800" i="1"/>
  <c r="AH2801" i="1"/>
  <c r="AH2802" i="1"/>
  <c r="AH2803" i="1"/>
  <c r="AH2804" i="1"/>
  <c r="AH2805" i="1"/>
  <c r="AH2806" i="1"/>
  <c r="AH2807" i="1"/>
  <c r="AH2808" i="1"/>
  <c r="AH2809" i="1"/>
  <c r="AH2810" i="1"/>
  <c r="AH2811" i="1"/>
  <c r="AH2812" i="1"/>
  <c r="AH2813" i="1"/>
  <c r="AH2814" i="1"/>
  <c r="AH2815" i="1"/>
  <c r="AH2816" i="1"/>
  <c r="AH2817" i="1"/>
  <c r="AH2818" i="1"/>
  <c r="AH2819" i="1"/>
  <c r="AH2820" i="1"/>
  <c r="AH2821" i="1"/>
  <c r="AH2822" i="1"/>
  <c r="AH2823" i="1"/>
  <c r="AH2824" i="1"/>
  <c r="AH2825" i="1"/>
  <c r="AH2826" i="1"/>
  <c r="AH2827" i="1"/>
  <c r="AH2828" i="1"/>
  <c r="AH2829" i="1"/>
  <c r="AH2830" i="1"/>
  <c r="AH2831" i="1"/>
  <c r="AH2832" i="1"/>
  <c r="AH2833" i="1"/>
  <c r="AH2834" i="1"/>
  <c r="AH2835" i="1"/>
  <c r="AH2836" i="1"/>
  <c r="AH2837" i="1"/>
  <c r="AH2838" i="1"/>
  <c r="AH2839" i="1"/>
  <c r="AH2840" i="1"/>
  <c r="AH2841" i="1"/>
  <c r="AH2842" i="1"/>
  <c r="AH2843" i="1"/>
  <c r="AH2844" i="1"/>
  <c r="AH2845" i="1"/>
  <c r="AH2846" i="1"/>
  <c r="AH2847" i="1"/>
  <c r="AH2848" i="1"/>
  <c r="AH2849" i="1"/>
  <c r="AH2850" i="1"/>
  <c r="AH2851" i="1"/>
  <c r="AH2852" i="1"/>
  <c r="AH2853" i="1"/>
  <c r="AH2854" i="1"/>
  <c r="AH2855" i="1"/>
  <c r="AH2856" i="1"/>
  <c r="AH2857" i="1"/>
  <c r="AH2858" i="1"/>
  <c r="AH2859" i="1"/>
  <c r="AH2860" i="1"/>
  <c r="AH2861" i="1"/>
  <c r="AH2862" i="1"/>
  <c r="AH2863" i="1"/>
  <c r="AH2864" i="1"/>
  <c r="AH2865" i="1"/>
  <c r="AH2866" i="1"/>
  <c r="AH2867" i="1"/>
  <c r="AH2868" i="1"/>
  <c r="AH2869" i="1"/>
  <c r="AH2870" i="1"/>
  <c r="AH2871" i="1"/>
  <c r="AH2872" i="1"/>
  <c r="AH2873" i="1"/>
  <c r="AH2874" i="1"/>
  <c r="AH2875" i="1"/>
  <c r="AH2876" i="1"/>
  <c r="AH2877" i="1"/>
  <c r="AH2878" i="1"/>
  <c r="AH2879" i="1"/>
  <c r="AH2880" i="1"/>
  <c r="AH2881" i="1"/>
  <c r="AH2882" i="1"/>
  <c r="AH2883" i="1"/>
  <c r="AH2884" i="1"/>
  <c r="AH2885" i="1"/>
  <c r="AH2886" i="1"/>
  <c r="AH2887" i="1"/>
  <c r="AH2888" i="1"/>
  <c r="AH2889" i="1"/>
  <c r="AH2890" i="1"/>
  <c r="AH2891" i="1"/>
  <c r="AH2892" i="1"/>
  <c r="AH2893" i="1"/>
  <c r="AH2894" i="1"/>
  <c r="AH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AG1903" i="1"/>
  <c r="AG1904" i="1"/>
  <c r="AG1905" i="1"/>
  <c r="AG1906" i="1"/>
  <c r="AG1907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G1941" i="1"/>
  <c r="AG1942" i="1"/>
  <c r="AG1943" i="1"/>
  <c r="AG1944" i="1"/>
  <c r="AG1945" i="1"/>
  <c r="AG1946" i="1"/>
  <c r="AG1947" i="1"/>
  <c r="AG1948" i="1"/>
  <c r="AG1949" i="1"/>
  <c r="AG1950" i="1"/>
  <c r="AG1951" i="1"/>
  <c r="AG1952" i="1"/>
  <c r="AG1953" i="1"/>
  <c r="AG1954" i="1"/>
  <c r="AG1955" i="1"/>
  <c r="AG1956" i="1"/>
  <c r="AG1957" i="1"/>
  <c r="AG1958" i="1"/>
  <c r="AG1959" i="1"/>
  <c r="AG1960" i="1"/>
  <c r="AG1961" i="1"/>
  <c r="AG1962" i="1"/>
  <c r="AG1963" i="1"/>
  <c r="AG1964" i="1"/>
  <c r="AG1965" i="1"/>
  <c r="AG1966" i="1"/>
  <c r="AG1967" i="1"/>
  <c r="AG1968" i="1"/>
  <c r="AG1969" i="1"/>
  <c r="AG1970" i="1"/>
  <c r="AG1971" i="1"/>
  <c r="AG1972" i="1"/>
  <c r="AG1973" i="1"/>
  <c r="AG1974" i="1"/>
  <c r="AG1975" i="1"/>
  <c r="AG1976" i="1"/>
  <c r="AG1977" i="1"/>
  <c r="AG1978" i="1"/>
  <c r="AG1979" i="1"/>
  <c r="AG1980" i="1"/>
  <c r="AG1981" i="1"/>
  <c r="AG1982" i="1"/>
  <c r="AG1983" i="1"/>
  <c r="AG1984" i="1"/>
  <c r="AG1985" i="1"/>
  <c r="AG1986" i="1"/>
  <c r="AG1987" i="1"/>
  <c r="AG1988" i="1"/>
  <c r="AG1989" i="1"/>
  <c r="AG1990" i="1"/>
  <c r="AG1991" i="1"/>
  <c r="AG1992" i="1"/>
  <c r="AG1993" i="1"/>
  <c r="AG1994" i="1"/>
  <c r="AG1995" i="1"/>
  <c r="AG1996" i="1"/>
  <c r="AG1997" i="1"/>
  <c r="AG1998" i="1"/>
  <c r="AG1999" i="1"/>
  <c r="AG2000" i="1"/>
  <c r="AG2001" i="1"/>
  <c r="AG2002" i="1"/>
  <c r="AG2003" i="1"/>
  <c r="AG2004" i="1"/>
  <c r="AG2005" i="1"/>
  <c r="AG2006" i="1"/>
  <c r="AG2007" i="1"/>
  <c r="AG2008" i="1"/>
  <c r="AG2009" i="1"/>
  <c r="AG2010" i="1"/>
  <c r="AG2011" i="1"/>
  <c r="AG2012" i="1"/>
  <c r="AG2013" i="1"/>
  <c r="AG2014" i="1"/>
  <c r="AG2015" i="1"/>
  <c r="AG2016" i="1"/>
  <c r="AG2017" i="1"/>
  <c r="AG2018" i="1"/>
  <c r="AG2019" i="1"/>
  <c r="AG2020" i="1"/>
  <c r="AG2021" i="1"/>
  <c r="AG2022" i="1"/>
  <c r="AG2023" i="1"/>
  <c r="AG2024" i="1"/>
  <c r="AG2025" i="1"/>
  <c r="AG2026" i="1"/>
  <c r="AG2027" i="1"/>
  <c r="AG2028" i="1"/>
  <c r="AG2029" i="1"/>
  <c r="AG2030" i="1"/>
  <c r="AG2031" i="1"/>
  <c r="AG2032" i="1"/>
  <c r="AG2033" i="1"/>
  <c r="AG2034" i="1"/>
  <c r="AG2035" i="1"/>
  <c r="AG2036" i="1"/>
  <c r="AG2037" i="1"/>
  <c r="AG2038" i="1"/>
  <c r="AG2039" i="1"/>
  <c r="AG2040" i="1"/>
  <c r="AG2041" i="1"/>
  <c r="AG2042" i="1"/>
  <c r="AG2043" i="1"/>
  <c r="AG2044" i="1"/>
  <c r="AG2045" i="1"/>
  <c r="AG2046" i="1"/>
  <c r="AG2047" i="1"/>
  <c r="AG2048" i="1"/>
  <c r="AG2049" i="1"/>
  <c r="AG2050" i="1"/>
  <c r="AG2051" i="1"/>
  <c r="AG2052" i="1"/>
  <c r="AG2053" i="1"/>
  <c r="AG2054" i="1"/>
  <c r="AG2055" i="1"/>
  <c r="AG2056" i="1"/>
  <c r="AG2057" i="1"/>
  <c r="AG2058" i="1"/>
  <c r="AG2059" i="1"/>
  <c r="AG2060" i="1"/>
  <c r="AG2061" i="1"/>
  <c r="AG2062" i="1"/>
  <c r="AG2063" i="1"/>
  <c r="AG2064" i="1"/>
  <c r="AG2065" i="1"/>
  <c r="AG2066" i="1"/>
  <c r="AG2067" i="1"/>
  <c r="AG2068" i="1"/>
  <c r="AG2069" i="1"/>
  <c r="AG2070" i="1"/>
  <c r="AG2071" i="1"/>
  <c r="AG2072" i="1"/>
  <c r="AG2073" i="1"/>
  <c r="AG2074" i="1"/>
  <c r="AG2075" i="1"/>
  <c r="AG2076" i="1"/>
  <c r="AG2077" i="1"/>
  <c r="AG2078" i="1"/>
  <c r="AG2079" i="1"/>
  <c r="AG2080" i="1"/>
  <c r="AG2081" i="1"/>
  <c r="AG2082" i="1"/>
  <c r="AG2083" i="1"/>
  <c r="AG2084" i="1"/>
  <c r="AG2085" i="1"/>
  <c r="AG2086" i="1"/>
  <c r="AG2087" i="1"/>
  <c r="AG2088" i="1"/>
  <c r="AG2089" i="1"/>
  <c r="AG2090" i="1"/>
  <c r="AG2091" i="1"/>
  <c r="AG2092" i="1"/>
  <c r="AG2093" i="1"/>
  <c r="AG2094" i="1"/>
  <c r="AG2095" i="1"/>
  <c r="AG2096" i="1"/>
  <c r="AG2097" i="1"/>
  <c r="AG2098" i="1"/>
  <c r="AG2099" i="1"/>
  <c r="AG2100" i="1"/>
  <c r="AG2101" i="1"/>
  <c r="AG2102" i="1"/>
  <c r="AG2103" i="1"/>
  <c r="AG2104" i="1"/>
  <c r="AG2105" i="1"/>
  <c r="AG2106" i="1"/>
  <c r="AG2107" i="1"/>
  <c r="AG2108" i="1"/>
  <c r="AG2109" i="1"/>
  <c r="AG2110" i="1"/>
  <c r="AG2111" i="1"/>
  <c r="AG2112" i="1"/>
  <c r="AG2113" i="1"/>
  <c r="AG2114" i="1"/>
  <c r="AG2115" i="1"/>
  <c r="AG2116" i="1"/>
  <c r="AG2117" i="1"/>
  <c r="AG2118" i="1"/>
  <c r="AG2119" i="1"/>
  <c r="AG2120" i="1"/>
  <c r="AG2121" i="1"/>
  <c r="AG2122" i="1"/>
  <c r="AG2123" i="1"/>
  <c r="AG2124" i="1"/>
  <c r="AG2125" i="1"/>
  <c r="AG2126" i="1"/>
  <c r="AG2127" i="1"/>
  <c r="AG2128" i="1"/>
  <c r="AG2129" i="1"/>
  <c r="AG2130" i="1"/>
  <c r="AG2131" i="1"/>
  <c r="AG2132" i="1"/>
  <c r="AG2133" i="1"/>
  <c r="AG2134" i="1"/>
  <c r="AG2135" i="1"/>
  <c r="AG2136" i="1"/>
  <c r="AG2137" i="1"/>
  <c r="AG2138" i="1"/>
  <c r="AG2139" i="1"/>
  <c r="AG2140" i="1"/>
  <c r="AG2141" i="1"/>
  <c r="AG2142" i="1"/>
  <c r="AG2143" i="1"/>
  <c r="AG2144" i="1"/>
  <c r="AG2145" i="1"/>
  <c r="AG2146" i="1"/>
  <c r="AG2147" i="1"/>
  <c r="AG2148" i="1"/>
  <c r="AG2149" i="1"/>
  <c r="AG2150" i="1"/>
  <c r="AG2151" i="1"/>
  <c r="AG2152" i="1"/>
  <c r="AG2153" i="1"/>
  <c r="AG2154" i="1"/>
  <c r="AG2155" i="1"/>
  <c r="AG2156" i="1"/>
  <c r="AG2157" i="1"/>
  <c r="AG2158" i="1"/>
  <c r="AG2159" i="1"/>
  <c r="AG2160" i="1"/>
  <c r="AG2161" i="1"/>
  <c r="AG2162" i="1"/>
  <c r="AG2163" i="1"/>
  <c r="AG2164" i="1"/>
  <c r="AG2165" i="1"/>
  <c r="AG2166" i="1"/>
  <c r="AG2167" i="1"/>
  <c r="AG2168" i="1"/>
  <c r="AG2169" i="1"/>
  <c r="AG2170" i="1"/>
  <c r="AG2171" i="1"/>
  <c r="AG2172" i="1"/>
  <c r="AG2173" i="1"/>
  <c r="AG2174" i="1"/>
  <c r="AG2175" i="1"/>
  <c r="AG2176" i="1"/>
  <c r="AG2177" i="1"/>
  <c r="AG2178" i="1"/>
  <c r="AG2179" i="1"/>
  <c r="AG2180" i="1"/>
  <c r="AG2181" i="1"/>
  <c r="AG2182" i="1"/>
  <c r="AG2183" i="1"/>
  <c r="AG2184" i="1"/>
  <c r="AG2185" i="1"/>
  <c r="AG2186" i="1"/>
  <c r="AG2187" i="1"/>
  <c r="AG2188" i="1"/>
  <c r="AG2189" i="1"/>
  <c r="AG2190" i="1"/>
  <c r="AG2191" i="1"/>
  <c r="AG2192" i="1"/>
  <c r="AG2193" i="1"/>
  <c r="AG2194" i="1"/>
  <c r="AG2195" i="1"/>
  <c r="AG2196" i="1"/>
  <c r="AG2197" i="1"/>
  <c r="AG2198" i="1"/>
  <c r="AG2199" i="1"/>
  <c r="AG2200" i="1"/>
  <c r="AG2201" i="1"/>
  <c r="AG2202" i="1"/>
  <c r="AG2203" i="1"/>
  <c r="AG2204" i="1"/>
  <c r="AG2205" i="1"/>
  <c r="AG2206" i="1"/>
  <c r="AG2207" i="1"/>
  <c r="AG2208" i="1"/>
  <c r="AG2209" i="1"/>
  <c r="AG2210" i="1"/>
  <c r="AG2211" i="1"/>
  <c r="AG2212" i="1"/>
  <c r="AG2213" i="1"/>
  <c r="AG2214" i="1"/>
  <c r="AG2215" i="1"/>
  <c r="AG2216" i="1"/>
  <c r="AG2217" i="1"/>
  <c r="AG2218" i="1"/>
  <c r="AG2219" i="1"/>
  <c r="AG2220" i="1"/>
  <c r="AG2221" i="1"/>
  <c r="AG2222" i="1"/>
  <c r="AG2223" i="1"/>
  <c r="AG2224" i="1"/>
  <c r="AG2225" i="1"/>
  <c r="AG2226" i="1"/>
  <c r="AG2227" i="1"/>
  <c r="AG2228" i="1"/>
  <c r="AG2229" i="1"/>
  <c r="AG2230" i="1"/>
  <c r="AG2231" i="1"/>
  <c r="AG2232" i="1"/>
  <c r="AG2233" i="1"/>
  <c r="AG2234" i="1"/>
  <c r="AG2235" i="1"/>
  <c r="AG2236" i="1"/>
  <c r="AG2237" i="1"/>
  <c r="AG2238" i="1"/>
  <c r="AG2239" i="1"/>
  <c r="AG2240" i="1"/>
  <c r="AG2241" i="1"/>
  <c r="AG2242" i="1"/>
  <c r="AG2243" i="1"/>
  <c r="AG2244" i="1"/>
  <c r="AG2245" i="1"/>
  <c r="AG2246" i="1"/>
  <c r="AG2247" i="1"/>
  <c r="AG2248" i="1"/>
  <c r="AG2249" i="1"/>
  <c r="AG2250" i="1"/>
  <c r="AG2251" i="1"/>
  <c r="AG2252" i="1"/>
  <c r="AG2253" i="1"/>
  <c r="AG2254" i="1"/>
  <c r="AG2255" i="1"/>
  <c r="AG2256" i="1"/>
  <c r="AG2257" i="1"/>
  <c r="AG2258" i="1"/>
  <c r="AG2259" i="1"/>
  <c r="AG2260" i="1"/>
  <c r="AG2261" i="1"/>
  <c r="AG2262" i="1"/>
  <c r="AG2263" i="1"/>
  <c r="AG2264" i="1"/>
  <c r="AG2265" i="1"/>
  <c r="AG2266" i="1"/>
  <c r="AG2267" i="1"/>
  <c r="AG2268" i="1"/>
  <c r="AG2269" i="1"/>
  <c r="AG2270" i="1"/>
  <c r="AG2271" i="1"/>
  <c r="AG2272" i="1"/>
  <c r="AG2273" i="1"/>
  <c r="AG2274" i="1"/>
  <c r="AG2275" i="1"/>
  <c r="AG2276" i="1"/>
  <c r="AG2277" i="1"/>
  <c r="AG2278" i="1"/>
  <c r="AG2279" i="1"/>
  <c r="AG2280" i="1"/>
  <c r="AG2281" i="1"/>
  <c r="AG2282" i="1"/>
  <c r="AG2283" i="1"/>
  <c r="AG2284" i="1"/>
  <c r="AG2285" i="1"/>
  <c r="AG2286" i="1"/>
  <c r="AG2287" i="1"/>
  <c r="AG2288" i="1"/>
  <c r="AG2289" i="1"/>
  <c r="AG2290" i="1"/>
  <c r="AG2291" i="1"/>
  <c r="AG2292" i="1"/>
  <c r="AG2293" i="1"/>
  <c r="AG2294" i="1"/>
  <c r="AG2295" i="1"/>
  <c r="AG2296" i="1"/>
  <c r="AG2297" i="1"/>
  <c r="AG2298" i="1"/>
  <c r="AG2299" i="1"/>
  <c r="AG2300" i="1"/>
  <c r="AG2301" i="1"/>
  <c r="AG2302" i="1"/>
  <c r="AG2303" i="1"/>
  <c r="AG2304" i="1"/>
  <c r="AG2305" i="1"/>
  <c r="AG2306" i="1"/>
  <c r="AG2307" i="1"/>
  <c r="AG2308" i="1"/>
  <c r="AG2309" i="1"/>
  <c r="AG2310" i="1"/>
  <c r="AG2311" i="1"/>
  <c r="AG2312" i="1"/>
  <c r="AG2313" i="1"/>
  <c r="AG2314" i="1"/>
  <c r="AG2315" i="1"/>
  <c r="AG2316" i="1"/>
  <c r="AG2317" i="1"/>
  <c r="AG2318" i="1"/>
  <c r="AG2319" i="1"/>
  <c r="AG2320" i="1"/>
  <c r="AG2321" i="1"/>
  <c r="AG2322" i="1"/>
  <c r="AG2323" i="1"/>
  <c r="AG2324" i="1"/>
  <c r="AG2325" i="1"/>
  <c r="AG2326" i="1"/>
  <c r="AG2327" i="1"/>
  <c r="AG2328" i="1"/>
  <c r="AG2329" i="1"/>
  <c r="AG2330" i="1"/>
  <c r="AG2331" i="1"/>
  <c r="AG2332" i="1"/>
  <c r="AG2333" i="1"/>
  <c r="AG2334" i="1"/>
  <c r="AG2335" i="1"/>
  <c r="AG2336" i="1"/>
  <c r="AG2337" i="1"/>
  <c r="AG2338" i="1"/>
  <c r="AG2339" i="1"/>
  <c r="AG2340" i="1"/>
  <c r="AG2341" i="1"/>
  <c r="AG2342" i="1"/>
  <c r="AG2343" i="1"/>
  <c r="AG2344" i="1"/>
  <c r="AG2345" i="1"/>
  <c r="AG2346" i="1"/>
  <c r="AG2347" i="1"/>
  <c r="AG2348" i="1"/>
  <c r="AG2349" i="1"/>
  <c r="AG2350" i="1"/>
  <c r="AG2351" i="1"/>
  <c r="AG2352" i="1"/>
  <c r="AG2353" i="1"/>
  <c r="AG2354" i="1"/>
  <c r="AG2355" i="1"/>
  <c r="AG2356" i="1"/>
  <c r="AG2357" i="1"/>
  <c r="AG2358" i="1"/>
  <c r="AG2359" i="1"/>
  <c r="AG2360" i="1"/>
  <c r="AG2361" i="1"/>
  <c r="AG2362" i="1"/>
  <c r="AG2363" i="1"/>
  <c r="AG2364" i="1"/>
  <c r="AG2365" i="1"/>
  <c r="AG2366" i="1"/>
  <c r="AG2367" i="1"/>
  <c r="AG2368" i="1"/>
  <c r="AG2369" i="1"/>
  <c r="AG2370" i="1"/>
  <c r="AG2371" i="1"/>
  <c r="AG2372" i="1"/>
  <c r="AG2373" i="1"/>
  <c r="AG2374" i="1"/>
  <c r="AG2375" i="1"/>
  <c r="AG2376" i="1"/>
  <c r="AG2377" i="1"/>
  <c r="AG2378" i="1"/>
  <c r="AG2379" i="1"/>
  <c r="AG2380" i="1"/>
  <c r="AG2381" i="1"/>
  <c r="AG2382" i="1"/>
  <c r="AG2383" i="1"/>
  <c r="AG2384" i="1"/>
  <c r="AG2385" i="1"/>
  <c r="AG2386" i="1"/>
  <c r="AG2387" i="1"/>
  <c r="AG2388" i="1"/>
  <c r="AG2389" i="1"/>
  <c r="AG2390" i="1"/>
  <c r="AG2391" i="1"/>
  <c r="AG2392" i="1"/>
  <c r="AG2393" i="1"/>
  <c r="AG2394" i="1"/>
  <c r="AG2395" i="1"/>
  <c r="AG2396" i="1"/>
  <c r="AG2397" i="1"/>
  <c r="AG2398" i="1"/>
  <c r="AG2399" i="1"/>
  <c r="AG2400" i="1"/>
  <c r="AG2401" i="1"/>
  <c r="AG2402" i="1"/>
  <c r="AG2403" i="1"/>
  <c r="AG2404" i="1"/>
  <c r="AG2405" i="1"/>
  <c r="AG2406" i="1"/>
  <c r="AG2407" i="1"/>
  <c r="AG2408" i="1"/>
  <c r="AG2409" i="1"/>
  <c r="AG2410" i="1"/>
  <c r="AG2411" i="1"/>
  <c r="AG2412" i="1"/>
  <c r="AG2413" i="1"/>
  <c r="AG2414" i="1"/>
  <c r="AG2415" i="1"/>
  <c r="AG2416" i="1"/>
  <c r="AG2417" i="1"/>
  <c r="AG2418" i="1"/>
  <c r="AG2419" i="1"/>
  <c r="AG2420" i="1"/>
  <c r="AG2421" i="1"/>
  <c r="AG2422" i="1"/>
  <c r="AG2423" i="1"/>
  <c r="AG2424" i="1"/>
  <c r="AG2425" i="1"/>
  <c r="AG2426" i="1"/>
  <c r="AG2427" i="1"/>
  <c r="AG2428" i="1"/>
  <c r="AG2429" i="1"/>
  <c r="AG2430" i="1"/>
  <c r="AG2431" i="1"/>
  <c r="AG2432" i="1"/>
  <c r="AG2433" i="1"/>
  <c r="AG2434" i="1"/>
  <c r="AG2435" i="1"/>
  <c r="AG2436" i="1"/>
  <c r="AG2437" i="1"/>
  <c r="AG2438" i="1"/>
  <c r="AG2439" i="1"/>
  <c r="AG2440" i="1"/>
  <c r="AG2441" i="1"/>
  <c r="AG2442" i="1"/>
  <c r="AG2443" i="1"/>
  <c r="AG2444" i="1"/>
  <c r="AG2445" i="1"/>
  <c r="AG2446" i="1"/>
  <c r="AG2447" i="1"/>
  <c r="AG2448" i="1"/>
  <c r="AG2449" i="1"/>
  <c r="AG2450" i="1"/>
  <c r="AG2451" i="1"/>
  <c r="AG2452" i="1"/>
  <c r="AG2453" i="1"/>
  <c r="AG2454" i="1"/>
  <c r="AG2455" i="1"/>
  <c r="AG2456" i="1"/>
  <c r="AG2457" i="1"/>
  <c r="AG2458" i="1"/>
  <c r="AG2459" i="1"/>
  <c r="AG2460" i="1"/>
  <c r="AG2461" i="1"/>
  <c r="AG2462" i="1"/>
  <c r="AG2463" i="1"/>
  <c r="AG2464" i="1"/>
  <c r="AG2465" i="1"/>
  <c r="AG2466" i="1"/>
  <c r="AG2467" i="1"/>
  <c r="AG2468" i="1"/>
  <c r="AG2469" i="1"/>
  <c r="AG2470" i="1"/>
  <c r="AG2471" i="1"/>
  <c r="AG2472" i="1"/>
  <c r="AG2473" i="1"/>
  <c r="AG2474" i="1"/>
  <c r="AG2475" i="1"/>
  <c r="AG2476" i="1"/>
  <c r="AG2477" i="1"/>
  <c r="AG2478" i="1"/>
  <c r="AG2479" i="1"/>
  <c r="AG2480" i="1"/>
  <c r="AG2481" i="1"/>
  <c r="AG2482" i="1"/>
  <c r="AG2483" i="1"/>
  <c r="AG2484" i="1"/>
  <c r="AG2485" i="1"/>
  <c r="AG2486" i="1"/>
  <c r="AG2487" i="1"/>
  <c r="AG2488" i="1"/>
  <c r="AG2489" i="1"/>
  <c r="AG2490" i="1"/>
  <c r="AG2491" i="1"/>
  <c r="AG2492" i="1"/>
  <c r="AG2493" i="1"/>
  <c r="AG2494" i="1"/>
  <c r="AG2495" i="1"/>
  <c r="AG2496" i="1"/>
  <c r="AG2497" i="1"/>
  <c r="AG2498" i="1"/>
  <c r="AG2499" i="1"/>
  <c r="AG2500" i="1"/>
  <c r="AG2501" i="1"/>
  <c r="AG2502" i="1"/>
  <c r="AG2503" i="1"/>
  <c r="AG2504" i="1"/>
  <c r="AG2505" i="1"/>
  <c r="AG2506" i="1"/>
  <c r="AG2507" i="1"/>
  <c r="AG2508" i="1"/>
  <c r="AG2509" i="1"/>
  <c r="AG2510" i="1"/>
  <c r="AG2511" i="1"/>
  <c r="AG2512" i="1"/>
  <c r="AG2513" i="1"/>
  <c r="AG2514" i="1"/>
  <c r="AG2515" i="1"/>
  <c r="AG2516" i="1"/>
  <c r="AG2517" i="1"/>
  <c r="AG2518" i="1"/>
  <c r="AG2519" i="1"/>
  <c r="AG2520" i="1"/>
  <c r="AG2521" i="1"/>
  <c r="AG2522" i="1"/>
  <c r="AG2523" i="1"/>
  <c r="AG2524" i="1"/>
  <c r="AG2525" i="1"/>
  <c r="AG2526" i="1"/>
  <c r="AG2527" i="1"/>
  <c r="AG2528" i="1"/>
  <c r="AG2529" i="1"/>
  <c r="AG2530" i="1"/>
  <c r="AG2531" i="1"/>
  <c r="AG2532" i="1"/>
  <c r="AG2533" i="1"/>
  <c r="AG2534" i="1"/>
  <c r="AG2535" i="1"/>
  <c r="AG2536" i="1"/>
  <c r="AG2537" i="1"/>
  <c r="AG2538" i="1"/>
  <c r="AG2539" i="1"/>
  <c r="AG2540" i="1"/>
  <c r="AG2541" i="1"/>
  <c r="AG2542" i="1"/>
  <c r="AG2543" i="1"/>
  <c r="AG2544" i="1"/>
  <c r="AG2545" i="1"/>
  <c r="AG2546" i="1"/>
  <c r="AG2547" i="1"/>
  <c r="AG2548" i="1"/>
  <c r="AG2549" i="1"/>
  <c r="AG2550" i="1"/>
  <c r="AG2551" i="1"/>
  <c r="AG2552" i="1"/>
  <c r="AG2553" i="1"/>
  <c r="AG2554" i="1"/>
  <c r="AG2555" i="1"/>
  <c r="AG2556" i="1"/>
  <c r="AG2557" i="1"/>
  <c r="AG2558" i="1"/>
  <c r="AG2559" i="1"/>
  <c r="AG2560" i="1"/>
  <c r="AG2561" i="1"/>
  <c r="AG2562" i="1"/>
  <c r="AG2563" i="1"/>
  <c r="AG2564" i="1"/>
  <c r="AG2565" i="1"/>
  <c r="AG2566" i="1"/>
  <c r="AG2567" i="1"/>
  <c r="AG2568" i="1"/>
  <c r="AG2569" i="1"/>
  <c r="AG2570" i="1"/>
  <c r="AG2571" i="1"/>
  <c r="AG2572" i="1"/>
  <c r="AG2573" i="1"/>
  <c r="AG2574" i="1"/>
  <c r="AG2575" i="1"/>
  <c r="AG2576" i="1"/>
  <c r="AG2577" i="1"/>
  <c r="AG2578" i="1"/>
  <c r="AG2579" i="1"/>
  <c r="AG2580" i="1"/>
  <c r="AG2581" i="1"/>
  <c r="AG2582" i="1"/>
  <c r="AG2583" i="1"/>
  <c r="AG2584" i="1"/>
  <c r="AG2585" i="1"/>
  <c r="AG2586" i="1"/>
  <c r="AG2587" i="1"/>
  <c r="AG2588" i="1"/>
  <c r="AG2589" i="1"/>
  <c r="AG2590" i="1"/>
  <c r="AG2591" i="1"/>
  <c r="AG2592" i="1"/>
  <c r="AG2593" i="1"/>
  <c r="AG2594" i="1"/>
  <c r="AG2595" i="1"/>
  <c r="AG2596" i="1"/>
  <c r="AG2597" i="1"/>
  <c r="AG2598" i="1"/>
  <c r="AG2599" i="1"/>
  <c r="AG2600" i="1"/>
  <c r="AG2601" i="1"/>
  <c r="AG2602" i="1"/>
  <c r="AG2603" i="1"/>
  <c r="AG2604" i="1"/>
  <c r="AG2605" i="1"/>
  <c r="AG2606" i="1"/>
  <c r="AG2607" i="1"/>
  <c r="AG2608" i="1"/>
  <c r="AG2609" i="1"/>
  <c r="AG2610" i="1"/>
  <c r="AG2611" i="1"/>
  <c r="AG2612" i="1"/>
  <c r="AG2613" i="1"/>
  <c r="AG2614" i="1"/>
  <c r="AG2615" i="1"/>
  <c r="AG2616" i="1"/>
  <c r="AG2617" i="1"/>
  <c r="AG2618" i="1"/>
  <c r="AG2619" i="1"/>
  <c r="AG2620" i="1"/>
  <c r="AG2621" i="1"/>
  <c r="AG2622" i="1"/>
  <c r="AG2623" i="1"/>
  <c r="AG2624" i="1"/>
  <c r="AG2625" i="1"/>
  <c r="AG2626" i="1"/>
  <c r="AG2627" i="1"/>
  <c r="AG2628" i="1"/>
  <c r="AG2629" i="1"/>
  <c r="AG2630" i="1"/>
  <c r="AG2631" i="1"/>
  <c r="AG2632" i="1"/>
  <c r="AG2633" i="1"/>
  <c r="AG2634" i="1"/>
  <c r="AG2635" i="1"/>
  <c r="AG2636" i="1"/>
  <c r="AG2637" i="1"/>
  <c r="AG2638" i="1"/>
  <c r="AG2639" i="1"/>
  <c r="AG2640" i="1"/>
  <c r="AG2641" i="1"/>
  <c r="AG2642" i="1"/>
  <c r="AG2643" i="1"/>
  <c r="AG2644" i="1"/>
  <c r="AG2645" i="1"/>
  <c r="AG2646" i="1"/>
  <c r="AG2647" i="1"/>
  <c r="AG2648" i="1"/>
  <c r="AG2649" i="1"/>
  <c r="AG2650" i="1"/>
  <c r="AG2651" i="1"/>
  <c r="AG2652" i="1"/>
  <c r="AG2653" i="1"/>
  <c r="AG2654" i="1"/>
  <c r="AG2655" i="1"/>
  <c r="AG2656" i="1"/>
  <c r="AG2657" i="1"/>
  <c r="AG2658" i="1"/>
  <c r="AG2659" i="1"/>
  <c r="AG2660" i="1"/>
  <c r="AG2661" i="1"/>
  <c r="AG2662" i="1"/>
  <c r="AG2663" i="1"/>
  <c r="AG2664" i="1"/>
  <c r="AG2665" i="1"/>
  <c r="AG2666" i="1"/>
  <c r="AG2667" i="1"/>
  <c r="AG2668" i="1"/>
  <c r="AG2669" i="1"/>
  <c r="AG2670" i="1"/>
  <c r="AG2671" i="1"/>
  <c r="AG2672" i="1"/>
  <c r="AG2673" i="1"/>
  <c r="AG2674" i="1"/>
  <c r="AG2675" i="1"/>
  <c r="AG2676" i="1"/>
  <c r="AG2677" i="1"/>
  <c r="AG2678" i="1"/>
  <c r="AG2679" i="1"/>
  <c r="AG2680" i="1"/>
  <c r="AG2681" i="1"/>
  <c r="AG2682" i="1"/>
  <c r="AG2683" i="1"/>
  <c r="AG2684" i="1"/>
  <c r="AG2685" i="1"/>
  <c r="AG2686" i="1"/>
  <c r="AG2687" i="1"/>
  <c r="AG2688" i="1"/>
  <c r="AG2689" i="1"/>
  <c r="AG2690" i="1"/>
  <c r="AG2691" i="1"/>
  <c r="AG2692" i="1"/>
  <c r="AG2693" i="1"/>
  <c r="AG2694" i="1"/>
  <c r="AG2695" i="1"/>
  <c r="AG2696" i="1"/>
  <c r="AG2697" i="1"/>
  <c r="AG2698" i="1"/>
  <c r="AG2699" i="1"/>
  <c r="AG2700" i="1"/>
  <c r="AG2701" i="1"/>
  <c r="AG2702" i="1"/>
  <c r="AG2703" i="1"/>
  <c r="AG2704" i="1"/>
  <c r="AG2705" i="1"/>
  <c r="AG2706" i="1"/>
  <c r="AG2707" i="1"/>
  <c r="AG2708" i="1"/>
  <c r="AG2709" i="1"/>
  <c r="AG2710" i="1"/>
  <c r="AG2711" i="1"/>
  <c r="AG2712" i="1"/>
  <c r="AG2713" i="1"/>
  <c r="AG2714" i="1"/>
  <c r="AG2715" i="1"/>
  <c r="AG2716" i="1"/>
  <c r="AG2717" i="1"/>
  <c r="AG2718" i="1"/>
  <c r="AG2719" i="1"/>
  <c r="AG2720" i="1"/>
  <c r="AG2721" i="1"/>
  <c r="AG2722" i="1"/>
  <c r="AG2723" i="1"/>
  <c r="AG2724" i="1"/>
  <c r="AG2725" i="1"/>
  <c r="AG2726" i="1"/>
  <c r="AG2727" i="1"/>
  <c r="AG2728" i="1"/>
  <c r="AG2729" i="1"/>
  <c r="AG2730" i="1"/>
  <c r="AG2731" i="1"/>
  <c r="AG2732" i="1"/>
  <c r="AG2733" i="1"/>
  <c r="AG2734" i="1"/>
  <c r="AG2735" i="1"/>
  <c r="AG2736" i="1"/>
  <c r="AG2737" i="1"/>
  <c r="AG2738" i="1"/>
  <c r="AG2739" i="1"/>
  <c r="AG2740" i="1"/>
  <c r="AG2741" i="1"/>
  <c r="AG2742" i="1"/>
  <c r="AG2743" i="1"/>
  <c r="AG2744" i="1"/>
  <c r="AG2745" i="1"/>
  <c r="AG2746" i="1"/>
  <c r="AG2747" i="1"/>
  <c r="AG2748" i="1"/>
  <c r="AG2749" i="1"/>
  <c r="AG2750" i="1"/>
  <c r="AG2751" i="1"/>
  <c r="AG2752" i="1"/>
  <c r="AG2753" i="1"/>
  <c r="AG2754" i="1"/>
  <c r="AG2755" i="1"/>
  <c r="AG2756" i="1"/>
  <c r="AG2757" i="1"/>
  <c r="AG2758" i="1"/>
  <c r="AG2759" i="1"/>
  <c r="AG2760" i="1"/>
  <c r="AG2761" i="1"/>
  <c r="AG2762" i="1"/>
  <c r="AG2763" i="1"/>
  <c r="AG2764" i="1"/>
  <c r="AG2765" i="1"/>
  <c r="AG2766" i="1"/>
  <c r="AG2767" i="1"/>
  <c r="AG2768" i="1"/>
  <c r="AG2769" i="1"/>
  <c r="AG2770" i="1"/>
  <c r="AG2771" i="1"/>
  <c r="AG2772" i="1"/>
  <c r="AG2773" i="1"/>
  <c r="AG2774" i="1"/>
  <c r="AG2775" i="1"/>
  <c r="AG2776" i="1"/>
  <c r="AG2777" i="1"/>
  <c r="AG2778" i="1"/>
  <c r="AG2779" i="1"/>
  <c r="AG2780" i="1"/>
  <c r="AG2781" i="1"/>
  <c r="AG2782" i="1"/>
  <c r="AG2783" i="1"/>
  <c r="AG2784" i="1"/>
  <c r="AG2785" i="1"/>
  <c r="AG2786" i="1"/>
  <c r="AG2787" i="1"/>
  <c r="AG2788" i="1"/>
  <c r="AG2789" i="1"/>
  <c r="AG2790" i="1"/>
  <c r="AG2791" i="1"/>
  <c r="AG2792" i="1"/>
  <c r="AG2793" i="1"/>
  <c r="AG2794" i="1"/>
  <c r="AG2795" i="1"/>
  <c r="AG2796" i="1"/>
  <c r="AG2797" i="1"/>
  <c r="AG2798" i="1"/>
  <c r="AG2799" i="1"/>
  <c r="AG2800" i="1"/>
  <c r="AG2801" i="1"/>
  <c r="AG2802" i="1"/>
  <c r="AG2803" i="1"/>
  <c r="AG2804" i="1"/>
  <c r="AG2805" i="1"/>
  <c r="AG2806" i="1"/>
  <c r="AG2807" i="1"/>
  <c r="AG2808" i="1"/>
  <c r="AG2809" i="1"/>
  <c r="AG2810" i="1"/>
  <c r="AG2811" i="1"/>
  <c r="AG2812" i="1"/>
  <c r="AG2813" i="1"/>
  <c r="AG2814" i="1"/>
  <c r="AG2815" i="1"/>
  <c r="AG2816" i="1"/>
  <c r="AG2817" i="1"/>
  <c r="AG2818" i="1"/>
  <c r="AG2819" i="1"/>
  <c r="AG2820" i="1"/>
  <c r="AG2821" i="1"/>
  <c r="AG2822" i="1"/>
  <c r="AG2823" i="1"/>
  <c r="AG2824" i="1"/>
  <c r="AG2825" i="1"/>
  <c r="AG2826" i="1"/>
  <c r="AG2827" i="1"/>
  <c r="AG2828" i="1"/>
  <c r="AG2829" i="1"/>
  <c r="AG2830" i="1"/>
  <c r="AG2831" i="1"/>
  <c r="AG2832" i="1"/>
  <c r="AG2833" i="1"/>
  <c r="AG2834" i="1"/>
  <c r="AG2835" i="1"/>
  <c r="AG2836" i="1"/>
  <c r="AG2837" i="1"/>
  <c r="AG2838" i="1"/>
  <c r="AG2839" i="1"/>
  <c r="AG2840" i="1"/>
  <c r="AG2841" i="1"/>
  <c r="AG2842" i="1"/>
  <c r="AG2843" i="1"/>
  <c r="AG2844" i="1"/>
  <c r="AG2845" i="1"/>
  <c r="AG2846" i="1"/>
  <c r="AG2847" i="1"/>
  <c r="AG2848" i="1"/>
  <c r="AG2849" i="1"/>
  <c r="AG2850" i="1"/>
  <c r="AG2851" i="1"/>
  <c r="AG2852" i="1"/>
  <c r="AG2853" i="1"/>
  <c r="AG2854" i="1"/>
  <c r="AG2855" i="1"/>
  <c r="AG2856" i="1"/>
  <c r="AG2857" i="1"/>
  <c r="AG2858" i="1"/>
  <c r="AG2859" i="1"/>
  <c r="AG2860" i="1"/>
  <c r="AG2861" i="1"/>
  <c r="AG2862" i="1"/>
  <c r="AG2863" i="1"/>
  <c r="AG2864" i="1"/>
  <c r="AG2865" i="1"/>
  <c r="AG2866" i="1"/>
  <c r="AG2867" i="1"/>
  <c r="AG2868" i="1"/>
  <c r="AG2869" i="1"/>
  <c r="AG2870" i="1"/>
  <c r="AG2871" i="1"/>
  <c r="AG2872" i="1"/>
  <c r="AG2873" i="1"/>
  <c r="AG2874" i="1"/>
  <c r="AG2875" i="1"/>
  <c r="AG2876" i="1"/>
  <c r="AG2877" i="1"/>
  <c r="AG2878" i="1"/>
  <c r="AG2879" i="1"/>
  <c r="AG2880" i="1"/>
  <c r="AG2881" i="1"/>
  <c r="AG2882" i="1"/>
  <c r="AG2883" i="1"/>
  <c r="AG2884" i="1"/>
  <c r="AG2885" i="1"/>
  <c r="AG2886" i="1"/>
  <c r="AG2887" i="1"/>
  <c r="AG2888" i="1"/>
  <c r="AG2889" i="1"/>
  <c r="AG2890" i="1"/>
  <c r="AG2891" i="1"/>
  <c r="AG2892" i="1"/>
  <c r="AG2893" i="1"/>
  <c r="AG2894" i="1"/>
  <c r="AG2" i="1"/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" i="1"/>
  <c r="H3" i="1"/>
  <c r="BE3" i="1" s="1"/>
  <c r="H4" i="1"/>
  <c r="BE4" i="1" s="1"/>
  <c r="H5" i="1"/>
  <c r="BE5" i="1" s="1"/>
  <c r="H6" i="1"/>
  <c r="BE6" i="1" s="1"/>
  <c r="H7" i="1"/>
  <c r="BE7" i="1" s="1"/>
  <c r="H8" i="1"/>
  <c r="BE8" i="1" s="1"/>
  <c r="H9" i="1"/>
  <c r="BE9" i="1" s="1"/>
  <c r="H10" i="1"/>
  <c r="H11" i="1"/>
  <c r="BE11" i="1" s="1"/>
  <c r="H12" i="1"/>
  <c r="BE12" i="1" s="1"/>
  <c r="H13" i="1"/>
  <c r="BE13" i="1" s="1"/>
  <c r="H14" i="1"/>
  <c r="BE14" i="1" s="1"/>
  <c r="H15" i="1"/>
  <c r="BE15" i="1" s="1"/>
  <c r="H16" i="1"/>
  <c r="BE16" i="1" s="1"/>
  <c r="H17" i="1"/>
  <c r="BE17" i="1" s="1"/>
  <c r="H18" i="1"/>
  <c r="H19" i="1"/>
  <c r="BE19" i="1" s="1"/>
  <c r="H20" i="1"/>
  <c r="BE20" i="1" s="1"/>
  <c r="H21" i="1"/>
  <c r="BE21" i="1" s="1"/>
  <c r="H22" i="1"/>
  <c r="BE22" i="1" s="1"/>
  <c r="H23" i="1"/>
  <c r="BE23" i="1" s="1"/>
  <c r="H24" i="1"/>
  <c r="BE24" i="1" s="1"/>
  <c r="H25" i="1"/>
  <c r="BE25" i="1" s="1"/>
  <c r="H26" i="1"/>
  <c r="H27" i="1"/>
  <c r="BE27" i="1" s="1"/>
  <c r="H28" i="1"/>
  <c r="BE28" i="1" s="1"/>
  <c r="H29" i="1"/>
  <c r="BE29" i="1" s="1"/>
  <c r="H30" i="1"/>
  <c r="BE30" i="1" s="1"/>
  <c r="H31" i="1"/>
  <c r="BE31" i="1" s="1"/>
  <c r="H32" i="1"/>
  <c r="BE32" i="1" s="1"/>
  <c r="H33" i="1"/>
  <c r="BE33" i="1" s="1"/>
  <c r="H34" i="1"/>
  <c r="H35" i="1"/>
  <c r="BE35" i="1" s="1"/>
  <c r="H36" i="1"/>
  <c r="BE36" i="1" s="1"/>
  <c r="H37" i="1"/>
  <c r="BE37" i="1" s="1"/>
  <c r="H38" i="1"/>
  <c r="BE38" i="1" s="1"/>
  <c r="H39" i="1"/>
  <c r="BE39" i="1" s="1"/>
  <c r="H40" i="1"/>
  <c r="BE40" i="1" s="1"/>
  <c r="H41" i="1"/>
  <c r="BE41" i="1" s="1"/>
  <c r="H42" i="1"/>
  <c r="H43" i="1"/>
  <c r="BE43" i="1" s="1"/>
  <c r="H44" i="1"/>
  <c r="BE44" i="1" s="1"/>
  <c r="H45" i="1"/>
  <c r="BE45" i="1" s="1"/>
  <c r="H46" i="1"/>
  <c r="BE46" i="1" s="1"/>
  <c r="H47" i="1"/>
  <c r="BE47" i="1" s="1"/>
  <c r="H48" i="1"/>
  <c r="BE48" i="1" s="1"/>
  <c r="H49" i="1"/>
  <c r="BE49" i="1" s="1"/>
  <c r="H50" i="1"/>
  <c r="H51" i="1"/>
  <c r="BE51" i="1" s="1"/>
  <c r="H52" i="1"/>
  <c r="BE52" i="1" s="1"/>
  <c r="H53" i="1"/>
  <c r="BE53" i="1" s="1"/>
  <c r="H54" i="1"/>
  <c r="BE54" i="1" s="1"/>
  <c r="H55" i="1"/>
  <c r="BE55" i="1" s="1"/>
  <c r="H56" i="1"/>
  <c r="BE56" i="1" s="1"/>
  <c r="H57" i="1"/>
  <c r="BE57" i="1" s="1"/>
  <c r="H58" i="1"/>
  <c r="H59" i="1"/>
  <c r="BE59" i="1" s="1"/>
  <c r="H60" i="1"/>
  <c r="BE60" i="1" s="1"/>
  <c r="H61" i="1"/>
  <c r="BE61" i="1" s="1"/>
  <c r="H62" i="1"/>
  <c r="BE62" i="1" s="1"/>
  <c r="H63" i="1"/>
  <c r="BE63" i="1" s="1"/>
  <c r="H64" i="1"/>
  <c r="BE64" i="1" s="1"/>
  <c r="H65" i="1"/>
  <c r="BE65" i="1" s="1"/>
  <c r="H66" i="1"/>
  <c r="H67" i="1"/>
  <c r="BE67" i="1" s="1"/>
  <c r="H68" i="1"/>
  <c r="BE68" i="1" s="1"/>
  <c r="H69" i="1"/>
  <c r="BE69" i="1" s="1"/>
  <c r="H70" i="1"/>
  <c r="BE70" i="1" s="1"/>
  <c r="H71" i="1"/>
  <c r="BE71" i="1" s="1"/>
  <c r="H72" i="1"/>
  <c r="BE72" i="1" s="1"/>
  <c r="H73" i="1"/>
  <c r="BE73" i="1" s="1"/>
  <c r="H74" i="1"/>
  <c r="H75" i="1"/>
  <c r="BE75" i="1" s="1"/>
  <c r="H76" i="1"/>
  <c r="BE76" i="1" s="1"/>
  <c r="H77" i="1"/>
  <c r="BE77" i="1" s="1"/>
  <c r="H78" i="1"/>
  <c r="BE78" i="1" s="1"/>
  <c r="H79" i="1"/>
  <c r="BE79" i="1" s="1"/>
  <c r="H80" i="1"/>
  <c r="BE80" i="1" s="1"/>
  <c r="H81" i="1"/>
  <c r="BE81" i="1" s="1"/>
  <c r="H82" i="1"/>
  <c r="H83" i="1"/>
  <c r="BE83" i="1" s="1"/>
  <c r="H84" i="1"/>
  <c r="BE84" i="1" s="1"/>
  <c r="H85" i="1"/>
  <c r="BE85" i="1" s="1"/>
  <c r="H86" i="1"/>
  <c r="BE86" i="1" s="1"/>
  <c r="H87" i="1"/>
  <c r="BE87" i="1" s="1"/>
  <c r="H88" i="1"/>
  <c r="BE88" i="1" s="1"/>
  <c r="H89" i="1"/>
  <c r="BE89" i="1" s="1"/>
  <c r="H90" i="1"/>
  <c r="H91" i="1"/>
  <c r="BE91" i="1" s="1"/>
  <c r="H92" i="1"/>
  <c r="BE92" i="1" s="1"/>
  <c r="H93" i="1"/>
  <c r="BE93" i="1" s="1"/>
  <c r="H94" i="1"/>
  <c r="BE94" i="1" s="1"/>
  <c r="H95" i="1"/>
  <c r="BE95" i="1" s="1"/>
  <c r="H96" i="1"/>
  <c r="BE96" i="1" s="1"/>
  <c r="H97" i="1"/>
  <c r="BE97" i="1" s="1"/>
  <c r="H98" i="1"/>
  <c r="H99" i="1"/>
  <c r="BE99" i="1" s="1"/>
  <c r="H100" i="1"/>
  <c r="BE100" i="1" s="1"/>
  <c r="H101" i="1"/>
  <c r="BE101" i="1" s="1"/>
  <c r="H102" i="1"/>
  <c r="BE102" i="1" s="1"/>
  <c r="H103" i="1"/>
  <c r="BE103" i="1" s="1"/>
  <c r="H104" i="1"/>
  <c r="BE104" i="1" s="1"/>
  <c r="H105" i="1"/>
  <c r="BE105" i="1" s="1"/>
  <c r="H106" i="1"/>
  <c r="H107" i="1"/>
  <c r="BE107" i="1" s="1"/>
  <c r="H108" i="1"/>
  <c r="BE108" i="1" s="1"/>
  <c r="H109" i="1"/>
  <c r="BE109" i="1" s="1"/>
  <c r="H110" i="1"/>
  <c r="BE110" i="1" s="1"/>
  <c r="H111" i="1"/>
  <c r="BE111" i="1" s="1"/>
  <c r="H112" i="1"/>
  <c r="BE112" i="1" s="1"/>
  <c r="H113" i="1"/>
  <c r="BE113" i="1" s="1"/>
  <c r="H114" i="1"/>
  <c r="H115" i="1"/>
  <c r="BE115" i="1" s="1"/>
  <c r="H116" i="1"/>
  <c r="BE116" i="1" s="1"/>
  <c r="H117" i="1"/>
  <c r="BE117" i="1" s="1"/>
  <c r="H118" i="1"/>
  <c r="BE118" i="1" s="1"/>
  <c r="H119" i="1"/>
  <c r="BE119" i="1" s="1"/>
  <c r="H120" i="1"/>
  <c r="BE120" i="1" s="1"/>
  <c r="H121" i="1"/>
  <c r="BE121" i="1" s="1"/>
  <c r="H122" i="1"/>
  <c r="H123" i="1"/>
  <c r="BE123" i="1" s="1"/>
  <c r="H124" i="1"/>
  <c r="BE124" i="1" s="1"/>
  <c r="H125" i="1"/>
  <c r="BE125" i="1" s="1"/>
  <c r="H126" i="1"/>
  <c r="BE126" i="1" s="1"/>
  <c r="H127" i="1"/>
  <c r="BE127" i="1" s="1"/>
  <c r="H128" i="1"/>
  <c r="BE128" i="1" s="1"/>
  <c r="H129" i="1"/>
  <c r="BE129" i="1" s="1"/>
  <c r="H130" i="1"/>
  <c r="H131" i="1"/>
  <c r="BE131" i="1" s="1"/>
  <c r="H132" i="1"/>
  <c r="BE132" i="1" s="1"/>
  <c r="H133" i="1"/>
  <c r="BE133" i="1" s="1"/>
  <c r="H134" i="1"/>
  <c r="BE134" i="1" s="1"/>
  <c r="H135" i="1"/>
  <c r="BE135" i="1" s="1"/>
  <c r="H136" i="1"/>
  <c r="BE136" i="1" s="1"/>
  <c r="H137" i="1"/>
  <c r="BE137" i="1" s="1"/>
  <c r="H138" i="1"/>
  <c r="H139" i="1"/>
  <c r="BE139" i="1" s="1"/>
  <c r="H140" i="1"/>
  <c r="BE140" i="1" s="1"/>
  <c r="H141" i="1"/>
  <c r="BE141" i="1" s="1"/>
  <c r="H142" i="1"/>
  <c r="BE142" i="1" s="1"/>
  <c r="H143" i="1"/>
  <c r="BE143" i="1" s="1"/>
  <c r="H144" i="1"/>
  <c r="BE144" i="1" s="1"/>
  <c r="H145" i="1"/>
  <c r="BE145" i="1" s="1"/>
  <c r="H146" i="1"/>
  <c r="H147" i="1"/>
  <c r="BE147" i="1" s="1"/>
  <c r="H148" i="1"/>
  <c r="BE148" i="1" s="1"/>
  <c r="H149" i="1"/>
  <c r="BE149" i="1" s="1"/>
  <c r="H150" i="1"/>
  <c r="BE150" i="1" s="1"/>
  <c r="H151" i="1"/>
  <c r="BE151" i="1" s="1"/>
  <c r="H152" i="1"/>
  <c r="BE152" i="1" s="1"/>
  <c r="H153" i="1"/>
  <c r="BE153" i="1" s="1"/>
  <c r="H154" i="1"/>
  <c r="H155" i="1"/>
  <c r="BE155" i="1" s="1"/>
  <c r="H156" i="1"/>
  <c r="BE156" i="1" s="1"/>
  <c r="H157" i="1"/>
  <c r="BE157" i="1" s="1"/>
  <c r="H158" i="1"/>
  <c r="BE158" i="1" s="1"/>
  <c r="H159" i="1"/>
  <c r="BE159" i="1" s="1"/>
  <c r="H160" i="1"/>
  <c r="BE160" i="1" s="1"/>
  <c r="H161" i="1"/>
  <c r="BE161" i="1" s="1"/>
  <c r="H162" i="1"/>
  <c r="H163" i="1"/>
  <c r="BE163" i="1" s="1"/>
  <c r="H164" i="1"/>
  <c r="BE164" i="1" s="1"/>
  <c r="H165" i="1"/>
  <c r="BE165" i="1" s="1"/>
  <c r="H166" i="1"/>
  <c r="BE166" i="1" s="1"/>
  <c r="H167" i="1"/>
  <c r="BE167" i="1" s="1"/>
  <c r="H168" i="1"/>
  <c r="BE168" i="1" s="1"/>
  <c r="H169" i="1"/>
  <c r="BE169" i="1" s="1"/>
  <c r="H170" i="1"/>
  <c r="H171" i="1"/>
  <c r="BE171" i="1" s="1"/>
  <c r="H172" i="1"/>
  <c r="BE172" i="1" s="1"/>
  <c r="H173" i="1"/>
  <c r="BE173" i="1" s="1"/>
  <c r="H174" i="1"/>
  <c r="BE174" i="1" s="1"/>
  <c r="H175" i="1"/>
  <c r="BE175" i="1" s="1"/>
  <c r="H176" i="1"/>
  <c r="BE176" i="1" s="1"/>
  <c r="H177" i="1"/>
  <c r="BE177" i="1" s="1"/>
  <c r="H178" i="1"/>
  <c r="H179" i="1"/>
  <c r="BE179" i="1" s="1"/>
  <c r="H180" i="1"/>
  <c r="BE180" i="1" s="1"/>
  <c r="H181" i="1"/>
  <c r="BE181" i="1" s="1"/>
  <c r="H182" i="1"/>
  <c r="BE182" i="1" s="1"/>
  <c r="H183" i="1"/>
  <c r="BE183" i="1" s="1"/>
  <c r="H184" i="1"/>
  <c r="BE184" i="1" s="1"/>
  <c r="H185" i="1"/>
  <c r="BE185" i="1" s="1"/>
  <c r="H186" i="1"/>
  <c r="H187" i="1"/>
  <c r="BE187" i="1" s="1"/>
  <c r="H188" i="1"/>
  <c r="BE188" i="1" s="1"/>
  <c r="H189" i="1"/>
  <c r="BE189" i="1" s="1"/>
  <c r="H190" i="1"/>
  <c r="BE190" i="1" s="1"/>
  <c r="H191" i="1"/>
  <c r="BE191" i="1" s="1"/>
  <c r="H192" i="1"/>
  <c r="BE192" i="1" s="1"/>
  <c r="H193" i="1"/>
  <c r="BE193" i="1" s="1"/>
  <c r="H194" i="1"/>
  <c r="H195" i="1"/>
  <c r="BE195" i="1" s="1"/>
  <c r="H196" i="1"/>
  <c r="BE196" i="1" s="1"/>
  <c r="H197" i="1"/>
  <c r="BE197" i="1" s="1"/>
  <c r="H198" i="1"/>
  <c r="BE198" i="1" s="1"/>
  <c r="H199" i="1"/>
  <c r="BE199" i="1" s="1"/>
  <c r="H200" i="1"/>
  <c r="BE200" i="1" s="1"/>
  <c r="H201" i="1"/>
  <c r="BE201" i="1" s="1"/>
  <c r="H202" i="1"/>
  <c r="H203" i="1"/>
  <c r="BE203" i="1" s="1"/>
  <c r="H204" i="1"/>
  <c r="BE204" i="1" s="1"/>
  <c r="H205" i="1"/>
  <c r="BE205" i="1" s="1"/>
  <c r="H206" i="1"/>
  <c r="BE206" i="1" s="1"/>
  <c r="H207" i="1"/>
  <c r="BE207" i="1" s="1"/>
  <c r="H208" i="1"/>
  <c r="BE208" i="1" s="1"/>
  <c r="H209" i="1"/>
  <c r="BE209" i="1" s="1"/>
  <c r="H210" i="1"/>
  <c r="H211" i="1"/>
  <c r="BE211" i="1" s="1"/>
  <c r="H212" i="1"/>
  <c r="BE212" i="1" s="1"/>
  <c r="H213" i="1"/>
  <c r="BE213" i="1" s="1"/>
  <c r="H214" i="1"/>
  <c r="BE214" i="1" s="1"/>
  <c r="H215" i="1"/>
  <c r="BE215" i="1" s="1"/>
  <c r="H216" i="1"/>
  <c r="BE216" i="1" s="1"/>
  <c r="H217" i="1"/>
  <c r="BE217" i="1" s="1"/>
  <c r="H218" i="1"/>
  <c r="H219" i="1"/>
  <c r="BE219" i="1" s="1"/>
  <c r="H220" i="1"/>
  <c r="BE220" i="1" s="1"/>
  <c r="H221" i="1"/>
  <c r="BE221" i="1" s="1"/>
  <c r="H222" i="1"/>
  <c r="BE222" i="1" s="1"/>
  <c r="H223" i="1"/>
  <c r="BE223" i="1" s="1"/>
  <c r="H224" i="1"/>
  <c r="BE224" i="1" s="1"/>
  <c r="H225" i="1"/>
  <c r="BE225" i="1" s="1"/>
  <c r="H226" i="1"/>
  <c r="H227" i="1"/>
  <c r="BE227" i="1" s="1"/>
  <c r="H228" i="1"/>
  <c r="BE228" i="1" s="1"/>
  <c r="H229" i="1"/>
  <c r="BE229" i="1" s="1"/>
  <c r="H230" i="1"/>
  <c r="BE230" i="1" s="1"/>
  <c r="H231" i="1"/>
  <c r="BE231" i="1" s="1"/>
  <c r="H232" i="1"/>
  <c r="BE232" i="1" s="1"/>
  <c r="H233" i="1"/>
  <c r="BE233" i="1" s="1"/>
  <c r="H234" i="1"/>
  <c r="H235" i="1"/>
  <c r="BE235" i="1" s="1"/>
  <c r="H236" i="1"/>
  <c r="BE236" i="1" s="1"/>
  <c r="H237" i="1"/>
  <c r="BE237" i="1" s="1"/>
  <c r="H238" i="1"/>
  <c r="BE238" i="1" s="1"/>
  <c r="H239" i="1"/>
  <c r="BE239" i="1" s="1"/>
  <c r="H240" i="1"/>
  <c r="BE240" i="1" s="1"/>
  <c r="H241" i="1"/>
  <c r="BE241" i="1" s="1"/>
  <c r="H242" i="1"/>
  <c r="H243" i="1"/>
  <c r="BE243" i="1" s="1"/>
  <c r="H244" i="1"/>
  <c r="BE244" i="1" s="1"/>
  <c r="H245" i="1"/>
  <c r="BE245" i="1" s="1"/>
  <c r="H246" i="1"/>
  <c r="BE246" i="1" s="1"/>
  <c r="H247" i="1"/>
  <c r="BE247" i="1" s="1"/>
  <c r="H248" i="1"/>
  <c r="BE248" i="1" s="1"/>
  <c r="H249" i="1"/>
  <c r="BE249" i="1" s="1"/>
  <c r="H250" i="1"/>
  <c r="H251" i="1"/>
  <c r="BE251" i="1" s="1"/>
  <c r="H252" i="1"/>
  <c r="BE252" i="1" s="1"/>
  <c r="H253" i="1"/>
  <c r="BE253" i="1" s="1"/>
  <c r="H254" i="1"/>
  <c r="BE254" i="1" s="1"/>
  <c r="H255" i="1"/>
  <c r="BE255" i="1" s="1"/>
  <c r="H256" i="1"/>
  <c r="BE256" i="1" s="1"/>
  <c r="H257" i="1"/>
  <c r="BE257" i="1" s="1"/>
  <c r="H258" i="1"/>
  <c r="H259" i="1"/>
  <c r="BE259" i="1" s="1"/>
  <c r="H260" i="1"/>
  <c r="BE260" i="1" s="1"/>
  <c r="H261" i="1"/>
  <c r="BE261" i="1" s="1"/>
  <c r="H262" i="1"/>
  <c r="BE262" i="1" s="1"/>
  <c r="H263" i="1"/>
  <c r="BE263" i="1" s="1"/>
  <c r="H264" i="1"/>
  <c r="BE264" i="1" s="1"/>
  <c r="H265" i="1"/>
  <c r="BE265" i="1" s="1"/>
  <c r="H266" i="1"/>
  <c r="H267" i="1"/>
  <c r="BE267" i="1" s="1"/>
  <c r="H268" i="1"/>
  <c r="BE268" i="1" s="1"/>
  <c r="H269" i="1"/>
  <c r="BE269" i="1" s="1"/>
  <c r="H270" i="1"/>
  <c r="BE270" i="1" s="1"/>
  <c r="H271" i="1"/>
  <c r="BE271" i="1" s="1"/>
  <c r="H272" i="1"/>
  <c r="BE272" i="1" s="1"/>
  <c r="H273" i="1"/>
  <c r="BE273" i="1" s="1"/>
  <c r="H274" i="1"/>
  <c r="H275" i="1"/>
  <c r="BE275" i="1" s="1"/>
  <c r="H276" i="1"/>
  <c r="BE276" i="1" s="1"/>
  <c r="H277" i="1"/>
  <c r="BE277" i="1" s="1"/>
  <c r="H278" i="1"/>
  <c r="BE278" i="1" s="1"/>
  <c r="H279" i="1"/>
  <c r="BE279" i="1" s="1"/>
  <c r="H280" i="1"/>
  <c r="BE280" i="1" s="1"/>
  <c r="H281" i="1"/>
  <c r="BE281" i="1" s="1"/>
  <c r="H282" i="1"/>
  <c r="H283" i="1"/>
  <c r="BE283" i="1" s="1"/>
  <c r="H284" i="1"/>
  <c r="BE284" i="1" s="1"/>
  <c r="H285" i="1"/>
  <c r="BE285" i="1" s="1"/>
  <c r="H286" i="1"/>
  <c r="BE286" i="1" s="1"/>
  <c r="H287" i="1"/>
  <c r="BE287" i="1" s="1"/>
  <c r="H288" i="1"/>
  <c r="BE288" i="1" s="1"/>
  <c r="H289" i="1"/>
  <c r="BE289" i="1" s="1"/>
  <c r="H290" i="1"/>
  <c r="H291" i="1"/>
  <c r="BE291" i="1" s="1"/>
  <c r="H292" i="1"/>
  <c r="BE292" i="1" s="1"/>
  <c r="H293" i="1"/>
  <c r="BE293" i="1" s="1"/>
  <c r="H294" i="1"/>
  <c r="BE294" i="1" s="1"/>
  <c r="H295" i="1"/>
  <c r="BE295" i="1" s="1"/>
  <c r="H296" i="1"/>
  <c r="BE296" i="1" s="1"/>
  <c r="H297" i="1"/>
  <c r="BE297" i="1" s="1"/>
  <c r="H298" i="1"/>
  <c r="H299" i="1"/>
  <c r="BE299" i="1" s="1"/>
  <c r="H300" i="1"/>
  <c r="BE300" i="1" s="1"/>
  <c r="H301" i="1"/>
  <c r="BE301" i="1" s="1"/>
  <c r="H302" i="1"/>
  <c r="BE302" i="1" s="1"/>
  <c r="H303" i="1"/>
  <c r="BE303" i="1" s="1"/>
  <c r="H304" i="1"/>
  <c r="BE304" i="1" s="1"/>
  <c r="H305" i="1"/>
  <c r="BE305" i="1" s="1"/>
  <c r="H306" i="1"/>
  <c r="H307" i="1"/>
  <c r="BE307" i="1" s="1"/>
  <c r="H308" i="1"/>
  <c r="BE308" i="1" s="1"/>
  <c r="H309" i="1"/>
  <c r="BE309" i="1" s="1"/>
  <c r="H310" i="1"/>
  <c r="BE310" i="1" s="1"/>
  <c r="H311" i="1"/>
  <c r="BE311" i="1" s="1"/>
  <c r="H312" i="1"/>
  <c r="BE312" i="1" s="1"/>
  <c r="H313" i="1"/>
  <c r="BE313" i="1" s="1"/>
  <c r="H314" i="1"/>
  <c r="H315" i="1"/>
  <c r="BE315" i="1" s="1"/>
  <c r="H316" i="1"/>
  <c r="BE316" i="1" s="1"/>
  <c r="H317" i="1"/>
  <c r="BE317" i="1" s="1"/>
  <c r="H318" i="1"/>
  <c r="BE318" i="1" s="1"/>
  <c r="H319" i="1"/>
  <c r="BE319" i="1" s="1"/>
  <c r="H320" i="1"/>
  <c r="BE320" i="1" s="1"/>
  <c r="H321" i="1"/>
  <c r="BE321" i="1" s="1"/>
  <c r="H322" i="1"/>
  <c r="H323" i="1"/>
  <c r="BE323" i="1" s="1"/>
  <c r="H324" i="1"/>
  <c r="BE324" i="1" s="1"/>
  <c r="H325" i="1"/>
  <c r="BE325" i="1" s="1"/>
  <c r="H326" i="1"/>
  <c r="BE326" i="1" s="1"/>
  <c r="H327" i="1"/>
  <c r="BE327" i="1" s="1"/>
  <c r="H328" i="1"/>
  <c r="BE328" i="1" s="1"/>
  <c r="H329" i="1"/>
  <c r="BE329" i="1" s="1"/>
  <c r="H330" i="1"/>
  <c r="H331" i="1"/>
  <c r="BE331" i="1" s="1"/>
  <c r="H332" i="1"/>
  <c r="BE332" i="1" s="1"/>
  <c r="H333" i="1"/>
  <c r="BE333" i="1" s="1"/>
  <c r="H334" i="1"/>
  <c r="BE334" i="1" s="1"/>
  <c r="H335" i="1"/>
  <c r="BE335" i="1" s="1"/>
  <c r="H336" i="1"/>
  <c r="BE336" i="1" s="1"/>
  <c r="H337" i="1"/>
  <c r="BE337" i="1" s="1"/>
  <c r="H338" i="1"/>
  <c r="H339" i="1"/>
  <c r="BE339" i="1" s="1"/>
  <c r="H340" i="1"/>
  <c r="BE340" i="1" s="1"/>
  <c r="H341" i="1"/>
  <c r="BE341" i="1" s="1"/>
  <c r="H342" i="1"/>
  <c r="BE342" i="1" s="1"/>
  <c r="H343" i="1"/>
  <c r="BE343" i="1" s="1"/>
  <c r="H344" i="1"/>
  <c r="BE344" i="1" s="1"/>
  <c r="H345" i="1"/>
  <c r="BE345" i="1" s="1"/>
  <c r="H346" i="1"/>
  <c r="H347" i="1"/>
  <c r="BE347" i="1" s="1"/>
  <c r="H348" i="1"/>
  <c r="BE348" i="1" s="1"/>
  <c r="H349" i="1"/>
  <c r="BE349" i="1" s="1"/>
  <c r="H350" i="1"/>
  <c r="BE350" i="1" s="1"/>
  <c r="H351" i="1"/>
  <c r="BE351" i="1" s="1"/>
  <c r="H352" i="1"/>
  <c r="BE352" i="1" s="1"/>
  <c r="H353" i="1"/>
  <c r="BE353" i="1" s="1"/>
  <c r="H354" i="1"/>
  <c r="H355" i="1"/>
  <c r="BE355" i="1" s="1"/>
  <c r="H356" i="1"/>
  <c r="BE356" i="1" s="1"/>
  <c r="H357" i="1"/>
  <c r="BE357" i="1" s="1"/>
  <c r="H358" i="1"/>
  <c r="BE358" i="1" s="1"/>
  <c r="H359" i="1"/>
  <c r="BE359" i="1" s="1"/>
  <c r="H360" i="1"/>
  <c r="BE360" i="1" s="1"/>
  <c r="H361" i="1"/>
  <c r="BE361" i="1" s="1"/>
  <c r="H362" i="1"/>
  <c r="H363" i="1"/>
  <c r="BE363" i="1" s="1"/>
  <c r="H364" i="1"/>
  <c r="BE364" i="1" s="1"/>
  <c r="H365" i="1"/>
  <c r="BE365" i="1" s="1"/>
  <c r="H366" i="1"/>
  <c r="BE366" i="1" s="1"/>
  <c r="H367" i="1"/>
  <c r="BE367" i="1" s="1"/>
  <c r="H368" i="1"/>
  <c r="BE368" i="1" s="1"/>
  <c r="H369" i="1"/>
  <c r="BE369" i="1" s="1"/>
  <c r="H370" i="1"/>
  <c r="H371" i="1"/>
  <c r="BE371" i="1" s="1"/>
  <c r="H372" i="1"/>
  <c r="BE372" i="1" s="1"/>
  <c r="H373" i="1"/>
  <c r="BE373" i="1" s="1"/>
  <c r="H374" i="1"/>
  <c r="BE374" i="1" s="1"/>
  <c r="H375" i="1"/>
  <c r="BE375" i="1" s="1"/>
  <c r="H376" i="1"/>
  <c r="BE376" i="1" s="1"/>
  <c r="H377" i="1"/>
  <c r="BE377" i="1" s="1"/>
  <c r="H378" i="1"/>
  <c r="H379" i="1"/>
  <c r="BE379" i="1" s="1"/>
  <c r="H380" i="1"/>
  <c r="BE380" i="1" s="1"/>
  <c r="H381" i="1"/>
  <c r="BE381" i="1" s="1"/>
  <c r="H382" i="1"/>
  <c r="BE382" i="1" s="1"/>
  <c r="H383" i="1"/>
  <c r="BE383" i="1" s="1"/>
  <c r="H384" i="1"/>
  <c r="BE384" i="1" s="1"/>
  <c r="H385" i="1"/>
  <c r="BE385" i="1" s="1"/>
  <c r="H386" i="1"/>
  <c r="H387" i="1"/>
  <c r="BE387" i="1" s="1"/>
  <c r="H388" i="1"/>
  <c r="BE388" i="1" s="1"/>
  <c r="H389" i="1"/>
  <c r="BE389" i="1" s="1"/>
  <c r="H390" i="1"/>
  <c r="BE390" i="1" s="1"/>
  <c r="H391" i="1"/>
  <c r="BE391" i="1" s="1"/>
  <c r="H392" i="1"/>
  <c r="BE392" i="1" s="1"/>
  <c r="H393" i="1"/>
  <c r="BE393" i="1" s="1"/>
  <c r="H394" i="1"/>
  <c r="H395" i="1"/>
  <c r="BE395" i="1" s="1"/>
  <c r="H396" i="1"/>
  <c r="BE396" i="1" s="1"/>
  <c r="H397" i="1"/>
  <c r="BE397" i="1" s="1"/>
  <c r="H398" i="1"/>
  <c r="BE398" i="1" s="1"/>
  <c r="H399" i="1"/>
  <c r="BE399" i="1" s="1"/>
  <c r="H400" i="1"/>
  <c r="BE400" i="1" s="1"/>
  <c r="H401" i="1"/>
  <c r="BE401" i="1" s="1"/>
  <c r="H402" i="1"/>
  <c r="H403" i="1"/>
  <c r="BE403" i="1" s="1"/>
  <c r="H404" i="1"/>
  <c r="BE404" i="1" s="1"/>
  <c r="H405" i="1"/>
  <c r="BE405" i="1" s="1"/>
  <c r="H406" i="1"/>
  <c r="BE406" i="1" s="1"/>
  <c r="H407" i="1"/>
  <c r="BE407" i="1" s="1"/>
  <c r="H408" i="1"/>
  <c r="BE408" i="1" s="1"/>
  <c r="H409" i="1"/>
  <c r="BE409" i="1" s="1"/>
  <c r="H410" i="1"/>
  <c r="H411" i="1"/>
  <c r="BE411" i="1" s="1"/>
  <c r="H412" i="1"/>
  <c r="BE412" i="1" s="1"/>
  <c r="H413" i="1"/>
  <c r="BE413" i="1" s="1"/>
  <c r="H414" i="1"/>
  <c r="BE414" i="1" s="1"/>
  <c r="H415" i="1"/>
  <c r="BE415" i="1" s="1"/>
  <c r="H416" i="1"/>
  <c r="BE416" i="1" s="1"/>
  <c r="H417" i="1"/>
  <c r="BE417" i="1" s="1"/>
  <c r="H418" i="1"/>
  <c r="H419" i="1"/>
  <c r="BE419" i="1" s="1"/>
  <c r="H420" i="1"/>
  <c r="BE420" i="1" s="1"/>
  <c r="H421" i="1"/>
  <c r="BE421" i="1" s="1"/>
  <c r="H422" i="1"/>
  <c r="BE422" i="1" s="1"/>
  <c r="H423" i="1"/>
  <c r="BE423" i="1" s="1"/>
  <c r="H424" i="1"/>
  <c r="BE424" i="1" s="1"/>
  <c r="H425" i="1"/>
  <c r="BE425" i="1" s="1"/>
  <c r="H426" i="1"/>
  <c r="H427" i="1"/>
  <c r="BE427" i="1" s="1"/>
  <c r="H428" i="1"/>
  <c r="BE428" i="1" s="1"/>
  <c r="H429" i="1"/>
  <c r="BE429" i="1" s="1"/>
  <c r="H430" i="1"/>
  <c r="BE430" i="1" s="1"/>
  <c r="H431" i="1"/>
  <c r="BE431" i="1" s="1"/>
  <c r="H432" i="1"/>
  <c r="BE432" i="1" s="1"/>
  <c r="H433" i="1"/>
  <c r="BE433" i="1" s="1"/>
  <c r="H434" i="1"/>
  <c r="H435" i="1"/>
  <c r="BE435" i="1" s="1"/>
  <c r="H436" i="1"/>
  <c r="BE436" i="1" s="1"/>
  <c r="H437" i="1"/>
  <c r="BE437" i="1" s="1"/>
  <c r="H438" i="1"/>
  <c r="BE438" i="1" s="1"/>
  <c r="H439" i="1"/>
  <c r="BE439" i="1" s="1"/>
  <c r="H440" i="1"/>
  <c r="BE440" i="1" s="1"/>
  <c r="H441" i="1"/>
  <c r="BE441" i="1" s="1"/>
  <c r="H442" i="1"/>
  <c r="H443" i="1"/>
  <c r="BE443" i="1" s="1"/>
  <c r="H444" i="1"/>
  <c r="BE444" i="1" s="1"/>
  <c r="H445" i="1"/>
  <c r="BE445" i="1" s="1"/>
  <c r="H446" i="1"/>
  <c r="BE446" i="1" s="1"/>
  <c r="H447" i="1"/>
  <c r="BE447" i="1" s="1"/>
  <c r="H448" i="1"/>
  <c r="BE448" i="1" s="1"/>
  <c r="H449" i="1"/>
  <c r="BE449" i="1" s="1"/>
  <c r="H450" i="1"/>
  <c r="H451" i="1"/>
  <c r="BE451" i="1" s="1"/>
  <c r="H452" i="1"/>
  <c r="BE452" i="1" s="1"/>
  <c r="H453" i="1"/>
  <c r="BE453" i="1" s="1"/>
  <c r="H454" i="1"/>
  <c r="BE454" i="1" s="1"/>
  <c r="H455" i="1"/>
  <c r="BE455" i="1" s="1"/>
  <c r="H456" i="1"/>
  <c r="BE456" i="1" s="1"/>
  <c r="H457" i="1"/>
  <c r="BE457" i="1" s="1"/>
  <c r="H458" i="1"/>
  <c r="H459" i="1"/>
  <c r="BE459" i="1" s="1"/>
  <c r="H460" i="1"/>
  <c r="BE460" i="1" s="1"/>
  <c r="H461" i="1"/>
  <c r="BE461" i="1" s="1"/>
  <c r="H462" i="1"/>
  <c r="BE462" i="1" s="1"/>
  <c r="H463" i="1"/>
  <c r="BE463" i="1" s="1"/>
  <c r="H464" i="1"/>
  <c r="BE464" i="1" s="1"/>
  <c r="H465" i="1"/>
  <c r="BE465" i="1" s="1"/>
  <c r="H466" i="1"/>
  <c r="H467" i="1"/>
  <c r="BE467" i="1" s="1"/>
  <c r="H468" i="1"/>
  <c r="BE468" i="1" s="1"/>
  <c r="H469" i="1"/>
  <c r="BE469" i="1" s="1"/>
  <c r="H470" i="1"/>
  <c r="BE470" i="1" s="1"/>
  <c r="H471" i="1"/>
  <c r="BE471" i="1" s="1"/>
  <c r="H472" i="1"/>
  <c r="BE472" i="1" s="1"/>
  <c r="H473" i="1"/>
  <c r="BE473" i="1" s="1"/>
  <c r="H474" i="1"/>
  <c r="H475" i="1"/>
  <c r="BE475" i="1" s="1"/>
  <c r="H476" i="1"/>
  <c r="BE476" i="1" s="1"/>
  <c r="H477" i="1"/>
  <c r="BE477" i="1" s="1"/>
  <c r="H478" i="1"/>
  <c r="BE478" i="1" s="1"/>
  <c r="H479" i="1"/>
  <c r="BE479" i="1" s="1"/>
  <c r="H480" i="1"/>
  <c r="BE480" i="1" s="1"/>
  <c r="H481" i="1"/>
  <c r="BE481" i="1" s="1"/>
  <c r="H482" i="1"/>
  <c r="H483" i="1"/>
  <c r="BE483" i="1" s="1"/>
  <c r="H484" i="1"/>
  <c r="BE484" i="1" s="1"/>
  <c r="H485" i="1"/>
  <c r="BE485" i="1" s="1"/>
  <c r="H486" i="1"/>
  <c r="BE486" i="1" s="1"/>
  <c r="H487" i="1"/>
  <c r="BE487" i="1" s="1"/>
  <c r="H488" i="1"/>
  <c r="BE488" i="1" s="1"/>
  <c r="H489" i="1"/>
  <c r="BE489" i="1" s="1"/>
  <c r="H490" i="1"/>
  <c r="H491" i="1"/>
  <c r="BE491" i="1" s="1"/>
  <c r="H492" i="1"/>
  <c r="BE492" i="1" s="1"/>
  <c r="H493" i="1"/>
  <c r="BE493" i="1" s="1"/>
  <c r="H494" i="1"/>
  <c r="BE494" i="1" s="1"/>
  <c r="H495" i="1"/>
  <c r="BE495" i="1" s="1"/>
  <c r="H496" i="1"/>
  <c r="BE496" i="1" s="1"/>
  <c r="H497" i="1"/>
  <c r="BE497" i="1" s="1"/>
  <c r="H498" i="1"/>
  <c r="H499" i="1"/>
  <c r="BE499" i="1" s="1"/>
  <c r="H500" i="1"/>
  <c r="BE500" i="1" s="1"/>
  <c r="H501" i="1"/>
  <c r="BE501" i="1" s="1"/>
  <c r="H502" i="1"/>
  <c r="BE502" i="1" s="1"/>
  <c r="H503" i="1"/>
  <c r="BE503" i="1" s="1"/>
  <c r="H504" i="1"/>
  <c r="BE504" i="1" s="1"/>
  <c r="H505" i="1"/>
  <c r="BE505" i="1" s="1"/>
  <c r="H506" i="1"/>
  <c r="H507" i="1"/>
  <c r="BE507" i="1" s="1"/>
  <c r="H508" i="1"/>
  <c r="BE508" i="1" s="1"/>
  <c r="H509" i="1"/>
  <c r="BE509" i="1" s="1"/>
  <c r="H510" i="1"/>
  <c r="BE510" i="1" s="1"/>
  <c r="H511" i="1"/>
  <c r="BE511" i="1" s="1"/>
  <c r="H512" i="1"/>
  <c r="BE512" i="1" s="1"/>
  <c r="H513" i="1"/>
  <c r="BE513" i="1" s="1"/>
  <c r="H514" i="1"/>
  <c r="H515" i="1"/>
  <c r="BE515" i="1" s="1"/>
  <c r="H516" i="1"/>
  <c r="BE516" i="1" s="1"/>
  <c r="H517" i="1"/>
  <c r="BE517" i="1" s="1"/>
  <c r="H518" i="1"/>
  <c r="BE518" i="1" s="1"/>
  <c r="H519" i="1"/>
  <c r="BE519" i="1" s="1"/>
  <c r="H520" i="1"/>
  <c r="BE520" i="1" s="1"/>
  <c r="H521" i="1"/>
  <c r="BE521" i="1" s="1"/>
  <c r="H522" i="1"/>
  <c r="H523" i="1"/>
  <c r="BE523" i="1" s="1"/>
  <c r="H524" i="1"/>
  <c r="BE524" i="1" s="1"/>
  <c r="H525" i="1"/>
  <c r="BE525" i="1" s="1"/>
  <c r="H526" i="1"/>
  <c r="BE526" i="1" s="1"/>
  <c r="H527" i="1"/>
  <c r="BE527" i="1" s="1"/>
  <c r="H528" i="1"/>
  <c r="BE528" i="1" s="1"/>
  <c r="H529" i="1"/>
  <c r="BE529" i="1" s="1"/>
  <c r="H530" i="1"/>
  <c r="H531" i="1"/>
  <c r="BE531" i="1" s="1"/>
  <c r="H532" i="1"/>
  <c r="BE532" i="1" s="1"/>
  <c r="H533" i="1"/>
  <c r="BE533" i="1" s="1"/>
  <c r="H534" i="1"/>
  <c r="BE534" i="1" s="1"/>
  <c r="H535" i="1"/>
  <c r="BE535" i="1" s="1"/>
  <c r="H536" i="1"/>
  <c r="BE536" i="1" s="1"/>
  <c r="H537" i="1"/>
  <c r="BE537" i="1" s="1"/>
  <c r="H538" i="1"/>
  <c r="H539" i="1"/>
  <c r="BE539" i="1" s="1"/>
  <c r="H540" i="1"/>
  <c r="BE540" i="1" s="1"/>
  <c r="H541" i="1"/>
  <c r="BE541" i="1" s="1"/>
  <c r="H542" i="1"/>
  <c r="BE542" i="1" s="1"/>
  <c r="H543" i="1"/>
  <c r="BE543" i="1" s="1"/>
  <c r="H544" i="1"/>
  <c r="BE544" i="1" s="1"/>
  <c r="H545" i="1"/>
  <c r="BE545" i="1" s="1"/>
  <c r="H546" i="1"/>
  <c r="H547" i="1"/>
  <c r="BE547" i="1" s="1"/>
  <c r="H548" i="1"/>
  <c r="BE548" i="1" s="1"/>
  <c r="H549" i="1"/>
  <c r="BE549" i="1" s="1"/>
  <c r="H550" i="1"/>
  <c r="BE550" i="1" s="1"/>
  <c r="H551" i="1"/>
  <c r="BE551" i="1" s="1"/>
  <c r="H552" i="1"/>
  <c r="BE552" i="1" s="1"/>
  <c r="H553" i="1"/>
  <c r="BE553" i="1" s="1"/>
  <c r="H554" i="1"/>
  <c r="H555" i="1"/>
  <c r="BE555" i="1" s="1"/>
  <c r="H556" i="1"/>
  <c r="BE556" i="1" s="1"/>
  <c r="H557" i="1"/>
  <c r="BE557" i="1" s="1"/>
  <c r="H558" i="1"/>
  <c r="BE558" i="1" s="1"/>
  <c r="H559" i="1"/>
  <c r="BE559" i="1" s="1"/>
  <c r="H560" i="1"/>
  <c r="BE560" i="1" s="1"/>
  <c r="H561" i="1"/>
  <c r="BE561" i="1" s="1"/>
  <c r="H562" i="1"/>
  <c r="H563" i="1"/>
  <c r="BE563" i="1" s="1"/>
  <c r="H564" i="1"/>
  <c r="BE564" i="1" s="1"/>
  <c r="H565" i="1"/>
  <c r="BE565" i="1" s="1"/>
  <c r="H566" i="1"/>
  <c r="BE566" i="1" s="1"/>
  <c r="H567" i="1"/>
  <c r="BE567" i="1" s="1"/>
  <c r="H568" i="1"/>
  <c r="BE568" i="1" s="1"/>
  <c r="H569" i="1"/>
  <c r="BE569" i="1" s="1"/>
  <c r="H570" i="1"/>
  <c r="H571" i="1"/>
  <c r="BE571" i="1" s="1"/>
  <c r="H572" i="1"/>
  <c r="BE572" i="1" s="1"/>
  <c r="H573" i="1"/>
  <c r="BE573" i="1" s="1"/>
  <c r="H574" i="1"/>
  <c r="BE574" i="1" s="1"/>
  <c r="H575" i="1"/>
  <c r="BE575" i="1" s="1"/>
  <c r="H576" i="1"/>
  <c r="BE576" i="1" s="1"/>
  <c r="H577" i="1"/>
  <c r="BE577" i="1" s="1"/>
  <c r="H578" i="1"/>
  <c r="H579" i="1"/>
  <c r="BE579" i="1" s="1"/>
  <c r="H580" i="1"/>
  <c r="BE580" i="1" s="1"/>
  <c r="H581" i="1"/>
  <c r="BE581" i="1" s="1"/>
  <c r="H582" i="1"/>
  <c r="BE582" i="1" s="1"/>
  <c r="H583" i="1"/>
  <c r="BE583" i="1" s="1"/>
  <c r="H584" i="1"/>
  <c r="BE584" i="1" s="1"/>
  <c r="H585" i="1"/>
  <c r="BE585" i="1" s="1"/>
  <c r="H586" i="1"/>
  <c r="H587" i="1"/>
  <c r="BE587" i="1" s="1"/>
  <c r="H588" i="1"/>
  <c r="BE588" i="1" s="1"/>
  <c r="H589" i="1"/>
  <c r="BE589" i="1" s="1"/>
  <c r="H590" i="1"/>
  <c r="BE590" i="1" s="1"/>
  <c r="H591" i="1"/>
  <c r="BE591" i="1" s="1"/>
  <c r="H592" i="1"/>
  <c r="BE592" i="1" s="1"/>
  <c r="H593" i="1"/>
  <c r="BE593" i="1" s="1"/>
  <c r="H594" i="1"/>
  <c r="H595" i="1"/>
  <c r="BE595" i="1" s="1"/>
  <c r="H596" i="1"/>
  <c r="BE596" i="1" s="1"/>
  <c r="H597" i="1"/>
  <c r="BE597" i="1" s="1"/>
  <c r="H598" i="1"/>
  <c r="BE598" i="1" s="1"/>
  <c r="H599" i="1"/>
  <c r="BE599" i="1" s="1"/>
  <c r="H600" i="1"/>
  <c r="BE600" i="1" s="1"/>
  <c r="H601" i="1"/>
  <c r="BE601" i="1" s="1"/>
  <c r="H602" i="1"/>
  <c r="H603" i="1"/>
  <c r="BE603" i="1" s="1"/>
  <c r="H604" i="1"/>
  <c r="BE604" i="1" s="1"/>
  <c r="H605" i="1"/>
  <c r="BE605" i="1" s="1"/>
  <c r="H606" i="1"/>
  <c r="BE606" i="1" s="1"/>
  <c r="H607" i="1"/>
  <c r="BE607" i="1" s="1"/>
  <c r="H608" i="1"/>
  <c r="BE608" i="1" s="1"/>
  <c r="H609" i="1"/>
  <c r="BE609" i="1" s="1"/>
  <c r="H610" i="1"/>
  <c r="H611" i="1"/>
  <c r="BE611" i="1" s="1"/>
  <c r="H612" i="1"/>
  <c r="BE612" i="1" s="1"/>
  <c r="H613" i="1"/>
  <c r="BE613" i="1" s="1"/>
  <c r="H614" i="1"/>
  <c r="BE614" i="1" s="1"/>
  <c r="H615" i="1"/>
  <c r="BE615" i="1" s="1"/>
  <c r="H616" i="1"/>
  <c r="BE616" i="1" s="1"/>
  <c r="H617" i="1"/>
  <c r="BE617" i="1" s="1"/>
  <c r="H618" i="1"/>
  <c r="H619" i="1"/>
  <c r="BE619" i="1" s="1"/>
  <c r="H620" i="1"/>
  <c r="BE620" i="1" s="1"/>
  <c r="H621" i="1"/>
  <c r="BE621" i="1" s="1"/>
  <c r="H622" i="1"/>
  <c r="BE622" i="1" s="1"/>
  <c r="H623" i="1"/>
  <c r="BE623" i="1" s="1"/>
  <c r="H624" i="1"/>
  <c r="BE624" i="1" s="1"/>
  <c r="H625" i="1"/>
  <c r="BE625" i="1" s="1"/>
  <c r="H626" i="1"/>
  <c r="H627" i="1"/>
  <c r="BE627" i="1" s="1"/>
  <c r="H628" i="1"/>
  <c r="BE628" i="1" s="1"/>
  <c r="H629" i="1"/>
  <c r="BE629" i="1" s="1"/>
  <c r="H630" i="1"/>
  <c r="BE630" i="1" s="1"/>
  <c r="H631" i="1"/>
  <c r="BE631" i="1" s="1"/>
  <c r="H632" i="1"/>
  <c r="BE632" i="1" s="1"/>
  <c r="H633" i="1"/>
  <c r="BE633" i="1" s="1"/>
  <c r="H634" i="1"/>
  <c r="H635" i="1"/>
  <c r="BE635" i="1" s="1"/>
  <c r="H636" i="1"/>
  <c r="BE636" i="1" s="1"/>
  <c r="H637" i="1"/>
  <c r="BE637" i="1" s="1"/>
  <c r="H638" i="1"/>
  <c r="BE638" i="1" s="1"/>
  <c r="H639" i="1"/>
  <c r="BE639" i="1" s="1"/>
  <c r="H640" i="1"/>
  <c r="BE640" i="1" s="1"/>
  <c r="H641" i="1"/>
  <c r="BE641" i="1" s="1"/>
  <c r="H642" i="1"/>
  <c r="H643" i="1"/>
  <c r="BE643" i="1" s="1"/>
  <c r="H644" i="1"/>
  <c r="BE644" i="1" s="1"/>
  <c r="H645" i="1"/>
  <c r="BE645" i="1" s="1"/>
  <c r="H646" i="1"/>
  <c r="BE646" i="1" s="1"/>
  <c r="H647" i="1"/>
  <c r="BE647" i="1" s="1"/>
  <c r="H648" i="1"/>
  <c r="BE648" i="1" s="1"/>
  <c r="H649" i="1"/>
  <c r="BE649" i="1" s="1"/>
  <c r="H650" i="1"/>
  <c r="H651" i="1"/>
  <c r="BE651" i="1" s="1"/>
  <c r="H652" i="1"/>
  <c r="BE652" i="1" s="1"/>
  <c r="H653" i="1"/>
  <c r="BE653" i="1" s="1"/>
  <c r="H654" i="1"/>
  <c r="BE654" i="1" s="1"/>
  <c r="H655" i="1"/>
  <c r="BE655" i="1" s="1"/>
  <c r="H656" i="1"/>
  <c r="BE656" i="1" s="1"/>
  <c r="H657" i="1"/>
  <c r="BE657" i="1" s="1"/>
  <c r="H658" i="1"/>
  <c r="H659" i="1"/>
  <c r="BE659" i="1" s="1"/>
  <c r="H660" i="1"/>
  <c r="BE660" i="1" s="1"/>
  <c r="H661" i="1"/>
  <c r="BE661" i="1" s="1"/>
  <c r="H662" i="1"/>
  <c r="BE662" i="1" s="1"/>
  <c r="H663" i="1"/>
  <c r="BE663" i="1" s="1"/>
  <c r="H664" i="1"/>
  <c r="BE664" i="1" s="1"/>
  <c r="H665" i="1"/>
  <c r="BE665" i="1" s="1"/>
  <c r="H666" i="1"/>
  <c r="H667" i="1"/>
  <c r="BE667" i="1" s="1"/>
  <c r="H668" i="1"/>
  <c r="BE668" i="1" s="1"/>
  <c r="H669" i="1"/>
  <c r="BE669" i="1" s="1"/>
  <c r="H670" i="1"/>
  <c r="BE670" i="1" s="1"/>
  <c r="H671" i="1"/>
  <c r="BE671" i="1" s="1"/>
  <c r="H672" i="1"/>
  <c r="BE672" i="1" s="1"/>
  <c r="H673" i="1"/>
  <c r="BE673" i="1" s="1"/>
  <c r="H674" i="1"/>
  <c r="H675" i="1"/>
  <c r="BE675" i="1" s="1"/>
  <c r="H676" i="1"/>
  <c r="BE676" i="1" s="1"/>
  <c r="H677" i="1"/>
  <c r="BE677" i="1" s="1"/>
  <c r="H678" i="1"/>
  <c r="BE678" i="1" s="1"/>
  <c r="H679" i="1"/>
  <c r="BE679" i="1" s="1"/>
  <c r="H680" i="1"/>
  <c r="BE680" i="1" s="1"/>
  <c r="H681" i="1"/>
  <c r="BE681" i="1" s="1"/>
  <c r="H682" i="1"/>
  <c r="H683" i="1"/>
  <c r="BE683" i="1" s="1"/>
  <c r="H684" i="1"/>
  <c r="BE684" i="1" s="1"/>
  <c r="H685" i="1"/>
  <c r="BE685" i="1" s="1"/>
  <c r="H686" i="1"/>
  <c r="BE686" i="1" s="1"/>
  <c r="H687" i="1"/>
  <c r="BE687" i="1" s="1"/>
  <c r="H688" i="1"/>
  <c r="BE688" i="1" s="1"/>
  <c r="H689" i="1"/>
  <c r="BE689" i="1" s="1"/>
  <c r="H690" i="1"/>
  <c r="H691" i="1"/>
  <c r="BE691" i="1" s="1"/>
  <c r="H692" i="1"/>
  <c r="BE692" i="1" s="1"/>
  <c r="H693" i="1"/>
  <c r="BE693" i="1" s="1"/>
  <c r="H694" i="1"/>
  <c r="BE694" i="1" s="1"/>
  <c r="H695" i="1"/>
  <c r="BE695" i="1" s="1"/>
  <c r="H696" i="1"/>
  <c r="BE696" i="1" s="1"/>
  <c r="H697" i="1"/>
  <c r="BE697" i="1" s="1"/>
  <c r="H698" i="1"/>
  <c r="H699" i="1"/>
  <c r="BE699" i="1" s="1"/>
  <c r="H700" i="1"/>
  <c r="BE700" i="1" s="1"/>
  <c r="H701" i="1"/>
  <c r="BE701" i="1" s="1"/>
  <c r="H702" i="1"/>
  <c r="BE702" i="1" s="1"/>
  <c r="H703" i="1"/>
  <c r="BE703" i="1" s="1"/>
  <c r="H704" i="1"/>
  <c r="BE704" i="1" s="1"/>
  <c r="H705" i="1"/>
  <c r="BE705" i="1" s="1"/>
  <c r="H706" i="1"/>
  <c r="H707" i="1"/>
  <c r="BE707" i="1" s="1"/>
  <c r="H708" i="1"/>
  <c r="BE708" i="1" s="1"/>
  <c r="H709" i="1"/>
  <c r="BE709" i="1" s="1"/>
  <c r="H710" i="1"/>
  <c r="BE710" i="1" s="1"/>
  <c r="H711" i="1"/>
  <c r="BE711" i="1" s="1"/>
  <c r="H712" i="1"/>
  <c r="BE712" i="1" s="1"/>
  <c r="H713" i="1"/>
  <c r="BE713" i="1" s="1"/>
  <c r="H714" i="1"/>
  <c r="H715" i="1"/>
  <c r="BE715" i="1" s="1"/>
  <c r="H716" i="1"/>
  <c r="BE716" i="1" s="1"/>
  <c r="H717" i="1"/>
  <c r="BE717" i="1" s="1"/>
  <c r="H718" i="1"/>
  <c r="BE718" i="1" s="1"/>
  <c r="H719" i="1"/>
  <c r="BE719" i="1" s="1"/>
  <c r="H720" i="1"/>
  <c r="BE720" i="1" s="1"/>
  <c r="H721" i="1"/>
  <c r="BE721" i="1" s="1"/>
  <c r="H722" i="1"/>
  <c r="H723" i="1"/>
  <c r="BE723" i="1" s="1"/>
  <c r="H724" i="1"/>
  <c r="BE724" i="1" s="1"/>
  <c r="H725" i="1"/>
  <c r="BE725" i="1" s="1"/>
  <c r="H726" i="1"/>
  <c r="BE726" i="1" s="1"/>
  <c r="H727" i="1"/>
  <c r="BE727" i="1" s="1"/>
  <c r="H728" i="1"/>
  <c r="BE728" i="1" s="1"/>
  <c r="H729" i="1"/>
  <c r="BE729" i="1" s="1"/>
  <c r="H730" i="1"/>
  <c r="H731" i="1"/>
  <c r="BE731" i="1" s="1"/>
  <c r="H732" i="1"/>
  <c r="BE732" i="1" s="1"/>
  <c r="H733" i="1"/>
  <c r="BE733" i="1" s="1"/>
  <c r="H734" i="1"/>
  <c r="BE734" i="1" s="1"/>
  <c r="H735" i="1"/>
  <c r="BE735" i="1" s="1"/>
  <c r="H736" i="1"/>
  <c r="BE736" i="1" s="1"/>
  <c r="H737" i="1"/>
  <c r="BE737" i="1" s="1"/>
  <c r="H738" i="1"/>
  <c r="H739" i="1"/>
  <c r="BE739" i="1" s="1"/>
  <c r="H740" i="1"/>
  <c r="BE740" i="1" s="1"/>
  <c r="H741" i="1"/>
  <c r="BE741" i="1" s="1"/>
  <c r="H742" i="1"/>
  <c r="BE742" i="1" s="1"/>
  <c r="H743" i="1"/>
  <c r="BE743" i="1" s="1"/>
  <c r="H744" i="1"/>
  <c r="BE744" i="1" s="1"/>
  <c r="H745" i="1"/>
  <c r="BE745" i="1" s="1"/>
  <c r="H746" i="1"/>
  <c r="H747" i="1"/>
  <c r="BE747" i="1" s="1"/>
  <c r="H748" i="1"/>
  <c r="BE748" i="1" s="1"/>
  <c r="H749" i="1"/>
  <c r="BE749" i="1" s="1"/>
  <c r="H750" i="1"/>
  <c r="BE750" i="1" s="1"/>
  <c r="H751" i="1"/>
  <c r="BE751" i="1" s="1"/>
  <c r="H752" i="1"/>
  <c r="BE752" i="1" s="1"/>
  <c r="H753" i="1"/>
  <c r="BE753" i="1" s="1"/>
  <c r="H754" i="1"/>
  <c r="H755" i="1"/>
  <c r="BE755" i="1" s="1"/>
  <c r="H756" i="1"/>
  <c r="BE756" i="1" s="1"/>
  <c r="H757" i="1"/>
  <c r="BE757" i="1" s="1"/>
  <c r="H758" i="1"/>
  <c r="BE758" i="1" s="1"/>
  <c r="H759" i="1"/>
  <c r="BE759" i="1" s="1"/>
  <c r="H760" i="1"/>
  <c r="BE760" i="1" s="1"/>
  <c r="H761" i="1"/>
  <c r="BE761" i="1" s="1"/>
  <c r="H762" i="1"/>
  <c r="H763" i="1"/>
  <c r="BE763" i="1" s="1"/>
  <c r="H764" i="1"/>
  <c r="BE764" i="1" s="1"/>
  <c r="H765" i="1"/>
  <c r="BE765" i="1" s="1"/>
  <c r="H766" i="1"/>
  <c r="BE766" i="1" s="1"/>
  <c r="H767" i="1"/>
  <c r="BE767" i="1" s="1"/>
  <c r="H768" i="1"/>
  <c r="BE768" i="1" s="1"/>
  <c r="H769" i="1"/>
  <c r="BE769" i="1" s="1"/>
  <c r="H770" i="1"/>
  <c r="H771" i="1"/>
  <c r="BE771" i="1" s="1"/>
  <c r="H772" i="1"/>
  <c r="BE772" i="1" s="1"/>
  <c r="H773" i="1"/>
  <c r="BE773" i="1" s="1"/>
  <c r="H774" i="1"/>
  <c r="BE774" i="1" s="1"/>
  <c r="H775" i="1"/>
  <c r="BE775" i="1" s="1"/>
  <c r="H776" i="1"/>
  <c r="BE776" i="1" s="1"/>
  <c r="H777" i="1"/>
  <c r="BE777" i="1" s="1"/>
  <c r="H778" i="1"/>
  <c r="H779" i="1"/>
  <c r="BE779" i="1" s="1"/>
  <c r="H780" i="1"/>
  <c r="BE780" i="1" s="1"/>
  <c r="H781" i="1"/>
  <c r="BE781" i="1" s="1"/>
  <c r="H782" i="1"/>
  <c r="BE782" i="1" s="1"/>
  <c r="H783" i="1"/>
  <c r="BE783" i="1" s="1"/>
  <c r="H784" i="1"/>
  <c r="BE784" i="1" s="1"/>
  <c r="H785" i="1"/>
  <c r="BE785" i="1" s="1"/>
  <c r="H786" i="1"/>
  <c r="H787" i="1"/>
  <c r="BE787" i="1" s="1"/>
  <c r="H788" i="1"/>
  <c r="BE788" i="1" s="1"/>
  <c r="H789" i="1"/>
  <c r="BE789" i="1" s="1"/>
  <c r="H790" i="1"/>
  <c r="BE790" i="1" s="1"/>
  <c r="H791" i="1"/>
  <c r="BE791" i="1" s="1"/>
  <c r="H792" i="1"/>
  <c r="BE792" i="1" s="1"/>
  <c r="H793" i="1"/>
  <c r="BE793" i="1" s="1"/>
  <c r="H794" i="1"/>
  <c r="H795" i="1"/>
  <c r="BE795" i="1" s="1"/>
  <c r="H796" i="1"/>
  <c r="BE796" i="1" s="1"/>
  <c r="H797" i="1"/>
  <c r="BE797" i="1" s="1"/>
  <c r="H798" i="1"/>
  <c r="BE798" i="1" s="1"/>
  <c r="H799" i="1"/>
  <c r="BE799" i="1" s="1"/>
  <c r="H800" i="1"/>
  <c r="BE800" i="1" s="1"/>
  <c r="H801" i="1"/>
  <c r="BE801" i="1" s="1"/>
  <c r="H802" i="1"/>
  <c r="H803" i="1"/>
  <c r="BE803" i="1" s="1"/>
  <c r="H804" i="1"/>
  <c r="BE804" i="1" s="1"/>
  <c r="H805" i="1"/>
  <c r="BE805" i="1" s="1"/>
  <c r="H806" i="1"/>
  <c r="BE806" i="1" s="1"/>
  <c r="H807" i="1"/>
  <c r="BE807" i="1" s="1"/>
  <c r="H808" i="1"/>
  <c r="BE808" i="1" s="1"/>
  <c r="H809" i="1"/>
  <c r="BE809" i="1" s="1"/>
  <c r="H810" i="1"/>
  <c r="H811" i="1"/>
  <c r="BE811" i="1" s="1"/>
  <c r="H812" i="1"/>
  <c r="BE812" i="1" s="1"/>
  <c r="H813" i="1"/>
  <c r="BE813" i="1" s="1"/>
  <c r="H814" i="1"/>
  <c r="BE814" i="1" s="1"/>
  <c r="H815" i="1"/>
  <c r="BE815" i="1" s="1"/>
  <c r="H816" i="1"/>
  <c r="BE816" i="1" s="1"/>
  <c r="H817" i="1"/>
  <c r="BE817" i="1" s="1"/>
  <c r="H818" i="1"/>
  <c r="H819" i="1"/>
  <c r="BE819" i="1" s="1"/>
  <c r="H820" i="1"/>
  <c r="BE820" i="1" s="1"/>
  <c r="H821" i="1"/>
  <c r="BE821" i="1" s="1"/>
  <c r="H822" i="1"/>
  <c r="BE822" i="1" s="1"/>
  <c r="H823" i="1"/>
  <c r="BE823" i="1" s="1"/>
  <c r="H824" i="1"/>
  <c r="BE824" i="1" s="1"/>
  <c r="H825" i="1"/>
  <c r="BE825" i="1" s="1"/>
  <c r="H826" i="1"/>
  <c r="H827" i="1"/>
  <c r="BE827" i="1" s="1"/>
  <c r="H828" i="1"/>
  <c r="BE828" i="1" s="1"/>
  <c r="H829" i="1"/>
  <c r="BE829" i="1" s="1"/>
  <c r="H830" i="1"/>
  <c r="BE830" i="1" s="1"/>
  <c r="H831" i="1"/>
  <c r="BE831" i="1" s="1"/>
  <c r="H832" i="1"/>
  <c r="BE832" i="1" s="1"/>
  <c r="H833" i="1"/>
  <c r="BE833" i="1" s="1"/>
  <c r="H834" i="1"/>
  <c r="H835" i="1"/>
  <c r="BE835" i="1" s="1"/>
  <c r="H836" i="1"/>
  <c r="BE836" i="1" s="1"/>
  <c r="H837" i="1"/>
  <c r="BE837" i="1" s="1"/>
  <c r="H838" i="1"/>
  <c r="BE838" i="1" s="1"/>
  <c r="H839" i="1"/>
  <c r="BE839" i="1" s="1"/>
  <c r="H840" i="1"/>
  <c r="BE840" i="1" s="1"/>
  <c r="H841" i="1"/>
  <c r="BE841" i="1" s="1"/>
  <c r="H842" i="1"/>
  <c r="H843" i="1"/>
  <c r="BE843" i="1" s="1"/>
  <c r="H844" i="1"/>
  <c r="BE844" i="1" s="1"/>
  <c r="H845" i="1"/>
  <c r="BE845" i="1" s="1"/>
  <c r="H846" i="1"/>
  <c r="BE846" i="1" s="1"/>
  <c r="H847" i="1"/>
  <c r="BE847" i="1" s="1"/>
  <c r="H848" i="1"/>
  <c r="BE848" i="1" s="1"/>
  <c r="H849" i="1"/>
  <c r="BE849" i="1" s="1"/>
  <c r="H850" i="1"/>
  <c r="H851" i="1"/>
  <c r="BE851" i="1" s="1"/>
  <c r="H852" i="1"/>
  <c r="BE852" i="1" s="1"/>
  <c r="H853" i="1"/>
  <c r="BE853" i="1" s="1"/>
  <c r="H854" i="1"/>
  <c r="BE854" i="1" s="1"/>
  <c r="H855" i="1"/>
  <c r="BE855" i="1" s="1"/>
  <c r="H856" i="1"/>
  <c r="BE856" i="1" s="1"/>
  <c r="H857" i="1"/>
  <c r="BE857" i="1" s="1"/>
  <c r="H858" i="1"/>
  <c r="H859" i="1"/>
  <c r="BE859" i="1" s="1"/>
  <c r="H860" i="1"/>
  <c r="BE860" i="1" s="1"/>
  <c r="H861" i="1"/>
  <c r="BE861" i="1" s="1"/>
  <c r="H862" i="1"/>
  <c r="BE862" i="1" s="1"/>
  <c r="H863" i="1"/>
  <c r="BE863" i="1" s="1"/>
  <c r="H864" i="1"/>
  <c r="BE864" i="1" s="1"/>
  <c r="H865" i="1"/>
  <c r="BE865" i="1" s="1"/>
  <c r="H866" i="1"/>
  <c r="H867" i="1"/>
  <c r="BE867" i="1" s="1"/>
  <c r="H868" i="1"/>
  <c r="BE868" i="1" s="1"/>
  <c r="H869" i="1"/>
  <c r="BE869" i="1" s="1"/>
  <c r="H870" i="1"/>
  <c r="BE870" i="1" s="1"/>
  <c r="H871" i="1"/>
  <c r="BE871" i="1" s="1"/>
  <c r="H872" i="1"/>
  <c r="BE872" i="1" s="1"/>
  <c r="H873" i="1"/>
  <c r="BE873" i="1" s="1"/>
  <c r="H874" i="1"/>
  <c r="H875" i="1"/>
  <c r="BE875" i="1" s="1"/>
  <c r="H876" i="1"/>
  <c r="BE876" i="1" s="1"/>
  <c r="H877" i="1"/>
  <c r="BE877" i="1" s="1"/>
  <c r="H878" i="1"/>
  <c r="BE878" i="1" s="1"/>
  <c r="H879" i="1"/>
  <c r="BE879" i="1" s="1"/>
  <c r="H880" i="1"/>
  <c r="BE880" i="1" s="1"/>
  <c r="H881" i="1"/>
  <c r="BE881" i="1" s="1"/>
  <c r="H882" i="1"/>
  <c r="H883" i="1"/>
  <c r="BE883" i="1" s="1"/>
  <c r="H884" i="1"/>
  <c r="BE884" i="1" s="1"/>
  <c r="H885" i="1"/>
  <c r="BE885" i="1" s="1"/>
  <c r="H886" i="1"/>
  <c r="BE886" i="1" s="1"/>
  <c r="H887" i="1"/>
  <c r="BE887" i="1" s="1"/>
  <c r="H888" i="1"/>
  <c r="BE888" i="1" s="1"/>
  <c r="H889" i="1"/>
  <c r="BE889" i="1" s="1"/>
  <c r="H890" i="1"/>
  <c r="H891" i="1"/>
  <c r="BE891" i="1" s="1"/>
  <c r="H892" i="1"/>
  <c r="BE892" i="1" s="1"/>
  <c r="H893" i="1"/>
  <c r="BE893" i="1" s="1"/>
  <c r="H894" i="1"/>
  <c r="BE894" i="1" s="1"/>
  <c r="H895" i="1"/>
  <c r="BE895" i="1" s="1"/>
  <c r="H896" i="1"/>
  <c r="BE896" i="1" s="1"/>
  <c r="H897" i="1"/>
  <c r="BE897" i="1" s="1"/>
  <c r="H898" i="1"/>
  <c r="H899" i="1"/>
  <c r="BE899" i="1" s="1"/>
  <c r="H900" i="1"/>
  <c r="BE900" i="1" s="1"/>
  <c r="H901" i="1"/>
  <c r="BE901" i="1" s="1"/>
  <c r="H902" i="1"/>
  <c r="BE902" i="1" s="1"/>
  <c r="H903" i="1"/>
  <c r="BE903" i="1" s="1"/>
  <c r="H904" i="1"/>
  <c r="BE904" i="1" s="1"/>
  <c r="H905" i="1"/>
  <c r="BE905" i="1" s="1"/>
  <c r="H906" i="1"/>
  <c r="H907" i="1"/>
  <c r="BE907" i="1" s="1"/>
  <c r="H908" i="1"/>
  <c r="BE908" i="1" s="1"/>
  <c r="H909" i="1"/>
  <c r="BE909" i="1" s="1"/>
  <c r="H910" i="1"/>
  <c r="BE910" i="1" s="1"/>
  <c r="H911" i="1"/>
  <c r="BE911" i="1" s="1"/>
  <c r="H912" i="1"/>
  <c r="BE912" i="1" s="1"/>
  <c r="H913" i="1"/>
  <c r="BE913" i="1" s="1"/>
  <c r="H914" i="1"/>
  <c r="H915" i="1"/>
  <c r="BE915" i="1" s="1"/>
  <c r="H916" i="1"/>
  <c r="BE916" i="1" s="1"/>
  <c r="H917" i="1"/>
  <c r="BE917" i="1" s="1"/>
  <c r="H918" i="1"/>
  <c r="BE918" i="1" s="1"/>
  <c r="H919" i="1"/>
  <c r="BE919" i="1" s="1"/>
  <c r="H920" i="1"/>
  <c r="BE920" i="1" s="1"/>
  <c r="H921" i="1"/>
  <c r="BE921" i="1" s="1"/>
  <c r="H922" i="1"/>
  <c r="H923" i="1"/>
  <c r="BE923" i="1" s="1"/>
  <c r="H924" i="1"/>
  <c r="BE924" i="1" s="1"/>
  <c r="H925" i="1"/>
  <c r="BE925" i="1" s="1"/>
  <c r="H926" i="1"/>
  <c r="BE926" i="1" s="1"/>
  <c r="H927" i="1"/>
  <c r="BE927" i="1" s="1"/>
  <c r="H928" i="1"/>
  <c r="BE928" i="1" s="1"/>
  <c r="H929" i="1"/>
  <c r="BE929" i="1" s="1"/>
  <c r="H930" i="1"/>
  <c r="H931" i="1"/>
  <c r="BE931" i="1" s="1"/>
  <c r="H932" i="1"/>
  <c r="BE932" i="1" s="1"/>
  <c r="H933" i="1"/>
  <c r="BE933" i="1" s="1"/>
  <c r="H934" i="1"/>
  <c r="BE934" i="1" s="1"/>
  <c r="H935" i="1"/>
  <c r="BE935" i="1" s="1"/>
  <c r="H936" i="1"/>
  <c r="BE936" i="1" s="1"/>
  <c r="H937" i="1"/>
  <c r="BE937" i="1" s="1"/>
  <c r="H938" i="1"/>
  <c r="H939" i="1"/>
  <c r="BE939" i="1" s="1"/>
  <c r="H940" i="1"/>
  <c r="BE940" i="1" s="1"/>
  <c r="H941" i="1"/>
  <c r="BE941" i="1" s="1"/>
  <c r="H942" i="1"/>
  <c r="BE942" i="1" s="1"/>
  <c r="H943" i="1"/>
  <c r="BE943" i="1" s="1"/>
  <c r="H944" i="1"/>
  <c r="BE944" i="1" s="1"/>
  <c r="H945" i="1"/>
  <c r="BE945" i="1" s="1"/>
  <c r="H946" i="1"/>
  <c r="H947" i="1"/>
  <c r="BE947" i="1" s="1"/>
  <c r="H948" i="1"/>
  <c r="BE948" i="1" s="1"/>
  <c r="H949" i="1"/>
  <c r="BE949" i="1" s="1"/>
  <c r="H950" i="1"/>
  <c r="BE950" i="1" s="1"/>
  <c r="H951" i="1"/>
  <c r="BE951" i="1" s="1"/>
  <c r="H952" i="1"/>
  <c r="BE952" i="1" s="1"/>
  <c r="H953" i="1"/>
  <c r="BE953" i="1" s="1"/>
  <c r="H954" i="1"/>
  <c r="H955" i="1"/>
  <c r="BE955" i="1" s="1"/>
  <c r="H956" i="1"/>
  <c r="BE956" i="1" s="1"/>
  <c r="H957" i="1"/>
  <c r="BE957" i="1" s="1"/>
  <c r="H958" i="1"/>
  <c r="BE958" i="1" s="1"/>
  <c r="H959" i="1"/>
  <c r="BE959" i="1" s="1"/>
  <c r="H960" i="1"/>
  <c r="BE960" i="1" s="1"/>
  <c r="H961" i="1"/>
  <c r="BE961" i="1" s="1"/>
  <c r="H962" i="1"/>
  <c r="H963" i="1"/>
  <c r="BE963" i="1" s="1"/>
  <c r="H964" i="1"/>
  <c r="BE964" i="1" s="1"/>
  <c r="H965" i="1"/>
  <c r="BE965" i="1" s="1"/>
  <c r="H966" i="1"/>
  <c r="BE966" i="1" s="1"/>
  <c r="H967" i="1"/>
  <c r="BE967" i="1" s="1"/>
  <c r="H968" i="1"/>
  <c r="BE968" i="1" s="1"/>
  <c r="H969" i="1"/>
  <c r="BE969" i="1" s="1"/>
  <c r="H970" i="1"/>
  <c r="H971" i="1"/>
  <c r="BE971" i="1" s="1"/>
  <c r="H972" i="1"/>
  <c r="BE972" i="1" s="1"/>
  <c r="H973" i="1"/>
  <c r="BE973" i="1" s="1"/>
  <c r="H974" i="1"/>
  <c r="BE974" i="1" s="1"/>
  <c r="H975" i="1"/>
  <c r="BE975" i="1" s="1"/>
  <c r="H976" i="1"/>
  <c r="BE976" i="1" s="1"/>
  <c r="H977" i="1"/>
  <c r="BE977" i="1" s="1"/>
  <c r="H978" i="1"/>
  <c r="H979" i="1"/>
  <c r="BE979" i="1" s="1"/>
  <c r="H980" i="1"/>
  <c r="BE980" i="1" s="1"/>
  <c r="H981" i="1"/>
  <c r="BE981" i="1" s="1"/>
  <c r="H982" i="1"/>
  <c r="BE982" i="1" s="1"/>
  <c r="H983" i="1"/>
  <c r="BE983" i="1" s="1"/>
  <c r="H984" i="1"/>
  <c r="BE984" i="1" s="1"/>
  <c r="H985" i="1"/>
  <c r="BE985" i="1" s="1"/>
  <c r="H986" i="1"/>
  <c r="H987" i="1"/>
  <c r="BE987" i="1" s="1"/>
  <c r="H988" i="1"/>
  <c r="BE988" i="1" s="1"/>
  <c r="H989" i="1"/>
  <c r="BE989" i="1" s="1"/>
  <c r="H990" i="1"/>
  <c r="BE990" i="1" s="1"/>
  <c r="H991" i="1"/>
  <c r="BE991" i="1" s="1"/>
  <c r="H992" i="1"/>
  <c r="BE992" i="1" s="1"/>
  <c r="H993" i="1"/>
  <c r="BE993" i="1" s="1"/>
  <c r="H994" i="1"/>
  <c r="H995" i="1"/>
  <c r="BE995" i="1" s="1"/>
  <c r="H996" i="1"/>
  <c r="BE996" i="1" s="1"/>
  <c r="H997" i="1"/>
  <c r="BE997" i="1" s="1"/>
  <c r="H998" i="1"/>
  <c r="BE998" i="1" s="1"/>
  <c r="H999" i="1"/>
  <c r="BE999" i="1" s="1"/>
  <c r="H1000" i="1"/>
  <c r="BE1000" i="1" s="1"/>
  <c r="H1001" i="1"/>
  <c r="BE1001" i="1" s="1"/>
  <c r="H1002" i="1"/>
  <c r="H1003" i="1"/>
  <c r="BE1003" i="1" s="1"/>
  <c r="H1004" i="1"/>
  <c r="BE1004" i="1" s="1"/>
  <c r="H1005" i="1"/>
  <c r="BE1005" i="1" s="1"/>
  <c r="H1006" i="1"/>
  <c r="BE1006" i="1" s="1"/>
  <c r="H1007" i="1"/>
  <c r="BE1007" i="1" s="1"/>
  <c r="H1008" i="1"/>
  <c r="BE1008" i="1" s="1"/>
  <c r="H1009" i="1"/>
  <c r="BE1009" i="1" s="1"/>
  <c r="H1010" i="1"/>
  <c r="H1011" i="1"/>
  <c r="BE1011" i="1" s="1"/>
  <c r="H1012" i="1"/>
  <c r="BE1012" i="1" s="1"/>
  <c r="H1013" i="1"/>
  <c r="BE1013" i="1" s="1"/>
  <c r="H1014" i="1"/>
  <c r="BE1014" i="1" s="1"/>
  <c r="H1015" i="1"/>
  <c r="BE1015" i="1" s="1"/>
  <c r="H1016" i="1"/>
  <c r="BE1016" i="1" s="1"/>
  <c r="H1017" i="1"/>
  <c r="BE1017" i="1" s="1"/>
  <c r="H1018" i="1"/>
  <c r="H1019" i="1"/>
  <c r="BE1019" i="1" s="1"/>
  <c r="H1020" i="1"/>
  <c r="BE1020" i="1" s="1"/>
  <c r="H1021" i="1"/>
  <c r="BE1021" i="1" s="1"/>
  <c r="H1022" i="1"/>
  <c r="BE1022" i="1" s="1"/>
  <c r="H1023" i="1"/>
  <c r="BE1023" i="1" s="1"/>
  <c r="H1024" i="1"/>
  <c r="BE1024" i="1" s="1"/>
  <c r="H1025" i="1"/>
  <c r="BE1025" i="1" s="1"/>
  <c r="H1026" i="1"/>
  <c r="H1027" i="1"/>
  <c r="BE1027" i="1" s="1"/>
  <c r="H1028" i="1"/>
  <c r="BE1028" i="1" s="1"/>
  <c r="H1029" i="1"/>
  <c r="BE1029" i="1" s="1"/>
  <c r="H1030" i="1"/>
  <c r="BE1030" i="1" s="1"/>
  <c r="H1031" i="1"/>
  <c r="BE1031" i="1" s="1"/>
  <c r="H1032" i="1"/>
  <c r="BE1032" i="1" s="1"/>
  <c r="H1033" i="1"/>
  <c r="BE1033" i="1" s="1"/>
  <c r="H1034" i="1"/>
  <c r="H1035" i="1"/>
  <c r="BE1035" i="1" s="1"/>
  <c r="H1036" i="1"/>
  <c r="BE1036" i="1" s="1"/>
  <c r="H1037" i="1"/>
  <c r="BE1037" i="1" s="1"/>
  <c r="H1038" i="1"/>
  <c r="BE1038" i="1" s="1"/>
  <c r="H1039" i="1"/>
  <c r="BE1039" i="1" s="1"/>
  <c r="H1040" i="1"/>
  <c r="BE1040" i="1" s="1"/>
  <c r="H1041" i="1"/>
  <c r="BE1041" i="1" s="1"/>
  <c r="H1042" i="1"/>
  <c r="H1043" i="1"/>
  <c r="BE1043" i="1" s="1"/>
  <c r="H1044" i="1"/>
  <c r="BE1044" i="1" s="1"/>
  <c r="H1045" i="1"/>
  <c r="BE1045" i="1" s="1"/>
  <c r="H1046" i="1"/>
  <c r="BE1046" i="1" s="1"/>
  <c r="H1047" i="1"/>
  <c r="BE1047" i="1" s="1"/>
  <c r="H1048" i="1"/>
  <c r="BE1048" i="1" s="1"/>
  <c r="H1049" i="1"/>
  <c r="BE1049" i="1" s="1"/>
  <c r="H1050" i="1"/>
  <c r="H1051" i="1"/>
  <c r="BE1051" i="1" s="1"/>
  <c r="H1052" i="1"/>
  <c r="BE1052" i="1" s="1"/>
  <c r="H1053" i="1"/>
  <c r="BE1053" i="1" s="1"/>
  <c r="H1054" i="1"/>
  <c r="BE1054" i="1" s="1"/>
  <c r="H1055" i="1"/>
  <c r="BE1055" i="1" s="1"/>
  <c r="H1056" i="1"/>
  <c r="BE1056" i="1" s="1"/>
  <c r="H1057" i="1"/>
  <c r="BE1057" i="1" s="1"/>
  <c r="H1058" i="1"/>
  <c r="H1059" i="1"/>
  <c r="BE1059" i="1" s="1"/>
  <c r="H1060" i="1"/>
  <c r="BE1060" i="1" s="1"/>
  <c r="H1061" i="1"/>
  <c r="BE1061" i="1" s="1"/>
  <c r="H1062" i="1"/>
  <c r="BE1062" i="1" s="1"/>
  <c r="H1063" i="1"/>
  <c r="BE1063" i="1" s="1"/>
  <c r="H1064" i="1"/>
  <c r="BE1064" i="1" s="1"/>
  <c r="H1065" i="1"/>
  <c r="BE1065" i="1" s="1"/>
  <c r="H1066" i="1"/>
  <c r="H1067" i="1"/>
  <c r="BE1067" i="1" s="1"/>
  <c r="H1068" i="1"/>
  <c r="BE1068" i="1" s="1"/>
  <c r="H1069" i="1"/>
  <c r="BE1069" i="1" s="1"/>
  <c r="H1070" i="1"/>
  <c r="BE1070" i="1" s="1"/>
  <c r="H1071" i="1"/>
  <c r="BE1071" i="1" s="1"/>
  <c r="H1072" i="1"/>
  <c r="BE1072" i="1" s="1"/>
  <c r="H1073" i="1"/>
  <c r="BE1073" i="1" s="1"/>
  <c r="H1074" i="1"/>
  <c r="H1075" i="1"/>
  <c r="BE1075" i="1" s="1"/>
  <c r="H1076" i="1"/>
  <c r="BE1076" i="1" s="1"/>
  <c r="H1077" i="1"/>
  <c r="BE1077" i="1" s="1"/>
  <c r="H1078" i="1"/>
  <c r="BE1078" i="1" s="1"/>
  <c r="H1079" i="1"/>
  <c r="BE1079" i="1" s="1"/>
  <c r="H1080" i="1"/>
  <c r="BE1080" i="1" s="1"/>
  <c r="H1081" i="1"/>
  <c r="BE1081" i="1" s="1"/>
  <c r="H1082" i="1"/>
  <c r="H1083" i="1"/>
  <c r="BE1083" i="1" s="1"/>
  <c r="H1084" i="1"/>
  <c r="BE1084" i="1" s="1"/>
  <c r="H1085" i="1"/>
  <c r="BE1085" i="1" s="1"/>
  <c r="H1086" i="1"/>
  <c r="BE1086" i="1" s="1"/>
  <c r="H1087" i="1"/>
  <c r="BE1087" i="1" s="1"/>
  <c r="H1088" i="1"/>
  <c r="BE1088" i="1" s="1"/>
  <c r="H1089" i="1"/>
  <c r="BE1089" i="1" s="1"/>
  <c r="H1090" i="1"/>
  <c r="H1091" i="1"/>
  <c r="BE1091" i="1" s="1"/>
  <c r="H1092" i="1"/>
  <c r="BE1092" i="1" s="1"/>
  <c r="H1093" i="1"/>
  <c r="BE1093" i="1" s="1"/>
  <c r="H1094" i="1"/>
  <c r="BE1094" i="1" s="1"/>
  <c r="H1095" i="1"/>
  <c r="BE1095" i="1" s="1"/>
  <c r="H1096" i="1"/>
  <c r="BE1096" i="1" s="1"/>
  <c r="H1097" i="1"/>
  <c r="BE1097" i="1" s="1"/>
  <c r="H1098" i="1"/>
  <c r="H1099" i="1"/>
  <c r="BE1099" i="1" s="1"/>
  <c r="H1100" i="1"/>
  <c r="BE1100" i="1" s="1"/>
  <c r="H1101" i="1"/>
  <c r="BE1101" i="1" s="1"/>
  <c r="H1102" i="1"/>
  <c r="BE1102" i="1" s="1"/>
  <c r="H1103" i="1"/>
  <c r="BE1103" i="1" s="1"/>
  <c r="H1104" i="1"/>
  <c r="BE1104" i="1" s="1"/>
  <c r="H1105" i="1"/>
  <c r="BE1105" i="1" s="1"/>
  <c r="H1106" i="1"/>
  <c r="H1107" i="1"/>
  <c r="BE1107" i="1" s="1"/>
  <c r="H1108" i="1"/>
  <c r="BE1108" i="1" s="1"/>
  <c r="H1109" i="1"/>
  <c r="BE1109" i="1" s="1"/>
  <c r="H1110" i="1"/>
  <c r="BE1110" i="1" s="1"/>
  <c r="H1111" i="1"/>
  <c r="BE1111" i="1" s="1"/>
  <c r="H1112" i="1"/>
  <c r="BE1112" i="1" s="1"/>
  <c r="H1113" i="1"/>
  <c r="BE1113" i="1" s="1"/>
  <c r="H1114" i="1"/>
  <c r="H1115" i="1"/>
  <c r="BE1115" i="1" s="1"/>
  <c r="H1116" i="1"/>
  <c r="BE1116" i="1" s="1"/>
  <c r="H1117" i="1"/>
  <c r="BE1117" i="1" s="1"/>
  <c r="H1118" i="1"/>
  <c r="BE1118" i="1" s="1"/>
  <c r="H1119" i="1"/>
  <c r="BE1119" i="1" s="1"/>
  <c r="H1120" i="1"/>
  <c r="BE1120" i="1" s="1"/>
  <c r="H1121" i="1"/>
  <c r="BE1121" i="1" s="1"/>
  <c r="H1122" i="1"/>
  <c r="H1123" i="1"/>
  <c r="BE1123" i="1" s="1"/>
  <c r="H1124" i="1"/>
  <c r="BE1124" i="1" s="1"/>
  <c r="H1125" i="1"/>
  <c r="BE1125" i="1" s="1"/>
  <c r="H1126" i="1"/>
  <c r="BE1126" i="1" s="1"/>
  <c r="H1127" i="1"/>
  <c r="BE1127" i="1" s="1"/>
  <c r="H1128" i="1"/>
  <c r="BE1128" i="1" s="1"/>
  <c r="H1129" i="1"/>
  <c r="BE1129" i="1" s="1"/>
  <c r="H1130" i="1"/>
  <c r="H1131" i="1"/>
  <c r="BE1131" i="1" s="1"/>
  <c r="H1132" i="1"/>
  <c r="BE1132" i="1" s="1"/>
  <c r="H1133" i="1"/>
  <c r="BE1133" i="1" s="1"/>
  <c r="H1134" i="1"/>
  <c r="BE1134" i="1" s="1"/>
  <c r="H1135" i="1"/>
  <c r="BE1135" i="1" s="1"/>
  <c r="H1136" i="1"/>
  <c r="BE1136" i="1" s="1"/>
  <c r="H1137" i="1"/>
  <c r="BE1137" i="1" s="1"/>
  <c r="H1138" i="1"/>
  <c r="H1139" i="1"/>
  <c r="BE1139" i="1" s="1"/>
  <c r="H1140" i="1"/>
  <c r="BE1140" i="1" s="1"/>
  <c r="H1141" i="1"/>
  <c r="BE1141" i="1" s="1"/>
  <c r="H1142" i="1"/>
  <c r="BE1142" i="1" s="1"/>
  <c r="H1143" i="1"/>
  <c r="BE1143" i="1" s="1"/>
  <c r="H1144" i="1"/>
  <c r="BE1144" i="1" s="1"/>
  <c r="H1145" i="1"/>
  <c r="BE1145" i="1" s="1"/>
  <c r="H1146" i="1"/>
  <c r="H1147" i="1"/>
  <c r="BE1147" i="1" s="1"/>
  <c r="H1148" i="1"/>
  <c r="BE1148" i="1" s="1"/>
  <c r="H1149" i="1"/>
  <c r="BE1149" i="1" s="1"/>
  <c r="H1150" i="1"/>
  <c r="BE1150" i="1" s="1"/>
  <c r="H1151" i="1"/>
  <c r="BE1151" i="1" s="1"/>
  <c r="H1152" i="1"/>
  <c r="BE1152" i="1" s="1"/>
  <c r="H1153" i="1"/>
  <c r="BE1153" i="1" s="1"/>
  <c r="H1154" i="1"/>
  <c r="H1155" i="1"/>
  <c r="BE1155" i="1" s="1"/>
  <c r="H1156" i="1"/>
  <c r="BE1156" i="1" s="1"/>
  <c r="H1157" i="1"/>
  <c r="BE1157" i="1" s="1"/>
  <c r="H1158" i="1"/>
  <c r="BE1158" i="1" s="1"/>
  <c r="H1159" i="1"/>
  <c r="BE1159" i="1" s="1"/>
  <c r="H1160" i="1"/>
  <c r="BE1160" i="1" s="1"/>
  <c r="H1161" i="1"/>
  <c r="BE1161" i="1" s="1"/>
  <c r="H1162" i="1"/>
  <c r="H1163" i="1"/>
  <c r="BE1163" i="1" s="1"/>
  <c r="H1164" i="1"/>
  <c r="BE1164" i="1" s="1"/>
  <c r="H1165" i="1"/>
  <c r="BE1165" i="1" s="1"/>
  <c r="H1166" i="1"/>
  <c r="BE1166" i="1" s="1"/>
  <c r="H1167" i="1"/>
  <c r="BE1167" i="1" s="1"/>
  <c r="H1168" i="1"/>
  <c r="BE1168" i="1" s="1"/>
  <c r="H1169" i="1"/>
  <c r="BE1169" i="1" s="1"/>
  <c r="H1170" i="1"/>
  <c r="H1171" i="1"/>
  <c r="BE1171" i="1" s="1"/>
  <c r="H1172" i="1"/>
  <c r="BE1172" i="1" s="1"/>
  <c r="H1173" i="1"/>
  <c r="BE1173" i="1" s="1"/>
  <c r="H1174" i="1"/>
  <c r="BE1174" i="1" s="1"/>
  <c r="H1175" i="1"/>
  <c r="BE1175" i="1" s="1"/>
  <c r="H1176" i="1"/>
  <c r="BE1176" i="1" s="1"/>
  <c r="H1177" i="1"/>
  <c r="BE1177" i="1" s="1"/>
  <c r="H1178" i="1"/>
  <c r="H1179" i="1"/>
  <c r="BE1179" i="1" s="1"/>
  <c r="H1180" i="1"/>
  <c r="BE1180" i="1" s="1"/>
  <c r="H1181" i="1"/>
  <c r="BE1181" i="1" s="1"/>
  <c r="H1182" i="1"/>
  <c r="BE1182" i="1" s="1"/>
  <c r="H1183" i="1"/>
  <c r="BE1183" i="1" s="1"/>
  <c r="H1184" i="1"/>
  <c r="BE1184" i="1" s="1"/>
  <c r="H1185" i="1"/>
  <c r="BE1185" i="1" s="1"/>
  <c r="H1186" i="1"/>
  <c r="H1187" i="1"/>
  <c r="BE1187" i="1" s="1"/>
  <c r="H1188" i="1"/>
  <c r="BE1188" i="1" s="1"/>
  <c r="H1189" i="1"/>
  <c r="BE1189" i="1" s="1"/>
  <c r="H1190" i="1"/>
  <c r="BE1190" i="1" s="1"/>
  <c r="H1191" i="1"/>
  <c r="BE1191" i="1" s="1"/>
  <c r="H1192" i="1"/>
  <c r="BE1192" i="1" s="1"/>
  <c r="H1193" i="1"/>
  <c r="BE1193" i="1" s="1"/>
  <c r="H1194" i="1"/>
  <c r="H1195" i="1"/>
  <c r="BE1195" i="1" s="1"/>
  <c r="H1196" i="1"/>
  <c r="BE1196" i="1" s="1"/>
  <c r="H1197" i="1"/>
  <c r="BE1197" i="1" s="1"/>
  <c r="H1198" i="1"/>
  <c r="BE1198" i="1" s="1"/>
  <c r="H1199" i="1"/>
  <c r="BE1199" i="1" s="1"/>
  <c r="H1200" i="1"/>
  <c r="BE1200" i="1" s="1"/>
  <c r="H1201" i="1"/>
  <c r="BE1201" i="1" s="1"/>
  <c r="H1202" i="1"/>
  <c r="H1203" i="1"/>
  <c r="BE1203" i="1" s="1"/>
  <c r="H1204" i="1"/>
  <c r="BE1204" i="1" s="1"/>
  <c r="H1205" i="1"/>
  <c r="BE1205" i="1" s="1"/>
  <c r="H1206" i="1"/>
  <c r="BE1206" i="1" s="1"/>
  <c r="H1207" i="1"/>
  <c r="BE1207" i="1" s="1"/>
  <c r="H1208" i="1"/>
  <c r="BE1208" i="1" s="1"/>
  <c r="H1209" i="1"/>
  <c r="BE1209" i="1" s="1"/>
  <c r="H1210" i="1"/>
  <c r="H1211" i="1"/>
  <c r="BE1211" i="1" s="1"/>
  <c r="H1212" i="1"/>
  <c r="BE1212" i="1" s="1"/>
  <c r="H1213" i="1"/>
  <c r="BE1213" i="1" s="1"/>
  <c r="H1214" i="1"/>
  <c r="BE1214" i="1" s="1"/>
  <c r="H1215" i="1"/>
  <c r="BE1215" i="1" s="1"/>
  <c r="H1216" i="1"/>
  <c r="BE1216" i="1" s="1"/>
  <c r="H1217" i="1"/>
  <c r="BE1217" i="1" s="1"/>
  <c r="H1218" i="1"/>
  <c r="H1219" i="1"/>
  <c r="BE1219" i="1" s="1"/>
  <c r="H1220" i="1"/>
  <c r="BE1220" i="1" s="1"/>
  <c r="H1221" i="1"/>
  <c r="BE1221" i="1" s="1"/>
  <c r="H1222" i="1"/>
  <c r="BE1222" i="1" s="1"/>
  <c r="H1223" i="1"/>
  <c r="BE1223" i="1" s="1"/>
  <c r="H1224" i="1"/>
  <c r="BE1224" i="1" s="1"/>
  <c r="H1225" i="1"/>
  <c r="BE1225" i="1" s="1"/>
  <c r="H1226" i="1"/>
  <c r="H1227" i="1"/>
  <c r="BE1227" i="1" s="1"/>
  <c r="H1228" i="1"/>
  <c r="BE1228" i="1" s="1"/>
  <c r="H1229" i="1"/>
  <c r="BE1229" i="1" s="1"/>
  <c r="H1230" i="1"/>
  <c r="BE1230" i="1" s="1"/>
  <c r="H1231" i="1"/>
  <c r="BE1231" i="1" s="1"/>
  <c r="H1232" i="1"/>
  <c r="BE1232" i="1" s="1"/>
  <c r="H1233" i="1"/>
  <c r="BE1233" i="1" s="1"/>
  <c r="H1234" i="1"/>
  <c r="H1235" i="1"/>
  <c r="BE1235" i="1" s="1"/>
  <c r="H1236" i="1"/>
  <c r="BE1236" i="1" s="1"/>
  <c r="H1237" i="1"/>
  <c r="BE1237" i="1" s="1"/>
  <c r="H1238" i="1"/>
  <c r="BE1238" i="1" s="1"/>
  <c r="H1239" i="1"/>
  <c r="BE1239" i="1" s="1"/>
  <c r="H1240" i="1"/>
  <c r="BE1240" i="1" s="1"/>
  <c r="H1241" i="1"/>
  <c r="BE1241" i="1" s="1"/>
  <c r="H1242" i="1"/>
  <c r="H1243" i="1"/>
  <c r="BE1243" i="1" s="1"/>
  <c r="H1244" i="1"/>
  <c r="BE1244" i="1" s="1"/>
  <c r="H1245" i="1"/>
  <c r="BE1245" i="1" s="1"/>
  <c r="H1246" i="1"/>
  <c r="BE1246" i="1" s="1"/>
  <c r="H1247" i="1"/>
  <c r="BE1247" i="1" s="1"/>
  <c r="H1248" i="1"/>
  <c r="BE1248" i="1" s="1"/>
  <c r="H1249" i="1"/>
  <c r="BE1249" i="1" s="1"/>
  <c r="H1250" i="1"/>
  <c r="H1251" i="1"/>
  <c r="BE1251" i="1" s="1"/>
  <c r="H1252" i="1"/>
  <c r="BE1252" i="1" s="1"/>
  <c r="H1253" i="1"/>
  <c r="BE1253" i="1" s="1"/>
  <c r="H1254" i="1"/>
  <c r="BE1254" i="1" s="1"/>
  <c r="H1255" i="1"/>
  <c r="BE1255" i="1" s="1"/>
  <c r="H1256" i="1"/>
  <c r="BE1256" i="1" s="1"/>
  <c r="H1257" i="1"/>
  <c r="BE1257" i="1" s="1"/>
  <c r="H1258" i="1"/>
  <c r="H1259" i="1"/>
  <c r="BE1259" i="1" s="1"/>
  <c r="H1260" i="1"/>
  <c r="BE1260" i="1" s="1"/>
  <c r="H1261" i="1"/>
  <c r="BE1261" i="1" s="1"/>
  <c r="H1262" i="1"/>
  <c r="BE1262" i="1" s="1"/>
  <c r="H1263" i="1"/>
  <c r="BE1263" i="1" s="1"/>
  <c r="H1264" i="1"/>
  <c r="BE1264" i="1" s="1"/>
  <c r="H1265" i="1"/>
  <c r="BE1265" i="1" s="1"/>
  <c r="H1266" i="1"/>
  <c r="H1267" i="1"/>
  <c r="BE1267" i="1" s="1"/>
  <c r="H1268" i="1"/>
  <c r="BE1268" i="1" s="1"/>
  <c r="H1269" i="1"/>
  <c r="BE1269" i="1" s="1"/>
  <c r="H1270" i="1"/>
  <c r="BE1270" i="1" s="1"/>
  <c r="H1271" i="1"/>
  <c r="BE1271" i="1" s="1"/>
  <c r="H1272" i="1"/>
  <c r="BE1272" i="1" s="1"/>
  <c r="H1273" i="1"/>
  <c r="BE1273" i="1" s="1"/>
  <c r="H1274" i="1"/>
  <c r="H1275" i="1"/>
  <c r="BE1275" i="1" s="1"/>
  <c r="H1276" i="1"/>
  <c r="BE1276" i="1" s="1"/>
  <c r="H1277" i="1"/>
  <c r="BE1277" i="1" s="1"/>
  <c r="H1278" i="1"/>
  <c r="BE1278" i="1" s="1"/>
  <c r="H1279" i="1"/>
  <c r="BE1279" i="1" s="1"/>
  <c r="H1280" i="1"/>
  <c r="BE1280" i="1" s="1"/>
  <c r="H1281" i="1"/>
  <c r="BE1281" i="1" s="1"/>
  <c r="H1282" i="1"/>
  <c r="H1283" i="1"/>
  <c r="BE1283" i="1" s="1"/>
  <c r="H1284" i="1"/>
  <c r="BE1284" i="1" s="1"/>
  <c r="H1285" i="1"/>
  <c r="BE1285" i="1" s="1"/>
  <c r="H1286" i="1"/>
  <c r="BE1286" i="1" s="1"/>
  <c r="H1287" i="1"/>
  <c r="BE1287" i="1" s="1"/>
  <c r="H1288" i="1"/>
  <c r="BE1288" i="1" s="1"/>
  <c r="H1289" i="1"/>
  <c r="BE1289" i="1" s="1"/>
  <c r="H1290" i="1"/>
  <c r="H1291" i="1"/>
  <c r="BE1291" i="1" s="1"/>
  <c r="H1292" i="1"/>
  <c r="BE1292" i="1" s="1"/>
  <c r="H1293" i="1"/>
  <c r="BE1293" i="1" s="1"/>
  <c r="H1294" i="1"/>
  <c r="BE1294" i="1" s="1"/>
  <c r="H1295" i="1"/>
  <c r="BE1295" i="1" s="1"/>
  <c r="H1296" i="1"/>
  <c r="BE1296" i="1" s="1"/>
  <c r="H1297" i="1"/>
  <c r="BE1297" i="1" s="1"/>
  <c r="H1298" i="1"/>
  <c r="H1299" i="1"/>
  <c r="BE1299" i="1" s="1"/>
  <c r="H1300" i="1"/>
  <c r="BE1300" i="1" s="1"/>
  <c r="H1301" i="1"/>
  <c r="BE1301" i="1" s="1"/>
  <c r="H1302" i="1"/>
  <c r="BE1302" i="1" s="1"/>
  <c r="H1303" i="1"/>
  <c r="BE1303" i="1" s="1"/>
  <c r="H1304" i="1"/>
  <c r="BE1304" i="1" s="1"/>
  <c r="H1305" i="1"/>
  <c r="BE1305" i="1" s="1"/>
  <c r="H1306" i="1"/>
  <c r="H1307" i="1"/>
  <c r="BE1307" i="1" s="1"/>
  <c r="H1308" i="1"/>
  <c r="BE1308" i="1" s="1"/>
  <c r="H1309" i="1"/>
  <c r="BE1309" i="1" s="1"/>
  <c r="H1310" i="1"/>
  <c r="BE1310" i="1" s="1"/>
  <c r="H1311" i="1"/>
  <c r="BE1311" i="1" s="1"/>
  <c r="H1312" i="1"/>
  <c r="BE1312" i="1" s="1"/>
  <c r="H1313" i="1"/>
  <c r="BE1313" i="1" s="1"/>
  <c r="H1314" i="1"/>
  <c r="H1315" i="1"/>
  <c r="BE1315" i="1" s="1"/>
  <c r="H1316" i="1"/>
  <c r="BE1316" i="1" s="1"/>
  <c r="H1317" i="1"/>
  <c r="BE1317" i="1" s="1"/>
  <c r="H1318" i="1"/>
  <c r="BE1318" i="1" s="1"/>
  <c r="H1319" i="1"/>
  <c r="BE1319" i="1" s="1"/>
  <c r="H1320" i="1"/>
  <c r="BE1320" i="1" s="1"/>
  <c r="H1321" i="1"/>
  <c r="BE1321" i="1" s="1"/>
  <c r="H1322" i="1"/>
  <c r="H1323" i="1"/>
  <c r="BE1323" i="1" s="1"/>
  <c r="H1324" i="1"/>
  <c r="BE1324" i="1" s="1"/>
  <c r="H1325" i="1"/>
  <c r="BE1325" i="1" s="1"/>
  <c r="H1326" i="1"/>
  <c r="BE1326" i="1" s="1"/>
  <c r="H1327" i="1"/>
  <c r="BE1327" i="1" s="1"/>
  <c r="H1328" i="1"/>
  <c r="BE1328" i="1" s="1"/>
  <c r="H1329" i="1"/>
  <c r="BE1329" i="1" s="1"/>
  <c r="H1330" i="1"/>
  <c r="H1331" i="1"/>
  <c r="BE1331" i="1" s="1"/>
  <c r="H1332" i="1"/>
  <c r="BE1332" i="1" s="1"/>
  <c r="H1333" i="1"/>
  <c r="BE1333" i="1" s="1"/>
  <c r="H1334" i="1"/>
  <c r="BE1334" i="1" s="1"/>
  <c r="H1335" i="1"/>
  <c r="BE1335" i="1" s="1"/>
  <c r="H1336" i="1"/>
  <c r="BE1336" i="1" s="1"/>
  <c r="H1337" i="1"/>
  <c r="BE1337" i="1" s="1"/>
  <c r="H1338" i="1"/>
  <c r="H1339" i="1"/>
  <c r="BE1339" i="1" s="1"/>
  <c r="H1340" i="1"/>
  <c r="BE1340" i="1" s="1"/>
  <c r="H1341" i="1"/>
  <c r="BE1341" i="1" s="1"/>
  <c r="H1342" i="1"/>
  <c r="BE1342" i="1" s="1"/>
  <c r="H1343" i="1"/>
  <c r="BE1343" i="1" s="1"/>
  <c r="H1344" i="1"/>
  <c r="BE1344" i="1" s="1"/>
  <c r="H1345" i="1"/>
  <c r="BE1345" i="1" s="1"/>
  <c r="H1346" i="1"/>
  <c r="H1347" i="1"/>
  <c r="BE1347" i="1" s="1"/>
  <c r="H1348" i="1"/>
  <c r="BE1348" i="1" s="1"/>
  <c r="H1349" i="1"/>
  <c r="BE1349" i="1" s="1"/>
  <c r="H1350" i="1"/>
  <c r="BE1350" i="1" s="1"/>
  <c r="H1351" i="1"/>
  <c r="BE1351" i="1" s="1"/>
  <c r="H1352" i="1"/>
  <c r="BE1352" i="1" s="1"/>
  <c r="H1353" i="1"/>
  <c r="BE1353" i="1" s="1"/>
  <c r="H1354" i="1"/>
  <c r="H1355" i="1"/>
  <c r="BE1355" i="1" s="1"/>
  <c r="H1356" i="1"/>
  <c r="BE1356" i="1" s="1"/>
  <c r="H1357" i="1"/>
  <c r="BE1357" i="1" s="1"/>
  <c r="H1358" i="1"/>
  <c r="BE1358" i="1" s="1"/>
  <c r="H1359" i="1"/>
  <c r="BE1359" i="1" s="1"/>
  <c r="H1360" i="1"/>
  <c r="BE1360" i="1" s="1"/>
  <c r="H1361" i="1"/>
  <c r="BE1361" i="1" s="1"/>
  <c r="H1362" i="1"/>
  <c r="H1363" i="1"/>
  <c r="BE1363" i="1" s="1"/>
  <c r="H1364" i="1"/>
  <c r="BE1364" i="1" s="1"/>
  <c r="H1365" i="1"/>
  <c r="BE1365" i="1" s="1"/>
  <c r="H1366" i="1"/>
  <c r="BE1366" i="1" s="1"/>
  <c r="H1367" i="1"/>
  <c r="BE1367" i="1" s="1"/>
  <c r="H1368" i="1"/>
  <c r="BE1368" i="1" s="1"/>
  <c r="H1369" i="1"/>
  <c r="BE1369" i="1" s="1"/>
  <c r="H1370" i="1"/>
  <c r="H1371" i="1"/>
  <c r="BE1371" i="1" s="1"/>
  <c r="H1372" i="1"/>
  <c r="BE1372" i="1" s="1"/>
  <c r="H1373" i="1"/>
  <c r="BE1373" i="1" s="1"/>
  <c r="H1374" i="1"/>
  <c r="BE1374" i="1" s="1"/>
  <c r="H1375" i="1"/>
  <c r="BE1375" i="1" s="1"/>
  <c r="H1376" i="1"/>
  <c r="BE1376" i="1" s="1"/>
  <c r="H1377" i="1"/>
  <c r="BE1377" i="1" s="1"/>
  <c r="H1378" i="1"/>
  <c r="H1379" i="1"/>
  <c r="BE1379" i="1" s="1"/>
  <c r="H1380" i="1"/>
  <c r="BE1380" i="1" s="1"/>
  <c r="H1381" i="1"/>
  <c r="BE1381" i="1" s="1"/>
  <c r="H1382" i="1"/>
  <c r="BE1382" i="1" s="1"/>
  <c r="H1383" i="1"/>
  <c r="BE1383" i="1" s="1"/>
  <c r="H1384" i="1"/>
  <c r="BE1384" i="1" s="1"/>
  <c r="H1385" i="1"/>
  <c r="BE1385" i="1" s="1"/>
  <c r="H1386" i="1"/>
  <c r="H1387" i="1"/>
  <c r="BE1387" i="1" s="1"/>
  <c r="H1388" i="1"/>
  <c r="BE1388" i="1" s="1"/>
  <c r="H1389" i="1"/>
  <c r="BE1389" i="1" s="1"/>
  <c r="H1390" i="1"/>
  <c r="BE1390" i="1" s="1"/>
  <c r="H1391" i="1"/>
  <c r="BE1391" i="1" s="1"/>
  <c r="H1392" i="1"/>
  <c r="BE1392" i="1" s="1"/>
  <c r="H1393" i="1"/>
  <c r="BE1393" i="1" s="1"/>
  <c r="H1394" i="1"/>
  <c r="H1395" i="1"/>
  <c r="BE1395" i="1" s="1"/>
  <c r="H1396" i="1"/>
  <c r="BE1396" i="1" s="1"/>
  <c r="H1397" i="1"/>
  <c r="BE1397" i="1" s="1"/>
  <c r="H1398" i="1"/>
  <c r="BE1398" i="1" s="1"/>
  <c r="H1399" i="1"/>
  <c r="BE1399" i="1" s="1"/>
  <c r="H1400" i="1"/>
  <c r="BE1400" i="1" s="1"/>
  <c r="H1401" i="1"/>
  <c r="BE1401" i="1" s="1"/>
  <c r="H1402" i="1"/>
  <c r="H1403" i="1"/>
  <c r="BE1403" i="1" s="1"/>
  <c r="H1404" i="1"/>
  <c r="BE1404" i="1" s="1"/>
  <c r="H1405" i="1"/>
  <c r="BE1405" i="1" s="1"/>
  <c r="H1406" i="1"/>
  <c r="BE1406" i="1" s="1"/>
  <c r="H1407" i="1"/>
  <c r="BE1407" i="1" s="1"/>
  <c r="H1408" i="1"/>
  <c r="BE1408" i="1" s="1"/>
  <c r="H1409" i="1"/>
  <c r="BE1409" i="1" s="1"/>
  <c r="H1410" i="1"/>
  <c r="H1411" i="1"/>
  <c r="BE1411" i="1" s="1"/>
  <c r="H1412" i="1"/>
  <c r="BE1412" i="1" s="1"/>
  <c r="H1413" i="1"/>
  <c r="BE1413" i="1" s="1"/>
  <c r="H1414" i="1"/>
  <c r="BE1414" i="1" s="1"/>
  <c r="H1415" i="1"/>
  <c r="BE1415" i="1" s="1"/>
  <c r="H1416" i="1"/>
  <c r="BE1416" i="1" s="1"/>
  <c r="H1417" i="1"/>
  <c r="BE1417" i="1" s="1"/>
  <c r="H1418" i="1"/>
  <c r="H1419" i="1"/>
  <c r="BE1419" i="1" s="1"/>
  <c r="H1420" i="1"/>
  <c r="BE1420" i="1" s="1"/>
  <c r="H1421" i="1"/>
  <c r="BE1421" i="1" s="1"/>
  <c r="H1422" i="1"/>
  <c r="BE1422" i="1" s="1"/>
  <c r="H1423" i="1"/>
  <c r="BE1423" i="1" s="1"/>
  <c r="H1424" i="1"/>
  <c r="BE1424" i="1" s="1"/>
  <c r="H1425" i="1"/>
  <c r="BE1425" i="1" s="1"/>
  <c r="H1426" i="1"/>
  <c r="H1427" i="1"/>
  <c r="BE1427" i="1" s="1"/>
  <c r="H1428" i="1"/>
  <c r="BE1428" i="1" s="1"/>
  <c r="H1429" i="1"/>
  <c r="BE1429" i="1" s="1"/>
  <c r="H1430" i="1"/>
  <c r="BE1430" i="1" s="1"/>
  <c r="H1431" i="1"/>
  <c r="BE1431" i="1" s="1"/>
  <c r="H1432" i="1"/>
  <c r="BE1432" i="1" s="1"/>
  <c r="H1433" i="1"/>
  <c r="BE1433" i="1" s="1"/>
  <c r="H1434" i="1"/>
  <c r="H1435" i="1"/>
  <c r="BE1435" i="1" s="1"/>
  <c r="H1436" i="1"/>
  <c r="BE1436" i="1" s="1"/>
  <c r="H1437" i="1"/>
  <c r="BE1437" i="1" s="1"/>
  <c r="H1438" i="1"/>
  <c r="BE1438" i="1" s="1"/>
  <c r="H1439" i="1"/>
  <c r="BE1439" i="1" s="1"/>
  <c r="H1440" i="1"/>
  <c r="BE1440" i="1" s="1"/>
  <c r="H1441" i="1"/>
  <c r="BE1441" i="1" s="1"/>
  <c r="H1442" i="1"/>
  <c r="H1443" i="1"/>
  <c r="BE1443" i="1" s="1"/>
  <c r="H1444" i="1"/>
  <c r="BE1444" i="1" s="1"/>
  <c r="H1445" i="1"/>
  <c r="BE1445" i="1" s="1"/>
  <c r="H1446" i="1"/>
  <c r="BE1446" i="1" s="1"/>
  <c r="H1447" i="1"/>
  <c r="BE1447" i="1" s="1"/>
  <c r="H1448" i="1"/>
  <c r="BE1448" i="1" s="1"/>
  <c r="H1449" i="1"/>
  <c r="BE1449" i="1" s="1"/>
  <c r="H1450" i="1"/>
  <c r="H1451" i="1"/>
  <c r="BE1451" i="1" s="1"/>
  <c r="H1452" i="1"/>
  <c r="BE1452" i="1" s="1"/>
  <c r="H1453" i="1"/>
  <c r="BE1453" i="1" s="1"/>
  <c r="H1454" i="1"/>
  <c r="BE1454" i="1" s="1"/>
  <c r="H1455" i="1"/>
  <c r="BE1455" i="1" s="1"/>
  <c r="H1456" i="1"/>
  <c r="BE1456" i="1" s="1"/>
  <c r="H1457" i="1"/>
  <c r="BE1457" i="1" s="1"/>
  <c r="H1458" i="1"/>
  <c r="H1459" i="1"/>
  <c r="BE1459" i="1" s="1"/>
  <c r="H1460" i="1"/>
  <c r="BE1460" i="1" s="1"/>
  <c r="H1461" i="1"/>
  <c r="BE1461" i="1" s="1"/>
  <c r="H1462" i="1"/>
  <c r="BE1462" i="1" s="1"/>
  <c r="H1463" i="1"/>
  <c r="BE1463" i="1" s="1"/>
  <c r="H1464" i="1"/>
  <c r="BE1464" i="1" s="1"/>
  <c r="H1465" i="1"/>
  <c r="BE1465" i="1" s="1"/>
  <c r="H1466" i="1"/>
  <c r="H1467" i="1"/>
  <c r="BE1467" i="1" s="1"/>
  <c r="H1468" i="1"/>
  <c r="BE1468" i="1" s="1"/>
  <c r="H1469" i="1"/>
  <c r="BE1469" i="1" s="1"/>
  <c r="H1470" i="1"/>
  <c r="BE1470" i="1" s="1"/>
  <c r="H1471" i="1"/>
  <c r="BE1471" i="1" s="1"/>
  <c r="H1472" i="1"/>
  <c r="BE1472" i="1" s="1"/>
  <c r="H1473" i="1"/>
  <c r="BE1473" i="1" s="1"/>
  <c r="H1474" i="1"/>
  <c r="H1475" i="1"/>
  <c r="BE1475" i="1" s="1"/>
  <c r="H1476" i="1"/>
  <c r="BE1476" i="1" s="1"/>
  <c r="H1477" i="1"/>
  <c r="BE1477" i="1" s="1"/>
  <c r="H1478" i="1"/>
  <c r="BE1478" i="1" s="1"/>
  <c r="H1479" i="1"/>
  <c r="BE1479" i="1" s="1"/>
  <c r="H1480" i="1"/>
  <c r="BE1480" i="1" s="1"/>
  <c r="H1481" i="1"/>
  <c r="BE1481" i="1" s="1"/>
  <c r="H1482" i="1"/>
  <c r="H1483" i="1"/>
  <c r="BE1483" i="1" s="1"/>
  <c r="H1484" i="1"/>
  <c r="BE1484" i="1" s="1"/>
  <c r="H1485" i="1"/>
  <c r="BE1485" i="1" s="1"/>
  <c r="H1486" i="1"/>
  <c r="BE1486" i="1" s="1"/>
  <c r="H1487" i="1"/>
  <c r="BE1487" i="1" s="1"/>
  <c r="H1488" i="1"/>
  <c r="BE1488" i="1" s="1"/>
  <c r="H1489" i="1"/>
  <c r="BE1489" i="1" s="1"/>
  <c r="H1490" i="1"/>
  <c r="H1491" i="1"/>
  <c r="BE1491" i="1" s="1"/>
  <c r="H1492" i="1"/>
  <c r="BE1492" i="1" s="1"/>
  <c r="H1493" i="1"/>
  <c r="BE1493" i="1" s="1"/>
  <c r="H1494" i="1"/>
  <c r="BE1494" i="1" s="1"/>
  <c r="H1495" i="1"/>
  <c r="BE1495" i="1" s="1"/>
  <c r="H1496" i="1"/>
  <c r="BE1496" i="1" s="1"/>
  <c r="H1497" i="1"/>
  <c r="BE1497" i="1" s="1"/>
  <c r="H1498" i="1"/>
  <c r="H1499" i="1"/>
  <c r="BE1499" i="1" s="1"/>
  <c r="H1500" i="1"/>
  <c r="BE1500" i="1" s="1"/>
  <c r="H1501" i="1"/>
  <c r="BE1501" i="1" s="1"/>
  <c r="H1502" i="1"/>
  <c r="BE1502" i="1" s="1"/>
  <c r="H1503" i="1"/>
  <c r="BE1503" i="1" s="1"/>
  <c r="H1504" i="1"/>
  <c r="BE1504" i="1" s="1"/>
  <c r="H1505" i="1"/>
  <c r="BE1505" i="1" s="1"/>
  <c r="H1506" i="1"/>
  <c r="H1507" i="1"/>
  <c r="BE1507" i="1" s="1"/>
  <c r="H1508" i="1"/>
  <c r="BE1508" i="1" s="1"/>
  <c r="H1509" i="1"/>
  <c r="BE1509" i="1" s="1"/>
  <c r="H1510" i="1"/>
  <c r="BE1510" i="1" s="1"/>
  <c r="H1511" i="1"/>
  <c r="BE1511" i="1" s="1"/>
  <c r="H1512" i="1"/>
  <c r="BE1512" i="1" s="1"/>
  <c r="H1513" i="1"/>
  <c r="BE1513" i="1" s="1"/>
  <c r="H1514" i="1"/>
  <c r="H1515" i="1"/>
  <c r="BE1515" i="1" s="1"/>
  <c r="H1516" i="1"/>
  <c r="BE1516" i="1" s="1"/>
  <c r="H1517" i="1"/>
  <c r="BE1517" i="1" s="1"/>
  <c r="H1518" i="1"/>
  <c r="BE1518" i="1" s="1"/>
  <c r="H1519" i="1"/>
  <c r="BE1519" i="1" s="1"/>
  <c r="H1520" i="1"/>
  <c r="BE1520" i="1" s="1"/>
  <c r="H1521" i="1"/>
  <c r="BE1521" i="1" s="1"/>
  <c r="H1522" i="1"/>
  <c r="H1523" i="1"/>
  <c r="BE1523" i="1" s="1"/>
  <c r="H1524" i="1"/>
  <c r="BE1524" i="1" s="1"/>
  <c r="H1525" i="1"/>
  <c r="BE1525" i="1" s="1"/>
  <c r="H1526" i="1"/>
  <c r="BE1526" i="1" s="1"/>
  <c r="H1527" i="1"/>
  <c r="BE1527" i="1" s="1"/>
  <c r="H1528" i="1"/>
  <c r="BE1528" i="1" s="1"/>
  <c r="H1529" i="1"/>
  <c r="BE1529" i="1" s="1"/>
  <c r="H1530" i="1"/>
  <c r="H1531" i="1"/>
  <c r="BE1531" i="1" s="1"/>
  <c r="H1532" i="1"/>
  <c r="BE1532" i="1" s="1"/>
  <c r="H1533" i="1"/>
  <c r="BE1533" i="1" s="1"/>
  <c r="H1534" i="1"/>
  <c r="BE1534" i="1" s="1"/>
  <c r="H1535" i="1"/>
  <c r="BE1535" i="1" s="1"/>
  <c r="H1536" i="1"/>
  <c r="BE1536" i="1" s="1"/>
  <c r="H1537" i="1"/>
  <c r="BE1537" i="1" s="1"/>
  <c r="H1538" i="1"/>
  <c r="H1539" i="1"/>
  <c r="BE1539" i="1" s="1"/>
  <c r="H1540" i="1"/>
  <c r="BE1540" i="1" s="1"/>
  <c r="H1541" i="1"/>
  <c r="BE1541" i="1" s="1"/>
  <c r="H1542" i="1"/>
  <c r="BE1542" i="1" s="1"/>
  <c r="H1543" i="1"/>
  <c r="BE1543" i="1" s="1"/>
  <c r="H1544" i="1"/>
  <c r="BE1544" i="1" s="1"/>
  <c r="H1545" i="1"/>
  <c r="BE1545" i="1" s="1"/>
  <c r="H1546" i="1"/>
  <c r="H1547" i="1"/>
  <c r="BE1547" i="1" s="1"/>
  <c r="H1548" i="1"/>
  <c r="BE1548" i="1" s="1"/>
  <c r="H1549" i="1"/>
  <c r="BE1549" i="1" s="1"/>
  <c r="H1550" i="1"/>
  <c r="BE1550" i="1" s="1"/>
  <c r="H1551" i="1"/>
  <c r="BE1551" i="1" s="1"/>
  <c r="H1552" i="1"/>
  <c r="BE1552" i="1" s="1"/>
  <c r="H1553" i="1"/>
  <c r="BE1553" i="1" s="1"/>
  <c r="H1554" i="1"/>
  <c r="H1555" i="1"/>
  <c r="BE1555" i="1" s="1"/>
  <c r="H1556" i="1"/>
  <c r="BE1556" i="1" s="1"/>
  <c r="H1557" i="1"/>
  <c r="BE1557" i="1" s="1"/>
  <c r="H1558" i="1"/>
  <c r="BE1558" i="1" s="1"/>
  <c r="H1559" i="1"/>
  <c r="BE1559" i="1" s="1"/>
  <c r="H1560" i="1"/>
  <c r="BE1560" i="1" s="1"/>
  <c r="H1561" i="1"/>
  <c r="BE1561" i="1" s="1"/>
  <c r="H1562" i="1"/>
  <c r="H1563" i="1"/>
  <c r="BE1563" i="1" s="1"/>
  <c r="H1564" i="1"/>
  <c r="BE1564" i="1" s="1"/>
  <c r="H1565" i="1"/>
  <c r="BE1565" i="1" s="1"/>
  <c r="H1566" i="1"/>
  <c r="BE1566" i="1" s="1"/>
  <c r="H1567" i="1"/>
  <c r="BE1567" i="1" s="1"/>
  <c r="H1568" i="1"/>
  <c r="BE1568" i="1" s="1"/>
  <c r="H1569" i="1"/>
  <c r="BE1569" i="1" s="1"/>
  <c r="H1570" i="1"/>
  <c r="H1571" i="1"/>
  <c r="BE1571" i="1" s="1"/>
  <c r="H1572" i="1"/>
  <c r="BE1572" i="1" s="1"/>
  <c r="H1573" i="1"/>
  <c r="BE1573" i="1" s="1"/>
  <c r="H1574" i="1"/>
  <c r="BE1574" i="1" s="1"/>
  <c r="H1575" i="1"/>
  <c r="BE1575" i="1" s="1"/>
  <c r="H1576" i="1"/>
  <c r="BE1576" i="1" s="1"/>
  <c r="H1577" i="1"/>
  <c r="BE1577" i="1" s="1"/>
  <c r="H1578" i="1"/>
  <c r="H1579" i="1"/>
  <c r="BE1579" i="1" s="1"/>
  <c r="H1580" i="1"/>
  <c r="BE1580" i="1" s="1"/>
  <c r="H1581" i="1"/>
  <c r="BE1581" i="1" s="1"/>
  <c r="H1582" i="1"/>
  <c r="BE1582" i="1" s="1"/>
  <c r="H1583" i="1"/>
  <c r="BE1583" i="1" s="1"/>
  <c r="H1584" i="1"/>
  <c r="BE1584" i="1" s="1"/>
  <c r="H1585" i="1"/>
  <c r="BE1585" i="1" s="1"/>
  <c r="H1586" i="1"/>
  <c r="H1587" i="1"/>
  <c r="BE1587" i="1" s="1"/>
  <c r="H1588" i="1"/>
  <c r="BE1588" i="1" s="1"/>
  <c r="H1589" i="1"/>
  <c r="BE1589" i="1" s="1"/>
  <c r="H1590" i="1"/>
  <c r="BE1590" i="1" s="1"/>
  <c r="H1591" i="1"/>
  <c r="BE1591" i="1" s="1"/>
  <c r="H1592" i="1"/>
  <c r="BE1592" i="1" s="1"/>
  <c r="H1593" i="1"/>
  <c r="BE1593" i="1" s="1"/>
  <c r="H1594" i="1"/>
  <c r="H1595" i="1"/>
  <c r="BE1595" i="1" s="1"/>
  <c r="H1596" i="1"/>
  <c r="BE1596" i="1" s="1"/>
  <c r="H1597" i="1"/>
  <c r="BE1597" i="1" s="1"/>
  <c r="H1598" i="1"/>
  <c r="BE1598" i="1" s="1"/>
  <c r="H1599" i="1"/>
  <c r="BE1599" i="1" s="1"/>
  <c r="H1600" i="1"/>
  <c r="BE1600" i="1" s="1"/>
  <c r="H1601" i="1"/>
  <c r="BE1601" i="1" s="1"/>
  <c r="H1602" i="1"/>
  <c r="H1603" i="1"/>
  <c r="BE1603" i="1" s="1"/>
  <c r="H1604" i="1"/>
  <c r="BE1604" i="1" s="1"/>
  <c r="H1605" i="1"/>
  <c r="BE1605" i="1" s="1"/>
  <c r="H1606" i="1"/>
  <c r="BE1606" i="1" s="1"/>
  <c r="H1607" i="1"/>
  <c r="BE1607" i="1" s="1"/>
  <c r="H1608" i="1"/>
  <c r="BE1608" i="1" s="1"/>
  <c r="H1609" i="1"/>
  <c r="BE1609" i="1" s="1"/>
  <c r="H1610" i="1"/>
  <c r="H1611" i="1"/>
  <c r="BE1611" i="1" s="1"/>
  <c r="H1612" i="1"/>
  <c r="BE1612" i="1" s="1"/>
  <c r="H1613" i="1"/>
  <c r="BE1613" i="1" s="1"/>
  <c r="H1614" i="1"/>
  <c r="BE1614" i="1" s="1"/>
  <c r="H1615" i="1"/>
  <c r="BE1615" i="1" s="1"/>
  <c r="H1616" i="1"/>
  <c r="BE1616" i="1" s="1"/>
  <c r="H1617" i="1"/>
  <c r="BE1617" i="1" s="1"/>
  <c r="H1618" i="1"/>
  <c r="H1619" i="1"/>
  <c r="BE1619" i="1" s="1"/>
  <c r="H1620" i="1"/>
  <c r="BE1620" i="1" s="1"/>
  <c r="H1621" i="1"/>
  <c r="BE1621" i="1" s="1"/>
  <c r="H1622" i="1"/>
  <c r="BE1622" i="1" s="1"/>
  <c r="H1623" i="1"/>
  <c r="BE1623" i="1" s="1"/>
  <c r="H1624" i="1"/>
  <c r="BE1624" i="1" s="1"/>
  <c r="H1625" i="1"/>
  <c r="BE1625" i="1" s="1"/>
  <c r="H1626" i="1"/>
  <c r="H1627" i="1"/>
  <c r="BE1627" i="1" s="1"/>
  <c r="H1628" i="1"/>
  <c r="BE1628" i="1" s="1"/>
  <c r="H1629" i="1"/>
  <c r="BE1629" i="1" s="1"/>
  <c r="H1630" i="1"/>
  <c r="BE1630" i="1" s="1"/>
  <c r="H1631" i="1"/>
  <c r="BE1631" i="1" s="1"/>
  <c r="H1632" i="1"/>
  <c r="BE1632" i="1" s="1"/>
  <c r="H1633" i="1"/>
  <c r="BE1633" i="1" s="1"/>
  <c r="H1634" i="1"/>
  <c r="H1635" i="1"/>
  <c r="BE1635" i="1" s="1"/>
  <c r="H1636" i="1"/>
  <c r="BE1636" i="1" s="1"/>
  <c r="H1637" i="1"/>
  <c r="BE1637" i="1" s="1"/>
  <c r="H1638" i="1"/>
  <c r="BE1638" i="1" s="1"/>
  <c r="H1639" i="1"/>
  <c r="BE1639" i="1" s="1"/>
  <c r="H1640" i="1"/>
  <c r="BE1640" i="1" s="1"/>
  <c r="H1641" i="1"/>
  <c r="BE1641" i="1" s="1"/>
  <c r="H1642" i="1"/>
  <c r="H1643" i="1"/>
  <c r="BE1643" i="1" s="1"/>
  <c r="H1644" i="1"/>
  <c r="BE1644" i="1" s="1"/>
  <c r="H1645" i="1"/>
  <c r="BE1645" i="1" s="1"/>
  <c r="H1646" i="1"/>
  <c r="BE1646" i="1" s="1"/>
  <c r="H1647" i="1"/>
  <c r="BE1647" i="1" s="1"/>
  <c r="H1648" i="1"/>
  <c r="BE1648" i="1" s="1"/>
  <c r="H1649" i="1"/>
  <c r="BE1649" i="1" s="1"/>
  <c r="H1650" i="1"/>
  <c r="H1651" i="1"/>
  <c r="BE1651" i="1" s="1"/>
  <c r="H1652" i="1"/>
  <c r="BE1652" i="1" s="1"/>
  <c r="H1653" i="1"/>
  <c r="BE1653" i="1" s="1"/>
  <c r="H1654" i="1"/>
  <c r="BE1654" i="1" s="1"/>
  <c r="H1655" i="1"/>
  <c r="BE1655" i="1" s="1"/>
  <c r="H1656" i="1"/>
  <c r="BE1656" i="1" s="1"/>
  <c r="H1657" i="1"/>
  <c r="BE1657" i="1" s="1"/>
  <c r="H1658" i="1"/>
  <c r="H1659" i="1"/>
  <c r="BE1659" i="1" s="1"/>
  <c r="H1660" i="1"/>
  <c r="BE1660" i="1" s="1"/>
  <c r="H1661" i="1"/>
  <c r="BE1661" i="1" s="1"/>
  <c r="H1662" i="1"/>
  <c r="BE1662" i="1" s="1"/>
  <c r="H1663" i="1"/>
  <c r="BE1663" i="1" s="1"/>
  <c r="H1664" i="1"/>
  <c r="BE1664" i="1" s="1"/>
  <c r="H1665" i="1"/>
  <c r="BE1665" i="1" s="1"/>
  <c r="H1666" i="1"/>
  <c r="H1667" i="1"/>
  <c r="BE1667" i="1" s="1"/>
  <c r="H1668" i="1"/>
  <c r="BE1668" i="1" s="1"/>
  <c r="H1669" i="1"/>
  <c r="BE1669" i="1" s="1"/>
  <c r="H1670" i="1"/>
  <c r="BE1670" i="1" s="1"/>
  <c r="H1671" i="1"/>
  <c r="BE1671" i="1" s="1"/>
  <c r="H1672" i="1"/>
  <c r="BE1672" i="1" s="1"/>
  <c r="H1673" i="1"/>
  <c r="BE1673" i="1" s="1"/>
  <c r="H1674" i="1"/>
  <c r="H1675" i="1"/>
  <c r="BE1675" i="1" s="1"/>
  <c r="H1676" i="1"/>
  <c r="BE1676" i="1" s="1"/>
  <c r="H1677" i="1"/>
  <c r="BE1677" i="1" s="1"/>
  <c r="H1678" i="1"/>
  <c r="BE1678" i="1" s="1"/>
  <c r="H1679" i="1"/>
  <c r="BE1679" i="1" s="1"/>
  <c r="H1680" i="1"/>
  <c r="BE1680" i="1" s="1"/>
  <c r="H1681" i="1"/>
  <c r="BE1681" i="1" s="1"/>
  <c r="H1682" i="1"/>
  <c r="H1683" i="1"/>
  <c r="BE1683" i="1" s="1"/>
  <c r="H1684" i="1"/>
  <c r="BE1684" i="1" s="1"/>
  <c r="H1685" i="1"/>
  <c r="BE1685" i="1" s="1"/>
  <c r="H1686" i="1"/>
  <c r="BE1686" i="1" s="1"/>
  <c r="H1687" i="1"/>
  <c r="BE1687" i="1" s="1"/>
  <c r="H1688" i="1"/>
  <c r="BE1688" i="1" s="1"/>
  <c r="H1689" i="1"/>
  <c r="BE1689" i="1" s="1"/>
  <c r="H1690" i="1"/>
  <c r="H1691" i="1"/>
  <c r="BE1691" i="1" s="1"/>
  <c r="H1692" i="1"/>
  <c r="BE1692" i="1" s="1"/>
  <c r="H1693" i="1"/>
  <c r="BE1693" i="1" s="1"/>
  <c r="H1694" i="1"/>
  <c r="BE1694" i="1" s="1"/>
  <c r="H1695" i="1"/>
  <c r="BE1695" i="1" s="1"/>
  <c r="H1696" i="1"/>
  <c r="BE1696" i="1" s="1"/>
  <c r="H1697" i="1"/>
  <c r="BE1697" i="1" s="1"/>
  <c r="H1698" i="1"/>
  <c r="H1699" i="1"/>
  <c r="BE1699" i="1" s="1"/>
  <c r="H1700" i="1"/>
  <c r="BE1700" i="1" s="1"/>
  <c r="H1701" i="1"/>
  <c r="BE1701" i="1" s="1"/>
  <c r="H1702" i="1"/>
  <c r="BE1702" i="1" s="1"/>
  <c r="H1703" i="1"/>
  <c r="BE1703" i="1" s="1"/>
  <c r="H1704" i="1"/>
  <c r="BE1704" i="1" s="1"/>
  <c r="H1705" i="1"/>
  <c r="BE1705" i="1" s="1"/>
  <c r="H1706" i="1"/>
  <c r="H1707" i="1"/>
  <c r="BE1707" i="1" s="1"/>
  <c r="H1708" i="1"/>
  <c r="BE1708" i="1" s="1"/>
  <c r="H1709" i="1"/>
  <c r="BE1709" i="1" s="1"/>
  <c r="H1710" i="1"/>
  <c r="BE1710" i="1" s="1"/>
  <c r="H1711" i="1"/>
  <c r="BE1711" i="1" s="1"/>
  <c r="H1712" i="1"/>
  <c r="BE1712" i="1" s="1"/>
  <c r="H1713" i="1"/>
  <c r="BE1713" i="1" s="1"/>
  <c r="H1714" i="1"/>
  <c r="H1715" i="1"/>
  <c r="BE1715" i="1" s="1"/>
  <c r="H1716" i="1"/>
  <c r="BE1716" i="1" s="1"/>
  <c r="H1717" i="1"/>
  <c r="BE1717" i="1" s="1"/>
  <c r="H1718" i="1"/>
  <c r="BE1718" i="1" s="1"/>
  <c r="H1719" i="1"/>
  <c r="BE1719" i="1" s="1"/>
  <c r="H1720" i="1"/>
  <c r="BE1720" i="1" s="1"/>
  <c r="H1721" i="1"/>
  <c r="BE1721" i="1" s="1"/>
  <c r="H1722" i="1"/>
  <c r="H1723" i="1"/>
  <c r="BE1723" i="1" s="1"/>
  <c r="H1724" i="1"/>
  <c r="BE1724" i="1" s="1"/>
  <c r="H1725" i="1"/>
  <c r="BE1725" i="1" s="1"/>
  <c r="H1726" i="1"/>
  <c r="BE1726" i="1" s="1"/>
  <c r="H1727" i="1"/>
  <c r="BE1727" i="1" s="1"/>
  <c r="H1728" i="1"/>
  <c r="BE1728" i="1" s="1"/>
  <c r="H1729" i="1"/>
  <c r="BE1729" i="1" s="1"/>
  <c r="H1730" i="1"/>
  <c r="H1731" i="1"/>
  <c r="BE1731" i="1" s="1"/>
  <c r="H1732" i="1"/>
  <c r="BE1732" i="1" s="1"/>
  <c r="H1733" i="1"/>
  <c r="BE1733" i="1" s="1"/>
  <c r="H1734" i="1"/>
  <c r="BE1734" i="1" s="1"/>
  <c r="H1735" i="1"/>
  <c r="BE1735" i="1" s="1"/>
  <c r="H1736" i="1"/>
  <c r="BE1736" i="1" s="1"/>
  <c r="H1737" i="1"/>
  <c r="BE1737" i="1" s="1"/>
  <c r="H1738" i="1"/>
  <c r="H1739" i="1"/>
  <c r="BE1739" i="1" s="1"/>
  <c r="H1740" i="1"/>
  <c r="BE1740" i="1" s="1"/>
  <c r="H1741" i="1"/>
  <c r="BE1741" i="1" s="1"/>
  <c r="H1742" i="1"/>
  <c r="BE1742" i="1" s="1"/>
  <c r="H1743" i="1"/>
  <c r="BE1743" i="1" s="1"/>
  <c r="H1744" i="1"/>
  <c r="BE1744" i="1" s="1"/>
  <c r="H1745" i="1"/>
  <c r="BE1745" i="1" s="1"/>
  <c r="H1746" i="1"/>
  <c r="H1747" i="1"/>
  <c r="BE1747" i="1" s="1"/>
  <c r="H1748" i="1"/>
  <c r="BE1748" i="1" s="1"/>
  <c r="H1749" i="1"/>
  <c r="BE1749" i="1" s="1"/>
  <c r="H1750" i="1"/>
  <c r="BE1750" i="1" s="1"/>
  <c r="H1751" i="1"/>
  <c r="BE1751" i="1" s="1"/>
  <c r="H1752" i="1"/>
  <c r="BE1752" i="1" s="1"/>
  <c r="H1753" i="1"/>
  <c r="BE1753" i="1" s="1"/>
  <c r="H1754" i="1"/>
  <c r="H1755" i="1"/>
  <c r="BE1755" i="1" s="1"/>
  <c r="H1756" i="1"/>
  <c r="BE1756" i="1" s="1"/>
  <c r="H1757" i="1"/>
  <c r="BE1757" i="1" s="1"/>
  <c r="H1758" i="1"/>
  <c r="BE1758" i="1" s="1"/>
  <c r="H1759" i="1"/>
  <c r="BE1759" i="1" s="1"/>
  <c r="H1760" i="1"/>
  <c r="BE1760" i="1" s="1"/>
  <c r="H1761" i="1"/>
  <c r="BE1761" i="1" s="1"/>
  <c r="H1762" i="1"/>
  <c r="H1763" i="1"/>
  <c r="BE1763" i="1" s="1"/>
  <c r="H1764" i="1"/>
  <c r="BE1764" i="1" s="1"/>
  <c r="H1765" i="1"/>
  <c r="BE1765" i="1" s="1"/>
  <c r="H1766" i="1"/>
  <c r="BE1766" i="1" s="1"/>
  <c r="H1767" i="1"/>
  <c r="BE1767" i="1" s="1"/>
  <c r="H1768" i="1"/>
  <c r="BE1768" i="1" s="1"/>
  <c r="H1769" i="1"/>
  <c r="BE1769" i="1" s="1"/>
  <c r="H1770" i="1"/>
  <c r="H1771" i="1"/>
  <c r="BE1771" i="1" s="1"/>
  <c r="H1772" i="1"/>
  <c r="BE1772" i="1" s="1"/>
  <c r="H1773" i="1"/>
  <c r="BE1773" i="1" s="1"/>
  <c r="H1774" i="1"/>
  <c r="BE1774" i="1" s="1"/>
  <c r="H1775" i="1"/>
  <c r="BE1775" i="1" s="1"/>
  <c r="H1776" i="1"/>
  <c r="BE1776" i="1" s="1"/>
  <c r="H1777" i="1"/>
  <c r="BE1777" i="1" s="1"/>
  <c r="H1778" i="1"/>
  <c r="H1779" i="1"/>
  <c r="BE1779" i="1" s="1"/>
  <c r="H1780" i="1"/>
  <c r="BE1780" i="1" s="1"/>
  <c r="H1781" i="1"/>
  <c r="BE1781" i="1" s="1"/>
  <c r="H1782" i="1"/>
  <c r="BE1782" i="1" s="1"/>
  <c r="H1783" i="1"/>
  <c r="BE1783" i="1" s="1"/>
  <c r="H1784" i="1"/>
  <c r="BE1784" i="1" s="1"/>
  <c r="H1785" i="1"/>
  <c r="BE1785" i="1" s="1"/>
  <c r="H1786" i="1"/>
  <c r="H1787" i="1"/>
  <c r="BE1787" i="1" s="1"/>
  <c r="H1788" i="1"/>
  <c r="BE1788" i="1" s="1"/>
  <c r="H1789" i="1"/>
  <c r="BE1789" i="1" s="1"/>
  <c r="H1790" i="1"/>
  <c r="BE1790" i="1" s="1"/>
  <c r="H1791" i="1"/>
  <c r="BE1791" i="1" s="1"/>
  <c r="H1792" i="1"/>
  <c r="BE1792" i="1" s="1"/>
  <c r="H1793" i="1"/>
  <c r="BE1793" i="1" s="1"/>
  <c r="H1794" i="1"/>
  <c r="H1795" i="1"/>
  <c r="BE1795" i="1" s="1"/>
  <c r="H1796" i="1"/>
  <c r="BE1796" i="1" s="1"/>
  <c r="H1797" i="1"/>
  <c r="BE1797" i="1" s="1"/>
  <c r="H1798" i="1"/>
  <c r="BE1798" i="1" s="1"/>
  <c r="H1799" i="1"/>
  <c r="BE1799" i="1" s="1"/>
  <c r="H1800" i="1"/>
  <c r="BE1800" i="1" s="1"/>
  <c r="H1801" i="1"/>
  <c r="BE1801" i="1" s="1"/>
  <c r="H1802" i="1"/>
  <c r="H1803" i="1"/>
  <c r="BE1803" i="1" s="1"/>
  <c r="H1804" i="1"/>
  <c r="BE1804" i="1" s="1"/>
  <c r="H1805" i="1"/>
  <c r="BE1805" i="1" s="1"/>
  <c r="H1806" i="1"/>
  <c r="BE1806" i="1" s="1"/>
  <c r="H1807" i="1"/>
  <c r="BE1807" i="1" s="1"/>
  <c r="H1808" i="1"/>
  <c r="BE1808" i="1" s="1"/>
  <c r="H1809" i="1"/>
  <c r="BE1809" i="1" s="1"/>
  <c r="H1810" i="1"/>
  <c r="H1811" i="1"/>
  <c r="BE1811" i="1" s="1"/>
  <c r="H1812" i="1"/>
  <c r="BE1812" i="1" s="1"/>
  <c r="H1813" i="1"/>
  <c r="BE1813" i="1" s="1"/>
  <c r="H1814" i="1"/>
  <c r="BE1814" i="1" s="1"/>
  <c r="H1815" i="1"/>
  <c r="BE1815" i="1" s="1"/>
  <c r="H1816" i="1"/>
  <c r="BE1816" i="1" s="1"/>
  <c r="H1817" i="1"/>
  <c r="BE1817" i="1" s="1"/>
  <c r="H1818" i="1"/>
  <c r="H1819" i="1"/>
  <c r="BE1819" i="1" s="1"/>
  <c r="H1820" i="1"/>
  <c r="BE1820" i="1" s="1"/>
  <c r="H1821" i="1"/>
  <c r="BE1821" i="1" s="1"/>
  <c r="H1822" i="1"/>
  <c r="BE1822" i="1" s="1"/>
  <c r="H1823" i="1"/>
  <c r="BE1823" i="1" s="1"/>
  <c r="H1824" i="1"/>
  <c r="BE1824" i="1" s="1"/>
  <c r="H1825" i="1"/>
  <c r="BE1825" i="1" s="1"/>
  <c r="H1826" i="1"/>
  <c r="H1827" i="1"/>
  <c r="BE1827" i="1" s="1"/>
  <c r="H1828" i="1"/>
  <c r="BE1828" i="1" s="1"/>
  <c r="H1829" i="1"/>
  <c r="BE1829" i="1" s="1"/>
  <c r="H1830" i="1"/>
  <c r="BE1830" i="1" s="1"/>
  <c r="H1831" i="1"/>
  <c r="BE1831" i="1" s="1"/>
  <c r="H1832" i="1"/>
  <c r="BE1832" i="1" s="1"/>
  <c r="H1833" i="1"/>
  <c r="BE1833" i="1" s="1"/>
  <c r="H1834" i="1"/>
  <c r="H1835" i="1"/>
  <c r="BE1835" i="1" s="1"/>
  <c r="H1836" i="1"/>
  <c r="BE1836" i="1" s="1"/>
  <c r="H1837" i="1"/>
  <c r="BE1837" i="1" s="1"/>
  <c r="H1838" i="1"/>
  <c r="BE1838" i="1" s="1"/>
  <c r="H1839" i="1"/>
  <c r="BE1839" i="1" s="1"/>
  <c r="H1840" i="1"/>
  <c r="BE1840" i="1" s="1"/>
  <c r="H1841" i="1"/>
  <c r="BE1841" i="1" s="1"/>
  <c r="H1842" i="1"/>
  <c r="H1843" i="1"/>
  <c r="BE1843" i="1" s="1"/>
  <c r="H1844" i="1"/>
  <c r="BE1844" i="1" s="1"/>
  <c r="H1845" i="1"/>
  <c r="BE1845" i="1" s="1"/>
  <c r="H1846" i="1"/>
  <c r="BE1846" i="1" s="1"/>
  <c r="H1847" i="1"/>
  <c r="BE1847" i="1" s="1"/>
  <c r="H1848" i="1"/>
  <c r="BE1848" i="1" s="1"/>
  <c r="H1849" i="1"/>
  <c r="BE1849" i="1" s="1"/>
  <c r="H1850" i="1"/>
  <c r="H1851" i="1"/>
  <c r="BE1851" i="1" s="1"/>
  <c r="H1852" i="1"/>
  <c r="BE1852" i="1" s="1"/>
  <c r="H1853" i="1"/>
  <c r="BE1853" i="1" s="1"/>
  <c r="H1854" i="1"/>
  <c r="BE1854" i="1" s="1"/>
  <c r="H1855" i="1"/>
  <c r="BE1855" i="1" s="1"/>
  <c r="H1856" i="1"/>
  <c r="BE1856" i="1" s="1"/>
  <c r="H1857" i="1"/>
  <c r="BE1857" i="1" s="1"/>
  <c r="H1858" i="1"/>
  <c r="H1859" i="1"/>
  <c r="BE1859" i="1" s="1"/>
  <c r="H1860" i="1"/>
  <c r="BE1860" i="1" s="1"/>
  <c r="H1861" i="1"/>
  <c r="BE1861" i="1" s="1"/>
  <c r="H1862" i="1"/>
  <c r="BE1862" i="1" s="1"/>
  <c r="H1863" i="1"/>
  <c r="BE1863" i="1" s="1"/>
  <c r="H1864" i="1"/>
  <c r="BE1864" i="1" s="1"/>
  <c r="H1865" i="1"/>
  <c r="BE1865" i="1" s="1"/>
  <c r="H1866" i="1"/>
  <c r="H1867" i="1"/>
  <c r="BE1867" i="1" s="1"/>
  <c r="H1868" i="1"/>
  <c r="BE1868" i="1" s="1"/>
  <c r="H1869" i="1"/>
  <c r="BE1869" i="1" s="1"/>
  <c r="H1870" i="1"/>
  <c r="BE1870" i="1" s="1"/>
  <c r="H1871" i="1"/>
  <c r="BE1871" i="1" s="1"/>
  <c r="H1872" i="1"/>
  <c r="BE1872" i="1" s="1"/>
  <c r="H1873" i="1"/>
  <c r="BE1873" i="1" s="1"/>
  <c r="H1874" i="1"/>
  <c r="H1875" i="1"/>
  <c r="BE1875" i="1" s="1"/>
  <c r="H1876" i="1"/>
  <c r="BE1876" i="1" s="1"/>
  <c r="H1877" i="1"/>
  <c r="BE1877" i="1" s="1"/>
  <c r="H1878" i="1"/>
  <c r="BE1878" i="1" s="1"/>
  <c r="H1879" i="1"/>
  <c r="BE1879" i="1" s="1"/>
  <c r="H1880" i="1"/>
  <c r="BE1880" i="1" s="1"/>
  <c r="H1881" i="1"/>
  <c r="BE1881" i="1" s="1"/>
  <c r="H1882" i="1"/>
  <c r="H1883" i="1"/>
  <c r="BE1883" i="1" s="1"/>
  <c r="H1884" i="1"/>
  <c r="BE1884" i="1" s="1"/>
  <c r="H1885" i="1"/>
  <c r="BE1885" i="1" s="1"/>
  <c r="H1886" i="1"/>
  <c r="BE1886" i="1" s="1"/>
  <c r="H1887" i="1"/>
  <c r="BE1887" i="1" s="1"/>
  <c r="H1888" i="1"/>
  <c r="BE1888" i="1" s="1"/>
  <c r="H1889" i="1"/>
  <c r="BE1889" i="1" s="1"/>
  <c r="H1890" i="1"/>
  <c r="H1891" i="1"/>
  <c r="BE1891" i="1" s="1"/>
  <c r="H1892" i="1"/>
  <c r="BE1892" i="1" s="1"/>
  <c r="H1893" i="1"/>
  <c r="BE1893" i="1" s="1"/>
  <c r="H1894" i="1"/>
  <c r="BE1894" i="1" s="1"/>
  <c r="H1895" i="1"/>
  <c r="BE1895" i="1" s="1"/>
  <c r="H1896" i="1"/>
  <c r="BE1896" i="1" s="1"/>
  <c r="H1897" i="1"/>
  <c r="BE1897" i="1" s="1"/>
  <c r="H1898" i="1"/>
  <c r="H1899" i="1"/>
  <c r="BE1899" i="1" s="1"/>
  <c r="H1900" i="1"/>
  <c r="BE1900" i="1" s="1"/>
  <c r="H1901" i="1"/>
  <c r="BE1901" i="1" s="1"/>
  <c r="H1902" i="1"/>
  <c r="BE1902" i="1" s="1"/>
  <c r="H1903" i="1"/>
  <c r="BE1903" i="1" s="1"/>
  <c r="H1904" i="1"/>
  <c r="BE1904" i="1" s="1"/>
  <c r="H1905" i="1"/>
  <c r="BE1905" i="1" s="1"/>
  <c r="H1906" i="1"/>
  <c r="H1907" i="1"/>
  <c r="BE1907" i="1" s="1"/>
  <c r="H1908" i="1"/>
  <c r="BE1908" i="1" s="1"/>
  <c r="H1909" i="1"/>
  <c r="BE1909" i="1" s="1"/>
  <c r="H1910" i="1"/>
  <c r="BE1910" i="1" s="1"/>
  <c r="H1911" i="1"/>
  <c r="BE1911" i="1" s="1"/>
  <c r="H1912" i="1"/>
  <c r="BE1912" i="1" s="1"/>
  <c r="H1913" i="1"/>
  <c r="BE1913" i="1" s="1"/>
  <c r="H1914" i="1"/>
  <c r="H1915" i="1"/>
  <c r="BE1915" i="1" s="1"/>
  <c r="H1916" i="1"/>
  <c r="BE1916" i="1" s="1"/>
  <c r="H1917" i="1"/>
  <c r="BE1917" i="1" s="1"/>
  <c r="H1918" i="1"/>
  <c r="BE1918" i="1" s="1"/>
  <c r="H1919" i="1"/>
  <c r="BE1919" i="1" s="1"/>
  <c r="H1920" i="1"/>
  <c r="BE1920" i="1" s="1"/>
  <c r="H1921" i="1"/>
  <c r="BE1921" i="1" s="1"/>
  <c r="H1922" i="1"/>
  <c r="H1923" i="1"/>
  <c r="BE1923" i="1" s="1"/>
  <c r="H1924" i="1"/>
  <c r="BE1924" i="1" s="1"/>
  <c r="H1925" i="1"/>
  <c r="BE1925" i="1" s="1"/>
  <c r="H1926" i="1"/>
  <c r="BE1926" i="1" s="1"/>
  <c r="H1927" i="1"/>
  <c r="BE1927" i="1" s="1"/>
  <c r="H1928" i="1"/>
  <c r="BE1928" i="1" s="1"/>
  <c r="H1929" i="1"/>
  <c r="BE1929" i="1" s="1"/>
  <c r="H1930" i="1"/>
  <c r="H1931" i="1"/>
  <c r="BE1931" i="1" s="1"/>
  <c r="H1932" i="1"/>
  <c r="BE1932" i="1" s="1"/>
  <c r="H1933" i="1"/>
  <c r="BE1933" i="1" s="1"/>
  <c r="H1934" i="1"/>
  <c r="BE1934" i="1" s="1"/>
  <c r="H1935" i="1"/>
  <c r="BE1935" i="1" s="1"/>
  <c r="H1936" i="1"/>
  <c r="BE1936" i="1" s="1"/>
  <c r="H1937" i="1"/>
  <c r="BE1937" i="1" s="1"/>
  <c r="H1938" i="1"/>
  <c r="H1939" i="1"/>
  <c r="BE1939" i="1" s="1"/>
  <c r="H1940" i="1"/>
  <c r="BE1940" i="1" s="1"/>
  <c r="H1941" i="1"/>
  <c r="BE1941" i="1" s="1"/>
  <c r="H1942" i="1"/>
  <c r="BE1942" i="1" s="1"/>
  <c r="H1943" i="1"/>
  <c r="BE1943" i="1" s="1"/>
  <c r="H1944" i="1"/>
  <c r="BE1944" i="1" s="1"/>
  <c r="H1945" i="1"/>
  <c r="BE1945" i="1" s="1"/>
  <c r="H1946" i="1"/>
  <c r="H1947" i="1"/>
  <c r="BE1947" i="1" s="1"/>
  <c r="H1948" i="1"/>
  <c r="BE1948" i="1" s="1"/>
  <c r="H1949" i="1"/>
  <c r="BE1949" i="1" s="1"/>
  <c r="H1950" i="1"/>
  <c r="BE1950" i="1" s="1"/>
  <c r="H1951" i="1"/>
  <c r="BE1951" i="1" s="1"/>
  <c r="H1952" i="1"/>
  <c r="BE1952" i="1" s="1"/>
  <c r="H1953" i="1"/>
  <c r="BE1953" i="1" s="1"/>
  <c r="H1954" i="1"/>
  <c r="H1955" i="1"/>
  <c r="BE1955" i="1" s="1"/>
  <c r="H1956" i="1"/>
  <c r="BE1956" i="1" s="1"/>
  <c r="H1957" i="1"/>
  <c r="BE1957" i="1" s="1"/>
  <c r="H1958" i="1"/>
  <c r="BE1958" i="1" s="1"/>
  <c r="H1959" i="1"/>
  <c r="BE1959" i="1" s="1"/>
  <c r="H1960" i="1"/>
  <c r="BE1960" i="1" s="1"/>
  <c r="H1961" i="1"/>
  <c r="BE1961" i="1" s="1"/>
  <c r="H1962" i="1"/>
  <c r="H1963" i="1"/>
  <c r="BE1963" i="1" s="1"/>
  <c r="H1964" i="1"/>
  <c r="BE1964" i="1" s="1"/>
  <c r="H1965" i="1"/>
  <c r="BE1965" i="1" s="1"/>
  <c r="H1966" i="1"/>
  <c r="BE1966" i="1" s="1"/>
  <c r="H1967" i="1"/>
  <c r="BE1967" i="1" s="1"/>
  <c r="H1968" i="1"/>
  <c r="BE1968" i="1" s="1"/>
  <c r="H1969" i="1"/>
  <c r="BE1969" i="1" s="1"/>
  <c r="H1970" i="1"/>
  <c r="H1971" i="1"/>
  <c r="BE1971" i="1" s="1"/>
  <c r="H1972" i="1"/>
  <c r="BE1972" i="1" s="1"/>
  <c r="H1973" i="1"/>
  <c r="BE1973" i="1" s="1"/>
  <c r="H1974" i="1"/>
  <c r="BE1974" i="1" s="1"/>
  <c r="H1975" i="1"/>
  <c r="BE1975" i="1" s="1"/>
  <c r="H1976" i="1"/>
  <c r="BE1976" i="1" s="1"/>
  <c r="H1977" i="1"/>
  <c r="BE1977" i="1" s="1"/>
  <c r="H1978" i="1"/>
  <c r="H1979" i="1"/>
  <c r="BE1979" i="1" s="1"/>
  <c r="H1980" i="1"/>
  <c r="BE1980" i="1" s="1"/>
  <c r="H1981" i="1"/>
  <c r="BE1981" i="1" s="1"/>
  <c r="H1982" i="1"/>
  <c r="BE1982" i="1" s="1"/>
  <c r="H1983" i="1"/>
  <c r="BE1983" i="1" s="1"/>
  <c r="H1984" i="1"/>
  <c r="BE1984" i="1" s="1"/>
  <c r="H1985" i="1"/>
  <c r="BE1985" i="1" s="1"/>
  <c r="H1986" i="1"/>
  <c r="H1987" i="1"/>
  <c r="BE1987" i="1" s="1"/>
  <c r="H1988" i="1"/>
  <c r="BE1988" i="1" s="1"/>
  <c r="H1989" i="1"/>
  <c r="BE1989" i="1" s="1"/>
  <c r="H1990" i="1"/>
  <c r="BE1990" i="1" s="1"/>
  <c r="H1991" i="1"/>
  <c r="BE1991" i="1" s="1"/>
  <c r="H1992" i="1"/>
  <c r="BE1992" i="1" s="1"/>
  <c r="H1993" i="1"/>
  <c r="BE1993" i="1" s="1"/>
  <c r="H1994" i="1"/>
  <c r="H1995" i="1"/>
  <c r="BE1995" i="1" s="1"/>
  <c r="H1996" i="1"/>
  <c r="BE1996" i="1" s="1"/>
  <c r="H1997" i="1"/>
  <c r="BE1997" i="1" s="1"/>
  <c r="H1998" i="1"/>
  <c r="BE1998" i="1" s="1"/>
  <c r="H1999" i="1"/>
  <c r="BE1999" i="1" s="1"/>
  <c r="H2000" i="1"/>
  <c r="BE2000" i="1" s="1"/>
  <c r="H2001" i="1"/>
  <c r="BE2001" i="1" s="1"/>
  <c r="H2002" i="1"/>
  <c r="H2003" i="1"/>
  <c r="BE2003" i="1" s="1"/>
  <c r="H2004" i="1"/>
  <c r="BE2004" i="1" s="1"/>
  <c r="H2005" i="1"/>
  <c r="BE2005" i="1" s="1"/>
  <c r="H2006" i="1"/>
  <c r="BE2006" i="1" s="1"/>
  <c r="H2007" i="1"/>
  <c r="BE2007" i="1" s="1"/>
  <c r="H2008" i="1"/>
  <c r="BE2008" i="1" s="1"/>
  <c r="H2009" i="1"/>
  <c r="BE2009" i="1" s="1"/>
  <c r="H2010" i="1"/>
  <c r="H2011" i="1"/>
  <c r="BE2011" i="1" s="1"/>
  <c r="H2012" i="1"/>
  <c r="BE2012" i="1" s="1"/>
  <c r="H2013" i="1"/>
  <c r="BE2013" i="1" s="1"/>
  <c r="H2014" i="1"/>
  <c r="BE2014" i="1" s="1"/>
  <c r="H2015" i="1"/>
  <c r="BE2015" i="1" s="1"/>
  <c r="H2016" i="1"/>
  <c r="BE2016" i="1" s="1"/>
  <c r="H2017" i="1"/>
  <c r="BE2017" i="1" s="1"/>
  <c r="H2018" i="1"/>
  <c r="H2019" i="1"/>
  <c r="BE2019" i="1" s="1"/>
  <c r="H2020" i="1"/>
  <c r="BE2020" i="1" s="1"/>
  <c r="H2021" i="1"/>
  <c r="BE2021" i="1" s="1"/>
  <c r="H2022" i="1"/>
  <c r="BE2022" i="1" s="1"/>
  <c r="H2023" i="1"/>
  <c r="BE2023" i="1" s="1"/>
  <c r="H2024" i="1"/>
  <c r="BE2024" i="1" s="1"/>
  <c r="H2025" i="1"/>
  <c r="BE2025" i="1" s="1"/>
  <c r="H2026" i="1"/>
  <c r="H2027" i="1"/>
  <c r="BE2027" i="1" s="1"/>
  <c r="H2028" i="1"/>
  <c r="BE2028" i="1" s="1"/>
  <c r="H2029" i="1"/>
  <c r="BE2029" i="1" s="1"/>
  <c r="H2030" i="1"/>
  <c r="BE2030" i="1" s="1"/>
  <c r="H2031" i="1"/>
  <c r="BE2031" i="1" s="1"/>
  <c r="H2032" i="1"/>
  <c r="BE2032" i="1" s="1"/>
  <c r="H2033" i="1"/>
  <c r="BE2033" i="1" s="1"/>
  <c r="H2034" i="1"/>
  <c r="H2035" i="1"/>
  <c r="BE2035" i="1" s="1"/>
  <c r="H2036" i="1"/>
  <c r="BE2036" i="1" s="1"/>
  <c r="H2037" i="1"/>
  <c r="BE2037" i="1" s="1"/>
  <c r="H2038" i="1"/>
  <c r="BE2038" i="1" s="1"/>
  <c r="H2039" i="1"/>
  <c r="BE2039" i="1" s="1"/>
  <c r="H2040" i="1"/>
  <c r="BE2040" i="1" s="1"/>
  <c r="H2041" i="1"/>
  <c r="BE2041" i="1" s="1"/>
  <c r="H2042" i="1"/>
  <c r="H2043" i="1"/>
  <c r="BE2043" i="1" s="1"/>
  <c r="H2044" i="1"/>
  <c r="BE2044" i="1" s="1"/>
  <c r="H2045" i="1"/>
  <c r="BE2045" i="1" s="1"/>
  <c r="H2046" i="1"/>
  <c r="BE2046" i="1" s="1"/>
  <c r="H2047" i="1"/>
  <c r="BE2047" i="1" s="1"/>
  <c r="H2048" i="1"/>
  <c r="BE2048" i="1" s="1"/>
  <c r="H2049" i="1"/>
  <c r="BE2049" i="1" s="1"/>
  <c r="H2050" i="1"/>
  <c r="H2051" i="1"/>
  <c r="BE2051" i="1" s="1"/>
  <c r="H2052" i="1"/>
  <c r="BE2052" i="1" s="1"/>
  <c r="H2053" i="1"/>
  <c r="BE2053" i="1" s="1"/>
  <c r="H2054" i="1"/>
  <c r="BE2054" i="1" s="1"/>
  <c r="H2055" i="1"/>
  <c r="BE2055" i="1" s="1"/>
  <c r="H2056" i="1"/>
  <c r="BE2056" i="1" s="1"/>
  <c r="H2057" i="1"/>
  <c r="BE2057" i="1" s="1"/>
  <c r="H2058" i="1"/>
  <c r="H2059" i="1"/>
  <c r="BE2059" i="1" s="1"/>
  <c r="H2060" i="1"/>
  <c r="BE2060" i="1" s="1"/>
  <c r="H2061" i="1"/>
  <c r="BE2061" i="1" s="1"/>
  <c r="H2062" i="1"/>
  <c r="BE2062" i="1" s="1"/>
  <c r="H2063" i="1"/>
  <c r="BE2063" i="1" s="1"/>
  <c r="H2064" i="1"/>
  <c r="BE2064" i="1" s="1"/>
  <c r="H2065" i="1"/>
  <c r="BE2065" i="1" s="1"/>
  <c r="H2066" i="1"/>
  <c r="H2067" i="1"/>
  <c r="BE2067" i="1" s="1"/>
  <c r="H2068" i="1"/>
  <c r="BE2068" i="1" s="1"/>
  <c r="H2069" i="1"/>
  <c r="BE2069" i="1" s="1"/>
  <c r="H2070" i="1"/>
  <c r="BE2070" i="1" s="1"/>
  <c r="H2071" i="1"/>
  <c r="BE2071" i="1" s="1"/>
  <c r="H2072" i="1"/>
  <c r="BE2072" i="1" s="1"/>
  <c r="H2073" i="1"/>
  <c r="BE2073" i="1" s="1"/>
  <c r="H2074" i="1"/>
  <c r="H2075" i="1"/>
  <c r="BE2075" i="1" s="1"/>
  <c r="H2076" i="1"/>
  <c r="BE2076" i="1" s="1"/>
  <c r="H2077" i="1"/>
  <c r="BE2077" i="1" s="1"/>
  <c r="H2078" i="1"/>
  <c r="BE2078" i="1" s="1"/>
  <c r="H2079" i="1"/>
  <c r="BE2079" i="1" s="1"/>
  <c r="H2080" i="1"/>
  <c r="BE2080" i="1" s="1"/>
  <c r="H2081" i="1"/>
  <c r="BE2081" i="1" s="1"/>
  <c r="H2082" i="1"/>
  <c r="H2083" i="1"/>
  <c r="BE2083" i="1" s="1"/>
  <c r="H2084" i="1"/>
  <c r="BE2084" i="1" s="1"/>
  <c r="H2085" i="1"/>
  <c r="BE2085" i="1" s="1"/>
  <c r="H2086" i="1"/>
  <c r="BE2086" i="1" s="1"/>
  <c r="H2087" i="1"/>
  <c r="BE2087" i="1" s="1"/>
  <c r="H2088" i="1"/>
  <c r="BE2088" i="1" s="1"/>
  <c r="H2089" i="1"/>
  <c r="BE2089" i="1" s="1"/>
  <c r="H2090" i="1"/>
  <c r="H2091" i="1"/>
  <c r="BE2091" i="1" s="1"/>
  <c r="H2092" i="1"/>
  <c r="BE2092" i="1" s="1"/>
  <c r="H2093" i="1"/>
  <c r="BE2093" i="1" s="1"/>
  <c r="H2094" i="1"/>
  <c r="BE2094" i="1" s="1"/>
  <c r="H2095" i="1"/>
  <c r="BE2095" i="1" s="1"/>
  <c r="H2096" i="1"/>
  <c r="BE2096" i="1" s="1"/>
  <c r="H2097" i="1"/>
  <c r="BE2097" i="1" s="1"/>
  <c r="H2098" i="1"/>
  <c r="H2099" i="1"/>
  <c r="BE2099" i="1" s="1"/>
  <c r="H2100" i="1"/>
  <c r="BE2100" i="1" s="1"/>
  <c r="H2101" i="1"/>
  <c r="BE2101" i="1" s="1"/>
  <c r="H2102" i="1"/>
  <c r="BE2102" i="1" s="1"/>
  <c r="H2103" i="1"/>
  <c r="BE2103" i="1" s="1"/>
  <c r="H2104" i="1"/>
  <c r="BE2104" i="1" s="1"/>
  <c r="H2105" i="1"/>
  <c r="BE2105" i="1" s="1"/>
  <c r="H2106" i="1"/>
  <c r="H2107" i="1"/>
  <c r="BE2107" i="1" s="1"/>
  <c r="H2108" i="1"/>
  <c r="BE2108" i="1" s="1"/>
  <c r="H2109" i="1"/>
  <c r="BE2109" i="1" s="1"/>
  <c r="H2110" i="1"/>
  <c r="BE2110" i="1" s="1"/>
  <c r="H2111" i="1"/>
  <c r="BE2111" i="1" s="1"/>
  <c r="H2112" i="1"/>
  <c r="BE2112" i="1" s="1"/>
  <c r="H2113" i="1"/>
  <c r="BE2113" i="1" s="1"/>
  <c r="H2114" i="1"/>
  <c r="H2115" i="1"/>
  <c r="BE2115" i="1" s="1"/>
  <c r="H2116" i="1"/>
  <c r="BE2116" i="1" s="1"/>
  <c r="H2117" i="1"/>
  <c r="BE2117" i="1" s="1"/>
  <c r="H2118" i="1"/>
  <c r="BE2118" i="1" s="1"/>
  <c r="H2119" i="1"/>
  <c r="BE2119" i="1" s="1"/>
  <c r="H2120" i="1"/>
  <c r="BE2120" i="1" s="1"/>
  <c r="H2121" i="1"/>
  <c r="BE2121" i="1" s="1"/>
  <c r="H2122" i="1"/>
  <c r="H2123" i="1"/>
  <c r="BE2123" i="1" s="1"/>
  <c r="H2124" i="1"/>
  <c r="BE2124" i="1" s="1"/>
  <c r="H2125" i="1"/>
  <c r="BE2125" i="1" s="1"/>
  <c r="H2126" i="1"/>
  <c r="BE2126" i="1" s="1"/>
  <c r="H2127" i="1"/>
  <c r="BE2127" i="1" s="1"/>
  <c r="H2128" i="1"/>
  <c r="BE2128" i="1" s="1"/>
  <c r="H2129" i="1"/>
  <c r="BE2129" i="1" s="1"/>
  <c r="H2130" i="1"/>
  <c r="H2131" i="1"/>
  <c r="BE2131" i="1" s="1"/>
  <c r="H2132" i="1"/>
  <c r="BE2132" i="1" s="1"/>
  <c r="H2133" i="1"/>
  <c r="BE2133" i="1" s="1"/>
  <c r="H2134" i="1"/>
  <c r="BE2134" i="1" s="1"/>
  <c r="H2135" i="1"/>
  <c r="BE2135" i="1" s="1"/>
  <c r="H2136" i="1"/>
  <c r="BE2136" i="1" s="1"/>
  <c r="H2137" i="1"/>
  <c r="BE2137" i="1" s="1"/>
  <c r="H2138" i="1"/>
  <c r="H2139" i="1"/>
  <c r="BE2139" i="1" s="1"/>
  <c r="H2140" i="1"/>
  <c r="BE2140" i="1" s="1"/>
  <c r="H2141" i="1"/>
  <c r="BE2141" i="1" s="1"/>
  <c r="H2142" i="1"/>
  <c r="BE2142" i="1" s="1"/>
  <c r="H2143" i="1"/>
  <c r="BE2143" i="1" s="1"/>
  <c r="H2144" i="1"/>
  <c r="BE2144" i="1" s="1"/>
  <c r="H2145" i="1"/>
  <c r="BE2145" i="1" s="1"/>
  <c r="H2146" i="1"/>
  <c r="H2147" i="1"/>
  <c r="BE2147" i="1" s="1"/>
  <c r="H2148" i="1"/>
  <c r="BE2148" i="1" s="1"/>
  <c r="H2149" i="1"/>
  <c r="BE2149" i="1" s="1"/>
  <c r="H2150" i="1"/>
  <c r="BE2150" i="1" s="1"/>
  <c r="H2151" i="1"/>
  <c r="BE2151" i="1" s="1"/>
  <c r="H2152" i="1"/>
  <c r="BE2152" i="1" s="1"/>
  <c r="H2153" i="1"/>
  <c r="BE2153" i="1" s="1"/>
  <c r="H2154" i="1"/>
  <c r="H2155" i="1"/>
  <c r="BE2155" i="1" s="1"/>
  <c r="H2156" i="1"/>
  <c r="BE2156" i="1" s="1"/>
  <c r="H2157" i="1"/>
  <c r="BE2157" i="1" s="1"/>
  <c r="H2158" i="1"/>
  <c r="BE2158" i="1" s="1"/>
  <c r="H2159" i="1"/>
  <c r="BE2159" i="1" s="1"/>
  <c r="H2160" i="1"/>
  <c r="BE2160" i="1" s="1"/>
  <c r="H2161" i="1"/>
  <c r="BE2161" i="1" s="1"/>
  <c r="H2162" i="1"/>
  <c r="H2163" i="1"/>
  <c r="BE2163" i="1" s="1"/>
  <c r="H2164" i="1"/>
  <c r="BE2164" i="1" s="1"/>
  <c r="H2165" i="1"/>
  <c r="BE2165" i="1" s="1"/>
  <c r="H2166" i="1"/>
  <c r="BE2166" i="1" s="1"/>
  <c r="H2167" i="1"/>
  <c r="BE2167" i="1" s="1"/>
  <c r="H2168" i="1"/>
  <c r="BE2168" i="1" s="1"/>
  <c r="H2169" i="1"/>
  <c r="BE2169" i="1" s="1"/>
  <c r="H2170" i="1"/>
  <c r="H2171" i="1"/>
  <c r="BE2171" i="1" s="1"/>
  <c r="H2172" i="1"/>
  <c r="BE2172" i="1" s="1"/>
  <c r="H2173" i="1"/>
  <c r="BE2173" i="1" s="1"/>
  <c r="H2174" i="1"/>
  <c r="BE2174" i="1" s="1"/>
  <c r="H2175" i="1"/>
  <c r="BE2175" i="1" s="1"/>
  <c r="H2176" i="1"/>
  <c r="BE2176" i="1" s="1"/>
  <c r="H2177" i="1"/>
  <c r="BE2177" i="1" s="1"/>
  <c r="H2178" i="1"/>
  <c r="H2179" i="1"/>
  <c r="BE2179" i="1" s="1"/>
  <c r="H2180" i="1"/>
  <c r="BE2180" i="1" s="1"/>
  <c r="H2181" i="1"/>
  <c r="BE2181" i="1" s="1"/>
  <c r="H2182" i="1"/>
  <c r="BE2182" i="1" s="1"/>
  <c r="H2183" i="1"/>
  <c r="BE2183" i="1" s="1"/>
  <c r="H2184" i="1"/>
  <c r="BE2184" i="1" s="1"/>
  <c r="H2185" i="1"/>
  <c r="BE2185" i="1" s="1"/>
  <c r="H2186" i="1"/>
  <c r="H2187" i="1"/>
  <c r="BE2187" i="1" s="1"/>
  <c r="H2188" i="1"/>
  <c r="BE2188" i="1" s="1"/>
  <c r="H2189" i="1"/>
  <c r="BE2189" i="1" s="1"/>
  <c r="H2190" i="1"/>
  <c r="BE2190" i="1" s="1"/>
  <c r="H2191" i="1"/>
  <c r="BE2191" i="1" s="1"/>
  <c r="H2192" i="1"/>
  <c r="BE2192" i="1" s="1"/>
  <c r="H2193" i="1"/>
  <c r="BE2193" i="1" s="1"/>
  <c r="H2194" i="1"/>
  <c r="H2195" i="1"/>
  <c r="BE2195" i="1" s="1"/>
  <c r="H2196" i="1"/>
  <c r="BE2196" i="1" s="1"/>
  <c r="H2197" i="1"/>
  <c r="BE2197" i="1" s="1"/>
  <c r="H2198" i="1"/>
  <c r="BE2198" i="1" s="1"/>
  <c r="H2199" i="1"/>
  <c r="BE2199" i="1" s="1"/>
  <c r="H2200" i="1"/>
  <c r="BE2200" i="1" s="1"/>
  <c r="H2201" i="1"/>
  <c r="BE2201" i="1" s="1"/>
  <c r="H2202" i="1"/>
  <c r="H2203" i="1"/>
  <c r="BE2203" i="1" s="1"/>
  <c r="H2204" i="1"/>
  <c r="BE2204" i="1" s="1"/>
  <c r="H2205" i="1"/>
  <c r="BE2205" i="1" s="1"/>
  <c r="H2206" i="1"/>
  <c r="BE2206" i="1" s="1"/>
  <c r="H2207" i="1"/>
  <c r="BE2207" i="1" s="1"/>
  <c r="H2208" i="1"/>
  <c r="BE2208" i="1" s="1"/>
  <c r="H2209" i="1"/>
  <c r="BE2209" i="1" s="1"/>
  <c r="H2210" i="1"/>
  <c r="H2211" i="1"/>
  <c r="BE2211" i="1" s="1"/>
  <c r="H2212" i="1"/>
  <c r="BE2212" i="1" s="1"/>
  <c r="H2213" i="1"/>
  <c r="BE2213" i="1" s="1"/>
  <c r="H2214" i="1"/>
  <c r="BE2214" i="1" s="1"/>
  <c r="H2215" i="1"/>
  <c r="BE2215" i="1" s="1"/>
  <c r="H2216" i="1"/>
  <c r="BE2216" i="1" s="1"/>
  <c r="H2217" i="1"/>
  <c r="BE2217" i="1" s="1"/>
  <c r="H2218" i="1"/>
  <c r="H2219" i="1"/>
  <c r="BE2219" i="1" s="1"/>
  <c r="H2220" i="1"/>
  <c r="BE2220" i="1" s="1"/>
  <c r="H2221" i="1"/>
  <c r="BE2221" i="1" s="1"/>
  <c r="H2222" i="1"/>
  <c r="BE2222" i="1" s="1"/>
  <c r="H2223" i="1"/>
  <c r="BE2223" i="1" s="1"/>
  <c r="H2224" i="1"/>
  <c r="BE2224" i="1" s="1"/>
  <c r="H2225" i="1"/>
  <c r="BE2225" i="1" s="1"/>
  <c r="H2226" i="1"/>
  <c r="H2227" i="1"/>
  <c r="BE2227" i="1" s="1"/>
  <c r="H2228" i="1"/>
  <c r="BE2228" i="1" s="1"/>
  <c r="H2229" i="1"/>
  <c r="BE2229" i="1" s="1"/>
  <c r="H2230" i="1"/>
  <c r="BE2230" i="1" s="1"/>
  <c r="H2231" i="1"/>
  <c r="BE2231" i="1" s="1"/>
  <c r="H2232" i="1"/>
  <c r="BE2232" i="1" s="1"/>
  <c r="H2233" i="1"/>
  <c r="BE2233" i="1" s="1"/>
  <c r="H2234" i="1"/>
  <c r="H2235" i="1"/>
  <c r="BE2235" i="1" s="1"/>
  <c r="H2236" i="1"/>
  <c r="BE2236" i="1" s="1"/>
  <c r="H2237" i="1"/>
  <c r="BE2237" i="1" s="1"/>
  <c r="H2238" i="1"/>
  <c r="BE2238" i="1" s="1"/>
  <c r="H2239" i="1"/>
  <c r="BE2239" i="1" s="1"/>
  <c r="H2240" i="1"/>
  <c r="BE2240" i="1" s="1"/>
  <c r="H2241" i="1"/>
  <c r="BE2241" i="1" s="1"/>
  <c r="H2242" i="1"/>
  <c r="H2243" i="1"/>
  <c r="BE2243" i="1" s="1"/>
  <c r="H2244" i="1"/>
  <c r="BE2244" i="1" s="1"/>
  <c r="H2245" i="1"/>
  <c r="BE2245" i="1" s="1"/>
  <c r="H2246" i="1"/>
  <c r="BE2246" i="1" s="1"/>
  <c r="H2247" i="1"/>
  <c r="BE2247" i="1" s="1"/>
  <c r="H2248" i="1"/>
  <c r="BE2248" i="1" s="1"/>
  <c r="H2249" i="1"/>
  <c r="BE2249" i="1" s="1"/>
  <c r="H2250" i="1"/>
  <c r="H2251" i="1"/>
  <c r="BE2251" i="1" s="1"/>
  <c r="H2252" i="1"/>
  <c r="BE2252" i="1" s="1"/>
  <c r="H2253" i="1"/>
  <c r="BE2253" i="1" s="1"/>
  <c r="H2254" i="1"/>
  <c r="BE2254" i="1" s="1"/>
  <c r="H2255" i="1"/>
  <c r="BE2255" i="1" s="1"/>
  <c r="H2256" i="1"/>
  <c r="BE2256" i="1" s="1"/>
  <c r="H2257" i="1"/>
  <c r="BE2257" i="1" s="1"/>
  <c r="H2258" i="1"/>
  <c r="H2259" i="1"/>
  <c r="BE2259" i="1" s="1"/>
  <c r="H2260" i="1"/>
  <c r="BE2260" i="1" s="1"/>
  <c r="H2261" i="1"/>
  <c r="BE2261" i="1" s="1"/>
  <c r="H2262" i="1"/>
  <c r="BE2262" i="1" s="1"/>
  <c r="H2263" i="1"/>
  <c r="BE2263" i="1" s="1"/>
  <c r="H2264" i="1"/>
  <c r="BE2264" i="1" s="1"/>
  <c r="H2265" i="1"/>
  <c r="BE2265" i="1" s="1"/>
  <c r="H2266" i="1"/>
  <c r="H2267" i="1"/>
  <c r="BE2267" i="1" s="1"/>
  <c r="H2268" i="1"/>
  <c r="BE2268" i="1" s="1"/>
  <c r="H2269" i="1"/>
  <c r="BE2269" i="1" s="1"/>
  <c r="H2270" i="1"/>
  <c r="BE2270" i="1" s="1"/>
  <c r="H2271" i="1"/>
  <c r="BE2271" i="1" s="1"/>
  <c r="H2272" i="1"/>
  <c r="BE2272" i="1" s="1"/>
  <c r="H2273" i="1"/>
  <c r="BE2273" i="1" s="1"/>
  <c r="H2274" i="1"/>
  <c r="H2275" i="1"/>
  <c r="BE2275" i="1" s="1"/>
  <c r="H2276" i="1"/>
  <c r="BE2276" i="1" s="1"/>
  <c r="H2277" i="1"/>
  <c r="BE2277" i="1" s="1"/>
  <c r="H2278" i="1"/>
  <c r="BE2278" i="1" s="1"/>
  <c r="H2279" i="1"/>
  <c r="BE2279" i="1" s="1"/>
  <c r="H2280" i="1"/>
  <c r="BE2280" i="1" s="1"/>
  <c r="H2281" i="1"/>
  <c r="BE2281" i="1" s="1"/>
  <c r="H2282" i="1"/>
  <c r="H2283" i="1"/>
  <c r="BE2283" i="1" s="1"/>
  <c r="H2284" i="1"/>
  <c r="BE2284" i="1" s="1"/>
  <c r="H2285" i="1"/>
  <c r="BE2285" i="1" s="1"/>
  <c r="H2286" i="1"/>
  <c r="BE2286" i="1" s="1"/>
  <c r="H2287" i="1"/>
  <c r="BE2287" i="1" s="1"/>
  <c r="H2288" i="1"/>
  <c r="BE2288" i="1" s="1"/>
  <c r="H2289" i="1"/>
  <c r="BE2289" i="1" s="1"/>
  <c r="H2290" i="1"/>
  <c r="H2291" i="1"/>
  <c r="BE2291" i="1" s="1"/>
  <c r="H2292" i="1"/>
  <c r="BE2292" i="1" s="1"/>
  <c r="H2293" i="1"/>
  <c r="BE2293" i="1" s="1"/>
  <c r="H2294" i="1"/>
  <c r="BE2294" i="1" s="1"/>
  <c r="H2295" i="1"/>
  <c r="BE2295" i="1" s="1"/>
  <c r="H2296" i="1"/>
  <c r="BE2296" i="1" s="1"/>
  <c r="H2297" i="1"/>
  <c r="BE2297" i="1" s="1"/>
  <c r="H2298" i="1"/>
  <c r="H2299" i="1"/>
  <c r="BE2299" i="1" s="1"/>
  <c r="H2300" i="1"/>
  <c r="BE2300" i="1" s="1"/>
  <c r="H2301" i="1"/>
  <c r="BE2301" i="1" s="1"/>
  <c r="H2302" i="1"/>
  <c r="BE2302" i="1" s="1"/>
  <c r="H2303" i="1"/>
  <c r="BE2303" i="1" s="1"/>
  <c r="H2304" i="1"/>
  <c r="BE2304" i="1" s="1"/>
  <c r="H2305" i="1"/>
  <c r="BE2305" i="1" s="1"/>
  <c r="H2306" i="1"/>
  <c r="H2307" i="1"/>
  <c r="BE2307" i="1" s="1"/>
  <c r="H2308" i="1"/>
  <c r="BE2308" i="1" s="1"/>
  <c r="H2309" i="1"/>
  <c r="BE2309" i="1" s="1"/>
  <c r="H2310" i="1"/>
  <c r="BE2310" i="1" s="1"/>
  <c r="H2311" i="1"/>
  <c r="BE2311" i="1" s="1"/>
  <c r="H2312" i="1"/>
  <c r="BE2312" i="1" s="1"/>
  <c r="H2313" i="1"/>
  <c r="BE2313" i="1" s="1"/>
  <c r="H2314" i="1"/>
  <c r="H2315" i="1"/>
  <c r="BE2315" i="1" s="1"/>
  <c r="H2316" i="1"/>
  <c r="BE2316" i="1" s="1"/>
  <c r="H2317" i="1"/>
  <c r="BE2317" i="1" s="1"/>
  <c r="H2318" i="1"/>
  <c r="BE2318" i="1" s="1"/>
  <c r="H2319" i="1"/>
  <c r="BE2319" i="1" s="1"/>
  <c r="H2320" i="1"/>
  <c r="BE2320" i="1" s="1"/>
  <c r="H2321" i="1"/>
  <c r="BE2321" i="1" s="1"/>
  <c r="H2322" i="1"/>
  <c r="H2323" i="1"/>
  <c r="BE2323" i="1" s="1"/>
  <c r="H2324" i="1"/>
  <c r="BE2324" i="1" s="1"/>
  <c r="H2325" i="1"/>
  <c r="BE2325" i="1" s="1"/>
  <c r="H2326" i="1"/>
  <c r="BE2326" i="1" s="1"/>
  <c r="H2327" i="1"/>
  <c r="BE2327" i="1" s="1"/>
  <c r="H2328" i="1"/>
  <c r="BE2328" i="1" s="1"/>
  <c r="H2329" i="1"/>
  <c r="BE2329" i="1" s="1"/>
  <c r="H2330" i="1"/>
  <c r="H2331" i="1"/>
  <c r="BE2331" i="1" s="1"/>
  <c r="H2332" i="1"/>
  <c r="BE2332" i="1" s="1"/>
  <c r="H2333" i="1"/>
  <c r="BE2333" i="1" s="1"/>
  <c r="H2334" i="1"/>
  <c r="BE2334" i="1" s="1"/>
  <c r="H2335" i="1"/>
  <c r="BE2335" i="1" s="1"/>
  <c r="H2336" i="1"/>
  <c r="BE2336" i="1" s="1"/>
  <c r="H2337" i="1"/>
  <c r="BE2337" i="1" s="1"/>
  <c r="H2338" i="1"/>
  <c r="H2339" i="1"/>
  <c r="BE2339" i="1" s="1"/>
  <c r="H2340" i="1"/>
  <c r="BE2340" i="1" s="1"/>
  <c r="H2341" i="1"/>
  <c r="BE2341" i="1" s="1"/>
  <c r="H2342" i="1"/>
  <c r="BE2342" i="1" s="1"/>
  <c r="H2343" i="1"/>
  <c r="BE2343" i="1" s="1"/>
  <c r="H2344" i="1"/>
  <c r="BE2344" i="1" s="1"/>
  <c r="H2345" i="1"/>
  <c r="BE2345" i="1" s="1"/>
  <c r="H2346" i="1"/>
  <c r="H2347" i="1"/>
  <c r="BE2347" i="1" s="1"/>
  <c r="H2348" i="1"/>
  <c r="BE2348" i="1" s="1"/>
  <c r="H2349" i="1"/>
  <c r="BE2349" i="1" s="1"/>
  <c r="H2350" i="1"/>
  <c r="BE2350" i="1" s="1"/>
  <c r="H2351" i="1"/>
  <c r="BE2351" i="1" s="1"/>
  <c r="H2352" i="1"/>
  <c r="BE2352" i="1" s="1"/>
  <c r="H2353" i="1"/>
  <c r="BE2353" i="1" s="1"/>
  <c r="H2354" i="1"/>
  <c r="H2355" i="1"/>
  <c r="BE2355" i="1" s="1"/>
  <c r="H2356" i="1"/>
  <c r="BE2356" i="1" s="1"/>
  <c r="H2357" i="1"/>
  <c r="BE2357" i="1" s="1"/>
  <c r="H2358" i="1"/>
  <c r="BE2358" i="1" s="1"/>
  <c r="H2359" i="1"/>
  <c r="BE2359" i="1" s="1"/>
  <c r="H2360" i="1"/>
  <c r="BE2360" i="1" s="1"/>
  <c r="H2361" i="1"/>
  <c r="BE2361" i="1" s="1"/>
  <c r="H2362" i="1"/>
  <c r="H2363" i="1"/>
  <c r="BE2363" i="1" s="1"/>
  <c r="H2364" i="1"/>
  <c r="BE2364" i="1" s="1"/>
  <c r="H2365" i="1"/>
  <c r="BE2365" i="1" s="1"/>
  <c r="H2366" i="1"/>
  <c r="BE2366" i="1" s="1"/>
  <c r="H2367" i="1"/>
  <c r="BE2367" i="1" s="1"/>
  <c r="H2368" i="1"/>
  <c r="BE2368" i="1" s="1"/>
  <c r="H2369" i="1"/>
  <c r="BE2369" i="1" s="1"/>
  <c r="H2370" i="1"/>
  <c r="H2371" i="1"/>
  <c r="BE2371" i="1" s="1"/>
  <c r="H2372" i="1"/>
  <c r="BE2372" i="1" s="1"/>
  <c r="H2373" i="1"/>
  <c r="BE2373" i="1" s="1"/>
  <c r="H2374" i="1"/>
  <c r="BE2374" i="1" s="1"/>
  <c r="H2375" i="1"/>
  <c r="BE2375" i="1" s="1"/>
  <c r="H2376" i="1"/>
  <c r="BE2376" i="1" s="1"/>
  <c r="H2377" i="1"/>
  <c r="BE2377" i="1" s="1"/>
  <c r="H2378" i="1"/>
  <c r="H2379" i="1"/>
  <c r="BE2379" i="1" s="1"/>
  <c r="H2380" i="1"/>
  <c r="BE2380" i="1" s="1"/>
  <c r="H2381" i="1"/>
  <c r="BE2381" i="1" s="1"/>
  <c r="H2382" i="1"/>
  <c r="BE2382" i="1" s="1"/>
  <c r="H2383" i="1"/>
  <c r="BE2383" i="1" s="1"/>
  <c r="H2384" i="1"/>
  <c r="BE2384" i="1" s="1"/>
  <c r="H2385" i="1"/>
  <c r="BE2385" i="1" s="1"/>
  <c r="H2386" i="1"/>
  <c r="H2387" i="1"/>
  <c r="BE2387" i="1" s="1"/>
  <c r="H2388" i="1"/>
  <c r="BE2388" i="1" s="1"/>
  <c r="H2389" i="1"/>
  <c r="BE2389" i="1" s="1"/>
  <c r="H2390" i="1"/>
  <c r="BE2390" i="1" s="1"/>
  <c r="H2391" i="1"/>
  <c r="BE2391" i="1" s="1"/>
  <c r="H2392" i="1"/>
  <c r="BE2392" i="1" s="1"/>
  <c r="H2393" i="1"/>
  <c r="BE2393" i="1" s="1"/>
  <c r="H2394" i="1"/>
  <c r="H2395" i="1"/>
  <c r="BE2395" i="1" s="1"/>
  <c r="H2396" i="1"/>
  <c r="BE2396" i="1" s="1"/>
  <c r="H2397" i="1"/>
  <c r="BE2397" i="1" s="1"/>
  <c r="H2398" i="1"/>
  <c r="BE2398" i="1" s="1"/>
  <c r="H2399" i="1"/>
  <c r="BE2399" i="1" s="1"/>
  <c r="H2400" i="1"/>
  <c r="BE2400" i="1" s="1"/>
  <c r="H2401" i="1"/>
  <c r="BE2401" i="1" s="1"/>
  <c r="H2402" i="1"/>
  <c r="H2403" i="1"/>
  <c r="BE2403" i="1" s="1"/>
  <c r="H2404" i="1"/>
  <c r="BE2404" i="1" s="1"/>
  <c r="H2405" i="1"/>
  <c r="BE2405" i="1" s="1"/>
  <c r="H2406" i="1"/>
  <c r="BE2406" i="1" s="1"/>
  <c r="H2407" i="1"/>
  <c r="BE2407" i="1" s="1"/>
  <c r="H2408" i="1"/>
  <c r="BE2408" i="1" s="1"/>
  <c r="H2409" i="1"/>
  <c r="BE2409" i="1" s="1"/>
  <c r="H2410" i="1"/>
  <c r="H2411" i="1"/>
  <c r="BE2411" i="1" s="1"/>
  <c r="H2412" i="1"/>
  <c r="BE2412" i="1" s="1"/>
  <c r="H2413" i="1"/>
  <c r="BE2413" i="1" s="1"/>
  <c r="H2414" i="1"/>
  <c r="BE2414" i="1" s="1"/>
  <c r="H2415" i="1"/>
  <c r="BE2415" i="1" s="1"/>
  <c r="H2416" i="1"/>
  <c r="BE2416" i="1" s="1"/>
  <c r="H2417" i="1"/>
  <c r="BE2417" i="1" s="1"/>
  <c r="H2418" i="1"/>
  <c r="H2419" i="1"/>
  <c r="BE2419" i="1" s="1"/>
  <c r="H2420" i="1"/>
  <c r="BE2420" i="1" s="1"/>
  <c r="H2421" i="1"/>
  <c r="BE2421" i="1" s="1"/>
  <c r="H2422" i="1"/>
  <c r="BE2422" i="1" s="1"/>
  <c r="H2423" i="1"/>
  <c r="BE2423" i="1" s="1"/>
  <c r="H2424" i="1"/>
  <c r="BE2424" i="1" s="1"/>
  <c r="H2425" i="1"/>
  <c r="BE2425" i="1" s="1"/>
  <c r="H2426" i="1"/>
  <c r="H2427" i="1"/>
  <c r="BE2427" i="1" s="1"/>
  <c r="H2428" i="1"/>
  <c r="BE2428" i="1" s="1"/>
  <c r="H2429" i="1"/>
  <c r="BE2429" i="1" s="1"/>
  <c r="H2430" i="1"/>
  <c r="BE2430" i="1" s="1"/>
  <c r="H2431" i="1"/>
  <c r="BE2431" i="1" s="1"/>
  <c r="H2432" i="1"/>
  <c r="BE2432" i="1" s="1"/>
  <c r="H2433" i="1"/>
  <c r="BE2433" i="1" s="1"/>
  <c r="H2434" i="1"/>
  <c r="H2435" i="1"/>
  <c r="BE2435" i="1" s="1"/>
  <c r="H2436" i="1"/>
  <c r="BE2436" i="1" s="1"/>
  <c r="H2437" i="1"/>
  <c r="BE2437" i="1" s="1"/>
  <c r="H2438" i="1"/>
  <c r="BE2438" i="1" s="1"/>
  <c r="H2439" i="1"/>
  <c r="BE2439" i="1" s="1"/>
  <c r="H2440" i="1"/>
  <c r="BE2440" i="1" s="1"/>
  <c r="H2441" i="1"/>
  <c r="BE2441" i="1" s="1"/>
  <c r="H2442" i="1"/>
  <c r="H2443" i="1"/>
  <c r="BE2443" i="1" s="1"/>
  <c r="H2444" i="1"/>
  <c r="BE2444" i="1" s="1"/>
  <c r="H2445" i="1"/>
  <c r="BE2445" i="1" s="1"/>
  <c r="H2446" i="1"/>
  <c r="BE2446" i="1" s="1"/>
  <c r="H2447" i="1"/>
  <c r="BE2447" i="1" s="1"/>
  <c r="H2448" i="1"/>
  <c r="BE2448" i="1" s="1"/>
  <c r="H2449" i="1"/>
  <c r="BE2449" i="1" s="1"/>
  <c r="H2450" i="1"/>
  <c r="H2451" i="1"/>
  <c r="BE2451" i="1" s="1"/>
  <c r="H2452" i="1"/>
  <c r="BE2452" i="1" s="1"/>
  <c r="H2453" i="1"/>
  <c r="BE2453" i="1" s="1"/>
  <c r="H2454" i="1"/>
  <c r="BE2454" i="1" s="1"/>
  <c r="H2455" i="1"/>
  <c r="BE2455" i="1" s="1"/>
  <c r="H2456" i="1"/>
  <c r="BE2456" i="1" s="1"/>
  <c r="H2457" i="1"/>
  <c r="BE2457" i="1" s="1"/>
  <c r="H2458" i="1"/>
  <c r="H2459" i="1"/>
  <c r="BE2459" i="1" s="1"/>
  <c r="H2460" i="1"/>
  <c r="BE2460" i="1" s="1"/>
  <c r="H2461" i="1"/>
  <c r="BE2461" i="1" s="1"/>
  <c r="H2462" i="1"/>
  <c r="BE2462" i="1" s="1"/>
  <c r="H2463" i="1"/>
  <c r="BE2463" i="1" s="1"/>
  <c r="H2464" i="1"/>
  <c r="BE2464" i="1" s="1"/>
  <c r="H2465" i="1"/>
  <c r="BE2465" i="1" s="1"/>
  <c r="H2466" i="1"/>
  <c r="H2467" i="1"/>
  <c r="BE2467" i="1" s="1"/>
  <c r="H2468" i="1"/>
  <c r="BE2468" i="1" s="1"/>
  <c r="H2469" i="1"/>
  <c r="BE2469" i="1" s="1"/>
  <c r="H2470" i="1"/>
  <c r="BE2470" i="1" s="1"/>
  <c r="H2471" i="1"/>
  <c r="BE2471" i="1" s="1"/>
  <c r="H2472" i="1"/>
  <c r="BE2472" i="1" s="1"/>
  <c r="H2473" i="1"/>
  <c r="BE2473" i="1" s="1"/>
  <c r="H2474" i="1"/>
  <c r="H2475" i="1"/>
  <c r="BE2475" i="1" s="1"/>
  <c r="H2476" i="1"/>
  <c r="BE2476" i="1" s="1"/>
  <c r="H2477" i="1"/>
  <c r="BE2477" i="1" s="1"/>
  <c r="H2478" i="1"/>
  <c r="BE2478" i="1" s="1"/>
  <c r="H2479" i="1"/>
  <c r="BE2479" i="1" s="1"/>
  <c r="H2480" i="1"/>
  <c r="BE2480" i="1" s="1"/>
  <c r="H2481" i="1"/>
  <c r="BE2481" i="1" s="1"/>
  <c r="H2482" i="1"/>
  <c r="H2483" i="1"/>
  <c r="BE2483" i="1" s="1"/>
  <c r="H2484" i="1"/>
  <c r="BE2484" i="1" s="1"/>
  <c r="H2485" i="1"/>
  <c r="BE2485" i="1" s="1"/>
  <c r="H2486" i="1"/>
  <c r="BE2486" i="1" s="1"/>
  <c r="H2487" i="1"/>
  <c r="BE2487" i="1" s="1"/>
  <c r="H2488" i="1"/>
  <c r="BE2488" i="1" s="1"/>
  <c r="H2489" i="1"/>
  <c r="BE2489" i="1" s="1"/>
  <c r="H2490" i="1"/>
  <c r="H2491" i="1"/>
  <c r="BE2491" i="1" s="1"/>
  <c r="H2492" i="1"/>
  <c r="BE2492" i="1" s="1"/>
  <c r="H2493" i="1"/>
  <c r="BE2493" i="1" s="1"/>
  <c r="H2494" i="1"/>
  <c r="BE2494" i="1" s="1"/>
  <c r="H2495" i="1"/>
  <c r="BE2495" i="1" s="1"/>
  <c r="H2496" i="1"/>
  <c r="BE2496" i="1" s="1"/>
  <c r="H2497" i="1"/>
  <c r="BE2497" i="1" s="1"/>
  <c r="H2498" i="1"/>
  <c r="H2499" i="1"/>
  <c r="BE2499" i="1" s="1"/>
  <c r="H2500" i="1"/>
  <c r="BE2500" i="1" s="1"/>
  <c r="H2501" i="1"/>
  <c r="BE2501" i="1" s="1"/>
  <c r="H2502" i="1"/>
  <c r="BE2502" i="1" s="1"/>
  <c r="H2503" i="1"/>
  <c r="BE2503" i="1" s="1"/>
  <c r="H2504" i="1"/>
  <c r="BE2504" i="1" s="1"/>
  <c r="H2505" i="1"/>
  <c r="BE2505" i="1" s="1"/>
  <c r="H2506" i="1"/>
  <c r="H2507" i="1"/>
  <c r="BE2507" i="1" s="1"/>
  <c r="H2508" i="1"/>
  <c r="BE2508" i="1" s="1"/>
  <c r="H2509" i="1"/>
  <c r="BE2509" i="1" s="1"/>
  <c r="H2510" i="1"/>
  <c r="BE2510" i="1" s="1"/>
  <c r="H2511" i="1"/>
  <c r="BE2511" i="1" s="1"/>
  <c r="H2512" i="1"/>
  <c r="BE2512" i="1" s="1"/>
  <c r="H2513" i="1"/>
  <c r="BE2513" i="1" s="1"/>
  <c r="H2514" i="1"/>
  <c r="H2515" i="1"/>
  <c r="BE2515" i="1" s="1"/>
  <c r="H2516" i="1"/>
  <c r="BE2516" i="1" s="1"/>
  <c r="H2517" i="1"/>
  <c r="BE2517" i="1" s="1"/>
  <c r="H2518" i="1"/>
  <c r="BE2518" i="1" s="1"/>
  <c r="H2519" i="1"/>
  <c r="BE2519" i="1" s="1"/>
  <c r="H2520" i="1"/>
  <c r="BE2520" i="1" s="1"/>
  <c r="H2521" i="1"/>
  <c r="BE2521" i="1" s="1"/>
  <c r="H2522" i="1"/>
  <c r="H2523" i="1"/>
  <c r="BE2523" i="1" s="1"/>
  <c r="H2524" i="1"/>
  <c r="BE2524" i="1" s="1"/>
  <c r="H2525" i="1"/>
  <c r="BE2525" i="1" s="1"/>
  <c r="H2526" i="1"/>
  <c r="BE2526" i="1" s="1"/>
  <c r="H2527" i="1"/>
  <c r="BE2527" i="1" s="1"/>
  <c r="H2528" i="1"/>
  <c r="BE2528" i="1" s="1"/>
  <c r="H2529" i="1"/>
  <c r="BE2529" i="1" s="1"/>
  <c r="H2530" i="1"/>
  <c r="H2531" i="1"/>
  <c r="BE2531" i="1" s="1"/>
  <c r="H2532" i="1"/>
  <c r="BE2532" i="1" s="1"/>
  <c r="H2533" i="1"/>
  <c r="BE2533" i="1" s="1"/>
  <c r="H2534" i="1"/>
  <c r="BE2534" i="1" s="1"/>
  <c r="H2535" i="1"/>
  <c r="BE2535" i="1" s="1"/>
  <c r="H2536" i="1"/>
  <c r="BE2536" i="1" s="1"/>
  <c r="H2537" i="1"/>
  <c r="BE2537" i="1" s="1"/>
  <c r="H2538" i="1"/>
  <c r="H2539" i="1"/>
  <c r="BE2539" i="1" s="1"/>
  <c r="H2540" i="1"/>
  <c r="BE2540" i="1" s="1"/>
  <c r="H2541" i="1"/>
  <c r="BE2541" i="1" s="1"/>
  <c r="H2542" i="1"/>
  <c r="BE2542" i="1" s="1"/>
  <c r="H2543" i="1"/>
  <c r="BE2543" i="1" s="1"/>
  <c r="H2544" i="1"/>
  <c r="BE2544" i="1" s="1"/>
  <c r="H2545" i="1"/>
  <c r="BE2545" i="1" s="1"/>
  <c r="H2546" i="1"/>
  <c r="H2547" i="1"/>
  <c r="BE2547" i="1" s="1"/>
  <c r="H2548" i="1"/>
  <c r="BE2548" i="1" s="1"/>
  <c r="H2549" i="1"/>
  <c r="BE2549" i="1" s="1"/>
  <c r="H2550" i="1"/>
  <c r="BE2550" i="1" s="1"/>
  <c r="H2551" i="1"/>
  <c r="BE2551" i="1" s="1"/>
  <c r="H2552" i="1"/>
  <c r="BE2552" i="1" s="1"/>
  <c r="H2553" i="1"/>
  <c r="BE2553" i="1" s="1"/>
  <c r="H2554" i="1"/>
  <c r="H2555" i="1"/>
  <c r="BE2555" i="1" s="1"/>
  <c r="H2556" i="1"/>
  <c r="BE2556" i="1" s="1"/>
  <c r="H2557" i="1"/>
  <c r="BE2557" i="1" s="1"/>
  <c r="H2558" i="1"/>
  <c r="BE2558" i="1" s="1"/>
  <c r="H2559" i="1"/>
  <c r="BE2559" i="1" s="1"/>
  <c r="H2560" i="1"/>
  <c r="BE2560" i="1" s="1"/>
  <c r="H2561" i="1"/>
  <c r="BE2561" i="1" s="1"/>
  <c r="H2562" i="1"/>
  <c r="H2563" i="1"/>
  <c r="BE2563" i="1" s="1"/>
  <c r="H2564" i="1"/>
  <c r="BE2564" i="1" s="1"/>
  <c r="H2565" i="1"/>
  <c r="BE2565" i="1" s="1"/>
  <c r="H2566" i="1"/>
  <c r="BE2566" i="1" s="1"/>
  <c r="H2567" i="1"/>
  <c r="BE2567" i="1" s="1"/>
  <c r="H2568" i="1"/>
  <c r="BE2568" i="1" s="1"/>
  <c r="H2569" i="1"/>
  <c r="BE2569" i="1" s="1"/>
  <c r="H2570" i="1"/>
  <c r="H2571" i="1"/>
  <c r="BE2571" i="1" s="1"/>
  <c r="H2572" i="1"/>
  <c r="BE2572" i="1" s="1"/>
  <c r="H2573" i="1"/>
  <c r="BE2573" i="1" s="1"/>
  <c r="H2574" i="1"/>
  <c r="BE2574" i="1" s="1"/>
  <c r="H2575" i="1"/>
  <c r="BE2575" i="1" s="1"/>
  <c r="H2576" i="1"/>
  <c r="BE2576" i="1" s="1"/>
  <c r="H2577" i="1"/>
  <c r="BE2577" i="1" s="1"/>
  <c r="H2578" i="1"/>
  <c r="H2579" i="1"/>
  <c r="BE2579" i="1" s="1"/>
  <c r="H2580" i="1"/>
  <c r="BE2580" i="1" s="1"/>
  <c r="H2581" i="1"/>
  <c r="BE2581" i="1" s="1"/>
  <c r="H2582" i="1"/>
  <c r="BE2582" i="1" s="1"/>
  <c r="H2583" i="1"/>
  <c r="BE2583" i="1" s="1"/>
  <c r="H2584" i="1"/>
  <c r="BE2584" i="1" s="1"/>
  <c r="H2585" i="1"/>
  <c r="BE2585" i="1" s="1"/>
  <c r="H2586" i="1"/>
  <c r="H2587" i="1"/>
  <c r="BE2587" i="1" s="1"/>
  <c r="H2588" i="1"/>
  <c r="BE2588" i="1" s="1"/>
  <c r="H2589" i="1"/>
  <c r="BE2589" i="1" s="1"/>
  <c r="H2590" i="1"/>
  <c r="BE2590" i="1" s="1"/>
  <c r="H2591" i="1"/>
  <c r="BE2591" i="1" s="1"/>
  <c r="H2592" i="1"/>
  <c r="BE2592" i="1" s="1"/>
  <c r="H2593" i="1"/>
  <c r="BE2593" i="1" s="1"/>
  <c r="H2594" i="1"/>
  <c r="H2595" i="1"/>
  <c r="BE2595" i="1" s="1"/>
  <c r="H2596" i="1"/>
  <c r="BE2596" i="1" s="1"/>
  <c r="H2597" i="1"/>
  <c r="BE2597" i="1" s="1"/>
  <c r="H2598" i="1"/>
  <c r="BE2598" i="1" s="1"/>
  <c r="H2599" i="1"/>
  <c r="BE2599" i="1" s="1"/>
  <c r="H2600" i="1"/>
  <c r="BE2600" i="1" s="1"/>
  <c r="H2601" i="1"/>
  <c r="BE2601" i="1" s="1"/>
  <c r="H2602" i="1"/>
  <c r="H2603" i="1"/>
  <c r="BE2603" i="1" s="1"/>
  <c r="H2604" i="1"/>
  <c r="BE2604" i="1" s="1"/>
  <c r="H2605" i="1"/>
  <c r="BE2605" i="1" s="1"/>
  <c r="H2606" i="1"/>
  <c r="BE2606" i="1" s="1"/>
  <c r="H2607" i="1"/>
  <c r="BE2607" i="1" s="1"/>
  <c r="H2608" i="1"/>
  <c r="BE2608" i="1" s="1"/>
  <c r="H2609" i="1"/>
  <c r="BE2609" i="1" s="1"/>
  <c r="H2610" i="1"/>
  <c r="H2611" i="1"/>
  <c r="BE2611" i="1" s="1"/>
  <c r="H2612" i="1"/>
  <c r="BE2612" i="1" s="1"/>
  <c r="H2613" i="1"/>
  <c r="BE2613" i="1" s="1"/>
  <c r="H2614" i="1"/>
  <c r="BE2614" i="1" s="1"/>
  <c r="H2615" i="1"/>
  <c r="BE2615" i="1" s="1"/>
  <c r="H2616" i="1"/>
  <c r="BE2616" i="1" s="1"/>
  <c r="H2617" i="1"/>
  <c r="BE2617" i="1" s="1"/>
  <c r="H2618" i="1"/>
  <c r="H2619" i="1"/>
  <c r="BE2619" i="1" s="1"/>
  <c r="H2620" i="1"/>
  <c r="BE2620" i="1" s="1"/>
  <c r="H2621" i="1"/>
  <c r="BE2621" i="1" s="1"/>
  <c r="H2622" i="1"/>
  <c r="BE2622" i="1" s="1"/>
  <c r="H2623" i="1"/>
  <c r="BE2623" i="1" s="1"/>
  <c r="H2624" i="1"/>
  <c r="BE2624" i="1" s="1"/>
  <c r="H2625" i="1"/>
  <c r="BE2625" i="1" s="1"/>
  <c r="H2626" i="1"/>
  <c r="H2627" i="1"/>
  <c r="BE2627" i="1" s="1"/>
  <c r="H2628" i="1"/>
  <c r="BE2628" i="1" s="1"/>
  <c r="H2629" i="1"/>
  <c r="BE2629" i="1" s="1"/>
  <c r="H2630" i="1"/>
  <c r="BE2630" i="1" s="1"/>
  <c r="H2631" i="1"/>
  <c r="BE2631" i="1" s="1"/>
  <c r="H2632" i="1"/>
  <c r="BE2632" i="1" s="1"/>
  <c r="H2633" i="1"/>
  <c r="BE2633" i="1" s="1"/>
  <c r="H2634" i="1"/>
  <c r="H2635" i="1"/>
  <c r="BE2635" i="1" s="1"/>
  <c r="H2636" i="1"/>
  <c r="BE2636" i="1" s="1"/>
  <c r="H2637" i="1"/>
  <c r="BE2637" i="1" s="1"/>
  <c r="H2638" i="1"/>
  <c r="BE2638" i="1" s="1"/>
  <c r="H2639" i="1"/>
  <c r="BE2639" i="1" s="1"/>
  <c r="H2640" i="1"/>
  <c r="BE2640" i="1" s="1"/>
  <c r="H2641" i="1"/>
  <c r="BE2641" i="1" s="1"/>
  <c r="H2642" i="1"/>
  <c r="H2643" i="1"/>
  <c r="BE2643" i="1" s="1"/>
  <c r="H2644" i="1"/>
  <c r="BE2644" i="1" s="1"/>
  <c r="H2645" i="1"/>
  <c r="BE2645" i="1" s="1"/>
  <c r="H2646" i="1"/>
  <c r="BE2646" i="1" s="1"/>
  <c r="H2647" i="1"/>
  <c r="BE2647" i="1" s="1"/>
  <c r="H2648" i="1"/>
  <c r="BE2648" i="1" s="1"/>
  <c r="H2649" i="1"/>
  <c r="BE2649" i="1" s="1"/>
  <c r="H2650" i="1"/>
  <c r="H2651" i="1"/>
  <c r="BE2651" i="1" s="1"/>
  <c r="H2652" i="1"/>
  <c r="BE2652" i="1" s="1"/>
  <c r="H2653" i="1"/>
  <c r="BE2653" i="1" s="1"/>
  <c r="H2654" i="1"/>
  <c r="BE2654" i="1" s="1"/>
  <c r="H2655" i="1"/>
  <c r="BE2655" i="1" s="1"/>
  <c r="H2656" i="1"/>
  <c r="BE2656" i="1" s="1"/>
  <c r="H2657" i="1"/>
  <c r="BE2657" i="1" s="1"/>
  <c r="H2658" i="1"/>
  <c r="H2659" i="1"/>
  <c r="BE2659" i="1" s="1"/>
  <c r="H2660" i="1"/>
  <c r="BE2660" i="1" s="1"/>
  <c r="H2661" i="1"/>
  <c r="BE2661" i="1" s="1"/>
  <c r="H2662" i="1"/>
  <c r="BE2662" i="1" s="1"/>
  <c r="H2663" i="1"/>
  <c r="BE2663" i="1" s="1"/>
  <c r="H2664" i="1"/>
  <c r="BE2664" i="1" s="1"/>
  <c r="H2665" i="1"/>
  <c r="BE2665" i="1" s="1"/>
  <c r="H2666" i="1"/>
  <c r="H2667" i="1"/>
  <c r="BE2667" i="1" s="1"/>
  <c r="H2668" i="1"/>
  <c r="BE2668" i="1" s="1"/>
  <c r="H2669" i="1"/>
  <c r="BE2669" i="1" s="1"/>
  <c r="H2670" i="1"/>
  <c r="BE2670" i="1" s="1"/>
  <c r="H2671" i="1"/>
  <c r="BE2671" i="1" s="1"/>
  <c r="H2672" i="1"/>
  <c r="BE2672" i="1" s="1"/>
  <c r="H2673" i="1"/>
  <c r="BE2673" i="1" s="1"/>
  <c r="H2674" i="1"/>
  <c r="H2675" i="1"/>
  <c r="BE2675" i="1" s="1"/>
  <c r="H2676" i="1"/>
  <c r="BE2676" i="1" s="1"/>
  <c r="H2677" i="1"/>
  <c r="BE2677" i="1" s="1"/>
  <c r="H2678" i="1"/>
  <c r="BE2678" i="1" s="1"/>
  <c r="H2679" i="1"/>
  <c r="BE2679" i="1" s="1"/>
  <c r="H2680" i="1"/>
  <c r="BE2680" i="1" s="1"/>
  <c r="H2681" i="1"/>
  <c r="BE2681" i="1" s="1"/>
  <c r="H2682" i="1"/>
  <c r="H2683" i="1"/>
  <c r="BE2683" i="1" s="1"/>
  <c r="H2684" i="1"/>
  <c r="BE2684" i="1" s="1"/>
  <c r="H2685" i="1"/>
  <c r="BE2685" i="1" s="1"/>
  <c r="H2686" i="1"/>
  <c r="BE2686" i="1" s="1"/>
  <c r="H2687" i="1"/>
  <c r="BE2687" i="1" s="1"/>
  <c r="H2688" i="1"/>
  <c r="BE2688" i="1" s="1"/>
  <c r="H2689" i="1"/>
  <c r="BE2689" i="1" s="1"/>
  <c r="H2690" i="1"/>
  <c r="H2691" i="1"/>
  <c r="BE2691" i="1" s="1"/>
  <c r="H2692" i="1"/>
  <c r="BE2692" i="1" s="1"/>
  <c r="H2693" i="1"/>
  <c r="BE2693" i="1" s="1"/>
  <c r="H2694" i="1"/>
  <c r="BE2694" i="1" s="1"/>
  <c r="H2695" i="1"/>
  <c r="BE2695" i="1" s="1"/>
  <c r="H2696" i="1"/>
  <c r="BE2696" i="1" s="1"/>
  <c r="H2697" i="1"/>
  <c r="BE2697" i="1" s="1"/>
  <c r="H2698" i="1"/>
  <c r="H2699" i="1"/>
  <c r="BE2699" i="1" s="1"/>
  <c r="H2700" i="1"/>
  <c r="BE2700" i="1" s="1"/>
  <c r="H2701" i="1"/>
  <c r="BE2701" i="1" s="1"/>
  <c r="H2702" i="1"/>
  <c r="BE2702" i="1" s="1"/>
  <c r="H2703" i="1"/>
  <c r="BE2703" i="1" s="1"/>
  <c r="H2704" i="1"/>
  <c r="BE2704" i="1" s="1"/>
  <c r="H2705" i="1"/>
  <c r="BE2705" i="1" s="1"/>
  <c r="H2706" i="1"/>
  <c r="H2707" i="1"/>
  <c r="BE2707" i="1" s="1"/>
  <c r="H2708" i="1"/>
  <c r="BE2708" i="1" s="1"/>
  <c r="H2709" i="1"/>
  <c r="BE2709" i="1" s="1"/>
  <c r="H2710" i="1"/>
  <c r="BE2710" i="1" s="1"/>
  <c r="H2711" i="1"/>
  <c r="BE2711" i="1" s="1"/>
  <c r="H2712" i="1"/>
  <c r="BE2712" i="1" s="1"/>
  <c r="H2713" i="1"/>
  <c r="BE2713" i="1" s="1"/>
  <c r="H2714" i="1"/>
  <c r="H2715" i="1"/>
  <c r="BE2715" i="1" s="1"/>
  <c r="H2716" i="1"/>
  <c r="BE2716" i="1" s="1"/>
  <c r="H2717" i="1"/>
  <c r="BE2717" i="1" s="1"/>
  <c r="H2718" i="1"/>
  <c r="BE2718" i="1" s="1"/>
  <c r="H2719" i="1"/>
  <c r="BE2719" i="1" s="1"/>
  <c r="H2720" i="1"/>
  <c r="BE2720" i="1" s="1"/>
  <c r="H2721" i="1"/>
  <c r="BE2721" i="1" s="1"/>
  <c r="H2722" i="1"/>
  <c r="H2723" i="1"/>
  <c r="BE2723" i="1" s="1"/>
  <c r="H2724" i="1"/>
  <c r="BE2724" i="1" s="1"/>
  <c r="H2725" i="1"/>
  <c r="BE2725" i="1" s="1"/>
  <c r="H2726" i="1"/>
  <c r="BE2726" i="1" s="1"/>
  <c r="H2727" i="1"/>
  <c r="BE2727" i="1" s="1"/>
  <c r="H2728" i="1"/>
  <c r="BE2728" i="1" s="1"/>
  <c r="H2729" i="1"/>
  <c r="BE2729" i="1" s="1"/>
  <c r="H2730" i="1"/>
  <c r="H2731" i="1"/>
  <c r="BE2731" i="1" s="1"/>
  <c r="H2732" i="1"/>
  <c r="BE2732" i="1" s="1"/>
  <c r="H2733" i="1"/>
  <c r="BE2733" i="1" s="1"/>
  <c r="H2734" i="1"/>
  <c r="BE2734" i="1" s="1"/>
  <c r="H2735" i="1"/>
  <c r="BE2735" i="1" s="1"/>
  <c r="H2736" i="1"/>
  <c r="BE2736" i="1" s="1"/>
  <c r="H2737" i="1"/>
  <c r="BE2737" i="1" s="1"/>
  <c r="H2738" i="1"/>
  <c r="H2739" i="1"/>
  <c r="BE2739" i="1" s="1"/>
  <c r="H2740" i="1"/>
  <c r="BE2740" i="1" s="1"/>
  <c r="H2741" i="1"/>
  <c r="BE2741" i="1" s="1"/>
  <c r="H2742" i="1"/>
  <c r="BE2742" i="1" s="1"/>
  <c r="H2743" i="1"/>
  <c r="BE2743" i="1" s="1"/>
  <c r="H2744" i="1"/>
  <c r="BE2744" i="1" s="1"/>
  <c r="H2745" i="1"/>
  <c r="BE2745" i="1" s="1"/>
  <c r="H2746" i="1"/>
  <c r="H2747" i="1"/>
  <c r="BE2747" i="1" s="1"/>
  <c r="H2748" i="1"/>
  <c r="BE2748" i="1" s="1"/>
  <c r="H2749" i="1"/>
  <c r="BE2749" i="1" s="1"/>
  <c r="H2750" i="1"/>
  <c r="BE2750" i="1" s="1"/>
  <c r="H2751" i="1"/>
  <c r="BE2751" i="1" s="1"/>
  <c r="H2752" i="1"/>
  <c r="BE2752" i="1" s="1"/>
  <c r="H2753" i="1"/>
  <c r="BE2753" i="1" s="1"/>
  <c r="H2754" i="1"/>
  <c r="H2755" i="1"/>
  <c r="BE2755" i="1" s="1"/>
  <c r="H2756" i="1"/>
  <c r="BE2756" i="1" s="1"/>
  <c r="H2757" i="1"/>
  <c r="BE2757" i="1" s="1"/>
  <c r="H2758" i="1"/>
  <c r="BE2758" i="1" s="1"/>
  <c r="H2759" i="1"/>
  <c r="BE2759" i="1" s="1"/>
  <c r="H2760" i="1"/>
  <c r="BE2760" i="1" s="1"/>
  <c r="H2761" i="1"/>
  <c r="BE2761" i="1" s="1"/>
  <c r="H2762" i="1"/>
  <c r="H2763" i="1"/>
  <c r="BE2763" i="1" s="1"/>
  <c r="H2764" i="1"/>
  <c r="BE2764" i="1" s="1"/>
  <c r="H2765" i="1"/>
  <c r="BE2765" i="1" s="1"/>
  <c r="H2766" i="1"/>
  <c r="BE2766" i="1" s="1"/>
  <c r="H2767" i="1"/>
  <c r="BE2767" i="1" s="1"/>
  <c r="H2768" i="1"/>
  <c r="BE2768" i="1" s="1"/>
  <c r="H2769" i="1"/>
  <c r="BE2769" i="1" s="1"/>
  <c r="H2770" i="1"/>
  <c r="H2771" i="1"/>
  <c r="BE2771" i="1" s="1"/>
  <c r="H2772" i="1"/>
  <c r="BE2772" i="1" s="1"/>
  <c r="H2773" i="1"/>
  <c r="BE2773" i="1" s="1"/>
  <c r="H2774" i="1"/>
  <c r="BE2774" i="1" s="1"/>
  <c r="H2775" i="1"/>
  <c r="BE2775" i="1" s="1"/>
  <c r="H2776" i="1"/>
  <c r="BE2776" i="1" s="1"/>
  <c r="H2777" i="1"/>
  <c r="BE2777" i="1" s="1"/>
  <c r="H2778" i="1"/>
  <c r="H2779" i="1"/>
  <c r="BE2779" i="1" s="1"/>
  <c r="H2780" i="1"/>
  <c r="BE2780" i="1" s="1"/>
  <c r="H2781" i="1"/>
  <c r="BE2781" i="1" s="1"/>
  <c r="H2782" i="1"/>
  <c r="BE2782" i="1" s="1"/>
  <c r="H2783" i="1"/>
  <c r="BE2783" i="1" s="1"/>
  <c r="H2784" i="1"/>
  <c r="BE2784" i="1" s="1"/>
  <c r="H2785" i="1"/>
  <c r="BE2785" i="1" s="1"/>
  <c r="H2786" i="1"/>
  <c r="H2787" i="1"/>
  <c r="BE2787" i="1" s="1"/>
  <c r="H2788" i="1"/>
  <c r="BE2788" i="1" s="1"/>
  <c r="H2789" i="1"/>
  <c r="BE2789" i="1" s="1"/>
  <c r="H2790" i="1"/>
  <c r="BE2790" i="1" s="1"/>
  <c r="H2791" i="1"/>
  <c r="BE2791" i="1" s="1"/>
  <c r="H2792" i="1"/>
  <c r="BE2792" i="1" s="1"/>
  <c r="H2793" i="1"/>
  <c r="BE2793" i="1" s="1"/>
  <c r="H2794" i="1"/>
  <c r="H2795" i="1"/>
  <c r="BE2795" i="1" s="1"/>
  <c r="H2796" i="1"/>
  <c r="BE2796" i="1" s="1"/>
  <c r="H2797" i="1"/>
  <c r="BE2797" i="1" s="1"/>
  <c r="H2798" i="1"/>
  <c r="BE2798" i="1" s="1"/>
  <c r="H2799" i="1"/>
  <c r="BE2799" i="1" s="1"/>
  <c r="H2800" i="1"/>
  <c r="BE2800" i="1" s="1"/>
  <c r="H2801" i="1"/>
  <c r="BE2801" i="1" s="1"/>
  <c r="H2802" i="1"/>
  <c r="H2803" i="1"/>
  <c r="BE2803" i="1" s="1"/>
  <c r="H2804" i="1"/>
  <c r="BE2804" i="1" s="1"/>
  <c r="H2805" i="1"/>
  <c r="BE2805" i="1" s="1"/>
  <c r="H2806" i="1"/>
  <c r="BE2806" i="1" s="1"/>
  <c r="H2807" i="1"/>
  <c r="BE2807" i="1" s="1"/>
  <c r="H2808" i="1"/>
  <c r="BE2808" i="1" s="1"/>
  <c r="H2809" i="1"/>
  <c r="BE2809" i="1" s="1"/>
  <c r="H2810" i="1"/>
  <c r="H2811" i="1"/>
  <c r="BE2811" i="1" s="1"/>
  <c r="H2812" i="1"/>
  <c r="BE2812" i="1" s="1"/>
  <c r="H2813" i="1"/>
  <c r="BE2813" i="1" s="1"/>
  <c r="H2814" i="1"/>
  <c r="BE2814" i="1" s="1"/>
  <c r="H2815" i="1"/>
  <c r="BE2815" i="1" s="1"/>
  <c r="H2816" i="1"/>
  <c r="BE2816" i="1" s="1"/>
  <c r="H2817" i="1"/>
  <c r="BE2817" i="1" s="1"/>
  <c r="H2818" i="1"/>
  <c r="H2819" i="1"/>
  <c r="BE2819" i="1" s="1"/>
  <c r="H2820" i="1"/>
  <c r="BE2820" i="1" s="1"/>
  <c r="H2821" i="1"/>
  <c r="BE2821" i="1" s="1"/>
  <c r="H2822" i="1"/>
  <c r="BE2822" i="1" s="1"/>
  <c r="H2823" i="1"/>
  <c r="BE2823" i="1" s="1"/>
  <c r="H2824" i="1"/>
  <c r="BE2824" i="1" s="1"/>
  <c r="H2825" i="1"/>
  <c r="BE2825" i="1" s="1"/>
  <c r="H2826" i="1"/>
  <c r="H2827" i="1"/>
  <c r="BE2827" i="1" s="1"/>
  <c r="H2828" i="1"/>
  <c r="BE2828" i="1" s="1"/>
  <c r="H2829" i="1"/>
  <c r="BE2829" i="1" s="1"/>
  <c r="H2830" i="1"/>
  <c r="BE2830" i="1" s="1"/>
  <c r="H2831" i="1"/>
  <c r="BE2831" i="1" s="1"/>
  <c r="H2832" i="1"/>
  <c r="BE2832" i="1" s="1"/>
  <c r="H2833" i="1"/>
  <c r="BE2833" i="1" s="1"/>
  <c r="H2834" i="1"/>
  <c r="H2835" i="1"/>
  <c r="BE2835" i="1" s="1"/>
  <c r="H2836" i="1"/>
  <c r="BE2836" i="1" s="1"/>
  <c r="H2837" i="1"/>
  <c r="BE2837" i="1" s="1"/>
  <c r="H2838" i="1"/>
  <c r="BE2838" i="1" s="1"/>
  <c r="H2839" i="1"/>
  <c r="BE2839" i="1" s="1"/>
  <c r="H2840" i="1"/>
  <c r="BE2840" i="1" s="1"/>
  <c r="H2841" i="1"/>
  <c r="BE2841" i="1" s="1"/>
  <c r="H2842" i="1"/>
  <c r="H2843" i="1"/>
  <c r="BE2843" i="1" s="1"/>
  <c r="H2844" i="1"/>
  <c r="BE2844" i="1" s="1"/>
  <c r="H2845" i="1"/>
  <c r="BE2845" i="1" s="1"/>
  <c r="H2846" i="1"/>
  <c r="BE2846" i="1" s="1"/>
  <c r="H2847" i="1"/>
  <c r="BE2847" i="1" s="1"/>
  <c r="H2848" i="1"/>
  <c r="BE2848" i="1" s="1"/>
  <c r="H2849" i="1"/>
  <c r="BE2849" i="1" s="1"/>
  <c r="H2850" i="1"/>
  <c r="H2851" i="1"/>
  <c r="BE2851" i="1" s="1"/>
  <c r="H2852" i="1"/>
  <c r="BE2852" i="1" s="1"/>
  <c r="H2853" i="1"/>
  <c r="BE2853" i="1" s="1"/>
  <c r="H2854" i="1"/>
  <c r="BE2854" i="1" s="1"/>
  <c r="H2855" i="1"/>
  <c r="BE2855" i="1" s="1"/>
  <c r="H2856" i="1"/>
  <c r="BE2856" i="1" s="1"/>
  <c r="H2857" i="1"/>
  <c r="BE2857" i="1" s="1"/>
  <c r="H2858" i="1"/>
  <c r="H2859" i="1"/>
  <c r="BE2859" i="1" s="1"/>
  <c r="H2860" i="1"/>
  <c r="BE2860" i="1" s="1"/>
  <c r="H2861" i="1"/>
  <c r="BE2861" i="1" s="1"/>
  <c r="H2862" i="1"/>
  <c r="BE2862" i="1" s="1"/>
  <c r="H2863" i="1"/>
  <c r="BE2863" i="1" s="1"/>
  <c r="H2864" i="1"/>
  <c r="BE2864" i="1" s="1"/>
  <c r="H2865" i="1"/>
  <c r="BE2865" i="1" s="1"/>
  <c r="H2866" i="1"/>
  <c r="H2867" i="1"/>
  <c r="BE2867" i="1" s="1"/>
  <c r="H2868" i="1"/>
  <c r="BE2868" i="1" s="1"/>
  <c r="H2869" i="1"/>
  <c r="BE2869" i="1" s="1"/>
  <c r="H2870" i="1"/>
  <c r="BE2870" i="1" s="1"/>
  <c r="H2871" i="1"/>
  <c r="BE2871" i="1" s="1"/>
  <c r="H2872" i="1"/>
  <c r="BE2872" i="1" s="1"/>
  <c r="H2873" i="1"/>
  <c r="BE2873" i="1" s="1"/>
  <c r="H2874" i="1"/>
  <c r="H2875" i="1"/>
  <c r="BE2875" i="1" s="1"/>
  <c r="H2876" i="1"/>
  <c r="BE2876" i="1" s="1"/>
  <c r="H2877" i="1"/>
  <c r="BE2877" i="1" s="1"/>
  <c r="H2878" i="1"/>
  <c r="BE2878" i="1" s="1"/>
  <c r="H2879" i="1"/>
  <c r="BE2879" i="1" s="1"/>
  <c r="H2880" i="1"/>
  <c r="BE2880" i="1" s="1"/>
  <c r="H2881" i="1"/>
  <c r="BE2881" i="1" s="1"/>
  <c r="H2882" i="1"/>
  <c r="H2883" i="1"/>
  <c r="BE2883" i="1" s="1"/>
  <c r="H2884" i="1"/>
  <c r="BE2884" i="1" s="1"/>
  <c r="H2885" i="1"/>
  <c r="BE2885" i="1" s="1"/>
  <c r="H2886" i="1"/>
  <c r="BE2886" i="1" s="1"/>
  <c r="H2887" i="1"/>
  <c r="BE2887" i="1" s="1"/>
  <c r="H2888" i="1"/>
  <c r="BE2888" i="1" s="1"/>
  <c r="H2889" i="1"/>
  <c r="BE2889" i="1" s="1"/>
  <c r="H2890" i="1"/>
  <c r="H2891" i="1"/>
  <c r="BE2891" i="1" s="1"/>
  <c r="H2892" i="1"/>
  <c r="BE2892" i="1" s="1"/>
  <c r="H2893" i="1"/>
  <c r="BE2893" i="1" s="1"/>
  <c r="H2894" i="1"/>
  <c r="BE2894" i="1" s="1"/>
  <c r="H2" i="1"/>
  <c r="BE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" i="1"/>
  <c r="BE2890" i="1" l="1"/>
  <c r="BE2882" i="1"/>
  <c r="BE2874" i="1"/>
  <c r="BE2866" i="1"/>
  <c r="BE2858" i="1"/>
  <c r="BE2850" i="1"/>
  <c r="BE2842" i="1"/>
  <c r="BE2834" i="1"/>
  <c r="BE2826" i="1"/>
  <c r="BE2818" i="1"/>
  <c r="BE2810" i="1"/>
  <c r="BE2802" i="1"/>
  <c r="BE2794" i="1"/>
  <c r="BE2786" i="1"/>
  <c r="BE2778" i="1"/>
  <c r="BE2770" i="1"/>
  <c r="BE2762" i="1"/>
  <c r="BE2754" i="1"/>
  <c r="BE2746" i="1"/>
  <c r="BE2738" i="1"/>
  <c r="BE2730" i="1"/>
  <c r="BE2722" i="1"/>
  <c r="BE2714" i="1"/>
  <c r="BE2706" i="1"/>
  <c r="BE2698" i="1"/>
  <c r="BE2690" i="1"/>
  <c r="BE2682" i="1"/>
  <c r="BE2674" i="1"/>
  <c r="BE2666" i="1"/>
  <c r="BE2658" i="1"/>
  <c r="BE2650" i="1"/>
  <c r="BE2642" i="1"/>
  <c r="BE2634" i="1"/>
  <c r="BE2626" i="1"/>
  <c r="BE2618" i="1"/>
  <c r="BE2610" i="1"/>
  <c r="BE2602" i="1"/>
  <c r="BE2594" i="1"/>
  <c r="BE2586" i="1"/>
  <c r="BE2578" i="1"/>
  <c r="BE2570" i="1"/>
  <c r="BE2562" i="1"/>
  <c r="BE2554" i="1"/>
  <c r="BE2546" i="1"/>
  <c r="BE2538" i="1"/>
  <c r="BE2530" i="1"/>
  <c r="BE2522" i="1"/>
  <c r="BE2514" i="1"/>
  <c r="BE2506" i="1"/>
  <c r="BE2498" i="1"/>
  <c r="BE2490" i="1"/>
  <c r="BE2482" i="1"/>
  <c r="BE2474" i="1"/>
  <c r="BE2466" i="1"/>
  <c r="BE2458" i="1"/>
  <c r="BE2450" i="1"/>
  <c r="BE2442" i="1"/>
  <c r="BE2434" i="1"/>
  <c r="BE2426" i="1"/>
  <c r="BE2418" i="1"/>
  <c r="BE2410" i="1"/>
  <c r="BE2402" i="1"/>
  <c r="BE2394" i="1"/>
  <c r="BE2386" i="1"/>
  <c r="BE2378" i="1"/>
  <c r="BE2370" i="1"/>
  <c r="BE2362" i="1"/>
  <c r="BE2354" i="1"/>
  <c r="BE2346" i="1"/>
  <c r="BE2338" i="1"/>
  <c r="BE2330" i="1"/>
  <c r="BE2322" i="1"/>
  <c r="BE2314" i="1"/>
  <c r="BE2306" i="1"/>
  <c r="BE2298" i="1"/>
  <c r="BE2290" i="1"/>
  <c r="BE2282" i="1"/>
  <c r="BE2274" i="1"/>
  <c r="BE2266" i="1"/>
  <c r="BE2258" i="1"/>
  <c r="BE2250" i="1"/>
  <c r="BE2242" i="1"/>
  <c r="BE2234" i="1"/>
  <c r="BE2226" i="1"/>
  <c r="BE2218" i="1"/>
  <c r="BE2210" i="1"/>
  <c r="BE2202" i="1"/>
  <c r="BE2194" i="1"/>
  <c r="BE2186" i="1"/>
  <c r="BE2178" i="1"/>
  <c r="BE2170" i="1"/>
  <c r="BE2162" i="1"/>
  <c r="BE2154" i="1"/>
  <c r="BE2146" i="1"/>
  <c r="BE2138" i="1"/>
  <c r="BE2130" i="1"/>
  <c r="BE2122" i="1"/>
  <c r="BE2114" i="1"/>
  <c r="BE2106" i="1"/>
  <c r="BE2098" i="1"/>
  <c r="BE2090" i="1"/>
  <c r="BE2082" i="1"/>
  <c r="BE2074" i="1"/>
  <c r="BE2066" i="1"/>
  <c r="BE2058" i="1"/>
  <c r="BE2050" i="1"/>
  <c r="BE2042" i="1"/>
  <c r="BE2034" i="1"/>
  <c r="BE2026" i="1"/>
  <c r="BE2018" i="1"/>
  <c r="BE2010" i="1"/>
  <c r="BE2002" i="1"/>
  <c r="BE1994" i="1"/>
  <c r="BE1986" i="1"/>
  <c r="BE1978" i="1"/>
  <c r="BE1970" i="1"/>
  <c r="BE1962" i="1"/>
  <c r="BE1954" i="1"/>
  <c r="BE1946" i="1"/>
  <c r="BE1938" i="1"/>
  <c r="BE1930" i="1"/>
  <c r="BE1922" i="1"/>
  <c r="BE1914" i="1"/>
  <c r="BE1906" i="1"/>
  <c r="BE1898" i="1"/>
  <c r="BE1890" i="1"/>
  <c r="BE1882" i="1"/>
  <c r="BE1874" i="1"/>
  <c r="BE1866" i="1"/>
  <c r="BE1858" i="1"/>
  <c r="BE1850" i="1"/>
  <c r="BE1842" i="1"/>
  <c r="BE1834" i="1"/>
  <c r="BE1826" i="1"/>
  <c r="BE1818" i="1"/>
  <c r="BE1810" i="1"/>
  <c r="BE1802" i="1"/>
  <c r="BE1794" i="1"/>
  <c r="BE1786" i="1"/>
  <c r="BE1778" i="1"/>
  <c r="BE1770" i="1"/>
  <c r="BE1762" i="1"/>
  <c r="BE1754" i="1"/>
  <c r="BE1746" i="1"/>
  <c r="BE1738" i="1"/>
  <c r="BE1730" i="1"/>
  <c r="BE1722" i="1"/>
  <c r="BE1714" i="1"/>
  <c r="BE1706" i="1"/>
  <c r="BE1698" i="1"/>
  <c r="BE1690" i="1"/>
  <c r="BE1682" i="1"/>
  <c r="BE1674" i="1"/>
  <c r="BE1666" i="1"/>
  <c r="BE1658" i="1"/>
  <c r="BE1650" i="1"/>
  <c r="BE1642" i="1"/>
  <c r="BE1634" i="1"/>
  <c r="BE1626" i="1"/>
  <c r="BE1618" i="1"/>
  <c r="BE1610" i="1"/>
  <c r="BE1602" i="1"/>
  <c r="BE1594" i="1"/>
  <c r="BE1586" i="1"/>
  <c r="BE1578" i="1"/>
  <c r="BE1570" i="1"/>
  <c r="BE1562" i="1"/>
  <c r="BE1554" i="1"/>
  <c r="BE1546" i="1"/>
  <c r="BE1538" i="1"/>
  <c r="BE1530" i="1"/>
  <c r="BE1522" i="1"/>
  <c r="BE1514" i="1"/>
  <c r="BE1506" i="1"/>
  <c r="BE1498" i="1"/>
  <c r="BE1490" i="1"/>
  <c r="BE1482" i="1"/>
  <c r="BE1474" i="1"/>
  <c r="BE1466" i="1"/>
  <c r="BE1458" i="1"/>
  <c r="BE1450" i="1"/>
  <c r="BE1442" i="1"/>
  <c r="BE1434" i="1"/>
  <c r="BE1426" i="1"/>
  <c r="BE1418" i="1"/>
  <c r="BE1410" i="1"/>
  <c r="BE1402" i="1"/>
  <c r="BE1394" i="1"/>
  <c r="BE1386" i="1"/>
  <c r="BE1378" i="1"/>
  <c r="BE1370" i="1"/>
  <c r="BE1362" i="1"/>
  <c r="BE1354" i="1"/>
  <c r="BE1346" i="1"/>
  <c r="BE1338" i="1"/>
  <c r="BE1330" i="1"/>
  <c r="BE1322" i="1"/>
  <c r="BE1314" i="1"/>
  <c r="BE1306" i="1"/>
  <c r="BE1298" i="1"/>
  <c r="BE1290" i="1"/>
  <c r="BE1282" i="1"/>
  <c r="BE1274" i="1"/>
  <c r="BE1266" i="1"/>
  <c r="BE1258" i="1"/>
  <c r="BE1250" i="1"/>
  <c r="BE1242" i="1"/>
  <c r="BE1234" i="1"/>
  <c r="BE1226" i="1"/>
  <c r="BE1218" i="1"/>
  <c r="BE1210" i="1"/>
  <c r="BE1202" i="1"/>
  <c r="BE1194" i="1"/>
  <c r="BE1186" i="1"/>
  <c r="BE1178" i="1"/>
  <c r="BE1170" i="1"/>
  <c r="BE1162" i="1"/>
  <c r="BE1154" i="1"/>
  <c r="BE1146" i="1"/>
  <c r="BE1138" i="1"/>
  <c r="BE1130" i="1"/>
  <c r="BE1122" i="1"/>
  <c r="BE1114" i="1"/>
  <c r="BE1106" i="1"/>
  <c r="BE1098" i="1"/>
  <c r="BE1090" i="1"/>
  <c r="BE1082" i="1"/>
  <c r="BE1074" i="1"/>
  <c r="BE1066" i="1"/>
  <c r="BE1058" i="1"/>
  <c r="BE1050" i="1"/>
  <c r="BE1042" i="1"/>
  <c r="BE1034" i="1"/>
  <c r="BE1026" i="1"/>
  <c r="BE1018" i="1"/>
  <c r="BE1010" i="1"/>
  <c r="BE1002" i="1"/>
  <c r="BE994" i="1"/>
  <c r="BE986" i="1"/>
  <c r="BE978" i="1"/>
  <c r="BE970" i="1"/>
  <c r="BE962" i="1"/>
  <c r="BE954" i="1"/>
  <c r="BE946" i="1"/>
  <c r="BE938" i="1"/>
  <c r="BE930" i="1"/>
  <c r="BE922" i="1"/>
  <c r="BE914" i="1"/>
  <c r="BE906" i="1"/>
  <c r="BE898" i="1"/>
  <c r="BE890" i="1"/>
  <c r="BE882" i="1"/>
  <c r="BE874" i="1"/>
  <c r="BE866" i="1"/>
  <c r="BE858" i="1"/>
  <c r="BE850" i="1"/>
  <c r="BE842" i="1"/>
  <c r="BE834" i="1"/>
  <c r="BE826" i="1"/>
  <c r="BE818" i="1"/>
  <c r="BE810" i="1"/>
  <c r="BE802" i="1"/>
  <c r="BE794" i="1"/>
  <c r="BE786" i="1"/>
  <c r="BE778" i="1"/>
  <c r="BE770" i="1"/>
  <c r="BE762" i="1"/>
  <c r="BE754" i="1"/>
  <c r="BE746" i="1"/>
  <c r="BE738" i="1"/>
  <c r="BE730" i="1"/>
  <c r="BE722" i="1"/>
  <c r="BE714" i="1"/>
  <c r="BE706" i="1"/>
  <c r="BE698" i="1"/>
  <c r="BE690" i="1"/>
  <c r="BE682" i="1"/>
  <c r="BE674" i="1"/>
  <c r="BE666" i="1"/>
  <c r="BE658" i="1"/>
  <c r="BE650" i="1"/>
  <c r="BE642" i="1"/>
  <c r="BE634" i="1"/>
  <c r="BE626" i="1"/>
  <c r="BE618" i="1"/>
  <c r="BE610" i="1"/>
  <c r="BE602" i="1"/>
  <c r="BE594" i="1"/>
  <c r="BE586" i="1"/>
  <c r="BE578" i="1"/>
  <c r="BE570" i="1"/>
  <c r="BE562" i="1"/>
  <c r="BE554" i="1"/>
  <c r="BE546" i="1"/>
  <c r="BE538" i="1"/>
  <c r="BE530" i="1"/>
  <c r="BE522" i="1"/>
  <c r="BE514" i="1"/>
  <c r="BE506" i="1"/>
  <c r="BE498" i="1"/>
  <c r="BE490" i="1"/>
  <c r="BE482" i="1"/>
  <c r="BE474" i="1"/>
  <c r="BE466" i="1"/>
  <c r="BE458" i="1"/>
  <c r="BE450" i="1"/>
  <c r="BE442" i="1"/>
  <c r="BE434" i="1"/>
  <c r="BE426" i="1"/>
  <c r="BE418" i="1"/>
  <c r="BE410" i="1"/>
  <c r="BE402" i="1"/>
  <c r="BE394" i="1"/>
  <c r="BE386" i="1"/>
  <c r="BE378" i="1"/>
  <c r="BE370" i="1"/>
  <c r="BE362" i="1"/>
  <c r="BE354" i="1"/>
  <c r="BE346" i="1"/>
  <c r="BE338" i="1"/>
  <c r="BE330" i="1"/>
  <c r="BE322" i="1"/>
  <c r="BE314" i="1"/>
  <c r="BE306" i="1"/>
  <c r="BE298" i="1"/>
  <c r="BE290" i="1"/>
  <c r="BE282" i="1"/>
  <c r="BE274" i="1"/>
  <c r="BE266" i="1"/>
  <c r="BE258" i="1"/>
  <c r="BE250" i="1"/>
  <c r="BE242" i="1"/>
  <c r="BE234" i="1"/>
  <c r="BE226" i="1"/>
  <c r="BE218" i="1"/>
  <c r="BE210" i="1"/>
  <c r="BE202" i="1"/>
  <c r="BE194" i="1"/>
  <c r="BE186" i="1"/>
  <c r="BE178" i="1"/>
  <c r="BE170" i="1"/>
  <c r="BE162" i="1"/>
  <c r="BE154" i="1"/>
  <c r="BE146" i="1"/>
  <c r="BE138" i="1"/>
  <c r="BE130" i="1"/>
  <c r="BE122" i="1"/>
  <c r="BE114" i="1"/>
  <c r="BE106" i="1"/>
  <c r="BE98" i="1"/>
  <c r="BE90" i="1"/>
  <c r="BE82" i="1"/>
  <c r="BE74" i="1"/>
  <c r="BE66" i="1"/>
  <c r="BE58" i="1"/>
  <c r="BE50" i="1"/>
  <c r="BE42" i="1"/>
  <c r="BE34" i="1"/>
  <c r="BE26" i="1"/>
  <c r="BE18" i="1"/>
  <c r="BE10" i="1"/>
</calcChain>
</file>

<file path=xl/sharedStrings.xml><?xml version="1.0" encoding="utf-8"?>
<sst xmlns="http://schemas.openxmlformats.org/spreadsheetml/2006/main" count="25013" uniqueCount="9929">
  <si>
    <t>name</t>
  </si>
  <si>
    <t>datetime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</si>
  <si>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</si>
  <si>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</si>
  <si>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</si>
  <si>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</si>
  <si>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</si>
  <si>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</si>
  <si>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</si>
  <si>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</si>
  <si>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</si>
  <si>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</si>
  <si>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</si>
  <si>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preciptype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</si>
  <si>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</si>
  <si>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</si>
  <si>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</si>
  <si>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</si>
  <si>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</si>
  <si>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</si>
  <si>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</si>
  <si>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</si>
  <si>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</si>
  <si>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</si>
  <si>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</si>
  <si>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</si>
  <si>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sunrise</t>
  </si>
  <si>
    <t>sunset</t>
  </si>
  <si>
    <t>moonphase</t>
  </si>
  <si>
    <t>conditions</t>
  </si>
  <si>
    <t>description</t>
  </si>
  <si>
    <t>icon</t>
  </si>
  <si>
    <t>fire_start_time</t>
  </si>
  <si>
    <t>fire_start_full_datetime</t>
  </si>
  <si>
    <t>fire_duration_minutes</t>
  </si>
  <si>
    <t>fire_duration_class</t>
  </si>
  <si>
    <t>fire_burned_forest</t>
  </si>
  <si>
    <t>fire_burned_forest_land</t>
  </si>
  <si>
    <t>fire_burned_grove</t>
  </si>
  <si>
    <t>Crete Greece</t>
  </si>
  <si>
    <t>2000-10-16</t>
  </si>
  <si>
    <t>2000-10-16T07:26:28</t>
  </si>
  <si>
    <t>2000-10-16T18:42:47</t>
  </si>
  <si>
    <t>Partially cloudy</t>
  </si>
  <si>
    <t>Partly cloudy throughout the day.</t>
  </si>
  <si>
    <t>partly-cloudy-day</t>
  </si>
  <si>
    <t>16/10/2000 18:29</t>
  </si>
  <si>
    <t>2000-09-06</t>
  </si>
  <si>
    <t>2000-09-06T06:55:26</t>
  </si>
  <si>
    <t>2000-09-06T19:39:18</t>
  </si>
  <si>
    <t>06/09/2000 18:30</t>
  </si>
  <si>
    <t>2000-11-16</t>
  </si>
  <si>
    <t>2000-11-16T06:55:39</t>
  </si>
  <si>
    <t>2000-11-16T17:12:23</t>
  </si>
  <si>
    <t>16/11/2000 16:09</t>
  </si>
  <si>
    <t>2000-10-31</t>
  </si>
  <si>
    <t>2000-10-31T06:40:01</t>
  </si>
  <si>
    <t>2000-10-31T17:25:27</t>
  </si>
  <si>
    <t>31/10/2000 18:04</t>
  </si>
  <si>
    <t>2000-08-11</t>
  </si>
  <si>
    <t>2000-08-11T06:35:46</t>
  </si>
  <si>
    <t>2000-08-11T20:12:44</t>
  </si>
  <si>
    <t>11/08/2000 21:44</t>
  </si>
  <si>
    <t>2000-08-20</t>
  </si>
  <si>
    <t>2000-08-20T06:42:40</t>
  </si>
  <si>
    <t>2000-08-20T20:02:08</t>
  </si>
  <si>
    <t>20/08/2000 17:14</t>
  </si>
  <si>
    <t>2000-08-30</t>
  </si>
  <si>
    <t>2000-08-30T06:50:13</t>
  </si>
  <si>
    <t>2000-08-30T19:49:02</t>
  </si>
  <si>
    <t>30/08/2000 09:50</t>
  </si>
  <si>
    <t>2000-08-25</t>
  </si>
  <si>
    <t>2000-08-25T06:46:28</t>
  </si>
  <si>
    <t>2000-08-25T19:55:44</t>
  </si>
  <si>
    <t>Clear</t>
  </si>
  <si>
    <t>clear-day</t>
  </si>
  <si>
    <t>25/08/2000 21:49</t>
  </si>
  <si>
    <t>2000-08-01</t>
  </si>
  <si>
    <t>2000-08-01T06:28:06</t>
  </si>
  <si>
    <t>2000-08-01T20:22:45</t>
  </si>
  <si>
    <t>Clearing in the afternoon.</t>
  </si>
  <si>
    <t>01/08/2000 08:34</t>
  </si>
  <si>
    <t>2000-07-12</t>
  </si>
  <si>
    <t>2000-07-12T06:14:02</t>
  </si>
  <si>
    <t>2000-07-12T20:35:43</t>
  </si>
  <si>
    <t>12/07/2000 18:45</t>
  </si>
  <si>
    <t>2000-07-19</t>
  </si>
  <si>
    <t>2000-07-19T06:18:36</t>
  </si>
  <si>
    <t>2000-07-19T20:32:22</t>
  </si>
  <si>
    <t>19/07/2000 20:29</t>
  </si>
  <si>
    <t>2000-07-17</t>
  </si>
  <si>
    <t>2000-07-17T06:17:15</t>
  </si>
  <si>
    <t>2000-07-17T20:33:28</t>
  </si>
  <si>
    <t>17/07/2000 03:59</t>
  </si>
  <si>
    <t>2000-10-08</t>
  </si>
  <si>
    <t>2000-10-08T07:19:47</t>
  </si>
  <si>
    <t>2000-10-08T18:53:23</t>
  </si>
  <si>
    <t>08/10/2000 17:24</t>
  </si>
  <si>
    <t>2000-12-11</t>
  </si>
  <si>
    <t>2000-12-11T07:18:18</t>
  </si>
  <si>
    <t>2000-12-11T17:07:10</t>
  </si>
  <si>
    <t>11/12/2000 23:49</t>
  </si>
  <si>
    <t>2000-12-21</t>
  </si>
  <si>
    <t>rain</t>
  </si>
  <si>
    <t>2000-12-21T07:24:35</t>
  </si>
  <si>
    <t>2000-12-21T17:10:40</t>
  </si>
  <si>
    <t>Rain, Partially cloudy</t>
  </si>
  <si>
    <t>Partly cloudy throughout the day with rain in the morning and afternoon.</t>
  </si>
  <si>
    <t>21/12/2000 13:24</t>
  </si>
  <si>
    <t>2000-09-04</t>
  </si>
  <si>
    <t>2000-09-04T06:53:57</t>
  </si>
  <si>
    <t>2000-09-04T19:42:07</t>
  </si>
  <si>
    <t>04/09/2000 11:14</t>
  </si>
  <si>
    <t>25/08/2000 11:29</t>
  </si>
  <si>
    <t>2000-06-26</t>
  </si>
  <si>
    <t>2000-06-26T06:06:15</t>
  </si>
  <si>
    <t>2000-06-26T20:38:11</t>
  </si>
  <si>
    <t>26/06/2000 15:54</t>
  </si>
  <si>
    <t>2000-11-10</t>
  </si>
  <si>
    <t>2000-11-10T06:49:43</t>
  </si>
  <si>
    <t>2000-11-10T17:16:30</t>
  </si>
  <si>
    <t>10/11/2000 19:59</t>
  </si>
  <si>
    <t>2000-08-24</t>
  </si>
  <si>
    <t>2000-08-24T06:45:42</t>
  </si>
  <si>
    <t>2000-08-24T19:57:02</t>
  </si>
  <si>
    <t>24/08/2000 11:30</t>
  </si>
  <si>
    <t>2000-06-04</t>
  </si>
  <si>
    <t>2000-06-04T06:04:54</t>
  </si>
  <si>
    <t>2000-06-04T20:30:47</t>
  </si>
  <si>
    <t>04/06/2000 11:59</t>
  </si>
  <si>
    <t>2000-06-22</t>
  </si>
  <si>
    <t>2000-06-22T06:05:06</t>
  </si>
  <si>
    <t>2000-06-22T20:37:41</t>
  </si>
  <si>
    <t>22/06/2000 19:00</t>
  </si>
  <si>
    <t>2000-06-29</t>
  </si>
  <si>
    <t>2000-06-29T06:07:21</t>
  </si>
  <si>
    <t>2000-06-29T20:38:16</t>
  </si>
  <si>
    <t>29/06/2000 20:44</t>
  </si>
  <si>
    <t>2000-05-27</t>
  </si>
  <si>
    <t>2000-05-27T06:07:39</t>
  </si>
  <si>
    <t>2000-05-27T20:25:46</t>
  </si>
  <si>
    <t>27/05/2000 13:44</t>
  </si>
  <si>
    <t>2000-08-22</t>
  </si>
  <si>
    <t>2000-08-22T06:44:11</t>
  </si>
  <si>
    <t>2000-08-22T19:59:37</t>
  </si>
  <si>
    <t>22/08/2000 02:49</t>
  </si>
  <si>
    <t>2000-06-14</t>
  </si>
  <si>
    <t>2000-06-14T06:03:57</t>
  </si>
  <si>
    <t>2000-06-14T20:35:30</t>
  </si>
  <si>
    <t>14/06/2000 02:49</t>
  </si>
  <si>
    <t>2000-05-22</t>
  </si>
  <si>
    <t>2000-05-22T06:10:15</t>
  </si>
  <si>
    <t>2000-05-22T20:22:13</t>
  </si>
  <si>
    <t>22/05/2000 07:59</t>
  </si>
  <si>
    <t>2000-12-03</t>
  </si>
  <si>
    <t>2000-12-03T07:11:48</t>
  </si>
  <si>
    <t>2000-12-03T17:06:38</t>
  </si>
  <si>
    <t>03/12/2000 14:45</t>
  </si>
  <si>
    <t>2000-09-02</t>
  </si>
  <si>
    <t>2000-09-02T06:52:27</t>
  </si>
  <si>
    <t>2000-09-02T19:44:55</t>
  </si>
  <si>
    <t>02/09/2000 11:14</t>
  </si>
  <si>
    <t>2000-07-14</t>
  </si>
  <si>
    <t>2000-07-14T06:15:17</t>
  </si>
  <si>
    <t>2000-07-14T20:34:54</t>
  </si>
  <si>
    <t>14/07/2000 21:34</t>
  </si>
  <si>
    <t>2000-07-02</t>
  </si>
  <si>
    <t>2000-07-02T06:08:38</t>
  </si>
  <si>
    <t>2000-07-02T20:38:06</t>
  </si>
  <si>
    <t>02/07/2000 21:14</t>
  </si>
  <si>
    <t>2000-09-17</t>
  </si>
  <si>
    <t>2000-09-17T07:03:35</t>
  </si>
  <si>
    <t>2000-09-17T19:23:26</t>
  </si>
  <si>
    <t>17/09/2000 14:15</t>
  </si>
  <si>
    <t>2000-06-15</t>
  </si>
  <si>
    <t>2000-06-15T06:04:01</t>
  </si>
  <si>
    <t>2000-06-15T20:35:51</t>
  </si>
  <si>
    <t>15/06/2000 15:54</t>
  </si>
  <si>
    <t>2000-07-16</t>
  </si>
  <si>
    <t>2000-07-16T06:16:35</t>
  </si>
  <si>
    <t>2000-07-16T20:33:58</t>
  </si>
  <si>
    <t>16/07/2000 17:20</t>
  </si>
  <si>
    <t>2000-05-21</t>
  </si>
  <si>
    <t>2000-05-21T06:10:51</t>
  </si>
  <si>
    <t>2000-05-21T20:21:29</t>
  </si>
  <si>
    <t>21/05/2000 20:29</t>
  </si>
  <si>
    <t>2000-08-13</t>
  </si>
  <si>
    <t>2000-08-13T06:37:19</t>
  </si>
  <si>
    <t>2000-08-13T20:10:29</t>
  </si>
  <si>
    <t>13/08/2000 13:39</t>
  </si>
  <si>
    <t>29/06/2000 00:49</t>
  </si>
  <si>
    <t>2000-07-04</t>
  </si>
  <si>
    <t>2000-07-04T06:09:35</t>
  </si>
  <si>
    <t>2000-07-04T20:37:51</t>
  </si>
  <si>
    <t>04/07/2000 09:49</t>
  </si>
  <si>
    <t>2000-05-10</t>
  </si>
  <si>
    <t>2000-05-10T06:19:05</t>
  </si>
  <si>
    <t>2000-05-10T20:12:55</t>
  </si>
  <si>
    <t>10/05/2000 18:14</t>
  </si>
  <si>
    <t>2000-11-07</t>
  </si>
  <si>
    <t>2000-11-07T06:46:46</t>
  </si>
  <si>
    <t>2000-11-07T17:18:56</t>
  </si>
  <si>
    <t>07/11/2000 12:14</t>
  </si>
  <si>
    <t>10/11/2000 20:19</t>
  </si>
  <si>
    <t>2000-11-18</t>
  </si>
  <si>
    <t>2000-11-18T06:57:38</t>
  </si>
  <si>
    <t>2000-11-18T17:11:14</t>
  </si>
  <si>
    <t>18/11/2000 15:30</t>
  </si>
  <si>
    <t>2000-10-14</t>
  </si>
  <si>
    <t>2000-10-14T07:24:46</t>
  </si>
  <si>
    <t>2000-10-14T18:45:22</t>
  </si>
  <si>
    <t>14/10/2000 19:44</t>
  </si>
  <si>
    <t>18/11/2000 14:09</t>
  </si>
  <si>
    <t>2000-05-15</t>
  </si>
  <si>
    <t>2000-05-15T06:14:59</t>
  </si>
  <si>
    <t>2000-05-15T20:16:54</t>
  </si>
  <si>
    <t>15/05/2000 17:39</t>
  </si>
  <si>
    <t>16/10/2000 19:34</t>
  </si>
  <si>
    <t>2000-05-20</t>
  </si>
  <si>
    <t>2000-05-20T06:11:28</t>
  </si>
  <si>
    <t>2000-05-20T20:20:44</t>
  </si>
  <si>
    <t>20/05/2000 16:59</t>
  </si>
  <si>
    <t>2000-06-06</t>
  </si>
  <si>
    <t>2000-06-06T06:04:30</t>
  </si>
  <si>
    <t>2000-06-06T20:31:52</t>
  </si>
  <si>
    <t>06/06/2000 12:49</t>
  </si>
  <si>
    <t>2000-06-23</t>
  </si>
  <si>
    <t>2000-06-23T06:05:21</t>
  </si>
  <si>
    <t>2000-06-23T20:37:51</t>
  </si>
  <si>
    <t>23/06/2000 18:20</t>
  </si>
  <si>
    <t>2000-06-24</t>
  </si>
  <si>
    <t>2000-06-24T06:05:38</t>
  </si>
  <si>
    <t>2000-06-24T20:37:59</t>
  </si>
  <si>
    <t>24/06/2000 18:45</t>
  </si>
  <si>
    <t>2000-11-11</t>
  </si>
  <si>
    <t>2000-11-11T06:50:42</t>
  </si>
  <si>
    <t>2000-11-11T17:15:45</t>
  </si>
  <si>
    <t>11/11/2000 11:22</t>
  </si>
  <si>
    <t>2000-09-15</t>
  </si>
  <si>
    <t>2000-09-15T07:02:06</t>
  </si>
  <si>
    <t>2000-09-15T19:26:21</t>
  </si>
  <si>
    <t>15/09/2000 17:20</t>
  </si>
  <si>
    <t>2000-09-08</t>
  </si>
  <si>
    <t>2000-09-08T06:56:55</t>
  </si>
  <si>
    <t>2000-09-08T19:36:27</t>
  </si>
  <si>
    <t>08/09/2000 22:44</t>
  </si>
  <si>
    <t>2000-09-26</t>
  </si>
  <si>
    <t>2000-09-26T07:10:22</t>
  </si>
  <si>
    <t>2000-09-26T19:10:21</t>
  </si>
  <si>
    <t>26/09/2000 11:50</t>
  </si>
  <si>
    <t>2000-06-01</t>
  </si>
  <si>
    <t>2000-06-01T06:05:44</t>
  </si>
  <si>
    <t>2000-06-01T20:29:00</t>
  </si>
  <si>
    <t>01/06/2000 14:34</t>
  </si>
  <si>
    <t>2000-10-24</t>
  </si>
  <si>
    <t>2000-10-24T07:33:31</t>
  </si>
  <si>
    <t>2000-10-24T18:33:02</t>
  </si>
  <si>
    <t>Partly cloudy throughout the day with rain.</t>
  </si>
  <si>
    <t>24/10/2000 19:24</t>
  </si>
  <si>
    <t>2000-08-10</t>
  </si>
  <si>
    <t>2000-08-10T06:35:00</t>
  </si>
  <si>
    <t>2000-08-10T20:13:49</t>
  </si>
  <si>
    <t>10/08/2000 16:59</t>
  </si>
  <si>
    <t>2000-08-23</t>
  </si>
  <si>
    <t>2000-08-23T06:44:57</t>
  </si>
  <si>
    <t>2000-08-23T19:58:20</t>
  </si>
  <si>
    <t>23/08/2000 22:00</t>
  </si>
  <si>
    <t>30/08/2000 10:19</t>
  </si>
  <si>
    <t>2000-08-21</t>
  </si>
  <si>
    <t>2000-08-21T06:43:26</t>
  </si>
  <si>
    <t>2000-08-21T20:00:53</t>
  </si>
  <si>
    <t>21/08/2000 23:00</t>
  </si>
  <si>
    <t>2000-05-04</t>
  </si>
  <si>
    <t>2000-05-04T06:24:44</t>
  </si>
  <si>
    <t>2000-05-04T20:08:02</t>
  </si>
  <si>
    <t>Overcast</t>
  </si>
  <si>
    <t>Cloudy skies throughout the day.</t>
  </si>
  <si>
    <t>cloudy</t>
  </si>
  <si>
    <t>04/05/2000 20:29</t>
  </si>
  <si>
    <t>2000-06-27</t>
  </si>
  <si>
    <t>2000-06-27T06:06:36</t>
  </si>
  <si>
    <t>2000-06-27T20:38:14</t>
  </si>
  <si>
    <t>27/06/2000 16:44</t>
  </si>
  <si>
    <t>2000-07-07</t>
  </si>
  <si>
    <t>2000-07-07T06:11:08</t>
  </si>
  <si>
    <t>2000-07-07T20:37:16</t>
  </si>
  <si>
    <t>07/07/2000 15:29</t>
  </si>
  <si>
    <t>2000-11-12</t>
  </si>
  <si>
    <t>2000-11-12T06:51:41</t>
  </si>
  <si>
    <t>2000-11-12T17:15:01</t>
  </si>
  <si>
    <t>12/11/2000 11:04</t>
  </si>
  <si>
    <t>30/08/2000 12:25</t>
  </si>
  <si>
    <t>14/07/2000 16:54</t>
  </si>
  <si>
    <t>2000-10-22</t>
  </si>
  <si>
    <t>2000-10-22T07:31:43</t>
  </si>
  <si>
    <t>2000-10-22T18:35:23</t>
  </si>
  <si>
    <t>Partly cloudy throughout the day with morning rain.</t>
  </si>
  <si>
    <t>22/10/2000 20:49</t>
  </si>
  <si>
    <t>21/05/2000 14:04</t>
  </si>
  <si>
    <t>17/09/2000 09:39</t>
  </si>
  <si>
    <t>2000-06-19</t>
  </si>
  <si>
    <t>2000-06-19T06:04:29</t>
  </si>
  <si>
    <t>2000-06-19T20:37:03</t>
  </si>
  <si>
    <t>19/06/2000 10:54</t>
  </si>
  <si>
    <t>26/09/2000 23:09</t>
  </si>
  <si>
    <t>2000-08-28</t>
  </si>
  <si>
    <t>2000-08-28T06:48:43</t>
  </si>
  <si>
    <t>2000-08-28T19:51:45</t>
  </si>
  <si>
    <t>28/08/2000 16:21</t>
  </si>
  <si>
    <t>2000-06-08</t>
  </si>
  <si>
    <t>2000-06-08T06:04:12</t>
  </si>
  <si>
    <t>2000-06-08T20:32:54</t>
  </si>
  <si>
    <t>08/06/2000 11:00</t>
  </si>
  <si>
    <t>2000-08-02</t>
  </si>
  <si>
    <t>2000-08-02T06:28:52</t>
  </si>
  <si>
    <t>2000-08-02T20:21:51</t>
  </si>
  <si>
    <t>02/08/2000 18:00</t>
  </si>
  <si>
    <t>2000-11-20</t>
  </si>
  <si>
    <t>2000-11-20T06:59:36</t>
  </si>
  <si>
    <t>2000-11-20T17:10:13</t>
  </si>
  <si>
    <t>20/11/2000 17:50</t>
  </si>
  <si>
    <t>2000-09-01</t>
  </si>
  <si>
    <t>2000-09-01T06:51:43</t>
  </si>
  <si>
    <t>2000-09-01T19:46:18</t>
  </si>
  <si>
    <t>01/09/2000 22:55</t>
  </si>
  <si>
    <t>2000-07-25</t>
  </si>
  <si>
    <t>2000-07-25T06:22:52</t>
  </si>
  <si>
    <t>2000-07-25T20:28:27</t>
  </si>
  <si>
    <t>25/07/2000 19:54</t>
  </si>
  <si>
    <t>2000-06-30</t>
  </si>
  <si>
    <t>2000-06-30T06:07:46</t>
  </si>
  <si>
    <t>2000-06-30T20:38:14</t>
  </si>
  <si>
    <t>30/06/2000 14:34</t>
  </si>
  <si>
    <t>2000-12-28</t>
  </si>
  <si>
    <t>2000-12-28T07:27:26</t>
  </si>
  <si>
    <t>2000-12-28T17:14:49</t>
  </si>
  <si>
    <t>28/12/2000 13:44</t>
  </si>
  <si>
    <t>11/08/2000 11:45</t>
  </si>
  <si>
    <t>2000-05-24</t>
  </si>
  <si>
    <t>2000-05-24T06:09:08</t>
  </si>
  <si>
    <t>2000-05-24T20:23:40</t>
  </si>
  <si>
    <t>24/05/2000 22:05</t>
  </si>
  <si>
    <t>2000-08-17</t>
  </si>
  <si>
    <t>2000-08-17T06:40:23</t>
  </si>
  <si>
    <t>2000-08-17T20:05:48</t>
  </si>
  <si>
    <t>17/08/2000 21:00</t>
  </si>
  <si>
    <t>2000-08-07</t>
  </si>
  <si>
    <t>2000-08-07T06:32:41</t>
  </si>
  <si>
    <t>2000-08-07T20:16:59</t>
  </si>
  <si>
    <t>07/08/2000 15:29</t>
  </si>
  <si>
    <t>2000-06-03</t>
  </si>
  <si>
    <t>2000-06-03T06:05:09</t>
  </si>
  <si>
    <t>2000-06-03T20:30:12</t>
  </si>
  <si>
    <t>03/06/2000 15:29</t>
  </si>
  <si>
    <t>10/11/2000 11:39</t>
  </si>
  <si>
    <t>10/11/2000 16:29</t>
  </si>
  <si>
    <t>20/11/2000 15:24</t>
  </si>
  <si>
    <t>20/11/2000 19:24</t>
  </si>
  <si>
    <t>2000-10-02</t>
  </si>
  <si>
    <t>2000-10-02T07:15:00</t>
  </si>
  <si>
    <t>2000-10-02T19:01:45</t>
  </si>
  <si>
    <t>02/10/2000 20:34</t>
  </si>
  <si>
    <t>07/11/2000 20:59</t>
  </si>
  <si>
    <t>17/09/2000 12:59</t>
  </si>
  <si>
    <t>26/09/2000 22:39</t>
  </si>
  <si>
    <t>07/11/2000 16:59</t>
  </si>
  <si>
    <t>16/11/2000 23:14</t>
  </si>
  <si>
    <t>2000-10-25</t>
  </si>
  <si>
    <t>2000-10-25T07:34:26</t>
  </si>
  <si>
    <t>2000-10-25T18:31:54</t>
  </si>
  <si>
    <t>25/10/2000 17:19</t>
  </si>
  <si>
    <t>2000-10-28</t>
  </si>
  <si>
    <t>2000-10-28T07:37:12</t>
  </si>
  <si>
    <t>2000-10-28T18:28:35</t>
  </si>
  <si>
    <t>28/10/2000 16:39</t>
  </si>
  <si>
    <t>2000-11-05</t>
  </si>
  <si>
    <t>2000-11-05T06:44:49</t>
  </si>
  <si>
    <t>2000-11-05T17:20:40</t>
  </si>
  <si>
    <t>05/11/2000 13:29</t>
  </si>
  <si>
    <t>2000-07-09</t>
  </si>
  <si>
    <t>2000-07-09T06:12:15</t>
  </si>
  <si>
    <t>2000-07-09T20:36:43</t>
  </si>
  <si>
    <t>09/07/2000 16:14</t>
  </si>
  <si>
    <t>2000-07-29</t>
  </si>
  <si>
    <t>2000-07-29T06:25:50</t>
  </si>
  <si>
    <t>2000-07-29T20:25:20</t>
  </si>
  <si>
    <t>29/07/2000 13:04</t>
  </si>
  <si>
    <t>2000-11-14</t>
  </si>
  <si>
    <t>2000-11-14T06:53:40</t>
  </si>
  <si>
    <t>2000-11-14T17:13:39</t>
  </si>
  <si>
    <t>14/11/2000 20:49</t>
  </si>
  <si>
    <t>2000-10-05</t>
  </si>
  <si>
    <t>2000-10-05T07:17:22</t>
  </si>
  <si>
    <t>2000-10-05T18:57:32</t>
  </si>
  <si>
    <t>05/10/2000 12:14</t>
  </si>
  <si>
    <t>02/09/2000 10:44</t>
  </si>
  <si>
    <t>21/05/2000 19:54</t>
  </si>
  <si>
    <t>10/11/2000 14:19</t>
  </si>
  <si>
    <t>11/11/2000 08:59</t>
  </si>
  <si>
    <t>04/06/2000 01:19</t>
  </si>
  <si>
    <t>2000-11-06</t>
  </si>
  <si>
    <t>2000-11-06T06:45:47</t>
  </si>
  <si>
    <t>2000-11-06T17:19:47</t>
  </si>
  <si>
    <t>06/11/2000 14:39</t>
  </si>
  <si>
    <t>2000-11-19</t>
  </si>
  <si>
    <t>2000-11-19T06:58:37</t>
  </si>
  <si>
    <t>2000-11-19T17:10:43</t>
  </si>
  <si>
    <t>19/11/2000 14:14</t>
  </si>
  <si>
    <t>2000-12-16</t>
  </si>
  <si>
    <t>2000-12-16T07:21:44</t>
  </si>
  <si>
    <t>2000-12-16T17:08:33</t>
  </si>
  <si>
    <t>16/12/2000 13:29</t>
  </si>
  <si>
    <t>07/07/2000 18:29</t>
  </si>
  <si>
    <t>07/11/2000 23:29</t>
  </si>
  <si>
    <t>10/11/2000 14:59</t>
  </si>
  <si>
    <t>22/10/2000 16:09</t>
  </si>
  <si>
    <t>2000-07-20</t>
  </si>
  <si>
    <t>2000-07-20T06:19:18</t>
  </si>
  <si>
    <t>2000-07-20T20:31:47</t>
  </si>
  <si>
    <t>wind</t>
  </si>
  <si>
    <t>20/07/2000 10:09</t>
  </si>
  <si>
    <t>2000-09-03</t>
  </si>
  <si>
    <t>2000-09-03T06:53:12</t>
  </si>
  <si>
    <t>2000-09-03T19:43:31</t>
  </si>
  <si>
    <t>03/09/2000 18:00</t>
  </si>
  <si>
    <t>2000-09-21</t>
  </si>
  <si>
    <t>2000-09-21T07:06:35</t>
  </si>
  <si>
    <t>2000-09-21T19:17:37</t>
  </si>
  <si>
    <t>21/09/2000 13:44</t>
  </si>
  <si>
    <t>11/11/2000 10:59</t>
  </si>
  <si>
    <t>2000-11-23</t>
  </si>
  <si>
    <t>2000-11-23T07:02:32</t>
  </si>
  <si>
    <t>2000-11-23T17:08:55</t>
  </si>
  <si>
    <t>Partly cloudy throughout the day with early morning rain.</t>
  </si>
  <si>
    <t>23/11/2000 12:59</t>
  </si>
  <si>
    <t>2000-12-18</t>
  </si>
  <si>
    <t>2000-12-18T07:22:57</t>
  </si>
  <si>
    <t>2000-12-18T17:09:19</t>
  </si>
  <si>
    <t>Partly cloudy throughout the day with late afternoon rain.</t>
  </si>
  <si>
    <t>18/12/2000 16:35</t>
  </si>
  <si>
    <t>08/06/2000 11:34</t>
  </si>
  <si>
    <t>09/07/2000 22:15</t>
  </si>
  <si>
    <t>22/05/2000 03:20</t>
  </si>
  <si>
    <t>16/07/2000 11:59</t>
  </si>
  <si>
    <t>2001-01-20</t>
  </si>
  <si>
    <t>2001-01-20T07:26:08</t>
  </si>
  <si>
    <t>2001-01-20T17:35:05</t>
  </si>
  <si>
    <t>20/01/2001 16:39</t>
  </si>
  <si>
    <t>2001-07-11</t>
  </si>
  <si>
    <t>2001-07-11T06:13:17</t>
  </si>
  <si>
    <t>2001-07-11T20:36:10</t>
  </si>
  <si>
    <t>11/07/2001 15:59</t>
  </si>
  <si>
    <t>2001-07-31</t>
  </si>
  <si>
    <t>2001-07-31T06:27:10</t>
  </si>
  <si>
    <t>2001-07-31T20:23:51</t>
  </si>
  <si>
    <t>31/07/2001 17:59</t>
  </si>
  <si>
    <t>2001-03-16</t>
  </si>
  <si>
    <t>2001-03-16T06:28:49</t>
  </si>
  <si>
    <t>2001-03-16T18:27:45</t>
  </si>
  <si>
    <t>16/03/2001 21:49</t>
  </si>
  <si>
    <t>2001-02-07</t>
  </si>
  <si>
    <t>2001-02-07T07:13:56</t>
  </si>
  <si>
    <t>2001-02-07T17:53:36</t>
  </si>
  <si>
    <t>07/02/2001 20:54</t>
  </si>
  <si>
    <t>2001-07-25</t>
  </si>
  <si>
    <t>2001-07-25T06:22:42</t>
  </si>
  <si>
    <t>2001-07-25T20:28:38</t>
  </si>
  <si>
    <t>25/07/2001 10:44</t>
  </si>
  <si>
    <t>2001-03-23</t>
  </si>
  <si>
    <t>2001-03-23T06:18:54</t>
  </si>
  <si>
    <t>2001-03-23T18:33:32</t>
  </si>
  <si>
    <t>23/03/2001 14:34</t>
  </si>
  <si>
    <t>2001-02-25</t>
  </si>
  <si>
    <t>2001-02-25T06:54:17</t>
  </si>
  <si>
    <t>2001-02-25T18:11:07</t>
  </si>
  <si>
    <t>25/02/2001 16:29</t>
  </si>
  <si>
    <t>2001-10-02</t>
  </si>
  <si>
    <t>2001-10-02T07:14:49</t>
  </si>
  <si>
    <t>2001-10-02T19:02:06</t>
  </si>
  <si>
    <t>02/10/2001 16:19</t>
  </si>
  <si>
    <t>2001-02-26</t>
  </si>
  <si>
    <t>2001-02-26T06:53:02</t>
  </si>
  <si>
    <t>2001-02-26T18:12:02</t>
  </si>
  <si>
    <t>26/02/2001 12:44</t>
  </si>
  <si>
    <t>2001-03-15</t>
  </si>
  <si>
    <t>2001-03-15T06:30:13</t>
  </si>
  <si>
    <t>2001-03-15T18:26:55</t>
  </si>
  <si>
    <t>15/03/2001 12:14</t>
  </si>
  <si>
    <t>2001-06-02</t>
  </si>
  <si>
    <t>2001-06-02T06:05:30</t>
  </si>
  <si>
    <t>2001-06-02T20:29:28</t>
  </si>
  <si>
    <t>02/06/2001 15:30</t>
  </si>
  <si>
    <t>2001-10-14</t>
  </si>
  <si>
    <t>2001-10-14T07:24:34</t>
  </si>
  <si>
    <t>2001-10-14T18:45:41</t>
  </si>
  <si>
    <t>14/10/2001 14:54</t>
  </si>
  <si>
    <t>2001-08-02</t>
  </si>
  <si>
    <t>2001-08-02T06:28:41</t>
  </si>
  <si>
    <t>2001-08-02T20:22:05</t>
  </si>
  <si>
    <t>02/08/2001 18:59</t>
  </si>
  <si>
    <t>2001-08-24</t>
  </si>
  <si>
    <t>2001-08-24T06:45:32</t>
  </si>
  <si>
    <t>2001-08-24T19:57:21</t>
  </si>
  <si>
    <t>24/08/2001 11:44</t>
  </si>
  <si>
    <t>2001-07-08</t>
  </si>
  <si>
    <t>2001-07-08T06:11:33</t>
  </si>
  <si>
    <t>2001-07-08T20:37:05</t>
  </si>
  <si>
    <t>08/07/2001 15:09</t>
  </si>
  <si>
    <t>2001-11-11</t>
  </si>
  <si>
    <t>2001-11-11T06:50:28</t>
  </si>
  <si>
    <t>2001-11-11T17:15:56</t>
  </si>
  <si>
    <t>11/11/2001 10:00</t>
  </si>
  <si>
    <t>2001-09-09</t>
  </si>
  <si>
    <t>2001-09-09T06:57:29</t>
  </si>
  <si>
    <t>2001-09-09T19:35:22</t>
  </si>
  <si>
    <t>09/09/2001 15:29</t>
  </si>
  <si>
    <t>2001-07-10</t>
  </si>
  <si>
    <t>2001-07-10T06:12:42</t>
  </si>
  <si>
    <t>2001-07-10T20:36:30</t>
  </si>
  <si>
    <t>10/07/2001 09:44</t>
  </si>
  <si>
    <t>2001-07-29</t>
  </si>
  <si>
    <t>2001-07-29T06:25:40</t>
  </si>
  <si>
    <t>2001-07-29T20:25:33</t>
  </si>
  <si>
    <t>29/07/2001 09:00</t>
  </si>
  <si>
    <t>2001-02-27</t>
  </si>
  <si>
    <t>2001-02-27T06:51:46</t>
  </si>
  <si>
    <t>2001-02-27T18:12:57</t>
  </si>
  <si>
    <t>27/02/2001 18:34</t>
  </si>
  <si>
    <t>2001-08-01</t>
  </si>
  <si>
    <t>2001-08-01T06:27:55</t>
  </si>
  <si>
    <t>2001-08-01T20:22:59</t>
  </si>
  <si>
    <t>01/08/2001 13:49</t>
  </si>
  <si>
    <t>2001-08-18</t>
  </si>
  <si>
    <t>2001-08-18T06:40:58</t>
  </si>
  <si>
    <t>2001-08-18T20:04:54</t>
  </si>
  <si>
    <t>18/08/2001 04:19</t>
  </si>
  <si>
    <t>2001-03-17</t>
  </si>
  <si>
    <t>2001-03-17T06:27:24</t>
  </si>
  <si>
    <t>2001-03-17T18:28:35</t>
  </si>
  <si>
    <t>17/03/2001 16:14</t>
  </si>
  <si>
    <t>23/03/2001 07:34</t>
  </si>
  <si>
    <t>2001-10-21</t>
  </si>
  <si>
    <t>2001-10-21T07:30:37</t>
  </si>
  <si>
    <t>2001-10-21T18:36:52</t>
  </si>
  <si>
    <t>21/10/2001 17:20</t>
  </si>
  <si>
    <t>2001-03-25</t>
  </si>
  <si>
    <t>2001-03-25T07:16:04</t>
  </si>
  <si>
    <t>2001-03-25T19:35:10</t>
  </si>
  <si>
    <t>25/03/2001 20:09</t>
  </si>
  <si>
    <t>2001-07-19</t>
  </si>
  <si>
    <t>2001-07-19T06:18:27</t>
  </si>
  <si>
    <t>2001-07-19T20:32:31</t>
  </si>
  <si>
    <t>19/07/2001 08:30</t>
  </si>
  <si>
    <t>2001-08-03</t>
  </si>
  <si>
    <t>2001-08-03T06:29:27</t>
  </si>
  <si>
    <t>2001-08-03T20:21:09</t>
  </si>
  <si>
    <t>03/08/2001 21:44</t>
  </si>
  <si>
    <t>2001-10-03</t>
  </si>
  <si>
    <t>2001-10-03T07:15:36</t>
  </si>
  <si>
    <t>2001-10-03T19:00:41</t>
  </si>
  <si>
    <t>03/10/2001 15:49</t>
  </si>
  <si>
    <t>2001-10-07</t>
  </si>
  <si>
    <t>2001-10-07T07:18:47</t>
  </si>
  <si>
    <t>2001-10-07T18:55:06</t>
  </si>
  <si>
    <t>07/10/2001 14:59</t>
  </si>
  <si>
    <t>2001-09-03</t>
  </si>
  <si>
    <t>2001-09-03T06:53:02</t>
  </si>
  <si>
    <t>2001-09-03T19:43:52</t>
  </si>
  <si>
    <t>03/09/2001 13:19</t>
  </si>
  <si>
    <t>31/07/2001 13:20</t>
  </si>
  <si>
    <t>2001-03-21</t>
  </si>
  <si>
    <t>2001-03-21T06:21:45</t>
  </si>
  <si>
    <t>2001-03-21T18:31:53</t>
  </si>
  <si>
    <t>21/03/2001 13:19</t>
  </si>
  <si>
    <t>16/03/2001 18:29</t>
  </si>
  <si>
    <t>2001-10-24</t>
  </si>
  <si>
    <t>2001-10-24T07:33:18</t>
  </si>
  <si>
    <t>2001-10-24T18:33:19</t>
  </si>
  <si>
    <t>24/10/2001 16:54</t>
  </si>
  <si>
    <t>2001-04-04</t>
  </si>
  <si>
    <t>2001-04-04T07:01:59</t>
  </si>
  <si>
    <t>2001-04-04T19:43:17</t>
  </si>
  <si>
    <t>04/04/2001 13:39</t>
  </si>
  <si>
    <t>2001-07-26</t>
  </si>
  <si>
    <t>2001-07-26T06:23:26</t>
  </si>
  <si>
    <t>2001-07-26T20:27:54</t>
  </si>
  <si>
    <t>26/07/2001 15:00</t>
  </si>
  <si>
    <t>2001-03-28</t>
  </si>
  <si>
    <t>2001-03-28T07:11:49</t>
  </si>
  <si>
    <t>2001-03-28T19:37:36</t>
  </si>
  <si>
    <t>28/03/2001 13:15</t>
  </si>
  <si>
    <t>2001-04-20</t>
  </si>
  <si>
    <t>2001-04-20T06:40:49</t>
  </si>
  <si>
    <t>2001-04-20T19:56:18</t>
  </si>
  <si>
    <t>20/04/2001 14:20</t>
  </si>
  <si>
    <t>2001-11-25</t>
  </si>
  <si>
    <t>2001-11-25T07:04:13</t>
  </si>
  <si>
    <t>2001-11-25T17:08:17</t>
  </si>
  <si>
    <t>25/11/2001 15:04</t>
  </si>
  <si>
    <t>2001-11-18</t>
  </si>
  <si>
    <t>2001-11-18T06:57:24</t>
  </si>
  <si>
    <t>2001-11-18T17:11:22</t>
  </si>
  <si>
    <t>18/11/2001 11:24</t>
  </si>
  <si>
    <t>25/11/2001 14:00</t>
  </si>
  <si>
    <t>2001-10-13</t>
  </si>
  <si>
    <t>2001-10-13T07:23:43</t>
  </si>
  <si>
    <t>2001-10-13T18:46:59</t>
  </si>
  <si>
    <t>13/10/2001 14:59</t>
  </si>
  <si>
    <t>2001-10-12</t>
  </si>
  <si>
    <t>2001-10-12T07:22:53</t>
  </si>
  <si>
    <t>2001-10-12T18:48:19</t>
  </si>
  <si>
    <t>12/10/2001 16:15</t>
  </si>
  <si>
    <t>2001-04-18</t>
  </si>
  <si>
    <t>2001-04-18T06:43:19</t>
  </si>
  <si>
    <t>2001-04-18T19:54:40</t>
  </si>
  <si>
    <t>18/04/2001 16:14</t>
  </si>
  <si>
    <t>2001-08-29</t>
  </si>
  <si>
    <t>2001-08-29T06:49:18</t>
  </si>
  <si>
    <t>2001-08-29T19:50:44</t>
  </si>
  <si>
    <t>29/08/2001 16:04</t>
  </si>
  <si>
    <t>2001-06-13</t>
  </si>
  <si>
    <t>2001-06-13T06:03:56</t>
  </si>
  <si>
    <t>2001-06-13T20:35:02</t>
  </si>
  <si>
    <t>13/06/2001 14:04</t>
  </si>
  <si>
    <t>2001-04-10</t>
  </si>
  <si>
    <t>2001-04-10T06:53:47</t>
  </si>
  <si>
    <t>2001-04-10T19:48:08</t>
  </si>
  <si>
    <t>Becoming cloudy in the afternoon with afternoon rain.</t>
  </si>
  <si>
    <t>10/04/2001 18:14</t>
  </si>
  <si>
    <t>2001-05-06</t>
  </si>
  <si>
    <t>2001-05-06T06:23:00</t>
  </si>
  <si>
    <t>2001-05-06T20:09:28</t>
  </si>
  <si>
    <t>06/05/2001 20:20</t>
  </si>
  <si>
    <t>14/10/2001 08:45</t>
  </si>
  <si>
    <t>21/03/2001 12:59</t>
  </si>
  <si>
    <t>12/10/2001 03:44</t>
  </si>
  <si>
    <t>13/10/2001 21:29</t>
  </si>
  <si>
    <t>2001-06-12</t>
  </si>
  <si>
    <t>2001-06-12T06:03:56</t>
  </si>
  <si>
    <t>2001-06-12T20:34:37</t>
  </si>
  <si>
    <t>12/06/2001 13:59</t>
  </si>
  <si>
    <t>06/05/2001 20:12</t>
  </si>
  <si>
    <t>2001-01-24</t>
  </si>
  <si>
    <t>2001-01-24T07:24:12</t>
  </si>
  <si>
    <t>2001-01-24T17:39:10</t>
  </si>
  <si>
    <t>24/01/2001 16:44</t>
  </si>
  <si>
    <t>2001-11-12</t>
  </si>
  <si>
    <t>2001-11-12T06:51:27</t>
  </si>
  <si>
    <t>2001-11-12T17:15:11</t>
  </si>
  <si>
    <t>12/11/2001 11:14</t>
  </si>
  <si>
    <t>2001-03-22</t>
  </si>
  <si>
    <t>2001-03-22T06:20:20</t>
  </si>
  <si>
    <t>2001-03-22T18:32:43</t>
  </si>
  <si>
    <t>22/03/2001 14:04</t>
  </si>
  <si>
    <t>2001-11-01</t>
  </si>
  <si>
    <t>2001-11-01T06:40:44</t>
  </si>
  <si>
    <t>2001-11-01T17:24:41</t>
  </si>
  <si>
    <t>01/11/2001 16:05</t>
  </si>
  <si>
    <t>2001-08-14</t>
  </si>
  <si>
    <t>2001-08-14T06:37:54</t>
  </si>
  <si>
    <t>2001-08-14T20:09:38</t>
  </si>
  <si>
    <t>14/08/2001 19:00</t>
  </si>
  <si>
    <t>2001-08-23</t>
  </si>
  <si>
    <t>2001-08-23T06:44:46</t>
  </si>
  <si>
    <t>2001-08-23T19:58:39</t>
  </si>
  <si>
    <t>23/08/2001 21:49</t>
  </si>
  <si>
    <t>2001-04-30</t>
  </si>
  <si>
    <t>2001-04-30T06:29:10</t>
  </si>
  <si>
    <t>2001-04-30T20:04:32</t>
  </si>
  <si>
    <t>30/04/2001 15:10</t>
  </si>
  <si>
    <t>2001-06-20</t>
  </si>
  <si>
    <t>2001-06-20T06:04:37</t>
  </si>
  <si>
    <t>2001-06-20T20:37:14</t>
  </si>
  <si>
    <t>20/06/2001 13:44</t>
  </si>
  <si>
    <t>2001-03-27</t>
  </si>
  <si>
    <t>2001-03-27T07:13:14</t>
  </si>
  <si>
    <t>2001-03-27T19:36:48</t>
  </si>
  <si>
    <t>27/03/2001 20:00</t>
  </si>
  <si>
    <t>07/02/2001 17:29</t>
  </si>
  <si>
    <t>08/07/2001 21:55</t>
  </si>
  <si>
    <t>13/06/2001 09:00</t>
  </si>
  <si>
    <t>2001-10-15</t>
  </si>
  <si>
    <t>2001-10-15T07:25:24</t>
  </si>
  <si>
    <t>2001-10-15T18:44:23</t>
  </si>
  <si>
    <t>15/10/2001 15:37</t>
  </si>
  <si>
    <t>2001-09-12</t>
  </si>
  <si>
    <t>2001-09-12T06:59:42</t>
  </si>
  <si>
    <t>2001-09-12T19:31:03</t>
  </si>
  <si>
    <t>12/09/2001 16:09</t>
  </si>
  <si>
    <t>27/03/2001 13:54</t>
  </si>
  <si>
    <t>2001-06-30</t>
  </si>
  <si>
    <t>2001-06-30T06:07:40</t>
  </si>
  <si>
    <t>2001-06-30T20:38:15</t>
  </si>
  <si>
    <t>30/06/2001 02:30</t>
  </si>
  <si>
    <t>2001-10-31</t>
  </si>
  <si>
    <t>2001-10-31T06:39:47</t>
  </si>
  <si>
    <t>2001-10-31T17:25:42</t>
  </si>
  <si>
    <t>31/10/2001 04:39</t>
  </si>
  <si>
    <t>2001-10-10</t>
  </si>
  <si>
    <t>2001-10-10T07:21:14</t>
  </si>
  <si>
    <t>2001-10-10T18:51:00</t>
  </si>
  <si>
    <t>10/10/2001 16:54</t>
  </si>
  <si>
    <t>24/01/2001 18:00</t>
  </si>
  <si>
    <t>13/10/2001 05:49</t>
  </si>
  <si>
    <t>2001-07-21</t>
  </si>
  <si>
    <t>2001-07-21T06:19:50</t>
  </si>
  <si>
    <t>2001-07-21T20:31:20</t>
  </si>
  <si>
    <t>21/07/2001 12:20</t>
  </si>
  <si>
    <t>2001-05-10</t>
  </si>
  <si>
    <t>2001-05-10T06:19:18</t>
  </si>
  <si>
    <t>2001-05-10T20:12:44</t>
  </si>
  <si>
    <t>10/05/2001 23:14</t>
  </si>
  <si>
    <t>27/03/2001 15:30</t>
  </si>
  <si>
    <t>27/03/2001 22:11</t>
  </si>
  <si>
    <t>2001-09-29</t>
  </si>
  <si>
    <t>2001-09-29T07:12:29</t>
  </si>
  <si>
    <t>2001-09-29T19:06:23</t>
  </si>
  <si>
    <t>29/09/2001 16:58</t>
  </si>
  <si>
    <t>2001-03-05</t>
  </si>
  <si>
    <t>2001-03-05T06:43:57</t>
  </si>
  <si>
    <t>2001-03-05T18:18:20</t>
  </si>
  <si>
    <t>05/03/2001 13:40</t>
  </si>
  <si>
    <t>2001-03-26</t>
  </si>
  <si>
    <t>2001-03-26T07:14:39</t>
  </si>
  <si>
    <t>2001-03-26T19:35:59</t>
  </si>
  <si>
    <t>26/03/2001 13:45</t>
  </si>
  <si>
    <t>27/03/2001 14:05</t>
  </si>
  <si>
    <t>2001-11-17</t>
  </si>
  <si>
    <t>2001-11-17T06:56:24</t>
  </si>
  <si>
    <t>2001-11-17T17:11:56</t>
  </si>
  <si>
    <t>17/11/2001 11:29</t>
  </si>
  <si>
    <t>24/10/2001 13:09</t>
  </si>
  <si>
    <t>2001-10-23</t>
  </si>
  <si>
    <t>2001-10-23T07:32:24</t>
  </si>
  <si>
    <t>2001-10-23T18:34:29</t>
  </si>
  <si>
    <t>23/10/2001 22:04</t>
  </si>
  <si>
    <t>2001-08-27</t>
  </si>
  <si>
    <t>2001-08-27T06:47:47</t>
  </si>
  <si>
    <t>2001-08-27T19:53:25</t>
  </si>
  <si>
    <t>27/08/2001 18:30</t>
  </si>
  <si>
    <t>2001-09-27</t>
  </si>
  <si>
    <t>2001-09-27T07:10:57</t>
  </si>
  <si>
    <t>2001-09-27T19:09:16</t>
  </si>
  <si>
    <t>27/09/2001 09:19</t>
  </si>
  <si>
    <t>27/08/2001 13:24</t>
  </si>
  <si>
    <t>26/07/2001 20:39</t>
  </si>
  <si>
    <t>29/07/2001 19:04</t>
  </si>
  <si>
    <t>2001-11-19</t>
  </si>
  <si>
    <t>2001-11-19T06:58:23</t>
  </si>
  <si>
    <t>2001-11-19T17:10:50</t>
  </si>
  <si>
    <t>19/11/2001 11:29</t>
  </si>
  <si>
    <t>2001-04-17</t>
  </si>
  <si>
    <t>2001-04-17T06:44:35</t>
  </si>
  <si>
    <t>2001-04-17T19:53:51</t>
  </si>
  <si>
    <t>17/04/2001 15:44</t>
  </si>
  <si>
    <t>2001-09-06</t>
  </si>
  <si>
    <t>2001-09-06T06:55:15</t>
  </si>
  <si>
    <t>2001-09-06T19:39:39</t>
  </si>
  <si>
    <t>06/09/2001 22:00</t>
  </si>
  <si>
    <t>2001-09-11</t>
  </si>
  <si>
    <t>2001-09-11T06:58:57</t>
  </si>
  <si>
    <t>2001-09-11T19:32:30</t>
  </si>
  <si>
    <t>11/09/2001 11:30</t>
  </si>
  <si>
    <t>11/09/2001 16:10</t>
  </si>
  <si>
    <t>29/09/2001 19:14</t>
  </si>
  <si>
    <t>2001-10-28</t>
  </si>
  <si>
    <t>2001-10-28T06:36:59</t>
  </si>
  <si>
    <t>2001-10-28T17:28:51</t>
  </si>
  <si>
    <t>28/10/2001 17:19</t>
  </si>
  <si>
    <t>23/10/2001 14:09</t>
  </si>
  <si>
    <t>2001-03-06</t>
  </si>
  <si>
    <t>2001-03-06T06:42:36</t>
  </si>
  <si>
    <t>2001-03-06T18:19:12</t>
  </si>
  <si>
    <t>06/03/2001 13:25</t>
  </si>
  <si>
    <t>12/10/2001 17:29</t>
  </si>
  <si>
    <t>2001-04-27</t>
  </si>
  <si>
    <t>2001-04-27T06:32:30</t>
  </si>
  <si>
    <t>2001-04-27T20:02:04</t>
  </si>
  <si>
    <t>27/04/2001 18:09</t>
  </si>
  <si>
    <t>30/06/2001 16:44</t>
  </si>
  <si>
    <t>26/07/2001 12:09</t>
  </si>
  <si>
    <t>2001-10-09</t>
  </si>
  <si>
    <t>2001-10-09T07:20:25</t>
  </si>
  <si>
    <t>2001-10-09T18:52:21</t>
  </si>
  <si>
    <t>09/10/2001 12:29</t>
  </si>
  <si>
    <t>2001-10-11</t>
  </si>
  <si>
    <t>2001-10-11T07:22:03</t>
  </si>
  <si>
    <t>2001-10-11T18:49:39</t>
  </si>
  <si>
    <t>11/10/2001 18:10</t>
  </si>
  <si>
    <t>2001-09-14</t>
  </si>
  <si>
    <t>2001-09-14T07:01:11</t>
  </si>
  <si>
    <t>2001-09-14T19:28:09</t>
  </si>
  <si>
    <t>14/09/2001 14:25</t>
  </si>
  <si>
    <t>25/07/2001 18:50</t>
  </si>
  <si>
    <t>2001-08-15</t>
  </si>
  <si>
    <t>2001-08-15T06:38:40</t>
  </si>
  <si>
    <t>2001-08-15T20:08:28</t>
  </si>
  <si>
    <t>15/08/2001 19:16</t>
  </si>
  <si>
    <t>2001-10-17</t>
  </si>
  <si>
    <t>2001-10-17T07:27:07</t>
  </si>
  <si>
    <t>2001-10-17T18:41:49</t>
  </si>
  <si>
    <t>17/10/2001 08:40</t>
  </si>
  <si>
    <t>2001-09-07</t>
  </si>
  <si>
    <t>2001-09-07T06:56:00</t>
  </si>
  <si>
    <t>2001-09-07T19:38:13</t>
  </si>
  <si>
    <t>07/09/2001 14:14</t>
  </si>
  <si>
    <t>11/09/2001 16:50</t>
  </si>
  <si>
    <t>2001-08-22</t>
  </si>
  <si>
    <t>2001-08-22T06:44:01</t>
  </si>
  <si>
    <t>2001-08-22T19:59:56</t>
  </si>
  <si>
    <t>22/08/2001 16:35</t>
  </si>
  <si>
    <t>2001-08-19</t>
  </si>
  <si>
    <t>2001-08-19T06:41:44</t>
  </si>
  <si>
    <t>2001-08-19T20:03:41</t>
  </si>
  <si>
    <t>19/08/2001 21:45</t>
  </si>
  <si>
    <t>07/10/2001 11:00</t>
  </si>
  <si>
    <t>2001-10-06</t>
  </si>
  <si>
    <t>2001-10-06T07:17:59</t>
  </si>
  <si>
    <t>2001-10-06T18:56:29</t>
  </si>
  <si>
    <t>06/10/2001 19:25</t>
  </si>
  <si>
    <t>2001-03-19</t>
  </si>
  <si>
    <t>2001-03-19T06:24:35</t>
  </si>
  <si>
    <t>2001-03-19T18:30:14</t>
  </si>
  <si>
    <t>19/03/2001 15:59</t>
  </si>
  <si>
    <t>19/08/2001 20:00</t>
  </si>
  <si>
    <t>2001-09-25</t>
  </si>
  <si>
    <t>2001-09-25T07:09:25</t>
  </si>
  <si>
    <t>2001-09-25T19:12:09</t>
  </si>
  <si>
    <t>25/09/2001 16:00</t>
  </si>
  <si>
    <t>23/08/2001 03:18</t>
  </si>
  <si>
    <t>11/11/2001 16:55</t>
  </si>
  <si>
    <t>09/10/2001 11:00</t>
  </si>
  <si>
    <t>2001-08-13</t>
  </si>
  <si>
    <t>2001-08-13T06:37:08</t>
  </si>
  <si>
    <t>2001-08-13T20:10:46</t>
  </si>
  <si>
    <t>13/08/2001 19:32</t>
  </si>
  <si>
    <t>2001-08-20</t>
  </si>
  <si>
    <t>2001-08-20T06:42:29</t>
  </si>
  <si>
    <t>2001-08-20T20:02:26</t>
  </si>
  <si>
    <t>20/08/2001 04:30</t>
  </si>
  <si>
    <t>25/09/2001 14:15</t>
  </si>
  <si>
    <t>02/10/2001 10:09</t>
  </si>
  <si>
    <t>2001-09-30</t>
  </si>
  <si>
    <t>2001-09-30T07:13:15</t>
  </si>
  <si>
    <t>2001-09-30T19:04:57</t>
  </si>
  <si>
    <t>30/09/2001 11:33</t>
  </si>
  <si>
    <t>2001-09-04</t>
  </si>
  <si>
    <t>2001-09-04T06:53:46</t>
  </si>
  <si>
    <t>2001-09-04T19:42:28</t>
  </si>
  <si>
    <t>04/09/2001 19:45</t>
  </si>
  <si>
    <t>2001-10-22</t>
  </si>
  <si>
    <t>2001-10-22T07:31:30</t>
  </si>
  <si>
    <t>2001-10-22T18:35:40</t>
  </si>
  <si>
    <t>22/10/2001 15:44</t>
  </si>
  <si>
    <t>28/10/2001 14:59</t>
  </si>
  <si>
    <t>2001-09-19</t>
  </si>
  <si>
    <t>2001-09-19T07:04:54</t>
  </si>
  <si>
    <t>2001-09-19T19:20:53</t>
  </si>
  <si>
    <t>19/09/2001 13:04</t>
  </si>
  <si>
    <t>2001-10-29</t>
  </si>
  <si>
    <t>2001-10-29T06:37:54</t>
  </si>
  <si>
    <t>2001-10-29T17:27:46</t>
  </si>
  <si>
    <t>29/10/2001 17:29</t>
  </si>
  <si>
    <t>2001-03-20</t>
  </si>
  <si>
    <t>2001-03-20T06:23:10</t>
  </si>
  <si>
    <t>2001-03-20T18:31:04</t>
  </si>
  <si>
    <t>20/03/2001 12:40</t>
  </si>
  <si>
    <t>2001-06-21</t>
  </si>
  <si>
    <t>2001-06-21T06:04:49</t>
  </si>
  <si>
    <t>2001-06-21T20:37:27</t>
  </si>
  <si>
    <t>21/06/2001 04:48</t>
  </si>
  <si>
    <t>2001-06-22</t>
  </si>
  <si>
    <t>2001-06-22T06:05:03</t>
  </si>
  <si>
    <t>2001-06-22T20:37:39</t>
  </si>
  <si>
    <t>22/06/2001 01:59</t>
  </si>
  <si>
    <t>25/07/2001 17:01</t>
  </si>
  <si>
    <t>2001-01-12</t>
  </si>
  <si>
    <t>2001-01-12T07:28:30</t>
  </si>
  <si>
    <t>2001-01-12T17:27:13</t>
  </si>
  <si>
    <t>12/01/2001 14:00</t>
  </si>
  <si>
    <t>29/10/2001 18:10</t>
  </si>
  <si>
    <t>2001-08-30</t>
  </si>
  <si>
    <t>2001-08-30T06:50:02</t>
  </si>
  <si>
    <t>2001-08-30T19:49:23</t>
  </si>
  <si>
    <t>30/08/2001 00:39</t>
  </si>
  <si>
    <t>27/02/2001 18:29</t>
  </si>
  <si>
    <t>2002-08-26</t>
  </si>
  <si>
    <t>2002-08-26T06:46:52</t>
  </si>
  <si>
    <t>2002-08-26T19:55:04</t>
  </si>
  <si>
    <t>26/08/2002 10:30</t>
  </si>
  <si>
    <t>2002-01-28</t>
  </si>
  <si>
    <t>2002-01-28T07:21:58</t>
  </si>
  <si>
    <t>2002-01-28T17:43:03</t>
  </si>
  <si>
    <t>28/01/2002 13:29</t>
  </si>
  <si>
    <t>2002-01-31</t>
  </si>
  <si>
    <t>2002-01-31T07:19:54</t>
  </si>
  <si>
    <t>2002-01-31T17:46:09</t>
  </si>
  <si>
    <t>31/01/2002 13:19</t>
  </si>
  <si>
    <t>2002-02-22</t>
  </si>
  <si>
    <t>2002-02-22T06:58:15</t>
  </si>
  <si>
    <t>2002-02-22T18:08:06</t>
  </si>
  <si>
    <t>22/02/2002 19:20</t>
  </si>
  <si>
    <t>2002-07-23</t>
  </si>
  <si>
    <t>2002-07-23T06:21:05</t>
  </si>
  <si>
    <t>2002-07-23T20:30:12</t>
  </si>
  <si>
    <t>23/07/2002 14:59</t>
  </si>
  <si>
    <t>22/02/2002 17:05</t>
  </si>
  <si>
    <t>2002-03-01</t>
  </si>
  <si>
    <t>2002-03-01T06:49:31</t>
  </si>
  <si>
    <t>2002-03-01T18:14:33</t>
  </si>
  <si>
    <t>01/03/2002 16:09</t>
  </si>
  <si>
    <t>2002-07-08</t>
  </si>
  <si>
    <t>2002-07-08T06:11:26</t>
  </si>
  <si>
    <t>2002-07-08T20:37:09</t>
  </si>
  <si>
    <t>08/07/2002 09:19</t>
  </si>
  <si>
    <t>2002-07-11</t>
  </si>
  <si>
    <t>2002-07-11T06:13:09</t>
  </si>
  <si>
    <t>2002-07-11T20:36:16</t>
  </si>
  <si>
    <t>11/07/2002 07:59</t>
  </si>
  <si>
    <t>2002-03-02</t>
  </si>
  <si>
    <t>2002-03-02T06:48:14</t>
  </si>
  <si>
    <t>2002-03-02T18:15:27</t>
  </si>
  <si>
    <t>02/03/2002 13:49</t>
  </si>
  <si>
    <t>2002-08-11</t>
  </si>
  <si>
    <t>2002-08-11T06:35:24</t>
  </si>
  <si>
    <t>2002-08-11T20:13:16</t>
  </si>
  <si>
    <t>11/08/2002 18:00</t>
  </si>
  <si>
    <t>2002-02-07</t>
  </si>
  <si>
    <t>2002-02-07T07:14:10</t>
  </si>
  <si>
    <t>2002-02-07T17:53:21</t>
  </si>
  <si>
    <t>07/02/2002 14:49</t>
  </si>
  <si>
    <t>2002-02-13</t>
  </si>
  <si>
    <t>2002-02-13T07:08:20</t>
  </si>
  <si>
    <t>2002-02-13T17:59:23</t>
  </si>
  <si>
    <t>13/02/2002 13:13</t>
  </si>
  <si>
    <t>2002-03-05</t>
  </si>
  <si>
    <t>2002-03-05T06:44:16</t>
  </si>
  <si>
    <t>2002-03-05T18:18:07</t>
  </si>
  <si>
    <t>05/03/2002 15:14</t>
  </si>
  <si>
    <t>2002-08-28</t>
  </si>
  <si>
    <t>2002-08-28T06:48:22</t>
  </si>
  <si>
    <t>2002-08-28T19:52:25</t>
  </si>
  <si>
    <t>28/08/2002 00:04</t>
  </si>
  <si>
    <t>2002-03-03</t>
  </si>
  <si>
    <t>2002-03-03T06:46:55</t>
  </si>
  <si>
    <t>2002-03-03T18:16:21</t>
  </si>
  <si>
    <t>03/03/2002 16:29</t>
  </si>
  <si>
    <t>2002-01-30</t>
  </si>
  <si>
    <t>2002-01-30T07:20:37</t>
  </si>
  <si>
    <t>2002-01-30T17:45:07</t>
  </si>
  <si>
    <t>30/01/2002 12:10</t>
  </si>
  <si>
    <t>30/01/2002 03:14</t>
  </si>
  <si>
    <t>13/02/2002 12:30</t>
  </si>
  <si>
    <t>2002-03-17</t>
  </si>
  <si>
    <t>2002-03-17T06:27:45</t>
  </si>
  <si>
    <t>2002-03-17T18:28:23</t>
  </si>
  <si>
    <t>17/03/2002 19:09</t>
  </si>
  <si>
    <t>2002-03-20</t>
  </si>
  <si>
    <t>2002-03-20T06:23:31</t>
  </si>
  <si>
    <t>2002-03-20T18:30:52</t>
  </si>
  <si>
    <t>20/03/2002 22:19</t>
  </si>
  <si>
    <t>2002-02-19</t>
  </si>
  <si>
    <t>2002-02-19T07:01:46</t>
  </si>
  <si>
    <t>2002-02-19T18:05:15</t>
  </si>
  <si>
    <t>19/02/2002 19:10</t>
  </si>
  <si>
    <t>2002-07-06</t>
  </si>
  <si>
    <t>2002-07-06T06:10:21</t>
  </si>
  <si>
    <t>2002-07-06T20:37:36</t>
  </si>
  <si>
    <t>06/07/2002 14:09</t>
  </si>
  <si>
    <t>08/07/2002 17:14</t>
  </si>
  <si>
    <t>2002-06-28</t>
  </si>
  <si>
    <t>2002-06-28T06:06:48</t>
  </si>
  <si>
    <t>2002-06-28T20:38:16</t>
  </si>
  <si>
    <t>28/06/2002 09:44</t>
  </si>
  <si>
    <t>2002-08-05</t>
  </si>
  <si>
    <t>2002-08-05T06:30:48</t>
  </si>
  <si>
    <t>2002-08-05T20:19:29</t>
  </si>
  <si>
    <t>05/08/2002 01:50</t>
  </si>
  <si>
    <t>2002-08-18</t>
  </si>
  <si>
    <t>2002-08-18T06:40:47</t>
  </si>
  <si>
    <t>2002-08-18T20:05:12</t>
  </si>
  <si>
    <t>18/08/2002 16:34</t>
  </si>
  <si>
    <t>18/08/2002 20:49</t>
  </si>
  <si>
    <t>2002-02-17</t>
  </si>
  <si>
    <t>2002-02-17T07:04:01</t>
  </si>
  <si>
    <t>2002-02-17T18:03:19</t>
  </si>
  <si>
    <t>17/02/2002 18:30</t>
  </si>
  <si>
    <t>2002-03-08</t>
  </si>
  <si>
    <t>2002-03-08T06:40:14</t>
  </si>
  <si>
    <t>2002-03-08T18:20:44</t>
  </si>
  <si>
    <t>08/03/2002 19:54</t>
  </si>
  <si>
    <t>18/08/2002 18:00</t>
  </si>
  <si>
    <t>2002-08-09</t>
  </si>
  <si>
    <t>2002-08-09T06:33:52</t>
  </si>
  <si>
    <t>2002-08-09T20:15:25</t>
  </si>
  <si>
    <t>09/08/2002 19:29</t>
  </si>
  <si>
    <t>2002-07-20</t>
  </si>
  <si>
    <t>2002-07-20T06:18:58</t>
  </si>
  <si>
    <t>2002-07-20T20:32:05</t>
  </si>
  <si>
    <t>20/07/2002 18:54</t>
  </si>
  <si>
    <t>2002-10-10</t>
  </si>
  <si>
    <t>2002-10-10T07:21:02</t>
  </si>
  <si>
    <t>2002-10-10T18:51:20</t>
  </si>
  <si>
    <t>10/10/2002 13:50</t>
  </si>
  <si>
    <t>2002-05-19</t>
  </si>
  <si>
    <t>2002-05-19T06:12:27</t>
  </si>
  <si>
    <t>2002-05-19T20:19:38</t>
  </si>
  <si>
    <t>19/05/2002 23:30</t>
  </si>
  <si>
    <t>2002-06-24</t>
  </si>
  <si>
    <t>2002-06-24T06:05:30</t>
  </si>
  <si>
    <t>2002-06-24T20:37:56</t>
  </si>
  <si>
    <t>24/06/2002 14:54</t>
  </si>
  <si>
    <t>2002-08-16</t>
  </si>
  <si>
    <t>2002-08-16T06:39:15</t>
  </si>
  <si>
    <t>2002-08-16T20:07:35</t>
  </si>
  <si>
    <t>16/08/2002 15:59</t>
  </si>
  <si>
    <t>2002-10-26</t>
  </si>
  <si>
    <t>2002-10-26T07:34:54</t>
  </si>
  <si>
    <t>2002-10-26T18:31:19</t>
  </si>
  <si>
    <t>26/10/2002 14:09</t>
  </si>
  <si>
    <t>2002-06-12</t>
  </si>
  <si>
    <t>2002-06-12T06:03:57</t>
  </si>
  <si>
    <t>2002-06-12T20:34:32</t>
  </si>
  <si>
    <t>12/06/2002 11:49</t>
  </si>
  <si>
    <t>2002-07-12</t>
  </si>
  <si>
    <t>2002-07-12T06:13:45</t>
  </si>
  <si>
    <t>2002-07-12T20:35:54</t>
  </si>
  <si>
    <t>12/07/2002 16:34</t>
  </si>
  <si>
    <t>17/02/2002 14:09</t>
  </si>
  <si>
    <t>2002-09-08</t>
  </si>
  <si>
    <t>2002-09-08T06:56:34</t>
  </si>
  <si>
    <t>2002-09-08T19:37:09</t>
  </si>
  <si>
    <t>08/09/2002 16:29</t>
  </si>
  <si>
    <t>2002-06-05</t>
  </si>
  <si>
    <t>2002-06-05T06:04:48</t>
  </si>
  <si>
    <t>2002-06-05T20:31:05</t>
  </si>
  <si>
    <t>05/06/2002 17:44</t>
  </si>
  <si>
    <t>2002-06-27</t>
  </si>
  <si>
    <t>2002-06-27T06:06:26</t>
  </si>
  <si>
    <t>2002-06-27T20:38:13</t>
  </si>
  <si>
    <t>27/06/2002 16:44</t>
  </si>
  <si>
    <t>2002-03-14</t>
  </si>
  <si>
    <t>2002-03-14T06:31:57</t>
  </si>
  <si>
    <t>2002-03-14T18:25:52</t>
  </si>
  <si>
    <t>14/03/2002 10:59</t>
  </si>
  <si>
    <t>2002-08-20</t>
  </si>
  <si>
    <t>2002-08-20T06:42:19</t>
  </si>
  <si>
    <t>2002-08-20T20:02:45</t>
  </si>
  <si>
    <t>20/08/2002 12:30</t>
  </si>
  <si>
    <t>2002-06-14</t>
  </si>
  <si>
    <t>2002-06-14T06:03:57</t>
  </si>
  <si>
    <t>2002-06-14T20:35:20</t>
  </si>
  <si>
    <t>14/06/2002 11:24</t>
  </si>
  <si>
    <t>2002-09-30</t>
  </si>
  <si>
    <t>2002-09-30T07:13:04</t>
  </si>
  <si>
    <t>2002-09-30T19:05:18</t>
  </si>
  <si>
    <t>30/09/2002 18:39</t>
  </si>
  <si>
    <t>2002-12-23</t>
  </si>
  <si>
    <t>2002-12-23T07:25:19</t>
  </si>
  <si>
    <t>2002-12-23T17:11:27</t>
  </si>
  <si>
    <t>23/12/2002 14:59</t>
  </si>
  <si>
    <t>17/02/2002 14:19</t>
  </si>
  <si>
    <t>2002-10-11</t>
  </si>
  <si>
    <t>2002-10-11T07:21:51</t>
  </si>
  <si>
    <t>2002-10-11T18:49:59</t>
  </si>
  <si>
    <t>11/10/2002 17:25</t>
  </si>
  <si>
    <t>2002-05-13</t>
  </si>
  <si>
    <t>2002-05-13T06:16:57</t>
  </si>
  <si>
    <t>2002-05-13T20:14:57</t>
  </si>
  <si>
    <t>13/05/2002 11:04</t>
  </si>
  <si>
    <t>2002-01-06</t>
  </si>
  <si>
    <t>2002-01-06T07:28:56</t>
  </si>
  <si>
    <t>2002-01-06T17:21:35</t>
  </si>
  <si>
    <t>06/01/2002 15:34</t>
  </si>
  <si>
    <t>2002-01-10</t>
  </si>
  <si>
    <t>2002-01-10T07:28:48</t>
  </si>
  <si>
    <t>2002-01-10T17:25:08</t>
  </si>
  <si>
    <t>10/01/2002 16:19</t>
  </si>
  <si>
    <t>09/08/2002 16:19</t>
  </si>
  <si>
    <t>2002-07-28</t>
  </si>
  <si>
    <t>2002-07-28T06:24:44</t>
  </si>
  <si>
    <t>2002-07-28T20:26:33</t>
  </si>
  <si>
    <t>28/07/2002 20:29</t>
  </si>
  <si>
    <t>2002-06-20</t>
  </si>
  <si>
    <t>2002-06-20T06:04:35</t>
  </si>
  <si>
    <t>2002-06-20T20:37:11</t>
  </si>
  <si>
    <t>20/06/2002 00:35</t>
  </si>
  <si>
    <t>2002-08-08</t>
  </si>
  <si>
    <t>2002-08-08T06:33:06</t>
  </si>
  <si>
    <t>2002-08-08T20:16:28</t>
  </si>
  <si>
    <t>08/08/2002 12:20</t>
  </si>
  <si>
    <t>2002-07-27</t>
  </si>
  <si>
    <t>2002-07-27T06:24:00</t>
  </si>
  <si>
    <t>2002-07-27T20:27:20</t>
  </si>
  <si>
    <t>27/07/2002 17:40</t>
  </si>
  <si>
    <t>2002-08-19</t>
  </si>
  <si>
    <t>2002-08-19T06:41:33</t>
  </si>
  <si>
    <t>2002-08-19T20:03:59</t>
  </si>
  <si>
    <t>Partly cloudy throughout the day with rain clearing later.</t>
  </si>
  <si>
    <t>19/08/2002 10:50</t>
  </si>
  <si>
    <t>2002-07-13</t>
  </si>
  <si>
    <t>2002-07-13T06:14:22</t>
  </si>
  <si>
    <t>2002-07-13T20:35:32</t>
  </si>
  <si>
    <t>13/07/2002 12:04</t>
  </si>
  <si>
    <t>08/07/2002 20:34</t>
  </si>
  <si>
    <t>2002-10-27</t>
  </si>
  <si>
    <t>2002-10-27T06:35:50</t>
  </si>
  <si>
    <t>2002-10-27T17:30:12</t>
  </si>
  <si>
    <t>27/10/2002 13:00</t>
  </si>
  <si>
    <t>2002-10-04</t>
  </si>
  <si>
    <t>2002-10-04T07:16:12</t>
  </si>
  <si>
    <t>2002-10-04T18:59:37</t>
  </si>
  <si>
    <t>04/10/2002 02:59</t>
  </si>
  <si>
    <t>2002-10-12</t>
  </si>
  <si>
    <t>2002-10-12T07:22:41</t>
  </si>
  <si>
    <t>2002-10-12T18:48:38</t>
  </si>
  <si>
    <t>12/10/2002 18:35</t>
  </si>
  <si>
    <t>2002-10-03</t>
  </si>
  <si>
    <t>2002-10-03T07:15:25</t>
  </si>
  <si>
    <t>2002-10-03T19:01:02</t>
  </si>
  <si>
    <t>03/10/2002 09:59</t>
  </si>
  <si>
    <t>2002-03-10</t>
  </si>
  <si>
    <t>2002-03-10T06:37:30</t>
  </si>
  <si>
    <t>2002-03-10T18:22:28</t>
  </si>
  <si>
    <t>10/03/2002 17:19</t>
  </si>
  <si>
    <t>2002-06-11</t>
  </si>
  <si>
    <t>2002-06-11T06:03:59</t>
  </si>
  <si>
    <t>2002-06-11T20:34:06</t>
  </si>
  <si>
    <t>11/06/2002 12:34</t>
  </si>
  <si>
    <t>2002-07-22</t>
  </si>
  <si>
    <t>2002-07-22T06:20:22</t>
  </si>
  <si>
    <t>2002-07-22T20:30:51</t>
  </si>
  <si>
    <t>22/07/2002 12:29</t>
  </si>
  <si>
    <t>2002-09-26</t>
  </si>
  <si>
    <t>2002-09-26T07:10:00</t>
  </si>
  <si>
    <t>2002-09-26T19:11:03</t>
  </si>
  <si>
    <t>26/09/2002 12:04</t>
  </si>
  <si>
    <t>2002-07-18</t>
  </si>
  <si>
    <t>2002-07-18T06:17:36</t>
  </si>
  <si>
    <t>2002-07-18T20:33:12</t>
  </si>
  <si>
    <t>18/07/2002 13:59</t>
  </si>
  <si>
    <t>2002-05-07</t>
  </si>
  <si>
    <t>2002-05-07T06:22:17</t>
  </si>
  <si>
    <t>2002-05-07T20:10:06</t>
  </si>
  <si>
    <t>07/05/2002 19:24</t>
  </si>
  <si>
    <t>07/02/2002 16:29</t>
  </si>
  <si>
    <t>2002-03-09</t>
  </si>
  <si>
    <t>2002-03-09T06:38:52</t>
  </si>
  <si>
    <t>2002-03-09T18:21:36</t>
  </si>
  <si>
    <t>09/03/2002 15:31</t>
  </si>
  <si>
    <t>28/06/2002 10:56</t>
  </si>
  <si>
    <t>2002-09-23</t>
  </si>
  <si>
    <t>2002-09-23T07:07:43</t>
  </si>
  <si>
    <t>2002-09-23T19:15:25</t>
  </si>
  <si>
    <t>23/09/2002 11:30</t>
  </si>
  <si>
    <t>20/07/2002 20:15</t>
  </si>
  <si>
    <t>2002-08-12</t>
  </si>
  <si>
    <t>2002-08-12T06:36:11</t>
  </si>
  <si>
    <t>2002-08-12T20:12:10</t>
  </si>
  <si>
    <t>12/08/2002 14:49</t>
  </si>
  <si>
    <t>11/07/2002 20:29</t>
  </si>
  <si>
    <t>2002-08-13</t>
  </si>
  <si>
    <t>2002-08-13T06:36:57</t>
  </si>
  <si>
    <t>2002-08-13T20:11:03</t>
  </si>
  <si>
    <t>13/08/2002 02:14</t>
  </si>
  <si>
    <t>2002-07-25</t>
  </si>
  <si>
    <t>2002-07-25T06:22:32</t>
  </si>
  <si>
    <t>2002-07-25T20:28:49</t>
  </si>
  <si>
    <t>25/07/2002 17:08</t>
  </si>
  <si>
    <t>2002-02-03</t>
  </si>
  <si>
    <t>2002-02-03T07:17:36</t>
  </si>
  <si>
    <t>2002-02-03T17:49:15</t>
  </si>
  <si>
    <t>03/02/2002 07:30</t>
  </si>
  <si>
    <t>2002-08-25</t>
  </si>
  <si>
    <t>2002-08-25T06:46:06</t>
  </si>
  <si>
    <t>2002-08-25T19:56:23</t>
  </si>
  <si>
    <t>25/08/2002 02:49</t>
  </si>
  <si>
    <t>2002-04-06</t>
  </si>
  <si>
    <t>2002-04-06T06:59:34</t>
  </si>
  <si>
    <t>2002-04-06T19:44:42</t>
  </si>
  <si>
    <t>Partly cloudy throughout the day with afternoon rain.</t>
  </si>
  <si>
    <t>06/04/2002 11:02</t>
  </si>
  <si>
    <t>24/06/2002 11:45</t>
  </si>
  <si>
    <t>2002-06-22</t>
  </si>
  <si>
    <t>2002-06-22T06:05:00</t>
  </si>
  <si>
    <t>2002-06-22T20:37:37</t>
  </si>
  <si>
    <t>22/06/2002 15:18</t>
  </si>
  <si>
    <t>2002-02-20</t>
  </si>
  <si>
    <t>2002-02-20T07:00:36</t>
  </si>
  <si>
    <t>2002-02-20T18:06:12</t>
  </si>
  <si>
    <t>20/02/2002 16:15</t>
  </si>
  <si>
    <t>2002-07-02</t>
  </si>
  <si>
    <t>2002-07-02T06:08:25</t>
  </si>
  <si>
    <t>2002-07-02T20:38:09</t>
  </si>
  <si>
    <t>02/07/2002 18:15</t>
  </si>
  <si>
    <t>2002-06-26</t>
  </si>
  <si>
    <t>2002-06-26T06:06:06</t>
  </si>
  <si>
    <t>2002-06-26T20:38:09</t>
  </si>
  <si>
    <t>26/06/2002 13:49</t>
  </si>
  <si>
    <t>2002-05-05</t>
  </si>
  <si>
    <t>2002-05-05T06:24:14</t>
  </si>
  <si>
    <t>2002-05-05T20:08:28</t>
  </si>
  <si>
    <t>05/05/2002 10:59</t>
  </si>
  <si>
    <t>2002-07-03</t>
  </si>
  <si>
    <t>2002-07-03T06:08:53</t>
  </si>
  <si>
    <t>2002-07-03T20:38:04</t>
  </si>
  <si>
    <t>03/07/2002 06:50</t>
  </si>
  <si>
    <t>2002-10-17</t>
  </si>
  <si>
    <t>2002-10-17T07:26:55</t>
  </si>
  <si>
    <t>2002-10-17T18:42:07</t>
  </si>
  <si>
    <t>17/10/2002 15:39</t>
  </si>
  <si>
    <t>28/08/2002 20:55</t>
  </si>
  <si>
    <t>2002-11-14</t>
  </si>
  <si>
    <t>2002-11-14T06:53:12</t>
  </si>
  <si>
    <t>2002-11-14T17:13:58</t>
  </si>
  <si>
    <t>14/11/2002 12:15</t>
  </si>
  <si>
    <t>2002-10-29</t>
  </si>
  <si>
    <t>2002-10-29T06:37:41</t>
  </si>
  <si>
    <t>2002-10-29T17:28:02</t>
  </si>
  <si>
    <t>29/10/2002 18:10</t>
  </si>
  <si>
    <t>2002-09-19</t>
  </si>
  <si>
    <t>2002-09-19T07:04:43</t>
  </si>
  <si>
    <t>2002-09-19T19:21:14</t>
  </si>
  <si>
    <t>19/09/2002 08:40</t>
  </si>
  <si>
    <t>2002-09-24</t>
  </si>
  <si>
    <t>2002-09-24T07:08:29</t>
  </si>
  <si>
    <t>2002-09-24T19:13:57</t>
  </si>
  <si>
    <t>24/09/2002 10:30</t>
  </si>
  <si>
    <t>11/08/2002 11:44</t>
  </si>
  <si>
    <t>10/03/2002 15:00</t>
  </si>
  <si>
    <t>28/07/2002 05:44</t>
  </si>
  <si>
    <t>2003-05-06</t>
  </si>
  <si>
    <t>2003-05-06T06:23:29</t>
  </si>
  <si>
    <t>2003-05-06T20:09:05</t>
  </si>
  <si>
    <t>06/05/2003 13:04</t>
  </si>
  <si>
    <t>2003-05-07</t>
  </si>
  <si>
    <t>2003-05-07T06:22:31</t>
  </si>
  <si>
    <t>2003-05-07T20:09:54</t>
  </si>
  <si>
    <t>07/05/2003 06:00</t>
  </si>
  <si>
    <t>2003-07-26</t>
  </si>
  <si>
    <t>2003-07-26T06:23:05</t>
  </si>
  <si>
    <t>2003-07-26T20:28:17</t>
  </si>
  <si>
    <t>26/07/2003 11:40</t>
  </si>
  <si>
    <t>2003-10-07</t>
  </si>
  <si>
    <t>2003-10-07T07:18:24</t>
  </si>
  <si>
    <t>2003-10-07T18:55:46</t>
  </si>
  <si>
    <t>07/10/2003 15:45</t>
  </si>
  <si>
    <t>2003-08-05</t>
  </si>
  <si>
    <t>2003-08-05T06:30:37</t>
  </si>
  <si>
    <t>2003-08-05T20:19:43</t>
  </si>
  <si>
    <t>05/08/2003 21:50</t>
  </si>
  <si>
    <t>2003-10-23</t>
  </si>
  <si>
    <t>2003-10-23T07:31:58</t>
  </si>
  <si>
    <t>2003-10-23T18:35:03</t>
  </si>
  <si>
    <t>23/10/2003 09:44</t>
  </si>
  <si>
    <t>07/10/2003 13:49</t>
  </si>
  <si>
    <t>2003-09-24</t>
  </si>
  <si>
    <t>2003-09-24T07:08:18</t>
  </si>
  <si>
    <t>2003-09-24T19:14:19</t>
  </si>
  <si>
    <t>24/09/2003 13:06</t>
  </si>
  <si>
    <t>2003-09-05</t>
  </si>
  <si>
    <t>2003-09-05T06:54:10</t>
  </si>
  <si>
    <t>2003-09-05T19:41:45</t>
  </si>
  <si>
    <t>05/09/2003 16:30</t>
  </si>
  <si>
    <t>2003-06-21</t>
  </si>
  <si>
    <t>2003-06-21T06:04:44</t>
  </si>
  <si>
    <t>2003-06-21T20:37:22</t>
  </si>
  <si>
    <t>21/06/2003 15:15</t>
  </si>
  <si>
    <t>2003-09-07</t>
  </si>
  <si>
    <t>2003-09-07T06:55:39</t>
  </si>
  <si>
    <t>2003-09-07T19:38:55</t>
  </si>
  <si>
    <t>07/09/2003 18:59</t>
  </si>
  <si>
    <t>2003-09-16</t>
  </si>
  <si>
    <t>2003-09-16T07:02:19</t>
  </si>
  <si>
    <t>2003-09-16T19:25:58</t>
  </si>
  <si>
    <t>16/09/2003 11:34</t>
  </si>
  <si>
    <t>2003-10-13</t>
  </si>
  <si>
    <t>2003-10-13T07:23:19</t>
  </si>
  <si>
    <t>2003-10-13T18:47:38</t>
  </si>
  <si>
    <t>13/10/2003 21:15</t>
  </si>
  <si>
    <t>2003-10-02</t>
  </si>
  <si>
    <t>2003-10-02T07:14:26</t>
  </si>
  <si>
    <t>2003-10-02T19:02:48</t>
  </si>
  <si>
    <t>02/10/2003 14:35</t>
  </si>
  <si>
    <t>2003-10-20</t>
  </si>
  <si>
    <t>2003-10-20T07:29:19</t>
  </si>
  <si>
    <t>2003-10-20T18:38:40</t>
  </si>
  <si>
    <t>20/10/2003 19:59</t>
  </si>
  <si>
    <t>2003-10-21</t>
  </si>
  <si>
    <t>2003-10-21T07:30:12</t>
  </si>
  <si>
    <t>2003-10-21T18:37:27</t>
  </si>
  <si>
    <t>21/10/2003 14:14</t>
  </si>
  <si>
    <t>07/10/2003 09:20</t>
  </si>
  <si>
    <t>2004-02-21</t>
  </si>
  <si>
    <t>2004-02-21T07:00:00</t>
  </si>
  <si>
    <t>2004-02-21T18:06:42</t>
  </si>
  <si>
    <t>21/02/2004 12:49</t>
  </si>
  <si>
    <t>2004-01-15</t>
  </si>
  <si>
    <t>2004-01-15T07:28:02</t>
  </si>
  <si>
    <t>2004-01-15T17:29:23</t>
  </si>
  <si>
    <t>15/01/2004 16:59</t>
  </si>
  <si>
    <t>2004-04-12</t>
  </si>
  <si>
    <t>2004-04-12T06:50:45</t>
  </si>
  <si>
    <t>2004-04-12T19:50:00</t>
  </si>
  <si>
    <t>12/04/2004 10:30</t>
  </si>
  <si>
    <t>2004-04-19</t>
  </si>
  <si>
    <t>2004-04-19T06:41:43</t>
  </si>
  <si>
    <t>2004-04-19T19:55:43</t>
  </si>
  <si>
    <t>19/04/2004 13:54</t>
  </si>
  <si>
    <t>2004-11-25</t>
  </si>
  <si>
    <t>2004-11-25T07:04:30</t>
  </si>
  <si>
    <t>2004-11-25T17:08:11</t>
  </si>
  <si>
    <t>25/11/2004 14:14</t>
  </si>
  <si>
    <t>2004-09-17</t>
  </si>
  <si>
    <t>2004-09-17T07:03:37</t>
  </si>
  <si>
    <t>2004-09-17T19:23:24</t>
  </si>
  <si>
    <t>17/09/2004 19:00</t>
  </si>
  <si>
    <t>2004-11-19</t>
  </si>
  <si>
    <t>2004-11-19T06:58:40</t>
  </si>
  <si>
    <t>2004-11-19T17:10:41</t>
  </si>
  <si>
    <t>19/11/2004 14:14</t>
  </si>
  <si>
    <t>2004-08-14</t>
  </si>
  <si>
    <t>2004-08-14T06:38:07</t>
  </si>
  <si>
    <t>2004-08-14T20:09:20</t>
  </si>
  <si>
    <t>14/08/2004 21:20</t>
  </si>
  <si>
    <t>2004-02-07</t>
  </si>
  <si>
    <t>2004-02-07T07:14:36</t>
  </si>
  <si>
    <t>2004-02-07T17:52:52</t>
  </si>
  <si>
    <t>07/02/2004 16:05</t>
  </si>
  <si>
    <t>2004-03-19</t>
  </si>
  <si>
    <t>2004-03-19T06:24:12</t>
  </si>
  <si>
    <t>2004-03-19T18:30:28</t>
  </si>
  <si>
    <t>19/03/2004 17:24</t>
  </si>
  <si>
    <t>2004-11-23</t>
  </si>
  <si>
    <t>2004-11-23T07:02:34</t>
  </si>
  <si>
    <t>2004-11-23T17:08:54</t>
  </si>
  <si>
    <t>23/11/2004 11:59</t>
  </si>
  <si>
    <t>2004-07-15</t>
  </si>
  <si>
    <t>2004-07-15T06:15:58</t>
  </si>
  <si>
    <t>2004-07-15T20:34:27</t>
  </si>
  <si>
    <t>15/07/2004 14:50</t>
  </si>
  <si>
    <t>2004-07-24</t>
  </si>
  <si>
    <t>2004-07-24T06:22:11</t>
  </si>
  <si>
    <t>2004-07-24T20:29:11</t>
  </si>
  <si>
    <t>24/07/2004 02:25</t>
  </si>
  <si>
    <t>2004-06-11</t>
  </si>
  <si>
    <t>2004-06-11T06:03:58</t>
  </si>
  <si>
    <t>2004-06-11T20:34:20</t>
  </si>
  <si>
    <t>11/06/2004 16:59</t>
  </si>
  <si>
    <t>2004-06-19</t>
  </si>
  <si>
    <t>2004-06-19T06:04:30</t>
  </si>
  <si>
    <t>2004-06-19T20:37:05</t>
  </si>
  <si>
    <t>19/06/2004 19:19</t>
  </si>
  <si>
    <t>07/02/2004 14:39</t>
  </si>
  <si>
    <t>2004-12-27</t>
  </si>
  <si>
    <t>2004-12-27T07:27:08</t>
  </si>
  <si>
    <t>2004-12-27T17:14:09</t>
  </si>
  <si>
    <t>Rain, Overcast</t>
  </si>
  <si>
    <t>Cloudy skies throughout the day with rain in the morning and afternoon.</t>
  </si>
  <si>
    <t>27/12/2004 14:59</t>
  </si>
  <si>
    <t>2004-03-21</t>
  </si>
  <si>
    <t>2004-03-21T06:21:22</t>
  </si>
  <si>
    <t>2004-03-21T18:32:07</t>
  </si>
  <si>
    <t>21/03/2004 12:19</t>
  </si>
  <si>
    <t>2004-09-18</t>
  </si>
  <si>
    <t>2004-09-18T07:04:22</t>
  </si>
  <si>
    <t>2004-09-18T19:21:57</t>
  </si>
  <si>
    <t>18/09/2004 09:15</t>
  </si>
  <si>
    <t>2004-02-08</t>
  </si>
  <si>
    <t>2004-02-08T07:13:42</t>
  </si>
  <si>
    <t>2004-02-08T17:53:53</t>
  </si>
  <si>
    <t>08/02/2004 13:49</t>
  </si>
  <si>
    <t>2004-02-19</t>
  </si>
  <si>
    <t>2004-02-19T07:02:19</t>
  </si>
  <si>
    <t>2004-02-19T18:04:47</t>
  </si>
  <si>
    <t>19/02/2004 14:59</t>
  </si>
  <si>
    <t>2004-03-23</t>
  </si>
  <si>
    <t>2004-03-23T06:18:31</t>
  </si>
  <si>
    <t>2004-03-23T18:33:46</t>
  </si>
  <si>
    <t>23/03/2004 12:09</t>
  </si>
  <si>
    <t>2004-05-07</t>
  </si>
  <si>
    <t>2004-05-07T06:21:47</t>
  </si>
  <si>
    <t>2004-05-07T20:10:32</t>
  </si>
  <si>
    <t>07/05/2004 15:04</t>
  </si>
  <si>
    <t>2004-06-24</t>
  </si>
  <si>
    <t>2004-06-24T06:05:39</t>
  </si>
  <si>
    <t>2004-06-24T20:38:01</t>
  </si>
  <si>
    <t>24/06/2004 10:14</t>
  </si>
  <si>
    <t>2004-09-04</t>
  </si>
  <si>
    <t>2004-09-04T06:53:59</t>
  </si>
  <si>
    <t>2004-09-04T19:42:05</t>
  </si>
  <si>
    <t>04/09/2004 11:54</t>
  </si>
  <si>
    <t>2004-10-17</t>
  </si>
  <si>
    <t>2004-10-17T07:27:22</t>
  </si>
  <si>
    <t>2004-10-17T18:41:28</t>
  </si>
  <si>
    <t>17/10/2004 16:09</t>
  </si>
  <si>
    <t>24/06/2004 10:24</t>
  </si>
  <si>
    <t>2004-06-02</t>
  </si>
  <si>
    <t>2004-06-02T06:05:25</t>
  </si>
  <si>
    <t>2004-06-02T20:29:39</t>
  </si>
  <si>
    <t>02/06/2004 13:00</t>
  </si>
  <si>
    <t>2004-04-15</t>
  </si>
  <si>
    <t>2004-04-15T06:46:49</t>
  </si>
  <si>
    <t>2004-04-15T19:52:27</t>
  </si>
  <si>
    <t>15/04/2004 13:44</t>
  </si>
  <si>
    <t>2004-08-13</t>
  </si>
  <si>
    <t>2004-08-13T06:37:21</t>
  </si>
  <si>
    <t>2004-08-13T20:10:28</t>
  </si>
  <si>
    <t>13/08/2004 02:26</t>
  </si>
  <si>
    <t>19/11/2004 13:19</t>
  </si>
  <si>
    <t>07/02/2004 18:04</t>
  </si>
  <si>
    <t>2004-03-17</t>
  </si>
  <si>
    <t>2004-03-17T06:27:01</t>
  </si>
  <si>
    <t>2004-03-17T18:28:49</t>
  </si>
  <si>
    <t>17/03/2004 15:44</t>
  </si>
  <si>
    <t>2004-07-05</t>
  </si>
  <si>
    <t>2004-07-05T06:10:07</t>
  </si>
  <si>
    <t>2004-07-05T20:37:42</t>
  </si>
  <si>
    <t>05/07/2004 16:32</t>
  </si>
  <si>
    <t>2004-04-08</t>
  </si>
  <si>
    <t>2004-04-08T06:56:07</t>
  </si>
  <si>
    <t>2004-04-08T19:46:45</t>
  </si>
  <si>
    <t>08/04/2004 12:54</t>
  </si>
  <si>
    <t>2004-10-05</t>
  </si>
  <si>
    <t>2004-10-05T07:17:25</t>
  </si>
  <si>
    <t>2004-10-05T18:57:30</t>
  </si>
  <si>
    <t>05/10/2004 10:09</t>
  </si>
  <si>
    <t>2004-07-09</t>
  </si>
  <si>
    <t>2004-07-09T06:12:17</t>
  </si>
  <si>
    <t>2004-07-09T20:36:45</t>
  </si>
  <si>
    <t>09/07/2004 11:44</t>
  </si>
  <si>
    <t>2004-06-29</t>
  </si>
  <si>
    <t>2004-06-29T06:07:23</t>
  </si>
  <si>
    <t>2004-06-29T20:38:17</t>
  </si>
  <si>
    <t>29/06/2004 17:00</t>
  </si>
  <si>
    <t>2004-07-23</t>
  </si>
  <si>
    <t>2004-07-23T06:21:28</t>
  </si>
  <si>
    <t>2004-07-23T20:29:52</t>
  </si>
  <si>
    <t>23/07/2004 14:59</t>
  </si>
  <si>
    <t>2004-01-11</t>
  </si>
  <si>
    <t>2004-01-11T07:28:45</t>
  </si>
  <si>
    <t>2004-01-11T17:25:36</t>
  </si>
  <si>
    <t>Cloudy skies throughout the day with rain.</t>
  </si>
  <si>
    <t>11/01/2004 19:03</t>
  </si>
  <si>
    <t>2004-03-15</t>
  </si>
  <si>
    <t>2004-03-15T06:29:50</t>
  </si>
  <si>
    <t>2004-03-15T18:27:09</t>
  </si>
  <si>
    <t>15/03/2004 21:14</t>
  </si>
  <si>
    <t>17/03/2004 15:14</t>
  </si>
  <si>
    <t>2004-02-23</t>
  </si>
  <si>
    <t>2004-02-23T06:57:38</t>
  </si>
  <si>
    <t>2004-02-23T18:08:35</t>
  </si>
  <si>
    <t>23/02/2004 11:10</t>
  </si>
  <si>
    <t>2004-10-12</t>
  </si>
  <si>
    <t>2004-10-12T07:23:07</t>
  </si>
  <si>
    <t>2004-10-12T18:47:57</t>
  </si>
  <si>
    <t>12/10/2004 13:24</t>
  </si>
  <si>
    <t>2004-07-19</t>
  </si>
  <si>
    <t>2004-07-19T06:18:39</t>
  </si>
  <si>
    <t>2004-07-19T20:32:23</t>
  </si>
  <si>
    <t>19/07/2004 11:29</t>
  </si>
  <si>
    <t>2004-10-01</t>
  </si>
  <si>
    <t>2004-10-01T07:14:15</t>
  </si>
  <si>
    <t>2004-10-01T19:03:08</t>
  </si>
  <si>
    <t>01/10/2004 01:29</t>
  </si>
  <si>
    <t>2004-04-04</t>
  </si>
  <si>
    <t>2004-04-04T07:01:37</t>
  </si>
  <si>
    <t>2004-04-04T19:43:30</t>
  </si>
  <si>
    <t>04/04/2004 12:29</t>
  </si>
  <si>
    <t>2004-10-31</t>
  </si>
  <si>
    <t>2004-10-31T06:40:03</t>
  </si>
  <si>
    <t>2004-10-31T17:25:25</t>
  </si>
  <si>
    <t>31/10/2004 12:45</t>
  </si>
  <si>
    <t>2004-11-14</t>
  </si>
  <si>
    <t>2004-11-14T06:53:43</t>
  </si>
  <si>
    <t>2004-11-14T17:13:37</t>
  </si>
  <si>
    <t>14/11/2004 10:45</t>
  </si>
  <si>
    <t>17/10/2004 21:44</t>
  </si>
  <si>
    <t>2004-08-24</t>
  </si>
  <si>
    <t>2004-08-24T06:45:45</t>
  </si>
  <si>
    <t>2004-08-24T19:57:01</t>
  </si>
  <si>
    <t>24/08/2004 16:49</t>
  </si>
  <si>
    <t>2004-07-13</t>
  </si>
  <si>
    <t>2004-07-13T06:14:41</t>
  </si>
  <si>
    <t>2004-07-13T20:35:20</t>
  </si>
  <si>
    <t>13/07/2004 11:29</t>
  </si>
  <si>
    <t>2004-10-20</t>
  </si>
  <si>
    <t>2004-10-20T07:29:59</t>
  </si>
  <si>
    <t>2004-10-20T18:37:45</t>
  </si>
  <si>
    <t>20/10/2004 23:19</t>
  </si>
  <si>
    <t>2004-08-26</t>
  </si>
  <si>
    <t>2004-08-26T06:47:15</t>
  </si>
  <si>
    <t>2004-08-26T19:54:23</t>
  </si>
  <si>
    <t>26/08/2004 12:59</t>
  </si>
  <si>
    <t>26/08/2004 22:00</t>
  </si>
  <si>
    <t>2004-08-03</t>
  </si>
  <si>
    <t>2004-08-03T06:29:40</t>
  </si>
  <si>
    <t>2004-08-03T20:20:55</t>
  </si>
  <si>
    <t>03/08/2004 11:54</t>
  </si>
  <si>
    <t>2004-10-11</t>
  </si>
  <si>
    <t>2004-10-11T07:22:17</t>
  </si>
  <si>
    <t>2004-10-11T18:49:17</t>
  </si>
  <si>
    <t>11/10/2004 14:40</t>
  </si>
  <si>
    <t>17/09/2004 12:30</t>
  </si>
  <si>
    <t>2004-10-18</t>
  </si>
  <si>
    <t>2004-10-18T07:28:14</t>
  </si>
  <si>
    <t>2004-10-18T18:40:13</t>
  </si>
  <si>
    <t>18/10/2004 14:59</t>
  </si>
  <si>
    <t>12/10/2004 14:59</t>
  </si>
  <si>
    <t>03/08/2004 19:30</t>
  </si>
  <si>
    <t>2004-10-19</t>
  </si>
  <si>
    <t>2004-10-19T07:29:06</t>
  </si>
  <si>
    <t>2004-10-19T18:38:58</t>
  </si>
  <si>
    <t>19/10/2004 17:30</t>
  </si>
  <si>
    <t>2004-06-16</t>
  </si>
  <si>
    <t>2004-06-16T06:04:06</t>
  </si>
  <si>
    <t>2004-06-16T20:36:13</t>
  </si>
  <si>
    <t>16/06/2004 14:14</t>
  </si>
  <si>
    <t>2004-09-07</t>
  </si>
  <si>
    <t>2004-09-07T06:56:13</t>
  </si>
  <si>
    <t>2004-09-07T19:37:51</t>
  </si>
  <si>
    <t>07/09/2004 18:39</t>
  </si>
  <si>
    <t>2004-09-27</t>
  </si>
  <si>
    <t>2004-09-27T07:11:10</t>
  </si>
  <si>
    <t>2004-09-27T19:08:52</t>
  </si>
  <si>
    <t>27/09/2004 11:29</t>
  </si>
  <si>
    <t>2004-06-04</t>
  </si>
  <si>
    <t>2004-06-04T06:04:54</t>
  </si>
  <si>
    <t>2004-06-04T20:30:49</t>
  </si>
  <si>
    <t>04/06/2004 13:00</t>
  </si>
  <si>
    <t>21/03/2004 13:44</t>
  </si>
  <si>
    <t>2004-10-23</t>
  </si>
  <si>
    <t>2004-10-23T07:32:39</t>
  </si>
  <si>
    <t>2004-10-23T18:34:10</t>
  </si>
  <si>
    <t>23/10/2004 11:44</t>
  </si>
  <si>
    <t>23/07/2004 14:09</t>
  </si>
  <si>
    <t>2004-09-28</t>
  </si>
  <si>
    <t>2004-09-28T07:11:56</t>
  </si>
  <si>
    <t>2004-09-28T19:07:26</t>
  </si>
  <si>
    <t>28/09/2004 17:30</t>
  </si>
  <si>
    <t>2004-10-16</t>
  </si>
  <si>
    <t>2004-10-16T07:26:30</t>
  </si>
  <si>
    <t>2004-10-16T18:42:44</t>
  </si>
  <si>
    <t>16/10/2004 13:14</t>
  </si>
  <si>
    <t>2004-10-13</t>
  </si>
  <si>
    <t>2004-10-13T07:23:57</t>
  </si>
  <si>
    <t>2004-10-13T18:46:38</t>
  </si>
  <si>
    <t>13/10/2004 18:29</t>
  </si>
  <si>
    <t>2004-02-27</t>
  </si>
  <si>
    <t>2004-02-27T06:52:42</t>
  </si>
  <si>
    <t>2004-02-27T18:12:17</t>
  </si>
  <si>
    <t>Cloudy skies throughout the day with early morning rain.</t>
  </si>
  <si>
    <t>27/02/2004 17:29</t>
  </si>
  <si>
    <t>2004-09-30</t>
  </si>
  <si>
    <t>2004-09-30T07:13:29</t>
  </si>
  <si>
    <t>2004-09-30T19:04:34</t>
  </si>
  <si>
    <t>30/09/2004 10:10</t>
  </si>
  <si>
    <t>27/09/2004 12:30</t>
  </si>
  <si>
    <t>2004-09-03</t>
  </si>
  <si>
    <t>2004-09-03T06:53:14</t>
  </si>
  <si>
    <t>2004-09-03T19:43:29</t>
  </si>
  <si>
    <t>03/09/2004 13:50</t>
  </si>
  <si>
    <t>16/10/2004 01:15</t>
  </si>
  <si>
    <t>25/11/2004 17:30</t>
  </si>
  <si>
    <t>26/08/2004 13:14</t>
  </si>
  <si>
    <t>16/10/2004 13:44</t>
  </si>
  <si>
    <t>17/09/2004 16:44</t>
  </si>
  <si>
    <t>2004-09-12</t>
  </si>
  <si>
    <t>2004-09-12T06:59:55</t>
  </si>
  <si>
    <t>2004-09-12T19:30:40</t>
  </si>
  <si>
    <t>12/09/2004 17:42</t>
  </si>
  <si>
    <t>05/10/2004 21:29</t>
  </si>
  <si>
    <t>18/10/2004 13:44</t>
  </si>
  <si>
    <t>2004-02-26</t>
  </si>
  <si>
    <t>2004-02-26T06:53:57</t>
  </si>
  <si>
    <t>2004-02-26T18:11:22</t>
  </si>
  <si>
    <t>26/02/2004 11:29</t>
  </si>
  <si>
    <t>14/11/2004 08:32</t>
  </si>
  <si>
    <t>2004-07-08</t>
  </si>
  <si>
    <t>2004-07-08T06:11:43</t>
  </si>
  <si>
    <t>2004-07-08T20:37:02</t>
  </si>
  <si>
    <t>08/07/2004 15:00</t>
  </si>
  <si>
    <t>08/07/2004 20:20</t>
  </si>
  <si>
    <t>2004-09-08</t>
  </si>
  <si>
    <t>2004-09-08T06:56:57</t>
  </si>
  <si>
    <t>2004-09-08T19:36:25</t>
  </si>
  <si>
    <t>08/09/2004 02:00</t>
  </si>
  <si>
    <t>2004-04-01</t>
  </si>
  <si>
    <t>2004-04-01T07:05:48</t>
  </si>
  <si>
    <t>2004-04-01T19:41:05</t>
  </si>
  <si>
    <t>01/04/2004 15:59</t>
  </si>
  <si>
    <t>2004-02-05</t>
  </si>
  <si>
    <t>2004-02-05T07:16:21</t>
  </si>
  <si>
    <t>2004-02-05T17:50:49</t>
  </si>
  <si>
    <t>05/02/2004 20:09</t>
  </si>
  <si>
    <t>2004-09-22</t>
  </si>
  <si>
    <t>2004-09-22T07:07:22</t>
  </si>
  <si>
    <t>2004-09-22T19:16:07</t>
  </si>
  <si>
    <t>22/09/2004 07:54</t>
  </si>
  <si>
    <t>2004-07-02</t>
  </si>
  <si>
    <t>2004-07-02T06:08:40</t>
  </si>
  <si>
    <t>2004-07-02T20:38:07</t>
  </si>
  <si>
    <t>02/07/2004 00:39</t>
  </si>
  <si>
    <t>2004-02-29</t>
  </si>
  <si>
    <t>2004-02-29T06:50:09</t>
  </si>
  <si>
    <t>2004-02-29T18:14:07</t>
  </si>
  <si>
    <t>29/02/2004 13:29</t>
  </si>
  <si>
    <t>16/10/2004 12:59</t>
  </si>
  <si>
    <t>27/02/2004 14:59</t>
  </si>
  <si>
    <t>2004-08-19</t>
  </si>
  <si>
    <t>2004-08-19T06:41:57</t>
  </si>
  <si>
    <t>2004-08-19T20:03:21</t>
  </si>
  <si>
    <t>19/08/2004 01:27</t>
  </si>
  <si>
    <t>15/03/2004 16:49</t>
  </si>
  <si>
    <t>16/10/2004 13:19</t>
  </si>
  <si>
    <t>2004-11-05</t>
  </si>
  <si>
    <t>2004-11-05T06:44:51</t>
  </si>
  <si>
    <t>2004-11-05T17:20:38</t>
  </si>
  <si>
    <t>05/11/2004 16:30</t>
  </si>
  <si>
    <t>2004-03-28</t>
  </si>
  <si>
    <t>2004-03-28T07:11:26</t>
  </si>
  <si>
    <t>2004-03-28T19:37:50</t>
  </si>
  <si>
    <t>28/03/2004 09:40</t>
  </si>
  <si>
    <t>15/04/2004 13:14</t>
  </si>
  <si>
    <t>17/03/2004 10:29</t>
  </si>
  <si>
    <t>2005-08-26</t>
  </si>
  <si>
    <t>2005-08-26T06:47:05</t>
  </si>
  <si>
    <t>2005-08-26T19:54:43</t>
  </si>
  <si>
    <t>26/08/2005 17:55</t>
  </si>
  <si>
    <t>2005-07-29</t>
  </si>
  <si>
    <t>2005-07-29T06:25:42</t>
  </si>
  <si>
    <t>2005-07-29T20:25:33</t>
  </si>
  <si>
    <t>29/07/2005 18:30</t>
  </si>
  <si>
    <t>2005-04-08</t>
  </si>
  <si>
    <t>2005-04-08T06:56:27</t>
  </si>
  <si>
    <t>2005-04-08T19:46:33</t>
  </si>
  <si>
    <t>08/04/2005 14:44</t>
  </si>
  <si>
    <t>2005-06-29</t>
  </si>
  <si>
    <t>2005-06-29T06:07:17</t>
  </si>
  <si>
    <t>2005-06-29T20:38:18</t>
  </si>
  <si>
    <t>29/06/2005 18:14</t>
  </si>
  <si>
    <t>26/08/2005 00:09</t>
  </si>
  <si>
    <t>2005-04-04</t>
  </si>
  <si>
    <t>2005-04-04T07:01:57</t>
  </si>
  <si>
    <t>2005-04-04T19:43:19</t>
  </si>
  <si>
    <t>04/04/2005 18:04</t>
  </si>
  <si>
    <t>2005-04-22</t>
  </si>
  <si>
    <t>2005-04-22T06:38:20</t>
  </si>
  <si>
    <t>2005-04-22T19:57:59</t>
  </si>
  <si>
    <t>22/04/2005 15:34</t>
  </si>
  <si>
    <t>2005-11-14</t>
  </si>
  <si>
    <t>2005-11-14T06:53:29</t>
  </si>
  <si>
    <t>2005-11-14T17:13:47</t>
  </si>
  <si>
    <t>14/11/2005 12:34</t>
  </si>
  <si>
    <t>2005-03-19</t>
  </si>
  <si>
    <t>2005-03-19T06:24:32</t>
  </si>
  <si>
    <t>2005-03-19T18:30:16</t>
  </si>
  <si>
    <t>19/03/2005 14:10</t>
  </si>
  <si>
    <t>2005-03-28</t>
  </si>
  <si>
    <t>2005-03-28T07:11:46</t>
  </si>
  <si>
    <t>2005-03-28T19:37:39</t>
  </si>
  <si>
    <t>28/03/2005 16:30</t>
  </si>
  <si>
    <t>2005-03-26</t>
  </si>
  <si>
    <t>2005-03-26T06:14:37</t>
  </si>
  <si>
    <t>2005-03-26T18:36:01</t>
  </si>
  <si>
    <t>26/03/2005 16:50</t>
  </si>
  <si>
    <t>2005-11-09</t>
  </si>
  <si>
    <t>2005-11-09T06:48:32</t>
  </si>
  <si>
    <t>2005-11-09T17:17:27</t>
  </si>
  <si>
    <t>09/11/2005 15:09</t>
  </si>
  <si>
    <t>2005-04-18</t>
  </si>
  <si>
    <t>2005-04-18T06:43:17</t>
  </si>
  <si>
    <t>2005-04-18T19:54:42</t>
  </si>
  <si>
    <t>18/04/2005 10:15</t>
  </si>
  <si>
    <t>2005-01-10</t>
  </si>
  <si>
    <t>2005-01-10T07:28:47</t>
  </si>
  <si>
    <t>2005-01-10T17:25:22</t>
  </si>
  <si>
    <t>10/01/2005 12:05</t>
  </si>
  <si>
    <t>26/03/2005 11:29</t>
  </si>
  <si>
    <t>2005-03-29</t>
  </si>
  <si>
    <t>2005-03-29T07:10:22</t>
  </si>
  <si>
    <t>2005-03-29T19:38:27</t>
  </si>
  <si>
    <t>29/03/2005 13:59</t>
  </si>
  <si>
    <t>2005-05-27</t>
  </si>
  <si>
    <t>2005-05-27T06:07:45</t>
  </si>
  <si>
    <t>2005-05-27T20:25:39</t>
  </si>
  <si>
    <t>27/05/2005 17:49</t>
  </si>
  <si>
    <t>2005-08-31</t>
  </si>
  <si>
    <t>2005-08-31T06:50:50</t>
  </si>
  <si>
    <t>2005-08-31T19:47:59</t>
  </si>
  <si>
    <t>31/08/2005 15:35</t>
  </si>
  <si>
    <t>2005-02-11</t>
  </si>
  <si>
    <t>2005-02-11T07:10:05</t>
  </si>
  <si>
    <t>2005-02-11T17:57:40</t>
  </si>
  <si>
    <t>Cloudy skies throughout the day with afternoon rain.</t>
  </si>
  <si>
    <t>11/02/2005 11:40</t>
  </si>
  <si>
    <t>2005-09-24</t>
  </si>
  <si>
    <t>2005-09-24T07:08:42</t>
  </si>
  <si>
    <t>2005-09-24T19:13:34</t>
  </si>
  <si>
    <t>24/09/2005 10:25</t>
  </si>
  <si>
    <t>2005-10-24</t>
  </si>
  <si>
    <t>2005-10-24T07:33:21</t>
  </si>
  <si>
    <t>2005-10-24T18:33:17</t>
  </si>
  <si>
    <t>24/10/2005 16:30</t>
  </si>
  <si>
    <t>2005-09-15</t>
  </si>
  <si>
    <t>2005-09-15T07:01:58</t>
  </si>
  <si>
    <t>2005-09-15T19:26:40</t>
  </si>
  <si>
    <t>15/09/2005 17:25</t>
  </si>
  <si>
    <t>2005-05-19</t>
  </si>
  <si>
    <t>2005-05-19T06:12:16</t>
  </si>
  <si>
    <t>2005-05-19T20:19:51</t>
  </si>
  <si>
    <t>19/05/2005 14:44</t>
  </si>
  <si>
    <t>2005-01-08</t>
  </si>
  <si>
    <t>2005-01-08T07:28:55</t>
  </si>
  <si>
    <t>2005-01-08T17:23:34</t>
  </si>
  <si>
    <t>08/01/2005 13:29</t>
  </si>
  <si>
    <t>2005-04-03</t>
  </si>
  <si>
    <t>2005-04-03T07:03:21</t>
  </si>
  <si>
    <t>2005-04-03T19:42:30</t>
  </si>
  <si>
    <t>03/04/2005 14:58</t>
  </si>
  <si>
    <t>2005-04-09</t>
  </si>
  <si>
    <t>2005-04-09T06:55:06</t>
  </si>
  <si>
    <t>2005-04-09T19:47:22</t>
  </si>
  <si>
    <t>09/04/2005 13:49</t>
  </si>
  <si>
    <t>09/04/2005 14:34</t>
  </si>
  <si>
    <t>2005-11-12</t>
  </si>
  <si>
    <t>2005-11-12T06:51:30</t>
  </si>
  <si>
    <t>2005-11-12T17:15:10</t>
  </si>
  <si>
    <t>12/11/2005 13:14</t>
  </si>
  <si>
    <t>09/11/2005 10:29</t>
  </si>
  <si>
    <t>2005-08-20</t>
  </si>
  <si>
    <t>2005-08-20T06:42:32</t>
  </si>
  <si>
    <t>2005-08-20T20:02:25</t>
  </si>
  <si>
    <t>20/08/2005 18:44</t>
  </si>
  <si>
    <t>2005-02-12</t>
  </si>
  <si>
    <t>2005-02-12T07:09:05</t>
  </si>
  <si>
    <t>2005-02-12T17:58:40</t>
  </si>
  <si>
    <t>12/02/2005 14:04</t>
  </si>
  <si>
    <t>2005-03-30</t>
  </si>
  <si>
    <t>2005-03-30T07:08:57</t>
  </si>
  <si>
    <t>2005-03-30T19:39:16</t>
  </si>
  <si>
    <t>30/03/2005 18:45</t>
  </si>
  <si>
    <t>2005-04-07</t>
  </si>
  <si>
    <t>2005-04-07T06:57:49</t>
  </si>
  <si>
    <t>2005-04-07T19:45:45</t>
  </si>
  <si>
    <t>07/04/2005 16:00</t>
  </si>
  <si>
    <t>2005-09-01</t>
  </si>
  <si>
    <t>2005-09-01T06:51:35</t>
  </si>
  <si>
    <t>2005-09-01T19:46:36</t>
  </si>
  <si>
    <t>01/09/2005 16:49</t>
  </si>
  <si>
    <t>2005-08-05</t>
  </si>
  <si>
    <t>2005-08-05T06:31:01</t>
  </si>
  <si>
    <t>2005-08-05T20:19:13</t>
  </si>
  <si>
    <t>05/08/2005 00:45</t>
  </si>
  <si>
    <t>08/04/2005 12:09</t>
  </si>
  <si>
    <t>2005-03-21</t>
  </si>
  <si>
    <t>2005-03-21T06:21:42</t>
  </si>
  <si>
    <t>2005-03-21T18:31:55</t>
  </si>
  <si>
    <t>21/03/2005 17:00</t>
  </si>
  <si>
    <t>2005-11-28</t>
  </si>
  <si>
    <t>2005-11-28T07:07:06</t>
  </si>
  <si>
    <t>2005-11-28T17:07:25</t>
  </si>
  <si>
    <t>28/11/2005 15:00</t>
  </si>
  <si>
    <t>2005-04-20</t>
  </si>
  <si>
    <t>2005-04-20T06:40:47</t>
  </si>
  <si>
    <t>2005-04-20T19:56:21</t>
  </si>
  <si>
    <t>20/04/2005 11:39</t>
  </si>
  <si>
    <t>2005-08-19</t>
  </si>
  <si>
    <t>2005-08-19T06:41:46</t>
  </si>
  <si>
    <t>2005-08-19T20:03:39</t>
  </si>
  <si>
    <t>19/08/2005 05:25</t>
  </si>
  <si>
    <t>2005-01-07</t>
  </si>
  <si>
    <t>2005-01-07T07:28:57</t>
  </si>
  <si>
    <t>2005-01-07T17:22:40</t>
  </si>
  <si>
    <t>07/01/2005 15:44</t>
  </si>
  <si>
    <t>20/08/2005 16:27</t>
  </si>
  <si>
    <t>2005-11-03</t>
  </si>
  <si>
    <t>2005-11-03T06:42:42</t>
  </si>
  <si>
    <t>2005-11-03T17:22:43</t>
  </si>
  <si>
    <t>03/11/2005 13:43</t>
  </si>
  <si>
    <t>2005-12-19</t>
  </si>
  <si>
    <t>2005-12-19T07:23:25</t>
  </si>
  <si>
    <t>2005-12-19T17:09:38</t>
  </si>
  <si>
    <t>Partly cloudy throughout the day with a chance of rain throughout the day.</t>
  </si>
  <si>
    <t>19/12/2005 14:04</t>
  </si>
  <si>
    <t>2005-11-08</t>
  </si>
  <si>
    <t>2005-11-08T06:47:33</t>
  </si>
  <si>
    <t>2005-11-08T17:18:16</t>
  </si>
  <si>
    <t>08/11/2005 14:05</t>
  </si>
  <si>
    <t>2005-10-07</t>
  </si>
  <si>
    <t>2005-10-07T07:18:50</t>
  </si>
  <si>
    <t>2005-10-07T18:55:04</t>
  </si>
  <si>
    <t>07/10/2005 14:20</t>
  </si>
  <si>
    <t>26/08/2005 18:50</t>
  </si>
  <si>
    <t>14/11/2005 18:24</t>
  </si>
  <si>
    <t>2005-05-10</t>
  </si>
  <si>
    <t>2005-05-10T06:19:16</t>
  </si>
  <si>
    <t>2005-05-10T20:12:46</t>
  </si>
  <si>
    <t>10/05/2005 10:24</t>
  </si>
  <si>
    <t>09/04/2005 14:49</t>
  </si>
  <si>
    <t>2005-04-01</t>
  </si>
  <si>
    <t>2005-04-01T07:06:08</t>
  </si>
  <si>
    <t>2005-04-01T19:40:53</t>
  </si>
  <si>
    <t>Cloudy skies throughout the day with morning rain.</t>
  </si>
  <si>
    <t>01/04/2005 17:39</t>
  </si>
  <si>
    <t>2005-04-05</t>
  </si>
  <si>
    <t>2005-04-05T07:00:34</t>
  </si>
  <si>
    <t>2005-04-05T19:44:07</t>
  </si>
  <si>
    <t>05/04/2005 13:14</t>
  </si>
  <si>
    <t>2005-06-05</t>
  </si>
  <si>
    <t>2005-06-05T06:04:44</t>
  </si>
  <si>
    <t>2005-06-05T20:31:15</t>
  </si>
  <si>
    <t>05/06/2005 14:19</t>
  </si>
  <si>
    <t>2005-06-11</t>
  </si>
  <si>
    <t>2005-06-11T06:03:59</t>
  </si>
  <si>
    <t>2005-06-11T20:34:14</t>
  </si>
  <si>
    <t>11/06/2005 10:19</t>
  </si>
  <si>
    <t>2005-08-22</t>
  </si>
  <si>
    <t>2005-08-22T06:44:03</t>
  </si>
  <si>
    <t>2005-08-22T19:59:54</t>
  </si>
  <si>
    <t>22/08/2005 19:14</t>
  </si>
  <si>
    <t>14/11/2005 15:00</t>
  </si>
  <si>
    <t>2005-07-26</t>
  </si>
  <si>
    <t>2005-07-26T06:23:29</t>
  </si>
  <si>
    <t>2005-07-26T20:27:54</t>
  </si>
  <si>
    <t>26/07/2005 21:19</t>
  </si>
  <si>
    <t>2005-08-08</t>
  </si>
  <si>
    <t>2005-08-08T06:33:19</t>
  </si>
  <si>
    <t>2005-08-08T20:16:12</t>
  </si>
  <si>
    <t>08/08/2005 11:29</t>
  </si>
  <si>
    <t>05/08/2005 22:00</t>
  </si>
  <si>
    <t>2005-07-03</t>
  </si>
  <si>
    <t>2005-07-03T06:09:01</t>
  </si>
  <si>
    <t>2005-07-03T20:38:03</t>
  </si>
  <si>
    <t>03/07/2005 20:40</t>
  </si>
  <si>
    <t>2005-07-13</t>
  </si>
  <si>
    <t>2005-07-13T06:14:33</t>
  </si>
  <si>
    <t>2005-07-13T20:35:26</t>
  </si>
  <si>
    <t>13/07/2005 20:04</t>
  </si>
  <si>
    <t>2005-10-08</t>
  </si>
  <si>
    <t>2005-10-08T07:19:38</t>
  </si>
  <si>
    <t>2005-10-08T18:53:41</t>
  </si>
  <si>
    <t>08/10/2005 14:40</t>
  </si>
  <si>
    <t>2005-09-02</t>
  </si>
  <si>
    <t>2005-09-02T06:52:19</t>
  </si>
  <si>
    <t>2005-09-02T19:45:13</t>
  </si>
  <si>
    <t>02/09/2005 02:30</t>
  </si>
  <si>
    <t>2005-08-02</t>
  </si>
  <si>
    <t>2005-08-02T06:28:44</t>
  </si>
  <si>
    <t>2005-08-02T20:22:04</t>
  </si>
  <si>
    <t>02/08/2005 17:20</t>
  </si>
  <si>
    <t>31/08/2005 02:49</t>
  </si>
  <si>
    <t>2005-06-28</t>
  </si>
  <si>
    <t>2005-06-28T06:06:54</t>
  </si>
  <si>
    <t>2005-06-28T20:38:18</t>
  </si>
  <si>
    <t>28/06/2005 18:07</t>
  </si>
  <si>
    <t>2005-09-10</t>
  </si>
  <si>
    <t>2005-09-10T06:58:16</t>
  </si>
  <si>
    <t>2005-09-10T19:33:54</t>
  </si>
  <si>
    <t>10/09/2005 17:19</t>
  </si>
  <si>
    <t>2005-04-16</t>
  </si>
  <si>
    <t>2005-04-16T06:45:50</t>
  </si>
  <si>
    <t>2005-04-16T19:53:04</t>
  </si>
  <si>
    <t>16/04/2005 19:34</t>
  </si>
  <si>
    <t>16/04/2005 22:45</t>
  </si>
  <si>
    <t>15/09/2005 16:30</t>
  </si>
  <si>
    <t>2005-10-30</t>
  </si>
  <si>
    <t>2005-10-30T06:38:53</t>
  </si>
  <si>
    <t>2005-10-30T17:26:42</t>
  </si>
  <si>
    <t>30/10/2005 10:45</t>
  </si>
  <si>
    <t>2005-09-04</t>
  </si>
  <si>
    <t>2005-09-04T06:53:49</t>
  </si>
  <si>
    <t>2005-09-04T19:42:26</t>
  </si>
  <si>
    <t>04/09/2005 10:05</t>
  </si>
  <si>
    <t>2005-03-05</t>
  </si>
  <si>
    <t>2005-03-05T06:43:55</t>
  </si>
  <si>
    <t>2005-03-05T18:18:22</t>
  </si>
  <si>
    <t>05/03/2005 18:49</t>
  </si>
  <si>
    <t>2005-02-14</t>
  </si>
  <si>
    <t>2005-02-14T07:07:00</t>
  </si>
  <si>
    <t>2005-02-14T18:00:39</t>
  </si>
  <si>
    <t>14/02/2005 17:35</t>
  </si>
  <si>
    <t>2005-10-20</t>
  </si>
  <si>
    <t>2005-10-20T07:29:46</t>
  </si>
  <si>
    <t>2005-10-20T18:38:02</t>
  </si>
  <si>
    <t>20/10/2005 12:49</t>
  </si>
  <si>
    <t>2005-03-01</t>
  </si>
  <si>
    <t>2005-03-01T06:49:10</t>
  </si>
  <si>
    <t>2005-03-01T18:14:48</t>
  </si>
  <si>
    <t>01/03/2005 14:09</t>
  </si>
  <si>
    <t>2005-05-25</t>
  </si>
  <si>
    <t>2005-05-25T06:08:43</t>
  </si>
  <si>
    <t>2005-05-25T20:24:16</t>
  </si>
  <si>
    <t>25/05/2005 12:24</t>
  </si>
  <si>
    <t>2005-10-26</t>
  </si>
  <si>
    <t>2005-10-26T07:35:10</t>
  </si>
  <si>
    <t>2005-10-26T18:31:01</t>
  </si>
  <si>
    <t>26/10/2005 09:30</t>
  </si>
  <si>
    <t>2005-11-10</t>
  </si>
  <si>
    <t>2005-11-10T06:49:31</t>
  </si>
  <si>
    <t>2005-11-10T17:16:40</t>
  </si>
  <si>
    <t>10/11/2005 11:59</t>
  </si>
  <si>
    <t>04/09/2005 11:39</t>
  </si>
  <si>
    <t>2005-07-02</t>
  </si>
  <si>
    <t>2005-07-02T06:08:34</t>
  </si>
  <si>
    <t>2005-07-02T20:38:09</t>
  </si>
  <si>
    <t>02/07/2005 15:40</t>
  </si>
  <si>
    <t>07/10/2005 16:49</t>
  </si>
  <si>
    <t>02/08/2005 09:04</t>
  </si>
  <si>
    <t>2005-03-18</t>
  </si>
  <si>
    <t>2005-03-18T06:25:57</t>
  </si>
  <si>
    <t>2005-03-18T18:29:27</t>
  </si>
  <si>
    <t>18/03/2005 12:46</t>
  </si>
  <si>
    <t>2005-03-17</t>
  </si>
  <si>
    <t>2005-03-17T06:27:22</t>
  </si>
  <si>
    <t>2005-03-17T18:28:37</t>
  </si>
  <si>
    <t>17/03/2005 13:29</t>
  </si>
  <si>
    <t>04/09/2005 20:56</t>
  </si>
  <si>
    <t>2005-07-24</t>
  </si>
  <si>
    <t>2005-07-24T06:22:01</t>
  </si>
  <si>
    <t>2005-07-24T20:29:21</t>
  </si>
  <si>
    <t>24/07/2005 11:00</t>
  </si>
  <si>
    <t>2005-07-30</t>
  </si>
  <si>
    <t>2005-07-30T06:26:27</t>
  </si>
  <si>
    <t>2005-07-30T20:24:43</t>
  </si>
  <si>
    <t>30/07/2005 04:23</t>
  </si>
  <si>
    <t>24/07/2005 10:49</t>
  </si>
  <si>
    <t>2005-06-14</t>
  </si>
  <si>
    <t>2005-06-14T06:03:58</t>
  </si>
  <si>
    <t>2005-06-14T20:35:27</t>
  </si>
  <si>
    <t>14/06/2005 20:19</t>
  </si>
  <si>
    <t>2005-12-02</t>
  </si>
  <si>
    <t>2005-12-02T07:10:45</t>
  </si>
  <si>
    <t>2005-12-02T17:06:44</t>
  </si>
  <si>
    <t>02/12/2005 16:31</t>
  </si>
  <si>
    <t>2005-06-20</t>
  </si>
  <si>
    <t>2005-06-20T06:04:38</t>
  </si>
  <si>
    <t>2005-06-20T20:37:16</t>
  </si>
  <si>
    <t>20/06/2005 12:35</t>
  </si>
  <si>
    <t>2005-06-30</t>
  </si>
  <si>
    <t>2005-06-30T06:07:42</t>
  </si>
  <si>
    <t>2005-06-30T20:38:17</t>
  </si>
  <si>
    <t>30/06/2005 11:24</t>
  </si>
  <si>
    <t>2005-11-06</t>
  </si>
  <si>
    <t>2005-11-06T06:45:36</t>
  </si>
  <si>
    <t>2005-11-06T17:19:58</t>
  </si>
  <si>
    <t>06/11/2005 10:15</t>
  </si>
  <si>
    <t>2005-11-04</t>
  </si>
  <si>
    <t>2005-11-04T06:43:39</t>
  </si>
  <si>
    <t>2005-11-04T17:21:46</t>
  </si>
  <si>
    <t>04/11/2005 18:00</t>
  </si>
  <si>
    <t>2005-09-11</t>
  </si>
  <si>
    <t>2005-09-11T06:59:00</t>
  </si>
  <si>
    <t>2005-09-11T19:32:28</t>
  </si>
  <si>
    <t>11/09/2005 21:59</t>
  </si>
  <si>
    <t>28/03/2005 12:44</t>
  </si>
  <si>
    <t>01/09/2005 20:40</t>
  </si>
  <si>
    <t>02/08/2005 13:24</t>
  </si>
  <si>
    <t>2005-11-24</t>
  </si>
  <si>
    <t>2005-11-24T07:03:18</t>
  </si>
  <si>
    <t>2005-11-24T17:08:36</t>
  </si>
  <si>
    <t>24/11/2005 12:05</t>
  </si>
  <si>
    <t>30/10/2005 13:15</t>
  </si>
  <si>
    <t>2006-12-09</t>
  </si>
  <si>
    <t>2006-12-09T07:16:25</t>
  </si>
  <si>
    <t>2006-12-09T17:06:46</t>
  </si>
  <si>
    <t>09/12/2006 17:20</t>
  </si>
  <si>
    <t>2006-07-04</t>
  </si>
  <si>
    <t>2006-07-04T06:09:22</t>
  </si>
  <si>
    <t>2006-07-04T20:37:56</t>
  </si>
  <si>
    <t>04/07/2006 09:49</t>
  </si>
  <si>
    <t>2006-09-17</t>
  </si>
  <si>
    <t>2006-09-17T07:03:16</t>
  </si>
  <si>
    <t>2006-09-17T19:24:06</t>
  </si>
  <si>
    <t>17/09/2006 15:24</t>
  </si>
  <si>
    <t>2006-07-01</t>
  </si>
  <si>
    <t>2006-07-01T06:08:00</t>
  </si>
  <si>
    <t>2006-07-01T20:38:14</t>
  </si>
  <si>
    <t>01/07/2006 23:19</t>
  </si>
  <si>
    <t>2006-06-25</t>
  </si>
  <si>
    <t>2006-06-25T06:05:48</t>
  </si>
  <si>
    <t>2006-06-25T20:38:04</t>
  </si>
  <si>
    <t>25/06/2006 18:05</t>
  </si>
  <si>
    <t>2006-08-08</t>
  </si>
  <si>
    <t>2006-08-08T06:33:08</t>
  </si>
  <si>
    <t>2006-08-08T20:16:26</t>
  </si>
  <si>
    <t>08/08/2006 13:15</t>
  </si>
  <si>
    <t>2006-09-10</t>
  </si>
  <si>
    <t>2006-09-10T06:58:04</t>
  </si>
  <si>
    <t>2006-09-10T19:34:14</t>
  </si>
  <si>
    <t>10/09/2006 13:45</t>
  </si>
  <si>
    <t>2006-07-02</t>
  </si>
  <si>
    <t>2006-07-02T06:08:26</t>
  </si>
  <si>
    <t>2006-07-02T20:38:10</t>
  </si>
  <si>
    <t>02/07/2006 20:24</t>
  </si>
  <si>
    <t>2006-03-03</t>
  </si>
  <si>
    <t>2006-03-03T06:46:52</t>
  </si>
  <si>
    <t>2006-03-03T18:16:22</t>
  </si>
  <si>
    <t>03/03/2006 14:20</t>
  </si>
  <si>
    <t>2006-03-04</t>
  </si>
  <si>
    <t>2006-03-04T06:45:33</t>
  </si>
  <si>
    <t>2006-03-04T18:17:15</t>
  </si>
  <si>
    <t>04/03/2006 14:44</t>
  </si>
  <si>
    <t>2006-03-28</t>
  </si>
  <si>
    <t>2006-03-28T07:12:06</t>
  </si>
  <si>
    <t>2006-03-28T19:37:26</t>
  </si>
  <si>
    <t>28/03/2006 13:50</t>
  </si>
  <si>
    <t>2006-06-10</t>
  </si>
  <si>
    <t>2006-06-10T06:04:03</t>
  </si>
  <si>
    <t>2006-06-10T20:33:40</t>
  </si>
  <si>
    <t>10/06/2006 18:20</t>
  </si>
  <si>
    <t>2006-07-03</t>
  </si>
  <si>
    <t>2006-07-03T06:08:54</t>
  </si>
  <si>
    <t>2006-07-03T20:38:04</t>
  </si>
  <si>
    <t>03/07/2006 18:44</t>
  </si>
  <si>
    <t>2006-07-15</t>
  </si>
  <si>
    <t>2006-07-15T06:15:39</t>
  </si>
  <si>
    <t>2006-07-15T20:34:40</t>
  </si>
  <si>
    <t>15/07/2006 14:20</t>
  </si>
  <si>
    <t>2006-03-05</t>
  </si>
  <si>
    <t>2006-03-05T06:44:13</t>
  </si>
  <si>
    <t>2006-03-05T18:18:08</t>
  </si>
  <si>
    <t>05/03/2006 14:00</t>
  </si>
  <si>
    <t>2006-11-02</t>
  </si>
  <si>
    <t>2006-11-02T06:41:29</t>
  </si>
  <si>
    <t>2006-11-02T17:23:54</t>
  </si>
  <si>
    <t>Becoming cloudy in the afternoon.</t>
  </si>
  <si>
    <t>02/11/2006 15:19</t>
  </si>
  <si>
    <t>10/06/2006 17:10</t>
  </si>
  <si>
    <t>10/06/2006 18:14</t>
  </si>
  <si>
    <t>2006-08-14</t>
  </si>
  <si>
    <t>2006-08-14T06:37:45</t>
  </si>
  <si>
    <t>2006-08-14T20:09:53</t>
  </si>
  <si>
    <t>14/08/2006 04:44</t>
  </si>
  <si>
    <t>2006-12-24</t>
  </si>
  <si>
    <t>2006-12-24T07:25:47</t>
  </si>
  <si>
    <t>2006-12-24T17:12:01</t>
  </si>
  <si>
    <t>24/12/2006 14:50</t>
  </si>
  <si>
    <t>2006-04-18</t>
  </si>
  <si>
    <t>2006-04-18T06:43:35</t>
  </si>
  <si>
    <t>2006-04-18T19:54:30</t>
  </si>
  <si>
    <t>18/04/2006 16:20</t>
  </si>
  <si>
    <t>2006-03-29</t>
  </si>
  <si>
    <t>2006-03-29T07:10:41</t>
  </si>
  <si>
    <t>2006-03-29T19:38:15</t>
  </si>
  <si>
    <t>29/03/2006 16:55</t>
  </si>
  <si>
    <t>2006-03-30</t>
  </si>
  <si>
    <t>2006-03-30T07:09:17</t>
  </si>
  <si>
    <t>2006-03-30T19:39:03</t>
  </si>
  <si>
    <t>30/03/2006 16:20</t>
  </si>
  <si>
    <t>2006-08-25</t>
  </si>
  <si>
    <t>2006-08-25T06:46:08</t>
  </si>
  <si>
    <t>2006-08-25T19:56:20</t>
  </si>
  <si>
    <t>25/08/2006 22:50</t>
  </si>
  <si>
    <t>2006-04-02</t>
  </si>
  <si>
    <t>2006-04-02T07:05:04</t>
  </si>
  <si>
    <t>2006-04-02T19:41:29</t>
  </si>
  <si>
    <t>02/04/2006 15:55</t>
  </si>
  <si>
    <t>2006-08-29</t>
  </si>
  <si>
    <t>2006-08-29T06:49:09</t>
  </si>
  <si>
    <t>2006-08-29T19:51:01</t>
  </si>
  <si>
    <t>29/08/2006 13:55</t>
  </si>
  <si>
    <t>2006-07-07</t>
  </si>
  <si>
    <t>2006-07-07T06:10:54</t>
  </si>
  <si>
    <t>2006-07-07T20:37:23</t>
  </si>
  <si>
    <t>07/07/2006 17:00</t>
  </si>
  <si>
    <t>2006-04-11</t>
  </si>
  <si>
    <t>2006-04-11T06:52:43</t>
  </si>
  <si>
    <t>2006-04-11T19:48:47</t>
  </si>
  <si>
    <t>11/04/2006 15:45</t>
  </si>
  <si>
    <t>2006-06-04</t>
  </si>
  <si>
    <t>2006-06-04T06:05:01</t>
  </si>
  <si>
    <t>2006-06-04T20:30:33</t>
  </si>
  <si>
    <t>04/06/2006 11:40</t>
  </si>
  <si>
    <t>2006-04-05</t>
  </si>
  <si>
    <t>2006-04-05T07:00:53</t>
  </si>
  <si>
    <t>2006-04-05T19:43:55</t>
  </si>
  <si>
    <t>05/04/2006 13:40</t>
  </si>
  <si>
    <t>2006-06-08</t>
  </si>
  <si>
    <t>2006-06-08T06:04:15</t>
  </si>
  <si>
    <t>2006-06-08T20:32:42</t>
  </si>
  <si>
    <t>08/06/2006 15:45</t>
  </si>
  <si>
    <t>2006-08-26</t>
  </si>
  <si>
    <t>2006-08-26T06:46:53</t>
  </si>
  <si>
    <t>2006-08-26T19:55:01</t>
  </si>
  <si>
    <t>26/08/2006 16:20</t>
  </si>
  <si>
    <t>2006-10-28</t>
  </si>
  <si>
    <t>2006-10-28T07:36:47</t>
  </si>
  <si>
    <t>2006-10-28T18:29:03</t>
  </si>
  <si>
    <t>28/10/2006 00:59</t>
  </si>
  <si>
    <t>2006-08-23</t>
  </si>
  <si>
    <t>2006-08-23T06:44:37</t>
  </si>
  <si>
    <t>2006-08-23T19:58:55</t>
  </si>
  <si>
    <t>23/08/2006 13:54</t>
  </si>
  <si>
    <t>2006-09-14</t>
  </si>
  <si>
    <t>2006-09-14T07:01:02</t>
  </si>
  <si>
    <t>2006-09-14T19:28:27</t>
  </si>
  <si>
    <t>14/09/2006 10:14</t>
  </si>
  <si>
    <t>2006-08-24</t>
  </si>
  <si>
    <t>2006-08-24T06:45:23</t>
  </si>
  <si>
    <t>2006-08-24T19:57:38</t>
  </si>
  <si>
    <t>24/08/2006 15:05</t>
  </si>
  <si>
    <t>23/08/2006 01:59</t>
  </si>
  <si>
    <t>2006-08-18</t>
  </si>
  <si>
    <t>2006-08-18T06:40:49</t>
  </si>
  <si>
    <t>2006-08-18T20:05:09</t>
  </si>
  <si>
    <t>18/08/2006 17:44</t>
  </si>
  <si>
    <t>2006-04-12</t>
  </si>
  <si>
    <t>2006-04-12T06:51:23</t>
  </si>
  <si>
    <t>2006-04-12T19:49:36</t>
  </si>
  <si>
    <t>12/04/2006 13:54</t>
  </si>
  <si>
    <t>2006-02-04</t>
  </si>
  <si>
    <t>2006-02-04T07:16:44</t>
  </si>
  <si>
    <t>2006-02-04T17:50:18</t>
  </si>
  <si>
    <t>04/02/2006 11:39</t>
  </si>
  <si>
    <t>2006-03-07</t>
  </si>
  <si>
    <t>2006-03-07T06:41:32</t>
  </si>
  <si>
    <t>2006-03-07T18:19:53</t>
  </si>
  <si>
    <t>07/03/2006 09:45</t>
  </si>
  <si>
    <t>23/08/2006 21:00</t>
  </si>
  <si>
    <t>2006-10-05</t>
  </si>
  <si>
    <t>2006-10-05T07:17:01</t>
  </si>
  <si>
    <t>2006-10-05T18:58:10</t>
  </si>
  <si>
    <t>05/10/2006 00:29</t>
  </si>
  <si>
    <t>2006-07-25</t>
  </si>
  <si>
    <t>2006-07-25T06:22:34</t>
  </si>
  <si>
    <t>2006-07-25T20:28:48</t>
  </si>
  <si>
    <t>25/07/2006 14:15</t>
  </si>
  <si>
    <t>03/07/2006 14:05</t>
  </si>
  <si>
    <t>2006-03-24</t>
  </si>
  <si>
    <t>2006-03-24T06:17:47</t>
  </si>
  <si>
    <t>2006-03-24T18:34:10</t>
  </si>
  <si>
    <t>24/03/2006 15:59</t>
  </si>
  <si>
    <t>04/03/2006 16:40</t>
  </si>
  <si>
    <t>2006-07-16</t>
  </si>
  <si>
    <t>2006-07-16T06:16:18</t>
  </si>
  <si>
    <t>2006-07-16T20:34:12</t>
  </si>
  <si>
    <t>16/07/2006 13:36</t>
  </si>
  <si>
    <t>2006-04-10</t>
  </si>
  <si>
    <t>2006-04-10T06:54:03</t>
  </si>
  <si>
    <t>2006-04-10T19:47:58</t>
  </si>
  <si>
    <t>10/04/2006 12:55</t>
  </si>
  <si>
    <t>02/04/2006 14:09</t>
  </si>
  <si>
    <t>2006-11-30</t>
  </si>
  <si>
    <t>2006-11-30T07:08:43</t>
  </si>
  <si>
    <t>2006-11-30T17:07:02</t>
  </si>
  <si>
    <t>30/11/2006 17:27</t>
  </si>
  <si>
    <t>24/08/2006 18:05</t>
  </si>
  <si>
    <t>10/09/2006 07:39</t>
  </si>
  <si>
    <t>2006-09-08</t>
  </si>
  <si>
    <t>2006-09-08T06:56:35</t>
  </si>
  <si>
    <t>2006-09-08T19:37:06</t>
  </si>
  <si>
    <t>08/09/2006 12:59</t>
  </si>
  <si>
    <t>2006-01-12</t>
  </si>
  <si>
    <t>2006-01-12T07:28:32</t>
  </si>
  <si>
    <t>2006-01-12T17:27:00</t>
  </si>
  <si>
    <t>12/01/2006 14:10</t>
  </si>
  <si>
    <t>2006-03-31</t>
  </si>
  <si>
    <t>2006-03-31T07:07:52</t>
  </si>
  <si>
    <t>2006-03-31T19:39:52</t>
  </si>
  <si>
    <t>31/03/2006 15:24</t>
  </si>
  <si>
    <t>2006-08-17</t>
  </si>
  <si>
    <t>2006-08-17T06:40:03</t>
  </si>
  <si>
    <t>2006-08-17T20:06:22</t>
  </si>
  <si>
    <t>17/08/2006 19:34</t>
  </si>
  <si>
    <t>2006-02-10</t>
  </si>
  <si>
    <t>2006-02-10T07:11:18</t>
  </si>
  <si>
    <t>2006-02-10T17:56:25</t>
  </si>
  <si>
    <t>10/02/2006 13:00</t>
  </si>
  <si>
    <t>2006-07-28</t>
  </si>
  <si>
    <t>2006-07-28T06:24:46</t>
  </si>
  <si>
    <t>2006-07-28T20:26:32</t>
  </si>
  <si>
    <t>28/07/2006 18:20</t>
  </si>
  <si>
    <t>2006-09-21</t>
  </si>
  <si>
    <t>2006-09-21T07:06:15</t>
  </si>
  <si>
    <t>2006-09-21T19:18:16</t>
  </si>
  <si>
    <t>Clearing in the afternoon with afternoon rain.</t>
  </si>
  <si>
    <t>21/09/2006 17:14</t>
  </si>
  <si>
    <t>17/09/2006 13:55</t>
  </si>
  <si>
    <t>2006-12-25</t>
  </si>
  <si>
    <t>2006-12-25T07:26:12</t>
  </si>
  <si>
    <t>2006-12-25T17:12:35</t>
  </si>
  <si>
    <t>25/12/2006 17:15</t>
  </si>
  <si>
    <t>2006-09-11</t>
  </si>
  <si>
    <t>2006-09-11T06:58:49</t>
  </si>
  <si>
    <t>2006-09-11T19:32:48</t>
  </si>
  <si>
    <t>11/09/2006 21:15</t>
  </si>
  <si>
    <t>2006-08-16</t>
  </si>
  <si>
    <t>2006-08-16T06:39:17</t>
  </si>
  <si>
    <t>2006-08-16T20:07:33</t>
  </si>
  <si>
    <t>16/08/2006 14:54</t>
  </si>
  <si>
    <t>2006-08-22</t>
  </si>
  <si>
    <t>2006-08-22T06:43:52</t>
  </si>
  <si>
    <t>2006-08-22T20:00:12</t>
  </si>
  <si>
    <t>22/08/2006 14:00</t>
  </si>
  <si>
    <t>17/09/2006 13:45</t>
  </si>
  <si>
    <t>2006-09-03</t>
  </si>
  <si>
    <t>2006-09-03T06:52:53</t>
  </si>
  <si>
    <t>2006-09-03T19:44:09</t>
  </si>
  <si>
    <t>03/09/2006 13:30</t>
  </si>
  <si>
    <t>2006-08-21</t>
  </si>
  <si>
    <t>2006-08-21T06:43:06</t>
  </si>
  <si>
    <t>2006-08-21T20:01:27</t>
  </si>
  <si>
    <t>21/08/2006 09:05</t>
  </si>
  <si>
    <t>28/07/2006 19:54</t>
  </si>
  <si>
    <t>2006-08-06</t>
  </si>
  <si>
    <t>2006-08-06T06:31:35</t>
  </si>
  <si>
    <t>2006-08-06T20:18:28</t>
  </si>
  <si>
    <t>06/08/2006 22:35</t>
  </si>
  <si>
    <t>2006-08-11</t>
  </si>
  <si>
    <t>2006-08-11T06:35:26</t>
  </si>
  <si>
    <t>2006-08-11T20:13:14</t>
  </si>
  <si>
    <t>11/08/2006 14:30</t>
  </si>
  <si>
    <t>2006-01-17</t>
  </si>
  <si>
    <t>2006-01-17T07:27:19</t>
  </si>
  <si>
    <t>2006-01-17T17:31:50</t>
  </si>
  <si>
    <t>17/01/2006 13:45</t>
  </si>
  <si>
    <t>2006-09-25</t>
  </si>
  <si>
    <t>2006-09-25T07:09:16</t>
  </si>
  <si>
    <t>2006-09-25T19:12:27</t>
  </si>
  <si>
    <t>25/09/2006 17:10</t>
  </si>
  <si>
    <t>2006-09-23</t>
  </si>
  <si>
    <t>2006-09-23T07:07:45</t>
  </si>
  <si>
    <t>2006-09-23T19:15:21</t>
  </si>
  <si>
    <t>23/09/2006 19:20</t>
  </si>
  <si>
    <t>2006-08-15</t>
  </si>
  <si>
    <t>2006-08-15T06:38:31</t>
  </si>
  <si>
    <t>2006-08-15T20:08:43</t>
  </si>
  <si>
    <t>15/08/2006 17:20</t>
  </si>
  <si>
    <t>2006-11-09</t>
  </si>
  <si>
    <t>2006-11-09T06:48:17</t>
  </si>
  <si>
    <t>2006-11-09T17:17:38</t>
  </si>
  <si>
    <t>09/11/2006 16:30</t>
  </si>
  <si>
    <t>2006-06-27</t>
  </si>
  <si>
    <t>2006-06-27T06:06:27</t>
  </si>
  <si>
    <t>2006-06-27T20:38:14</t>
  </si>
  <si>
    <t>27/06/2006 21:20</t>
  </si>
  <si>
    <t>12/04/2006 17:45</t>
  </si>
  <si>
    <t>2006-05-25</t>
  </si>
  <si>
    <t>2006-05-25T06:08:50</t>
  </si>
  <si>
    <t>2006-05-25T20:24:05</t>
  </si>
  <si>
    <t>25/05/2006 12:39</t>
  </si>
  <si>
    <t>2006-10-04</t>
  </si>
  <si>
    <t>2006-10-04T07:16:14</t>
  </si>
  <si>
    <t>2006-10-04T18:59:34</t>
  </si>
  <si>
    <t>04/10/2006 15:15</t>
  </si>
  <si>
    <t>2006-05-28</t>
  </si>
  <si>
    <t>2006-05-28T06:07:24</t>
  </si>
  <si>
    <t>2006-05-28T20:26:10</t>
  </si>
  <si>
    <t>28/05/2006 10:25</t>
  </si>
  <si>
    <t>2006-05-08</t>
  </si>
  <si>
    <t>2006-05-08T06:21:18</t>
  </si>
  <si>
    <t>2006-05-08T20:10:57</t>
  </si>
  <si>
    <t>08/05/2006 10:33</t>
  </si>
  <si>
    <t>2006-07-19</t>
  </si>
  <si>
    <t>2006-07-19T06:18:19</t>
  </si>
  <si>
    <t>2006-07-19T20:32:39</t>
  </si>
  <si>
    <t>19/07/2006 22:04</t>
  </si>
  <si>
    <t>29/08/2006 14:15</t>
  </si>
  <si>
    <t>04/03/2006 14:58</t>
  </si>
  <si>
    <t>08/09/2006 13:20</t>
  </si>
  <si>
    <t>04/10/2006 16:30</t>
  </si>
  <si>
    <t>2006-09-26</t>
  </si>
  <si>
    <t>2006-09-26T07:10:02</t>
  </si>
  <si>
    <t>2006-09-26T19:11:00</t>
  </si>
  <si>
    <t>26/09/2006 17:35</t>
  </si>
  <si>
    <t>28/10/2006 11:00</t>
  </si>
  <si>
    <t>2006-09-28</t>
  </si>
  <si>
    <t>2006-09-28T07:11:33</t>
  </si>
  <si>
    <t>2006-09-28T19:08:07</t>
  </si>
  <si>
    <t>28/09/2006 12:30</t>
  </si>
  <si>
    <t>04/10/2006 13:20</t>
  </si>
  <si>
    <t>05/10/2006 15:20</t>
  </si>
  <si>
    <t>19/07/2006 13:50</t>
  </si>
  <si>
    <t>26/09/2006 20:33</t>
  </si>
  <si>
    <t>2006-10-07</t>
  </si>
  <si>
    <t>2006-10-07T07:18:37</t>
  </si>
  <si>
    <t>2006-10-07T18:55:23</t>
  </si>
  <si>
    <t>07/10/2006 14:05</t>
  </si>
  <si>
    <t>2006-09-07</t>
  </si>
  <si>
    <t>2006-09-07T06:55:51</t>
  </si>
  <si>
    <t>2006-09-07T19:38:31</t>
  </si>
  <si>
    <t>07/09/2006 10:20</t>
  </si>
  <si>
    <t>2006-05-17</t>
  </si>
  <si>
    <t>2006-05-17T06:13:49</t>
  </si>
  <si>
    <t>2006-05-17T20:18:07</t>
  </si>
  <si>
    <t>17/05/2006 16:28</t>
  </si>
  <si>
    <t>2006-07-12</t>
  </si>
  <si>
    <t>2006-07-12T06:13:46</t>
  </si>
  <si>
    <t>2006-07-12T20:35:54</t>
  </si>
  <si>
    <t>12/07/2006 15:20</t>
  </si>
  <si>
    <t>2006-03-02</t>
  </si>
  <si>
    <t>2006-03-02T06:48:10</t>
  </si>
  <si>
    <t>2006-03-02T18:15:28</t>
  </si>
  <si>
    <t>02/03/2006 17:55</t>
  </si>
  <si>
    <t>2006-02-23</t>
  </si>
  <si>
    <t>2006-02-23T06:56:59</t>
  </si>
  <si>
    <t>2006-02-23T18:09:03</t>
  </si>
  <si>
    <t>23/02/2006 19:02</t>
  </si>
  <si>
    <t>2006-09-13</t>
  </si>
  <si>
    <t>2006-09-13T07:00:18</t>
  </si>
  <si>
    <t>2006-09-13T19:29:54</t>
  </si>
  <si>
    <t>13/09/2006 14:50</t>
  </si>
  <si>
    <t>07/09/2006 11:00</t>
  </si>
  <si>
    <t>2006-08-01</t>
  </si>
  <si>
    <t>2006-08-01T06:27:46</t>
  </si>
  <si>
    <t>2006-08-01T20:23:10</t>
  </si>
  <si>
    <t>01/08/2006 18:45</t>
  </si>
  <si>
    <t>2006-08-19</t>
  </si>
  <si>
    <t>2006-08-19T06:41:35</t>
  </si>
  <si>
    <t>2006-08-19T20:03:56</t>
  </si>
  <si>
    <t>19/08/2006 19:30</t>
  </si>
  <si>
    <t>28/09/2006 17:00</t>
  </si>
  <si>
    <t>2006-10-02</t>
  </si>
  <si>
    <t>2006-10-02T07:14:39</t>
  </si>
  <si>
    <t>2006-10-02T19:02:24</t>
  </si>
  <si>
    <t>02/10/2006 10:45</t>
  </si>
  <si>
    <t>2006-08-28</t>
  </si>
  <si>
    <t>2006-08-28T06:48:24</t>
  </si>
  <si>
    <t>2006-08-28T19:52:22</t>
  </si>
  <si>
    <t>28/08/2006 23:52</t>
  </si>
  <si>
    <t>02/10/2006 20:55</t>
  </si>
  <si>
    <t>2006-07-14</t>
  </si>
  <si>
    <t>2006-07-14T06:15:01</t>
  </si>
  <si>
    <t>2006-07-14T20:35:07</t>
  </si>
  <si>
    <t>14/07/2006 09:45</t>
  </si>
  <si>
    <t>2006-04-19</t>
  </si>
  <si>
    <t>2006-04-19T06:42:19</t>
  </si>
  <si>
    <t>2006-04-19T19:55:19</t>
  </si>
  <si>
    <t>19/04/2006 10:20</t>
  </si>
  <si>
    <t>11/09/2006 11:30</t>
  </si>
  <si>
    <t>19/08/2006 18:20</t>
  </si>
  <si>
    <t>2006-09-02</t>
  </si>
  <si>
    <t>2006-09-02T06:52:08</t>
  </si>
  <si>
    <t>2006-09-02T19:45:33</t>
  </si>
  <si>
    <t>02/09/2006 21:40</t>
  </si>
  <si>
    <t>19/07/2006 14:40</t>
  </si>
  <si>
    <t>02/04/2006 14:00</t>
  </si>
  <si>
    <t>2007-01-20</t>
  </si>
  <si>
    <t>2007-01-20T07:26:19</t>
  </si>
  <si>
    <t>2007-01-20T17:34:36</t>
  </si>
  <si>
    <t>11:50</t>
  </si>
  <si>
    <t>20/01/2007 11:50</t>
  </si>
  <si>
    <t>2007-01-28</t>
  </si>
  <si>
    <t>2007-01-28T07:22:06</t>
  </si>
  <si>
    <t>2007-01-28T17:42:49</t>
  </si>
  <si>
    <t>14:20</t>
  </si>
  <si>
    <t>28/01/2007 14:20</t>
  </si>
  <si>
    <t>2007-01-30</t>
  </si>
  <si>
    <t>2007-01-30T07:20:45</t>
  </si>
  <si>
    <t>2007-01-30T17:44:53</t>
  </si>
  <si>
    <t>19:09</t>
  </si>
  <si>
    <t>30/01/2007 19:09</t>
  </si>
  <si>
    <t>2007-03-06</t>
  </si>
  <si>
    <t>2007-03-06T06:43:12</t>
  </si>
  <si>
    <t>2007-03-06T18:18:48</t>
  </si>
  <si>
    <t>16:00</t>
  </si>
  <si>
    <t>06/03/2007 16:00</t>
  </si>
  <si>
    <t>2007-03-09</t>
  </si>
  <si>
    <t>2007-03-09T06:39:09</t>
  </si>
  <si>
    <t>2007-03-09T18:21:25</t>
  </si>
  <si>
    <t>19:19</t>
  </si>
  <si>
    <t>09/03/2007 19:19</t>
  </si>
  <si>
    <t>2007-03-18</t>
  </si>
  <si>
    <t>2007-03-18T06:26:37</t>
  </si>
  <si>
    <t>2007-03-18T18:29:02</t>
  </si>
  <si>
    <t>15:39</t>
  </si>
  <si>
    <t>18/03/2007 15:39</t>
  </si>
  <si>
    <t>15:44</t>
  </si>
  <si>
    <t>18/03/2007 15:44</t>
  </si>
  <si>
    <t>2007-04-14</t>
  </si>
  <si>
    <t>2007-04-14T06:49:03</t>
  </si>
  <si>
    <t>2007-04-14T19:51:02</t>
  </si>
  <si>
    <t>12:30</t>
  </si>
  <si>
    <t>14/04/2007 12:30</t>
  </si>
  <si>
    <t>2007-04-23</t>
  </si>
  <si>
    <t>2007-04-23T06:37:42</t>
  </si>
  <si>
    <t>2007-04-23T19:58:25</t>
  </si>
  <si>
    <t>12:50</t>
  </si>
  <si>
    <t>23/04/2007 12:50</t>
  </si>
  <si>
    <t>2007-05-11</t>
  </si>
  <si>
    <t>2007-05-11T06:18:49</t>
  </si>
  <si>
    <t>2007-05-11T20:13:11</t>
  </si>
  <si>
    <t>18:30</t>
  </si>
  <si>
    <t>11/05/2007 18:30</t>
  </si>
  <si>
    <t>2007-06-23</t>
  </si>
  <si>
    <t>2007-06-23T06:05:11</t>
  </si>
  <si>
    <t>2007-06-23T20:37:46</t>
  </si>
  <si>
    <t>19:39</t>
  </si>
  <si>
    <t>23/06/2007 19:39</t>
  </si>
  <si>
    <t>2007-07-09</t>
  </si>
  <si>
    <t>2007-07-09T06:11:53</t>
  </si>
  <si>
    <t>2007-07-09T20:36:57</t>
  </si>
  <si>
    <t>13:10</t>
  </si>
  <si>
    <t>09/07/2007 13:10</t>
  </si>
  <si>
    <t>2007-07-17</t>
  </si>
  <si>
    <t>2007-07-17T06:16:48</t>
  </si>
  <si>
    <t>2007-07-17T20:33:50</t>
  </si>
  <si>
    <t>10:14</t>
  </si>
  <si>
    <t>17/07/2007 10:14</t>
  </si>
  <si>
    <t>2007-07-24</t>
  </si>
  <si>
    <t>2007-07-24T06:21:40</t>
  </si>
  <si>
    <t>2007-07-24T20:29:41</t>
  </si>
  <si>
    <t>15:00</t>
  </si>
  <si>
    <t>24/07/2007 15:00</t>
  </si>
  <si>
    <t>2007-07-28</t>
  </si>
  <si>
    <t>2007-07-28T06:24:36</t>
  </si>
  <si>
    <t>2007-07-28T20:26:44</t>
  </si>
  <si>
    <t>18:50</t>
  </si>
  <si>
    <t>28/07/2007 18:50</t>
  </si>
  <si>
    <t>2007-08-23</t>
  </si>
  <si>
    <t>2007-08-23T06:44:27</t>
  </si>
  <si>
    <t>2007-08-23T19:59:14</t>
  </si>
  <si>
    <t>10:30</t>
  </si>
  <si>
    <t>23/08/2007 10:30</t>
  </si>
  <si>
    <t>2007-09-22</t>
  </si>
  <si>
    <t>2007-09-22T07:06:49</t>
  </si>
  <si>
    <t>2007-09-22T19:17:10</t>
  </si>
  <si>
    <t>19:30</t>
  </si>
  <si>
    <t>22/09/2007 19:30</t>
  </si>
  <si>
    <t>2007-09-25</t>
  </si>
  <si>
    <t>2007-09-25T07:09:05</t>
  </si>
  <si>
    <t>2007-09-25T19:12:48</t>
  </si>
  <si>
    <t>09:30</t>
  </si>
  <si>
    <t>25/09/2007 09:30</t>
  </si>
  <si>
    <t>2007-11-21</t>
  </si>
  <si>
    <t>2007-11-21T06:59:54</t>
  </si>
  <si>
    <t>2007-11-21T17:10:03</t>
  </si>
  <si>
    <t>15:10</t>
  </si>
  <si>
    <t>21/11/2007 15:10</t>
  </si>
  <si>
    <t>2007-11-26</t>
  </si>
  <si>
    <t>2007-11-26T07:04:45</t>
  </si>
  <si>
    <t>2007-11-26T17:08:05</t>
  </si>
  <si>
    <t>13:05</t>
  </si>
  <si>
    <t>26/11/2007 13:05</t>
  </si>
  <si>
    <t>2007-12-25</t>
  </si>
  <si>
    <t>2007-12-25T07:26:06</t>
  </si>
  <si>
    <t>2007-12-25T17:12:27</t>
  </si>
  <si>
    <t>17:34</t>
  </si>
  <si>
    <t>25/12/2007 17:34</t>
  </si>
  <si>
    <t>2007-01-19</t>
  </si>
  <si>
    <t>2007-01-19T07:26:42</t>
  </si>
  <si>
    <t>2007-01-19T17:33:36</t>
  </si>
  <si>
    <t>17:45</t>
  </si>
  <si>
    <t>19/01/2007 17:45</t>
  </si>
  <si>
    <t>2007-02-01</t>
  </si>
  <si>
    <t>2007-02-01T07:19:19</t>
  </si>
  <si>
    <t>2007-02-01T17:46:58</t>
  </si>
  <si>
    <t>01/02/2007 13:10</t>
  </si>
  <si>
    <t>2007-03-03</t>
  </si>
  <si>
    <t>2007-03-03T06:47:11</t>
  </si>
  <si>
    <t>2007-03-03T18:16:09</t>
  </si>
  <si>
    <t>12:40</t>
  </si>
  <si>
    <t>03/03/2007 12:40</t>
  </si>
  <si>
    <t>18:40</t>
  </si>
  <si>
    <t>03/03/2007 18:40</t>
  </si>
  <si>
    <t>2007-04-02</t>
  </si>
  <si>
    <t>2007-04-02T07:05:24</t>
  </si>
  <si>
    <t>2007-04-02T19:41:18</t>
  </si>
  <si>
    <t>18:00</t>
  </si>
  <si>
    <t>02/04/2007 18:00</t>
  </si>
  <si>
    <t>12:45</t>
  </si>
  <si>
    <t>11/05/2007 12:45</t>
  </si>
  <si>
    <t>2007-06-14</t>
  </si>
  <si>
    <t>2007-06-14T06:03:57</t>
  </si>
  <si>
    <t>2007-06-14T20:35:16</t>
  </si>
  <si>
    <t>14:49</t>
  </si>
  <si>
    <t>14/06/2007 14:49</t>
  </si>
  <si>
    <t>2007-07-15</t>
  </si>
  <si>
    <t>2007-07-15T06:15:30</t>
  </si>
  <si>
    <t>2007-07-15T20:34:47</t>
  </si>
  <si>
    <t>18:10</t>
  </si>
  <si>
    <t>15/07/2007 18:10</t>
  </si>
  <si>
    <t>2007-07-30</t>
  </si>
  <si>
    <t>2007-07-30T06:26:05</t>
  </si>
  <si>
    <t>2007-07-30T20:25:07</t>
  </si>
  <si>
    <t>14:10</t>
  </si>
  <si>
    <t>30/07/2007 14:10</t>
  </si>
  <si>
    <t>2007-08-03</t>
  </si>
  <si>
    <t>2007-08-03T06:29:07</t>
  </si>
  <si>
    <t>2007-08-03T20:21:35</t>
  </si>
  <si>
    <t>12:00</t>
  </si>
  <si>
    <t>03/08/2007 12:00</t>
  </si>
  <si>
    <t>2007-10-13</t>
  </si>
  <si>
    <t>2007-10-13T07:23:21</t>
  </si>
  <si>
    <t>2007-10-13T18:47:35</t>
  </si>
  <si>
    <t>13:30</t>
  </si>
  <si>
    <t>13/10/2007 13:30</t>
  </si>
  <si>
    <t>2007-01-29</t>
  </si>
  <si>
    <t>2007-01-29T07:21:27</t>
  </si>
  <si>
    <t>2007-01-29T17:43:51</t>
  </si>
  <si>
    <t>14:40</t>
  </si>
  <si>
    <t>29/01/2007 14:40</t>
  </si>
  <si>
    <t>16:35</t>
  </si>
  <si>
    <t>29/01/2007 16:35</t>
  </si>
  <si>
    <t>2007-02-18</t>
  </si>
  <si>
    <t>2007-02-18T07:03:08</t>
  </si>
  <si>
    <t>2007-02-18T18:04:04</t>
  </si>
  <si>
    <t>01:25</t>
  </si>
  <si>
    <t>18/02/2007 01:25</t>
  </si>
  <si>
    <t>2007-03-26</t>
  </si>
  <si>
    <t>2007-03-26T07:15:17</t>
  </si>
  <si>
    <t>2007-03-26T19:35:37</t>
  </si>
  <si>
    <t>26/03/2007 15:00</t>
  </si>
  <si>
    <t>17:25</t>
  </si>
  <si>
    <t>26/03/2007 17:25</t>
  </si>
  <si>
    <t>2007-04-04</t>
  </si>
  <si>
    <t>2007-04-04T07:02:37</t>
  </si>
  <si>
    <t>2007-04-04T19:42:55</t>
  </si>
  <si>
    <t>12:05</t>
  </si>
  <si>
    <t>04/04/2007 12:05</t>
  </si>
  <si>
    <t>2007-04-24</t>
  </si>
  <si>
    <t>2007-04-24T06:36:30</t>
  </si>
  <si>
    <t>2007-04-24T19:59:14</t>
  </si>
  <si>
    <t>18:35</t>
  </si>
  <si>
    <t>24/04/2007 18:35</t>
  </si>
  <si>
    <t>2007-07-03</t>
  </si>
  <si>
    <t>2007-07-03T06:08:48</t>
  </si>
  <si>
    <t>2007-07-03T20:38:06</t>
  </si>
  <si>
    <t>08:35</t>
  </si>
  <si>
    <t>03/07/2007 08:35</t>
  </si>
  <si>
    <t>2007-07-13</t>
  </si>
  <si>
    <t>2007-07-13T06:14:15</t>
  </si>
  <si>
    <t>2007-07-13T20:35:37</t>
  </si>
  <si>
    <t>11:00</t>
  </si>
  <si>
    <t>13/07/2007 11:00</t>
  </si>
  <si>
    <t>2007-08-04</t>
  </si>
  <si>
    <t>2007-08-04T06:29:53</t>
  </si>
  <si>
    <t>2007-08-04T20:20:39</t>
  </si>
  <si>
    <t>13:55</t>
  </si>
  <si>
    <t>04/08/2007 13:55</t>
  </si>
  <si>
    <t>2007-08-13</t>
  </si>
  <si>
    <t>2007-08-13T06:36:48</t>
  </si>
  <si>
    <t>2007-08-13T20:11:17</t>
  </si>
  <si>
    <t>13:50</t>
  </si>
  <si>
    <t>13/08/2007 13:50</t>
  </si>
  <si>
    <t>2007-08-17</t>
  </si>
  <si>
    <t>2007-08-17T06:39:52</t>
  </si>
  <si>
    <t>2007-08-17T20:06:39</t>
  </si>
  <si>
    <t>21:00</t>
  </si>
  <si>
    <t>17/08/2007 21:00</t>
  </si>
  <si>
    <t>2007-08-31</t>
  </si>
  <si>
    <t>2007-08-31T06:50:28</t>
  </si>
  <si>
    <t>2007-08-31T19:48:38</t>
  </si>
  <si>
    <t>03:50</t>
  </si>
  <si>
    <t>31/08/2007 03:50</t>
  </si>
  <si>
    <t>2007-09-07</t>
  </si>
  <si>
    <t>2007-09-07T06:55:41</t>
  </si>
  <si>
    <t>2007-09-07T19:38:52</t>
  </si>
  <si>
    <t>07/09/2007 18:40</t>
  </si>
  <si>
    <t>22:35</t>
  </si>
  <si>
    <t>22/09/2007 22:35</t>
  </si>
  <si>
    <t>2007-10-08</t>
  </si>
  <si>
    <t>2007-10-08T07:19:14</t>
  </si>
  <si>
    <t>2007-10-08T18:54:20</t>
  </si>
  <si>
    <t>23:50</t>
  </si>
  <si>
    <t>08/10/2007 23:50</t>
  </si>
  <si>
    <t>2007-10-11</t>
  </si>
  <si>
    <t>2007-10-11T07:21:41</t>
  </si>
  <si>
    <t>2007-10-11T18:50:15</t>
  </si>
  <si>
    <t>20:15</t>
  </si>
  <si>
    <t>11/10/2007 20:15</t>
  </si>
  <si>
    <t>2007-12-30</t>
  </si>
  <si>
    <t>2007-12-30T07:27:48</t>
  </si>
  <si>
    <t>2007-12-30T17:15:42</t>
  </si>
  <si>
    <t>14:05</t>
  </si>
  <si>
    <t>30/12/2007 14:05</t>
  </si>
  <si>
    <t>12:35</t>
  </si>
  <si>
    <t>28/07/2007 12:35</t>
  </si>
  <si>
    <t>2007-08-21</t>
  </si>
  <si>
    <t>2007-08-21T06:42:56</t>
  </si>
  <si>
    <t>2007-08-21T20:01:46</t>
  </si>
  <si>
    <t>17:00</t>
  </si>
  <si>
    <t>21/08/2007 17:00</t>
  </si>
  <si>
    <t>2007-12-03</t>
  </si>
  <si>
    <t>2007-12-03T07:11:12</t>
  </si>
  <si>
    <t>2007-12-03T17:06:40</t>
  </si>
  <si>
    <t>17:05</t>
  </si>
  <si>
    <t>03/12/2007 17:05</t>
  </si>
  <si>
    <t>2007-03-21</t>
  </si>
  <si>
    <t>2007-03-21T06:22:23</t>
  </si>
  <si>
    <t>2007-03-21T18:31:31</t>
  </si>
  <si>
    <t>13:35</t>
  </si>
  <si>
    <t>21/03/2007 13:35</t>
  </si>
  <si>
    <t>2007-04-16</t>
  </si>
  <si>
    <t>2007-04-16T06:46:27</t>
  </si>
  <si>
    <t>2007-04-16T19:52:40</t>
  </si>
  <si>
    <t>13:00</t>
  </si>
  <si>
    <t>16/04/2007 13:00</t>
  </si>
  <si>
    <t>2007-04-22</t>
  </si>
  <si>
    <t>2007-04-22T06:38:55</t>
  </si>
  <si>
    <t>2007-04-22T19:57:35</t>
  </si>
  <si>
    <t>15:50</t>
  </si>
  <si>
    <t>22/04/2007 15:50</t>
  </si>
  <si>
    <t>2007-04-26</t>
  </si>
  <si>
    <t>2007-04-26T06:34:09</t>
  </si>
  <si>
    <t>2007-04-26T20:00:53</t>
  </si>
  <si>
    <t>18:25</t>
  </si>
  <si>
    <t>26/04/2007 18:25</t>
  </si>
  <si>
    <t>2007-07-12</t>
  </si>
  <si>
    <t>2007-07-12T06:13:38</t>
  </si>
  <si>
    <t>2007-07-12T20:36:00</t>
  </si>
  <si>
    <t>21:59</t>
  </si>
  <si>
    <t>12/07/2007 21:59</t>
  </si>
  <si>
    <t>09:10</t>
  </si>
  <si>
    <t>17/07/2007 09:10</t>
  </si>
  <si>
    <t>2007-07-18</t>
  </si>
  <si>
    <t>2007-07-18T06:17:28</t>
  </si>
  <si>
    <t>2007-07-18T20:33:20</t>
  </si>
  <si>
    <t>09:50</t>
  </si>
  <si>
    <t>18/07/2007 09:50</t>
  </si>
  <si>
    <t>11:05</t>
  </si>
  <si>
    <t>18/07/2007 11:05</t>
  </si>
  <si>
    <t>2007-07-20</t>
  </si>
  <si>
    <t>2007-07-20T06:18:50</t>
  </si>
  <si>
    <t>2007-07-20T20:32:13</t>
  </si>
  <si>
    <t>20/07/2007 15:50</t>
  </si>
  <si>
    <t>20/07/2007 18:00</t>
  </si>
  <si>
    <t>2007-08-08</t>
  </si>
  <si>
    <t>2007-08-08T06:32:57</t>
  </si>
  <si>
    <t>2007-08-08T20:16:41</t>
  </si>
  <si>
    <t>03:24</t>
  </si>
  <si>
    <t>08/08/2007 03:24</t>
  </si>
  <si>
    <t>2007-08-11</t>
  </si>
  <si>
    <t>2007-08-11T06:35:16</t>
  </si>
  <si>
    <t>2007-08-11T20:13:30</t>
  </si>
  <si>
    <t>19:44</t>
  </si>
  <si>
    <t>11/08/2007 19:44</t>
  </si>
  <si>
    <t>2007-08-16</t>
  </si>
  <si>
    <t>2007-08-16T06:39:06</t>
  </si>
  <si>
    <t>2007-08-16T20:07:50</t>
  </si>
  <si>
    <t>14:30</t>
  </si>
  <si>
    <t>16/08/2007 14:30</t>
  </si>
  <si>
    <t>07:00</t>
  </si>
  <si>
    <t>17/08/2007 07:00</t>
  </si>
  <si>
    <t>2007-08-20</t>
  </si>
  <si>
    <t>2007-08-20T06:42:10</t>
  </si>
  <si>
    <t>2007-08-20T20:03:01</t>
  </si>
  <si>
    <t>21:45</t>
  </si>
  <si>
    <t>20/08/2007 21:45</t>
  </si>
  <si>
    <t>23/08/2007 13:35</t>
  </si>
  <si>
    <t>2007-08-24</t>
  </si>
  <si>
    <t>2007-08-24T06:45:12</t>
  </si>
  <si>
    <t>2007-08-24T19:57:57</t>
  </si>
  <si>
    <t>02:45</t>
  </si>
  <si>
    <t>24/08/2007 02:45</t>
  </si>
  <si>
    <t>24/08/2007 10:30</t>
  </si>
  <si>
    <t>24/08/2007 23:50</t>
  </si>
  <si>
    <t>2007-08-25</t>
  </si>
  <si>
    <t>2007-08-25T06:45:58</t>
  </si>
  <si>
    <t>2007-08-25T19:56:39</t>
  </si>
  <si>
    <t>18:05</t>
  </si>
  <si>
    <t>25/08/2007 18:05</t>
  </si>
  <si>
    <t>2007-09-06</t>
  </si>
  <si>
    <t>2007-09-06T06:54:56</t>
  </si>
  <si>
    <t>2007-09-06T19:40:17</t>
  </si>
  <si>
    <t>06/09/2007 14:30</t>
  </si>
  <si>
    <t>2007-10-17</t>
  </si>
  <si>
    <t>2007-10-17T07:26:44</t>
  </si>
  <si>
    <t>2007-10-17T18:42:23</t>
  </si>
  <si>
    <t>09:25</t>
  </si>
  <si>
    <t>17/10/2007 09:25</t>
  </si>
  <si>
    <t>2007-08-12</t>
  </si>
  <si>
    <t>2007-08-12T06:36:02</t>
  </si>
  <si>
    <t>2007-08-12T20:12:24</t>
  </si>
  <si>
    <t>16:30</t>
  </si>
  <si>
    <t>12/08/2007 16:30</t>
  </si>
  <si>
    <t>2007-08-22</t>
  </si>
  <si>
    <t>2007-08-22T06:43:41</t>
  </si>
  <si>
    <t>2007-08-22T20:00:30</t>
  </si>
  <si>
    <t>15:30</t>
  </si>
  <si>
    <t>22/08/2007 15:30</t>
  </si>
  <si>
    <t>2007-03-29</t>
  </si>
  <si>
    <t>2007-03-29T07:11:02</t>
  </si>
  <si>
    <t>2007-03-29T19:38:03</t>
  </si>
  <si>
    <t>17:40</t>
  </si>
  <si>
    <t>29/03/2007 17:40</t>
  </si>
  <si>
    <t>2007-06-28</t>
  </si>
  <si>
    <t>2007-06-28T06:06:44</t>
  </si>
  <si>
    <t>2007-06-28T20:38:16</t>
  </si>
  <si>
    <t>28/06/2007 14:40</t>
  </si>
  <si>
    <t>08:48</t>
  </si>
  <si>
    <t>29/01/2007 08:48</t>
  </si>
  <si>
    <t>15:35</t>
  </si>
  <si>
    <t>14/04/2007 15:35</t>
  </si>
  <si>
    <t>2007-06-10</t>
  </si>
  <si>
    <t>2007-06-10T06:04:04</t>
  </si>
  <si>
    <t>2007-06-10T20:33:33</t>
  </si>
  <si>
    <t>10/06/2007 12:30</t>
  </si>
  <si>
    <t>2007-07-08</t>
  </si>
  <si>
    <t>2007-07-08T06:11:19</t>
  </si>
  <si>
    <t>2007-07-08T20:37:13</t>
  </si>
  <si>
    <t>15:05</t>
  </si>
  <si>
    <t>08/07/2007 15:05</t>
  </si>
  <si>
    <t>2007-07-26</t>
  </si>
  <si>
    <t>2007-07-26T06:23:07</t>
  </si>
  <si>
    <t>2007-07-26T20:28:15</t>
  </si>
  <si>
    <t>26/07/2007 12:45</t>
  </si>
  <si>
    <t>2007-07-31</t>
  </si>
  <si>
    <t>2007-07-31T06:26:51</t>
  </si>
  <si>
    <t>2007-07-31T20:24:16</t>
  </si>
  <si>
    <t>12:25</t>
  </si>
  <si>
    <t>31/07/2007 12:25</t>
  </si>
  <si>
    <t>31/07/2007 12:30</t>
  </si>
  <si>
    <t>2007-08-19</t>
  </si>
  <si>
    <t>2007-08-19T06:41:24</t>
  </si>
  <si>
    <t>2007-08-19T20:04:14</t>
  </si>
  <si>
    <t>19/08/2007 15:50</t>
  </si>
  <si>
    <t>2007-09-03</t>
  </si>
  <si>
    <t>2007-09-03T06:52:42</t>
  </si>
  <si>
    <t>2007-09-03T19:44:30</t>
  </si>
  <si>
    <t>03/09/2007 13:55</t>
  </si>
  <si>
    <t>2007-09-16</t>
  </si>
  <si>
    <t>2007-09-16T07:02:21</t>
  </si>
  <si>
    <t>2007-09-16T19:25:54</t>
  </si>
  <si>
    <t>10:55</t>
  </si>
  <si>
    <t>16/09/2007 10:55</t>
  </si>
  <si>
    <t>2007-10-02</t>
  </si>
  <si>
    <t>2007-10-02T07:14:28</t>
  </si>
  <si>
    <t>2007-10-02T19:02:44</t>
  </si>
  <si>
    <t>19:55</t>
  </si>
  <si>
    <t>02/10/2007 19:55</t>
  </si>
  <si>
    <t>2007-10-28</t>
  </si>
  <si>
    <t>2007-10-28T06:36:34</t>
  </si>
  <si>
    <t>2007-10-28T17:29:19</t>
  </si>
  <si>
    <t>15:25</t>
  </si>
  <si>
    <t>28/10/2007 15:25</t>
  </si>
  <si>
    <t>2007-01-26</t>
  </si>
  <si>
    <t>2007-01-26T07:23:20</t>
  </si>
  <si>
    <t>2007-01-26T17:40:45</t>
  </si>
  <si>
    <t>18:55</t>
  </si>
  <si>
    <t>26/01/2007 18:55</t>
  </si>
  <si>
    <t>2007-04-09</t>
  </si>
  <si>
    <t>2007-04-09T06:55:44</t>
  </si>
  <si>
    <t>2007-04-09T19:46:58</t>
  </si>
  <si>
    <t>10:20</t>
  </si>
  <si>
    <t>09/04/2007 10:20</t>
  </si>
  <si>
    <t>2007-06-24</t>
  </si>
  <si>
    <t>2007-06-24T06:05:27</t>
  </si>
  <si>
    <t>2007-06-24T20:37:55</t>
  </si>
  <si>
    <t>24/06/2007 16:35</t>
  </si>
  <si>
    <t>2007-10-31</t>
  </si>
  <si>
    <t>2007-10-31T06:39:22</t>
  </si>
  <si>
    <t>2007-10-31T17:26:09</t>
  </si>
  <si>
    <t>07:40</t>
  </si>
  <si>
    <t>31/10/2007 07:40</t>
  </si>
  <si>
    <t>2007-11-28</t>
  </si>
  <si>
    <t>2007-11-28T07:06:38</t>
  </si>
  <si>
    <t>2007-11-28T17:07:31</t>
  </si>
  <si>
    <t>12:26</t>
  </si>
  <si>
    <t>28/11/2007 12:26</t>
  </si>
  <si>
    <t>2007-04-03</t>
  </si>
  <si>
    <t>2007-04-03T07:04:00</t>
  </si>
  <si>
    <t>2007-04-03T19:42:06</t>
  </si>
  <si>
    <t>14:25</t>
  </si>
  <si>
    <t>03/04/2007 14:25</t>
  </si>
  <si>
    <t>2007-08-30</t>
  </si>
  <si>
    <t>2007-08-30T06:49:43</t>
  </si>
  <si>
    <t>2007-08-30T19:50:00</t>
  </si>
  <si>
    <t>20:25</t>
  </si>
  <si>
    <t>30/08/2007 20:25</t>
  </si>
  <si>
    <t>17:10</t>
  </si>
  <si>
    <t>31/08/2007 17:10</t>
  </si>
  <si>
    <t>12:10</t>
  </si>
  <si>
    <t>13/10/2007 12:10</t>
  </si>
  <si>
    <t>13/10/2007 15:35</t>
  </si>
  <si>
    <t>2007-06-18</t>
  </si>
  <si>
    <t>2007-06-18T06:04:15</t>
  </si>
  <si>
    <t>2007-06-18T20:36:37</t>
  </si>
  <si>
    <t>22:54</t>
  </si>
  <si>
    <t>18/06/2007 22:54</t>
  </si>
  <si>
    <t>2007-06-21</t>
  </si>
  <si>
    <t>2007-06-21T06:04:44</t>
  </si>
  <si>
    <t>2007-06-21T20:37:23</t>
  </si>
  <si>
    <t>21:10</t>
  </si>
  <si>
    <t>21/06/2007 21:10</t>
  </si>
  <si>
    <t>2007-07-02</t>
  </si>
  <si>
    <t>2007-07-02T06:08:20</t>
  </si>
  <si>
    <t>2007-07-02T20:38:11</t>
  </si>
  <si>
    <t>02/07/2007 21:10</t>
  </si>
  <si>
    <t>08/07/2007 21:00</t>
  </si>
  <si>
    <t>09/07/2007 13:00</t>
  </si>
  <si>
    <t>15/07/2007 12:10</t>
  </si>
  <si>
    <t>24/07/2007 18:35</t>
  </si>
  <si>
    <t>2007-07-29</t>
  </si>
  <si>
    <t>2007-07-29T06:25:21</t>
  </si>
  <si>
    <t>2007-07-29T20:25:56</t>
  </si>
  <si>
    <t>29/07/2007 17:45</t>
  </si>
  <si>
    <t>20:55</t>
  </si>
  <si>
    <t>03/08/2007 20:55</t>
  </si>
  <si>
    <t>21:40</t>
  </si>
  <si>
    <t>25/08/2007 21:40</t>
  </si>
  <si>
    <t>2007-09-05</t>
  </si>
  <si>
    <t>2007-09-05T06:54:12</t>
  </si>
  <si>
    <t>2007-09-05T19:41:42</t>
  </si>
  <si>
    <t>15:15</t>
  </si>
  <si>
    <t>05/09/2007 15:15</t>
  </si>
  <si>
    <t>2007-06-30</t>
  </si>
  <si>
    <t>2007-06-30T06:07:30</t>
  </si>
  <si>
    <t>2007-06-30T20:38:17</t>
  </si>
  <si>
    <t>12:04</t>
  </si>
  <si>
    <t>30/06/2007 12:04</t>
  </si>
  <si>
    <t>2007-07-22</t>
  </si>
  <si>
    <t>2007-07-22T06:20:14</t>
  </si>
  <si>
    <t>2007-07-22T20:31:00</t>
  </si>
  <si>
    <t>01:08</t>
  </si>
  <si>
    <t>22/07/2007 01:08</t>
  </si>
  <si>
    <t>2007-03-28</t>
  </si>
  <si>
    <t>2007-03-28T07:12:27</t>
  </si>
  <si>
    <t>2007-03-28T19:37:15</t>
  </si>
  <si>
    <t>28/03/2007 14:10</t>
  </si>
  <si>
    <t>16/08/2007 15:30</t>
  </si>
  <si>
    <t>2008-08-07</t>
  </si>
  <si>
    <t>2008-08-07T06:32:46</t>
  </si>
  <si>
    <t>2008-08-07T20:16:56</t>
  </si>
  <si>
    <t>07/08/2008 17:00</t>
  </si>
  <si>
    <t>2008-02-16</t>
  </si>
  <si>
    <t>2008-02-16T07:05:37</t>
  </si>
  <si>
    <t>2008-02-16T18:01:54</t>
  </si>
  <si>
    <t>Cloudy skies throughout the day with late afternoon rain.</t>
  </si>
  <si>
    <t>16/02/2008 08:09</t>
  </si>
  <si>
    <t>2008-09-15</t>
  </si>
  <si>
    <t>2008-09-15T07:02:10</t>
  </si>
  <si>
    <t>2008-09-15T19:26:16</t>
  </si>
  <si>
    <t>15/09/2008 06:30</t>
  </si>
  <si>
    <t>2008-08-31</t>
  </si>
  <si>
    <t>2008-08-31T06:51:03</t>
  </si>
  <si>
    <t>2008-08-31T19:47:36</t>
  </si>
  <si>
    <t>31/08/2008 18:55</t>
  </si>
  <si>
    <t>2008-02-24</t>
  </si>
  <si>
    <t>2008-02-24T06:56:22</t>
  </si>
  <si>
    <t>2008-02-24T18:09:33</t>
  </si>
  <si>
    <t>24/02/2008 13:10</t>
  </si>
  <si>
    <t>2008-04-13</t>
  </si>
  <si>
    <t>2008-04-13T06:49:23</t>
  </si>
  <si>
    <t>2008-04-13T19:50:51</t>
  </si>
  <si>
    <t>13/04/2008 11:25</t>
  </si>
  <si>
    <t>2008-04-17</t>
  </si>
  <si>
    <t>2008-04-17T06:44:12</t>
  </si>
  <si>
    <t>2008-04-17T19:54:07</t>
  </si>
  <si>
    <t>17/04/2008 14:00</t>
  </si>
  <si>
    <t>2008-11-11</t>
  </si>
  <si>
    <t>2008-11-11T06:50:46</t>
  </si>
  <si>
    <t>2008-11-11T17:15:41</t>
  </si>
  <si>
    <t>11/11/2008 21:40</t>
  </si>
  <si>
    <t>2008-06-29</t>
  </si>
  <si>
    <t>2008-06-29T06:07:24</t>
  </si>
  <si>
    <t>2008-06-29T20:38:18</t>
  </si>
  <si>
    <t>29/06/2008 16:59</t>
  </si>
  <si>
    <t>2008-09-17</t>
  </si>
  <si>
    <t>2008-09-17T07:03:40</t>
  </si>
  <si>
    <t>2008-09-17T19:23:21</t>
  </si>
  <si>
    <t>17/09/2008 13:00</t>
  </si>
  <si>
    <t>2008-04-15</t>
  </si>
  <si>
    <t>2008-04-15T06:46:46</t>
  </si>
  <si>
    <t>2008-04-15T19:52:29</t>
  </si>
  <si>
    <t>15/04/2008 15:10</t>
  </si>
  <si>
    <t>2008-03-10</t>
  </si>
  <si>
    <t>2008-03-10T06:36:44</t>
  </si>
  <si>
    <t>2008-03-10T18:22:56</t>
  </si>
  <si>
    <t>10/03/2008 16:55</t>
  </si>
  <si>
    <t>10/03/2008 14:25</t>
  </si>
  <si>
    <t>2008-09-16</t>
  </si>
  <si>
    <t>2008-09-16T07:02:55</t>
  </si>
  <si>
    <t>2008-09-16T19:24:48</t>
  </si>
  <si>
    <t>16/09/2008 11:30</t>
  </si>
  <si>
    <t>15/09/2008 20:55</t>
  </si>
  <si>
    <t>2008-07-13</t>
  </si>
  <si>
    <t>2008-07-13T06:14:43</t>
  </si>
  <si>
    <t>2008-07-13T20:35:19</t>
  </si>
  <si>
    <t>13/07/2008 19:10</t>
  </si>
  <si>
    <t>2008-09-18</t>
  </si>
  <si>
    <t>2008-09-18T07:04:24</t>
  </si>
  <si>
    <t>2008-09-18T19:21:54</t>
  </si>
  <si>
    <t>18/09/2008 07:30</t>
  </si>
  <si>
    <t>2008-12-24</t>
  </si>
  <si>
    <t>2008-12-24T07:26:00</t>
  </si>
  <si>
    <t>2008-12-24T17:12:19</t>
  </si>
  <si>
    <t>24/12/2008 18:20</t>
  </si>
  <si>
    <t>2008-03-22</t>
  </si>
  <si>
    <t>2008-03-22T06:19:53</t>
  </si>
  <si>
    <t>2008-03-22T18:32:58</t>
  </si>
  <si>
    <t>22/03/2008 10:30</t>
  </si>
  <si>
    <t>2008-08-25</t>
  </si>
  <si>
    <t>2008-08-25T06:46:32</t>
  </si>
  <si>
    <t>2008-08-25T19:55:40</t>
  </si>
  <si>
    <t>25/08/2008 13:55</t>
  </si>
  <si>
    <t>2008-03-09</t>
  </si>
  <si>
    <t>2008-03-09T06:38:07</t>
  </si>
  <si>
    <t>2008-03-09T18:22:05</t>
  </si>
  <si>
    <t>09/03/2008 16:25</t>
  </si>
  <si>
    <t>2008-08-18</t>
  </si>
  <si>
    <t>2008-08-18T06:41:13</t>
  </si>
  <si>
    <t>2008-08-18T20:04:32</t>
  </si>
  <si>
    <t>18/08/2008 15:00</t>
  </si>
  <si>
    <t>2008-07-03</t>
  </si>
  <si>
    <t>2008-07-03T06:09:10</t>
  </si>
  <si>
    <t>2008-07-03T20:38:01</t>
  </si>
  <si>
    <t>03/07/2008 12:45</t>
  </si>
  <si>
    <t>2008-08-30</t>
  </si>
  <si>
    <t>2008-08-30T06:50:18</t>
  </si>
  <si>
    <t>2008-08-30T19:48:58</t>
  </si>
  <si>
    <t>30/08/2008 14:40</t>
  </si>
  <si>
    <t>2008-08-10</t>
  </si>
  <si>
    <t>2008-08-10T06:35:05</t>
  </si>
  <si>
    <t>2008-08-10T20:13:46</t>
  </si>
  <si>
    <t>10/08/2008 12:50</t>
  </si>
  <si>
    <t>2008-03-03</t>
  </si>
  <si>
    <t>2008-03-03T06:46:11</t>
  </si>
  <si>
    <t>2008-03-03T18:16:50</t>
  </si>
  <si>
    <t>03/03/2008 11:45</t>
  </si>
  <si>
    <t>16/09/2008 14:55</t>
  </si>
  <si>
    <t>2008-04-11</t>
  </si>
  <si>
    <t>2008-04-11T06:52:02</t>
  </si>
  <si>
    <t>2008-04-11T19:49:13</t>
  </si>
  <si>
    <t>11/04/2008 13:30</t>
  </si>
  <si>
    <t>2008-06-19</t>
  </si>
  <si>
    <t>2008-06-19T06:04:31</t>
  </si>
  <si>
    <t>2008-06-19T20:37:06</t>
  </si>
  <si>
    <t>19/06/2008 12:35</t>
  </si>
  <si>
    <t>2008-03-19</t>
  </si>
  <si>
    <t>2008-03-19T06:24:09</t>
  </si>
  <si>
    <t>2008-03-19T18:30:30</t>
  </si>
  <si>
    <t>19/03/2008 16:30</t>
  </si>
  <si>
    <t>18/09/2008 06:20</t>
  </si>
  <si>
    <t>2008-10-11</t>
  </si>
  <si>
    <t>2008-10-11T07:22:19</t>
  </si>
  <si>
    <t>2008-10-11T18:49:14</t>
  </si>
  <si>
    <t>11/10/2008 21:55</t>
  </si>
  <si>
    <t>2008-01-30</t>
  </si>
  <si>
    <t>2008-01-30T07:20:56</t>
  </si>
  <si>
    <t>2008-01-30T17:44:39</t>
  </si>
  <si>
    <t>30/01/2008 15:50</t>
  </si>
  <si>
    <t>2008-07-27</t>
  </si>
  <si>
    <t>2008-07-27T06:24:26</t>
  </si>
  <si>
    <t>2008-07-27T20:26:55</t>
  </si>
  <si>
    <t>27/07/2008 03:15</t>
  </si>
  <si>
    <t>2008-03-15</t>
  </si>
  <si>
    <t>2008-03-15T06:29:47</t>
  </si>
  <si>
    <t>2008-03-15T18:27:10</t>
  </si>
  <si>
    <t>15/03/2008 15:10</t>
  </si>
  <si>
    <t>15/09/2008 17:30</t>
  </si>
  <si>
    <t>2008-07-16</t>
  </si>
  <si>
    <t>2008-07-16T06:16:39</t>
  </si>
  <si>
    <t>2008-07-16T20:33:58</t>
  </si>
  <si>
    <t>16/07/2008 01:40</t>
  </si>
  <si>
    <t>25/08/2008 13:25</t>
  </si>
  <si>
    <t>17/09/2008 16:30</t>
  </si>
  <si>
    <t>2008-05-07</t>
  </si>
  <si>
    <t>2008-05-07T06:21:46</t>
  </si>
  <si>
    <t>2008-05-07T20:10:34</t>
  </si>
  <si>
    <t>07/05/2008 14:00</t>
  </si>
  <si>
    <t>2008-04-22</t>
  </si>
  <si>
    <t>2008-04-22T06:38:00</t>
  </si>
  <si>
    <t>2008-04-22T19:58:13</t>
  </si>
  <si>
    <t>Clear conditions throughout the day.</t>
  </si>
  <si>
    <t>22/04/2008 16:40</t>
  </si>
  <si>
    <t>2008-10-18</t>
  </si>
  <si>
    <t>2008-10-18T07:28:16</t>
  </si>
  <si>
    <t>2008-10-18T18:40:10</t>
  </si>
  <si>
    <t>18/10/2008 04:15</t>
  </si>
  <si>
    <t>2008-11-01</t>
  </si>
  <si>
    <t>2008-11-01T06:41:02</t>
  </si>
  <si>
    <t>2008-11-01T17:24:23</t>
  </si>
  <si>
    <t>01/11/2008 13:20</t>
  </si>
  <si>
    <t>30/08/2008 16:00</t>
  </si>
  <si>
    <t>2008-03-11</t>
  </si>
  <si>
    <t>2008-03-11T06:35:22</t>
  </si>
  <si>
    <t>2008-03-11T18:23:47</t>
  </si>
  <si>
    <t>11/03/2008 14:20</t>
  </si>
  <si>
    <t>2008-08-03</t>
  </si>
  <si>
    <t>2008-08-03T06:29:42</t>
  </si>
  <si>
    <t>2008-08-03T20:20:53</t>
  </si>
  <si>
    <t>03/08/2008 17:56</t>
  </si>
  <si>
    <t>2008-07-07</t>
  </si>
  <si>
    <t>2008-07-07T06:11:12</t>
  </si>
  <si>
    <t>2008-07-07T20:37:17</t>
  </si>
  <si>
    <t>07/07/2008 12:00</t>
  </si>
  <si>
    <t>2008-01-10</t>
  </si>
  <si>
    <t>2008-01-10T07:28:50</t>
  </si>
  <si>
    <t>2008-01-10T17:24:42</t>
  </si>
  <si>
    <t>10/01/2008 13:30</t>
  </si>
  <si>
    <t>2008-05-25</t>
  </si>
  <si>
    <t>2008-05-25T06:08:35</t>
  </si>
  <si>
    <t>2008-05-25T20:24:28</t>
  </si>
  <si>
    <t>25/05/2008 15:00</t>
  </si>
  <si>
    <t>2008-04-12</t>
  </si>
  <si>
    <t>2008-04-12T06:50:42</t>
  </si>
  <si>
    <t>2008-04-12T19:50:02</t>
  </si>
  <si>
    <t>12/04/2008 17:45</t>
  </si>
  <si>
    <t>09/03/2008 10:30</t>
  </si>
  <si>
    <t>2008-03-20</t>
  </si>
  <si>
    <t>2008-03-20T06:22:44</t>
  </si>
  <si>
    <t>2008-03-20T18:31:19</t>
  </si>
  <si>
    <t>20/03/2008 15:00</t>
  </si>
  <si>
    <t>2008-08-06</t>
  </si>
  <si>
    <t>2008-08-06T06:32:00</t>
  </si>
  <si>
    <t>2008-08-06T20:17:57</t>
  </si>
  <si>
    <t>06/08/2008 17:45</t>
  </si>
  <si>
    <t>2008-07-31</t>
  </si>
  <si>
    <t>2008-07-31T06:27:26</t>
  </si>
  <si>
    <t>2008-07-31T20:23:36</t>
  </si>
  <si>
    <t>31/07/2008 11:25</t>
  </si>
  <si>
    <t>2008-01-28</t>
  </si>
  <si>
    <t>2008-01-28T07:22:15</t>
  </si>
  <si>
    <t>2008-01-28T17:42:34</t>
  </si>
  <si>
    <t>28/01/2008 17:40</t>
  </si>
  <si>
    <t>2008-04-24</t>
  </si>
  <si>
    <t>2008-04-24T06:35:37</t>
  </si>
  <si>
    <t>2008-04-24T19:59:52</t>
  </si>
  <si>
    <t>24/04/2008 16:15</t>
  </si>
  <si>
    <t>11/03/2008 22:00</t>
  </si>
  <si>
    <t>28/01/2008 17:30</t>
  </si>
  <si>
    <t>2008-07-30</t>
  </si>
  <si>
    <t>2008-07-30T06:26:40</t>
  </si>
  <si>
    <t>2008-07-30T20:24:28</t>
  </si>
  <si>
    <t>30/07/2008 17:25</t>
  </si>
  <si>
    <t>2008-07-18</t>
  </si>
  <si>
    <t>2008-07-18T06:18:00</t>
  </si>
  <si>
    <t>2008-07-18T20:32:55</t>
  </si>
  <si>
    <t>18/07/2008 12:15</t>
  </si>
  <si>
    <t>2008-09-01</t>
  </si>
  <si>
    <t>2008-09-01T06:51:47</t>
  </si>
  <si>
    <t>2008-09-01T19:46:13</t>
  </si>
  <si>
    <t>01/09/2008 17:25</t>
  </si>
  <si>
    <t>2008-03-23</t>
  </si>
  <si>
    <t>2008-03-23T06:18:28</t>
  </si>
  <si>
    <t>2008-03-23T18:33:47</t>
  </si>
  <si>
    <t>23/03/2008 13:50</t>
  </si>
  <si>
    <t>2008-09-13</t>
  </si>
  <si>
    <t>2008-09-13T07:00:41</t>
  </si>
  <si>
    <t>2008-09-13T19:29:10</t>
  </si>
  <si>
    <t>13/09/2008 17:20</t>
  </si>
  <si>
    <t>2008-03-06</t>
  </si>
  <si>
    <t>2008-03-06T06:42:11</t>
  </si>
  <si>
    <t>2008-03-06T18:19:28</t>
  </si>
  <si>
    <t>06/03/2008 08:40</t>
  </si>
  <si>
    <t>2008-07-23</t>
  </si>
  <si>
    <t>2008-07-23T06:21:30</t>
  </si>
  <si>
    <t>2008-07-23T20:29:51</t>
  </si>
  <si>
    <t>23/07/2008 23:00</t>
  </si>
  <si>
    <t>2008-09-09</t>
  </si>
  <si>
    <t>2008-09-09T06:57:44</t>
  </si>
  <si>
    <t>2008-09-09T19:34:56</t>
  </si>
  <si>
    <t>09/09/2008 14:36</t>
  </si>
  <si>
    <t>2008-09-12</t>
  </si>
  <si>
    <t>2008-09-12T06:59:57</t>
  </si>
  <si>
    <t>2008-09-12T19:30:37</t>
  </si>
  <si>
    <t>12/09/2008 19:20</t>
  </si>
  <si>
    <t>2008-05-15</t>
  </si>
  <si>
    <t>2008-05-15T06:14:56</t>
  </si>
  <si>
    <t>2008-05-15T20:16:59</t>
  </si>
  <si>
    <t>15/05/2008 16:40</t>
  </si>
  <si>
    <t>2008-08-20</t>
  </si>
  <si>
    <t>2008-08-20T06:42:45</t>
  </si>
  <si>
    <t>2008-08-20T20:02:04</t>
  </si>
  <si>
    <t>20/08/2008 12:50</t>
  </si>
  <si>
    <t>2008-10-24</t>
  </si>
  <si>
    <t>2008-10-24T07:33:36</t>
  </si>
  <si>
    <t>2008-10-24T18:32:58</t>
  </si>
  <si>
    <t>24/10/2008 20:15</t>
  </si>
  <si>
    <t>2008-10-22</t>
  </si>
  <si>
    <t>2008-10-22T07:31:47</t>
  </si>
  <si>
    <t>2008-10-22T18:35:18</t>
  </si>
  <si>
    <t>22/10/2008 02:20</t>
  </si>
  <si>
    <t>2008-10-21</t>
  </si>
  <si>
    <t>2008-10-21T07:30:54</t>
  </si>
  <si>
    <t>2008-10-21T18:36:29</t>
  </si>
  <si>
    <t>21/10/2008 00:10</t>
  </si>
  <si>
    <t>2008-02-05</t>
  </si>
  <si>
    <t>2008-02-05T07:16:18</t>
  </si>
  <si>
    <t>2008-02-05T17:50:50</t>
  </si>
  <si>
    <t>05/02/2008 10:40</t>
  </si>
  <si>
    <t>2008-08-09</t>
  </si>
  <si>
    <t>2008-08-09T06:34:19</t>
  </si>
  <si>
    <t>2008-08-09T20:14:51</t>
  </si>
  <si>
    <t>09/08/2008 20:30</t>
  </si>
  <si>
    <t>2008-09-08</t>
  </si>
  <si>
    <t>2008-09-08T06:56:59</t>
  </si>
  <si>
    <t>2008-09-08T19:36:22</t>
  </si>
  <si>
    <t>08/09/2008 13:00</t>
  </si>
  <si>
    <t>2008-07-10</t>
  </si>
  <si>
    <t>2008-07-10T06:12:54</t>
  </si>
  <si>
    <t>2008-07-10T20:36:26</t>
  </si>
  <si>
    <t>10/07/2008 11:05</t>
  </si>
  <si>
    <t>15/09/2008 19:30</t>
  </si>
  <si>
    <t>2008-10-10</t>
  </si>
  <si>
    <t>2008-10-10T07:21:30</t>
  </si>
  <si>
    <t>2008-10-10T18:50:35</t>
  </si>
  <si>
    <t>10/10/2008 19:25</t>
  </si>
  <si>
    <t>16/09/2008 13:36</t>
  </si>
  <si>
    <t>2008-08-26</t>
  </si>
  <si>
    <t>2008-08-26T06:47:18</t>
  </si>
  <si>
    <t>2008-08-26T19:54:21</t>
  </si>
  <si>
    <t>26/08/2008 13:50</t>
  </si>
  <si>
    <t>2008-04-20</t>
  </si>
  <si>
    <t>2008-04-20T06:40:26</t>
  </si>
  <si>
    <t>2008-04-20T19:56:34</t>
  </si>
  <si>
    <t>20/04/2008 15:30</t>
  </si>
  <si>
    <t>20/03/2008 12:15</t>
  </si>
  <si>
    <t>19/06/2008 20:30</t>
  </si>
  <si>
    <t>19/06/2008 20:25</t>
  </si>
  <si>
    <t>27/07/2008 08:55</t>
  </si>
  <si>
    <t>20/04/2008 16:35</t>
  </si>
  <si>
    <t>2008-07-12</t>
  </si>
  <si>
    <t>2008-07-12T06:14:06</t>
  </si>
  <si>
    <t>2008-07-12T20:35:43</t>
  </si>
  <si>
    <t>12/07/2008 16:00</t>
  </si>
  <si>
    <t>2008-03-25</t>
  </si>
  <si>
    <t>2008-03-25T06:15:38</t>
  </si>
  <si>
    <t>2008-03-25T18:35:25</t>
  </si>
  <si>
    <t>25/03/2008 13:10</t>
  </si>
  <si>
    <t>20/03/2008 18:10</t>
  </si>
  <si>
    <t>2008-03-14</t>
  </si>
  <si>
    <t>2008-03-14T06:31:11</t>
  </si>
  <si>
    <t>2008-03-14T18:26:20</t>
  </si>
  <si>
    <t>14/03/2008 12:15</t>
  </si>
  <si>
    <t>03/03/2008 10:55</t>
  </si>
  <si>
    <t>2008-03-21</t>
  </si>
  <si>
    <t>2008-03-21T06:21:18</t>
  </si>
  <si>
    <t>2008-03-21T18:32:09</t>
  </si>
  <si>
    <t>21/03/2008 15:58</t>
  </si>
  <si>
    <t>2008-11-09</t>
  </si>
  <si>
    <t>2008-11-09T06:48:48</t>
  </si>
  <si>
    <t>2008-11-09T17:17:13</t>
  </si>
  <si>
    <t>09/11/2008 18:00</t>
  </si>
  <si>
    <t>2008-10-31</t>
  </si>
  <si>
    <t>2008-10-31T06:40:05</t>
  </si>
  <si>
    <t>2008-10-31T17:25:23</t>
  </si>
  <si>
    <t>31/10/2008 11:00</t>
  </si>
  <si>
    <t>18/09/2008 14:30</t>
  </si>
  <si>
    <t>2008-04-19</t>
  </si>
  <si>
    <t>2008-04-19T06:41:41</t>
  </si>
  <si>
    <t>2008-04-19T19:55:45</t>
  </si>
  <si>
    <t>19/04/2008 20:13</t>
  </si>
  <si>
    <t>25/03/2008 12:10</t>
  </si>
  <si>
    <t>2008-06-07</t>
  </si>
  <si>
    <t>2008-06-07T06:04:20</t>
  </si>
  <si>
    <t>2008-06-07T20:32:28</t>
  </si>
  <si>
    <t>07/06/2008 12:00</t>
  </si>
  <si>
    <t>2008-09-06</t>
  </si>
  <si>
    <t>2008-09-06T06:55:30</t>
  </si>
  <si>
    <t>2008-09-06T19:39:13</t>
  </si>
  <si>
    <t>06/09/2008 21:40</t>
  </si>
  <si>
    <t>2008-07-22</t>
  </si>
  <si>
    <t>2008-07-22T06:20:47</t>
  </si>
  <si>
    <t>2008-07-22T20:30:31</t>
  </si>
  <si>
    <t>22/07/2008 15:15</t>
  </si>
  <si>
    <t>2008-07-14</t>
  </si>
  <si>
    <t>2008-07-14T06:15:21</t>
  </si>
  <si>
    <t>2008-07-14T20:34:54</t>
  </si>
  <si>
    <t>14/07/2008 03:35</t>
  </si>
  <si>
    <t>2008-01-27</t>
  </si>
  <si>
    <t>2008-01-27T07:22:53</t>
  </si>
  <si>
    <t>2008-01-27T17:41:32</t>
  </si>
  <si>
    <t>27/01/2008 12:10</t>
  </si>
  <si>
    <t>03/08/2008 21:54</t>
  </si>
  <si>
    <t>2008-12-19</t>
  </si>
  <si>
    <t>2008-12-19T07:23:33</t>
  </si>
  <si>
    <t>2008-12-19T17:09:45</t>
  </si>
  <si>
    <t>19/12/2008 18:10</t>
  </si>
  <si>
    <t>24/04/2008 09:00</t>
  </si>
  <si>
    <t>2008-05-06</t>
  </si>
  <si>
    <t>2008-05-06T06:22:43</t>
  </si>
  <si>
    <t>2008-05-06T20:09:45</t>
  </si>
  <si>
    <t>06/05/2008 13:29</t>
  </si>
  <si>
    <t>2008-07-17</t>
  </si>
  <si>
    <t>2008-07-17T06:17:19</t>
  </si>
  <si>
    <t>2008-07-17T20:33:27</t>
  </si>
  <si>
    <t>17/07/2008 12:30</t>
  </si>
  <si>
    <t>2009-06-21</t>
  </si>
  <si>
    <t>2009-06-21T06:04:51</t>
  </si>
  <si>
    <t>2009-06-21T20:37:29</t>
  </si>
  <si>
    <t>21/06/2009 10:55</t>
  </si>
  <si>
    <t>2009-12-23</t>
  </si>
  <si>
    <t>2009-12-23T07:25:26</t>
  </si>
  <si>
    <t>2009-12-23T17:11:36</t>
  </si>
  <si>
    <t>23/12/2009 17:30</t>
  </si>
  <si>
    <t>2009-03-01</t>
  </si>
  <si>
    <t>2009-03-01T06:49:06</t>
  </si>
  <si>
    <t>2009-03-01T18:14:49</t>
  </si>
  <si>
    <t>01/03/2009 12:30</t>
  </si>
  <si>
    <t>2009-09-01</t>
  </si>
  <si>
    <t>2009-09-01T06:51:36</t>
  </si>
  <si>
    <t>2009-09-01T19:46:33</t>
  </si>
  <si>
    <t>01/09/2009 08:20</t>
  </si>
  <si>
    <t>2009-08-25</t>
  </si>
  <si>
    <t>2009-08-25T06:46:21</t>
  </si>
  <si>
    <t>2009-08-25T19:55:58</t>
  </si>
  <si>
    <t>25/08/2009 17:00</t>
  </si>
  <si>
    <t>2009-08-26</t>
  </si>
  <si>
    <t>2009-08-26T06:47:06</t>
  </si>
  <si>
    <t>2009-08-26T19:54:39</t>
  </si>
  <si>
    <t>26/08/2009 17:05</t>
  </si>
  <si>
    <t>2009-08-30</t>
  </si>
  <si>
    <t>2009-08-30T06:50:06</t>
  </si>
  <si>
    <t>2009-08-30T19:49:17</t>
  </si>
  <si>
    <t>30/08/2009 16:30</t>
  </si>
  <si>
    <t>2009-10-10</t>
  </si>
  <si>
    <t>2009-10-10T07:21:17</t>
  </si>
  <si>
    <t>2009-10-10T18:50:54</t>
  </si>
  <si>
    <t>10/10/2009 10:00</t>
  </si>
  <si>
    <t>2009-06-19</t>
  </si>
  <si>
    <t>2009-06-19T06:04:28</t>
  </si>
  <si>
    <t>2009-06-19T20:37:02</t>
  </si>
  <si>
    <t>19/06/2009 16:55</t>
  </si>
  <si>
    <t>10/10/2009 11:40</t>
  </si>
  <si>
    <t>2009-06-11</t>
  </si>
  <si>
    <t>2009-06-11T06:03:58</t>
  </si>
  <si>
    <t>2009-06-11T20:34:14</t>
  </si>
  <si>
    <t>11/06/2009 18:50</t>
  </si>
  <si>
    <t>26/08/2009 11:20</t>
  </si>
  <si>
    <t>2009-02-27</t>
  </si>
  <si>
    <t>2009-02-27T06:51:40</t>
  </si>
  <si>
    <t>2009-02-27T18:13:00</t>
  </si>
  <si>
    <t>27/02/2009 22:10</t>
  </si>
  <si>
    <t>2009-03-17</t>
  </si>
  <si>
    <t>2009-03-17T06:27:18</t>
  </si>
  <si>
    <t>2009-03-17T18:28:38</t>
  </si>
  <si>
    <t>17/03/2009 16:45</t>
  </si>
  <si>
    <t>30/08/2009 16:35</t>
  </si>
  <si>
    <t>11/06/2009 14:55</t>
  </si>
  <si>
    <t>2009-03-11</t>
  </si>
  <si>
    <t>2009-03-11T06:35:41</t>
  </si>
  <si>
    <t>2009-03-11T18:23:34</t>
  </si>
  <si>
    <t>11/03/2009 19:00</t>
  </si>
  <si>
    <t>2009-04-08</t>
  </si>
  <si>
    <t>2009-04-08T06:56:23</t>
  </si>
  <si>
    <t>2009-04-08T19:46:34</t>
  </si>
  <si>
    <t>08/04/2009 16:00</t>
  </si>
  <si>
    <t>08/04/2009 16:40</t>
  </si>
  <si>
    <t>2009-07-17</t>
  </si>
  <si>
    <t>2009-07-17T06:17:09</t>
  </si>
  <si>
    <t>2009-07-17T20:33:34</t>
  </si>
  <si>
    <t>17/07/2009 14:40</t>
  </si>
  <si>
    <t>2009-08-02</t>
  </si>
  <si>
    <t>2009-08-02T06:28:45</t>
  </si>
  <si>
    <t>2009-08-02T20:22:01</t>
  </si>
  <si>
    <t>02/08/2009 18:55</t>
  </si>
  <si>
    <t>2009-08-22</t>
  </si>
  <si>
    <t>2009-08-22T06:44:05</t>
  </si>
  <si>
    <t>2009-08-22T19:59:50</t>
  </si>
  <si>
    <t>22/08/2009 11:25</t>
  </si>
  <si>
    <t>2009-08-24</t>
  </si>
  <si>
    <t>2009-08-24T06:45:36</t>
  </si>
  <si>
    <t>2009-08-24T19:57:16</t>
  </si>
  <si>
    <t>24/08/2009 13:09</t>
  </si>
  <si>
    <t>2009-07-19</t>
  </si>
  <si>
    <t>2009-07-19T06:18:30</t>
  </si>
  <si>
    <t>2009-07-19T20:32:29</t>
  </si>
  <si>
    <t>19/07/2009 13:04</t>
  </si>
  <si>
    <t>2009-07-14</t>
  </si>
  <si>
    <t>2009-07-14T06:15:12</t>
  </si>
  <si>
    <t>2009-07-14T20:34:59</t>
  </si>
  <si>
    <t>14/07/2009 13:00</t>
  </si>
  <si>
    <t>14/07/2009 13:01</t>
  </si>
  <si>
    <t>2009-07-13</t>
  </si>
  <si>
    <t>2009-07-13T06:14:34</t>
  </si>
  <si>
    <t>2009-07-13T20:35:24</t>
  </si>
  <si>
    <t>13/07/2009 13:50</t>
  </si>
  <si>
    <t>2009-08-27</t>
  </si>
  <si>
    <t>2009-08-27T06:47:51</t>
  </si>
  <si>
    <t>2009-08-27T19:53:20</t>
  </si>
  <si>
    <t>27/08/2009 14:59</t>
  </si>
  <si>
    <t>2009-08-31</t>
  </si>
  <si>
    <t>2009-08-31T06:50:51</t>
  </si>
  <si>
    <t>2009-08-31T19:47:55</t>
  </si>
  <si>
    <t>31/08/2009 13:55</t>
  </si>
  <si>
    <t>24/08/2009 21:20</t>
  </si>
  <si>
    <t>2009-07-27</t>
  </si>
  <si>
    <t>2009-07-27T06:24:14</t>
  </si>
  <si>
    <t>2009-07-27T20:27:06</t>
  </si>
  <si>
    <t>27/07/2009 14:15</t>
  </si>
  <si>
    <t>2009-08-09</t>
  </si>
  <si>
    <t>2009-08-09T06:34:07</t>
  </si>
  <si>
    <t>2009-08-09T20:15:05</t>
  </si>
  <si>
    <t>09/08/2009 13:00</t>
  </si>
  <si>
    <t>2009-10-07</t>
  </si>
  <si>
    <t>2009-10-07T07:18:51</t>
  </si>
  <si>
    <t>2009-10-07T18:55:00</t>
  </si>
  <si>
    <t>07/10/2009 13:50</t>
  </si>
  <si>
    <t>2009-06-22</t>
  </si>
  <si>
    <t>2009-06-22T06:05:04</t>
  </si>
  <si>
    <t>2009-06-22T20:37:41</t>
  </si>
  <si>
    <t>22/06/2009 14:00</t>
  </si>
  <si>
    <t>2009-02-06</t>
  </si>
  <si>
    <t>2009-02-06T07:14:46</t>
  </si>
  <si>
    <t>2009-02-06T17:52:38</t>
  </si>
  <si>
    <t>06/02/2009 07:10</t>
  </si>
  <si>
    <t>2009-06-20</t>
  </si>
  <si>
    <t>2009-06-20T06:04:39</t>
  </si>
  <si>
    <t>2009-06-20T20:37:16</t>
  </si>
  <si>
    <t>20/06/2009 22:10</t>
  </si>
  <si>
    <t>31/08/2009 14:10</t>
  </si>
  <si>
    <t>2009-11-27</t>
  </si>
  <si>
    <t>2009-11-27T07:06:10</t>
  </si>
  <si>
    <t>2009-11-27T17:07:38</t>
  </si>
  <si>
    <t>27/11/2009 15:15</t>
  </si>
  <si>
    <t>2009-09-24</t>
  </si>
  <si>
    <t>2009-09-24T07:08:43</t>
  </si>
  <si>
    <t>2009-09-24T19:13:30</t>
  </si>
  <si>
    <t>24/09/2009 00:12</t>
  </si>
  <si>
    <t>2009-05-19</t>
  </si>
  <si>
    <t>2009-05-19T06:12:15</t>
  </si>
  <si>
    <t>2009-05-19T20:19:52</t>
  </si>
  <si>
    <t>19/05/2009 23:30</t>
  </si>
  <si>
    <t>2009-03-20</t>
  </si>
  <si>
    <t>2009-03-20T06:23:03</t>
  </si>
  <si>
    <t>2009-03-20T18:31:07</t>
  </si>
  <si>
    <t>20/03/2009 17:40</t>
  </si>
  <si>
    <t>2009-06-12</t>
  </si>
  <si>
    <t>2009-06-12T06:03:56</t>
  </si>
  <si>
    <t>2009-06-12T20:34:40</t>
  </si>
  <si>
    <t>12/06/2009 11:00</t>
  </si>
  <si>
    <t>2009-09-23</t>
  </si>
  <si>
    <t>2009-09-23T07:07:58</t>
  </si>
  <si>
    <t>2009-09-23T19:14:57</t>
  </si>
  <si>
    <t>23/09/2009 13:45</t>
  </si>
  <si>
    <t>2009-11-17</t>
  </si>
  <si>
    <t>2009-11-17T06:56:27</t>
  </si>
  <si>
    <t>2009-11-17T17:11:53</t>
  </si>
  <si>
    <t>17/11/2009 12:00</t>
  </si>
  <si>
    <t>27/08/2009 14:05</t>
  </si>
  <si>
    <t>2009-09-20</t>
  </si>
  <si>
    <t>2009-09-20T07:05:42</t>
  </si>
  <si>
    <t>2009-09-20T19:19:19</t>
  </si>
  <si>
    <t>20/09/2009 11:40</t>
  </si>
  <si>
    <t>2009-10-02</t>
  </si>
  <si>
    <t>2009-10-02T07:14:52</t>
  </si>
  <si>
    <t>2009-10-02T19:02:00</t>
  </si>
  <si>
    <t>02/10/2009 13:20</t>
  </si>
  <si>
    <t>2009-04-17</t>
  </si>
  <si>
    <t>2009-04-17T06:44:30</t>
  </si>
  <si>
    <t>2009-04-17T19:53:54</t>
  </si>
  <si>
    <t>17/04/2009 15:50</t>
  </si>
  <si>
    <t>2009-08-21</t>
  </si>
  <si>
    <t>2009-08-21T06:43:19</t>
  </si>
  <si>
    <t>2009-08-21T20:01:06</t>
  </si>
  <si>
    <t>21/08/2009 20:27</t>
  </si>
  <si>
    <t>2009-02-11</t>
  </si>
  <si>
    <t>2009-02-11T07:10:02</t>
  </si>
  <si>
    <t>2009-02-11T17:57:41</t>
  </si>
  <si>
    <t>11/02/2009 18:25</t>
  </si>
  <si>
    <t>2009-04-12</t>
  </si>
  <si>
    <t>2009-04-12T06:51:00</t>
  </si>
  <si>
    <t>2009-04-12T19:49:49</t>
  </si>
  <si>
    <t>12/04/2009 16:46</t>
  </si>
  <si>
    <t>2009-03-30</t>
  </si>
  <si>
    <t>2009-03-30T07:08:53</t>
  </si>
  <si>
    <t>2009-03-30T19:39:17</t>
  </si>
  <si>
    <t>30/03/2009 15:40</t>
  </si>
  <si>
    <t>2009-12-24</t>
  </si>
  <si>
    <t>2009-12-24T07:25:53</t>
  </si>
  <si>
    <t>2009-12-24T17:12:10</t>
  </si>
  <si>
    <t>24/12/2009 17:54</t>
  </si>
  <si>
    <t>2009-08-11</t>
  </si>
  <si>
    <t>2009-08-11T06:35:39</t>
  </si>
  <si>
    <t>2009-08-11T20:12:56</t>
  </si>
  <si>
    <t>11/08/2009 12:40</t>
  </si>
  <si>
    <t>2009-10-21</t>
  </si>
  <si>
    <t>2009-10-21T07:30:40</t>
  </si>
  <si>
    <t>2009-10-21T18:36:46</t>
  </si>
  <si>
    <t>21/10/2009 16:55</t>
  </si>
  <si>
    <t>2009-10-03</t>
  </si>
  <si>
    <t>2009-10-03T07:15:39</t>
  </si>
  <si>
    <t>2009-10-03T19:00:35</t>
  </si>
  <si>
    <t>03/10/2009 00:05</t>
  </si>
  <si>
    <t>2009-10-13</t>
  </si>
  <si>
    <t>2009-10-13T07:23:46</t>
  </si>
  <si>
    <t>2009-10-13T18:46:54</t>
  </si>
  <si>
    <t>13/10/2009 10:50</t>
  </si>
  <si>
    <t>03/10/2009 20:15</t>
  </si>
  <si>
    <t>2009-09-04</t>
  </si>
  <si>
    <t>2009-09-04T06:53:50</t>
  </si>
  <si>
    <t>2009-09-04T19:42:22</t>
  </si>
  <si>
    <t>04/09/2009 12:15</t>
  </si>
  <si>
    <t>21/10/2009 17:00</t>
  </si>
  <si>
    <t>2009-10-15</t>
  </si>
  <si>
    <t>2009-10-15T07:25:28</t>
  </si>
  <si>
    <t>2009-10-15T18:44:17</t>
  </si>
  <si>
    <t>15/10/2009 13:55</t>
  </si>
  <si>
    <t>2009-07-28</t>
  </si>
  <si>
    <t>2009-07-28T06:24:59</t>
  </si>
  <si>
    <t>2009-07-28T20:26:19</t>
  </si>
  <si>
    <t>28/07/2009 13:35</t>
  </si>
  <si>
    <t>2009-10-23</t>
  </si>
  <si>
    <t>2009-10-23T07:32:27</t>
  </si>
  <si>
    <t>2009-10-23T18:34:24</t>
  </si>
  <si>
    <t>23/10/2009 14:25</t>
  </si>
  <si>
    <t>10/10/2009 13:50</t>
  </si>
  <si>
    <t>2009-04-11</t>
  </si>
  <si>
    <t>2009-04-11T06:52:20</t>
  </si>
  <si>
    <t>2009-04-11T19:49:00</t>
  </si>
  <si>
    <t>11/04/2009 14:50</t>
  </si>
  <si>
    <t>2009-10-11</t>
  </si>
  <si>
    <t>2009-10-11T07:22:07</t>
  </si>
  <si>
    <t>2009-10-11T18:49:33</t>
  </si>
  <si>
    <t>11/10/2009 14:55</t>
  </si>
  <si>
    <t>13/07/2009 23:20</t>
  </si>
  <si>
    <t>2009-08-16</t>
  </si>
  <si>
    <t>2009-08-16T06:39:30</t>
  </si>
  <si>
    <t>2009-08-16T20:07:13</t>
  </si>
  <si>
    <t>16/08/2009 05:15</t>
  </si>
  <si>
    <t>2009-08-23</t>
  </si>
  <si>
    <t>2009-08-23T06:44:50</t>
  </si>
  <si>
    <t>2009-08-23T19:58:34</t>
  </si>
  <si>
    <t>23/08/2009 05:02</t>
  </si>
  <si>
    <t>2009-10-16</t>
  </si>
  <si>
    <t>2009-10-16T07:26:19</t>
  </si>
  <si>
    <t>2009-10-16T18:43:00</t>
  </si>
  <si>
    <t>16/10/2009 09:55</t>
  </si>
  <si>
    <t>2009-11-21</t>
  </si>
  <si>
    <t>2009-11-21T07:00:24</t>
  </si>
  <si>
    <t>2009-11-21T17:09:48</t>
  </si>
  <si>
    <t>21/11/2009 14:00</t>
  </si>
  <si>
    <t>2009-03-21</t>
  </si>
  <si>
    <t>2009-03-21T06:21:38</t>
  </si>
  <si>
    <t>2009-03-21T18:31:56</t>
  </si>
  <si>
    <t>21/03/2009 15:17</t>
  </si>
  <si>
    <t>2009-12-20</t>
  </si>
  <si>
    <t>2009-12-20T07:23:57</t>
  </si>
  <si>
    <t>2009-12-20T17:10:05</t>
  </si>
  <si>
    <t>20/12/2009 16:08</t>
  </si>
  <si>
    <t>16/10/2009 17:00</t>
  </si>
  <si>
    <t>10/10/2009 13:25</t>
  </si>
  <si>
    <t>2009-11-18</t>
  </si>
  <si>
    <t>2009-11-18T06:57:27</t>
  </si>
  <si>
    <t>2009-11-18T17:11:19</t>
  </si>
  <si>
    <t>18/11/2009 08:00</t>
  </si>
  <si>
    <t>13/10/2009 18:15</t>
  </si>
  <si>
    <t>2009-01-05</t>
  </si>
  <si>
    <t>2009-01-05T07:28:52</t>
  </si>
  <si>
    <t>2009-01-05T17:20:57</t>
  </si>
  <si>
    <t>05/01/2009 14:45</t>
  </si>
  <si>
    <t>2009-11-26</t>
  </si>
  <si>
    <t>2009-11-26T07:05:13</t>
  </si>
  <si>
    <t>2009-11-26T17:07:55</t>
  </si>
  <si>
    <t>26/11/2009 17:50</t>
  </si>
  <si>
    <t>2009-09-21</t>
  </si>
  <si>
    <t>2009-09-21T07:06:27</t>
  </si>
  <si>
    <t>2009-09-21T19:17:52</t>
  </si>
  <si>
    <t>21/09/2009 21:50</t>
  </si>
  <si>
    <t>2009-07-24</t>
  </si>
  <si>
    <t>2009-07-24T06:22:03</t>
  </si>
  <si>
    <t>2009-07-24T20:29:19</t>
  </si>
  <si>
    <t>24/07/2009 14:10</t>
  </si>
  <si>
    <t>2009-10-22</t>
  </si>
  <si>
    <t>2009-10-22T07:31:34</t>
  </si>
  <si>
    <t>2009-10-22T18:35:34</t>
  </si>
  <si>
    <t>22/10/2009 10:20</t>
  </si>
  <si>
    <t>2010-02-04</t>
  </si>
  <si>
    <t>2010-02-04T07:16:42</t>
  </si>
  <si>
    <t>2010-02-04T17:50:20</t>
  </si>
  <si>
    <t>04/02/2010 12:00</t>
  </si>
  <si>
    <t>2010-03-06</t>
  </si>
  <si>
    <t>2010-03-06T06:42:50</t>
  </si>
  <si>
    <t>2010-03-06T18:19:03</t>
  </si>
  <si>
    <t>06/03/2010 14:54</t>
  </si>
  <si>
    <t>2010-03-29</t>
  </si>
  <si>
    <t>2010-03-29T07:10:38</t>
  </si>
  <si>
    <t>2010-03-29T19:38:17</t>
  </si>
  <si>
    <t>29/03/2010 15:35</t>
  </si>
  <si>
    <t>2010-04-25</t>
  </si>
  <si>
    <t>2010-04-25T06:35:00</t>
  </si>
  <si>
    <t>2010-04-25T20:00:17</t>
  </si>
  <si>
    <t>25/04/2010 15:20</t>
  </si>
  <si>
    <t>2010-04-26</t>
  </si>
  <si>
    <t>2010-04-26T06:33:51</t>
  </si>
  <si>
    <t>2010-04-26T20:01:06</t>
  </si>
  <si>
    <t>26/04/2010 21:10</t>
  </si>
  <si>
    <t>2010-05-28</t>
  </si>
  <si>
    <t>2010-05-28T06:07:24</t>
  </si>
  <si>
    <t>2010-05-28T20:26:11</t>
  </si>
  <si>
    <t>28/05/2010 09:25</t>
  </si>
  <si>
    <t>2010-07-07</t>
  </si>
  <si>
    <t>2010-07-07T06:10:57</t>
  </si>
  <si>
    <t>2010-07-07T20:37:23</t>
  </si>
  <si>
    <t>07/07/2010 18:30</t>
  </si>
  <si>
    <t>2010-07-16</t>
  </si>
  <si>
    <t>2010-07-16T06:16:20</t>
  </si>
  <si>
    <t>2010-07-16T20:34:11</t>
  </si>
  <si>
    <t>16/07/2010 20:30</t>
  </si>
  <si>
    <t>2010-07-17</t>
  </si>
  <si>
    <t>2010-07-17T06:17:00</t>
  </si>
  <si>
    <t>2010-07-17T20:33:42</t>
  </si>
  <si>
    <t>17/07/2010 17:00</t>
  </si>
  <si>
    <t>2010-07-19</t>
  </si>
  <si>
    <t>2010-07-19T06:18:21</t>
  </si>
  <si>
    <t>2010-07-19T20:32:38</t>
  </si>
  <si>
    <t>19/07/2010 17:40</t>
  </si>
  <si>
    <t>19/07/2010 18:00</t>
  </si>
  <si>
    <t>2010-08-16</t>
  </si>
  <si>
    <t>2010-08-16T06:39:19</t>
  </si>
  <si>
    <t>2010-08-16T20:07:30</t>
  </si>
  <si>
    <t>16/08/2010 21:59</t>
  </si>
  <si>
    <t>2010-09-30</t>
  </si>
  <si>
    <t>2010-09-30T07:13:08</t>
  </si>
  <si>
    <t>2010-09-30T19:05:12</t>
  </si>
  <si>
    <t>30/09/2010 14:44</t>
  </si>
  <si>
    <t>2010-10-29</t>
  </si>
  <si>
    <t>2010-10-29T07:37:44</t>
  </si>
  <si>
    <t>2010-10-29T18:27:57</t>
  </si>
  <si>
    <t>29/10/2010 17:40</t>
  </si>
  <si>
    <t>2010-11-08</t>
  </si>
  <si>
    <t>2010-11-08T06:47:20</t>
  </si>
  <si>
    <t>2010-11-08T17:18:26</t>
  </si>
  <si>
    <t>08/11/2010 14:53</t>
  </si>
  <si>
    <t>2010-11-10</t>
  </si>
  <si>
    <t>2010-11-10T06:49:18</t>
  </si>
  <si>
    <t>2010-11-10T17:16:49</t>
  </si>
  <si>
    <t>10/11/2010 19:14</t>
  </si>
  <si>
    <t>2010-11-29</t>
  </si>
  <si>
    <t>2010-11-29T07:07:48</t>
  </si>
  <si>
    <t>2010-11-29T17:07:13</t>
  </si>
  <si>
    <t>29/11/2010 17:24</t>
  </si>
  <si>
    <t>2010-12-08</t>
  </si>
  <si>
    <t>2010-12-08T07:15:38</t>
  </si>
  <si>
    <t>2010-12-08T17:06:40</t>
  </si>
  <si>
    <t>08/12/2010 12:14</t>
  </si>
  <si>
    <t>2010-01-01</t>
  </si>
  <si>
    <t>2010-01-01T07:28:21</t>
  </si>
  <si>
    <t>2010-01-01T17:17:33</t>
  </si>
  <si>
    <t>01/01/2010 16:44</t>
  </si>
  <si>
    <t>2010-02-27</t>
  </si>
  <si>
    <t>2010-02-27T06:51:59</t>
  </si>
  <si>
    <t>2010-02-27T18:12:47</t>
  </si>
  <si>
    <t>27/02/2010 12:25</t>
  </si>
  <si>
    <t>27/02/2010 19:10</t>
  </si>
  <si>
    <t>2010-04-09</t>
  </si>
  <si>
    <t>2010-04-09T06:55:22</t>
  </si>
  <si>
    <t>2010-04-09T19:47:11</t>
  </si>
  <si>
    <t>09/04/2010 13:30</t>
  </si>
  <si>
    <t>09/04/2010 13:40</t>
  </si>
  <si>
    <t>09/04/2010 14:00</t>
  </si>
  <si>
    <t>2010-04-24</t>
  </si>
  <si>
    <t>2010-04-24T06:36:11</t>
  </si>
  <si>
    <t>2010-04-24T19:59:28</t>
  </si>
  <si>
    <t>24/04/2010 15:10</t>
  </si>
  <si>
    <t>2010-04-27</t>
  </si>
  <si>
    <t>2010-04-27T06:32:42</t>
  </si>
  <si>
    <t>2010-04-27T20:01:56</t>
  </si>
  <si>
    <t>27/04/2010 01:00</t>
  </si>
  <si>
    <t>2010-04-29</t>
  </si>
  <si>
    <t>2010-04-29T06:30:27</t>
  </si>
  <si>
    <t>2010-04-29T20:03:35</t>
  </si>
  <si>
    <t>29/04/2010 14:25</t>
  </si>
  <si>
    <t>2010-05-16</t>
  </si>
  <si>
    <t>2010-05-16T06:14:33</t>
  </si>
  <si>
    <t>2010-05-16T20:17:23</t>
  </si>
  <si>
    <t>16/05/2010 20:45</t>
  </si>
  <si>
    <t>2010-06-23</t>
  </si>
  <si>
    <t>2010-06-23T06:05:16</t>
  </si>
  <si>
    <t>2010-06-23T20:37:49</t>
  </si>
  <si>
    <t>23/06/2010 16:00</t>
  </si>
  <si>
    <t>07/07/2010 18:44</t>
  </si>
  <si>
    <t>17/07/2010 10:44</t>
  </si>
  <si>
    <t>19/07/2010 17:05</t>
  </si>
  <si>
    <t>19/07/2010 16:45</t>
  </si>
  <si>
    <t>2010-07-26</t>
  </si>
  <si>
    <t>2010-07-26T06:23:20</t>
  </si>
  <si>
    <t>2010-07-26T20:28:03</t>
  </si>
  <si>
    <t>26/07/2010 00:05</t>
  </si>
  <si>
    <t>2010-08-05</t>
  </si>
  <si>
    <t>2010-08-05T06:30:52</t>
  </si>
  <si>
    <t>2010-08-05T20:19:25</t>
  </si>
  <si>
    <t>05/08/2010 14:55</t>
  </si>
  <si>
    <t>2010-08-10</t>
  </si>
  <si>
    <t>2010-08-10T06:34:43</t>
  </si>
  <si>
    <t>2010-08-10T20:14:17</t>
  </si>
  <si>
    <t>10/08/2010 03:25</t>
  </si>
  <si>
    <t>2010-08-23</t>
  </si>
  <si>
    <t>2010-08-23T06:44:40</t>
  </si>
  <si>
    <t>2010-08-23T19:58:53</t>
  </si>
  <si>
    <t>23/08/2010 09:05</t>
  </si>
  <si>
    <t>23/08/2010 00:29</t>
  </si>
  <si>
    <t>2010-08-25</t>
  </si>
  <si>
    <t>2010-08-25T06:46:10</t>
  </si>
  <si>
    <t>2010-08-25T19:56:17</t>
  </si>
  <si>
    <t>25/08/2010 17:00</t>
  </si>
  <si>
    <t>2010-08-26</t>
  </si>
  <si>
    <t>2010-08-26T06:46:56</t>
  </si>
  <si>
    <t>2010-08-26T19:54:59</t>
  </si>
  <si>
    <t>26/08/2010 10:45</t>
  </si>
  <si>
    <t>2010-02-25</t>
  </si>
  <si>
    <t>2010-02-25T06:54:29</t>
  </si>
  <si>
    <t>2010-02-25T18:10:57</t>
  </si>
  <si>
    <t>25/02/2010 15:00</t>
  </si>
  <si>
    <t>2010-06-13</t>
  </si>
  <si>
    <t>2010-06-13T06:03:57</t>
  </si>
  <si>
    <t>2010-06-13T20:34:59</t>
  </si>
  <si>
    <t>13/06/2010 18:30</t>
  </si>
  <si>
    <t>2010-07-11</t>
  </si>
  <si>
    <t>2010-07-11T06:13:12</t>
  </si>
  <si>
    <t>2010-07-11T20:36:15</t>
  </si>
  <si>
    <t>11/07/2010 13:40</t>
  </si>
  <si>
    <t>2010-07-23</t>
  </si>
  <si>
    <t>2010-07-23T06:21:09</t>
  </si>
  <si>
    <t>2010-07-23T20:30:10</t>
  </si>
  <si>
    <t>23/07/2010 12:20</t>
  </si>
  <si>
    <t>2010-08-21</t>
  </si>
  <si>
    <t>2010-08-21T06:43:09</t>
  </si>
  <si>
    <t>2010-08-21T20:01:25</t>
  </si>
  <si>
    <t>21/08/2010 19:05</t>
  </si>
  <si>
    <t>2010-12-05</t>
  </si>
  <si>
    <t>2010-12-05T07:13:09</t>
  </si>
  <si>
    <t>2010-12-05T17:06:34</t>
  </si>
  <si>
    <t>05/12/2010 05:55</t>
  </si>
  <si>
    <t>2010-03-02</t>
  </si>
  <si>
    <t>2010-03-02T06:48:07</t>
  </si>
  <si>
    <t>2010-03-02T18:15:30</t>
  </si>
  <si>
    <t>02/03/2010 19:25</t>
  </si>
  <si>
    <t>2010-03-12</t>
  </si>
  <si>
    <t>2010-03-12T06:34:38</t>
  </si>
  <si>
    <t>2010-03-12T18:24:13</t>
  </si>
  <si>
    <t>12/03/2010 12:00</t>
  </si>
  <si>
    <t>2010-04-11</t>
  </si>
  <si>
    <t>2010-04-11T06:52:40</t>
  </si>
  <si>
    <t>2010-04-11T19:48:49</t>
  </si>
  <si>
    <t>11/04/2010 13:20</t>
  </si>
  <si>
    <t>16/07/2010 13:15</t>
  </si>
  <si>
    <t>2010-10-07</t>
  </si>
  <si>
    <t>2010-10-07T07:18:39</t>
  </si>
  <si>
    <t>2010-10-07T18:55:20</t>
  </si>
  <si>
    <t>07/10/2010 09:30</t>
  </si>
  <si>
    <t>2010-11-09</t>
  </si>
  <si>
    <t>2010-11-09T06:48:19</t>
  </si>
  <si>
    <t>2010-11-09T17:17:36</t>
  </si>
  <si>
    <t>09/11/2010 02:05</t>
  </si>
  <si>
    <t>2010-01-03</t>
  </si>
  <si>
    <t>2010-01-03T07:28:40</t>
  </si>
  <si>
    <t>2010-01-03T17:19:07</t>
  </si>
  <si>
    <t>03/01/2010 18:00</t>
  </si>
  <si>
    <t>2010-02-22</t>
  </si>
  <si>
    <t>2010-02-22T06:58:09</t>
  </si>
  <si>
    <t>2010-02-22T18:08:09</t>
  </si>
  <si>
    <t>22/02/2010 18:45</t>
  </si>
  <si>
    <t>06/03/2010 17:40</t>
  </si>
  <si>
    <t>2010-03-30</t>
  </si>
  <si>
    <t>2010-03-30T07:09:14</t>
  </si>
  <si>
    <t>2010-03-30T19:39:05</t>
  </si>
  <si>
    <t>30/03/2010 20:05</t>
  </si>
  <si>
    <t>2010-04-08</t>
  </si>
  <si>
    <t>2010-04-08T06:56:43</t>
  </si>
  <si>
    <t>2010-04-08T19:46:23</t>
  </si>
  <si>
    <t>08/04/2010 12:15</t>
  </si>
  <si>
    <t>24/04/2010 14:30</t>
  </si>
  <si>
    <t>26/04/2010 09:55</t>
  </si>
  <si>
    <t>2010-04-30</t>
  </si>
  <si>
    <t>2010-04-30T06:29:22</t>
  </si>
  <si>
    <t>2010-04-30T20:04:25</t>
  </si>
  <si>
    <t>30/04/2010 14:35</t>
  </si>
  <si>
    <t>2010-05-08</t>
  </si>
  <si>
    <t>2010-05-08T06:21:16</t>
  </si>
  <si>
    <t>2010-05-08T20:10:59</t>
  </si>
  <si>
    <t>08/05/2010 17:05</t>
  </si>
  <si>
    <t>2010-05-23</t>
  </si>
  <si>
    <t>2010-05-23T06:09:55</t>
  </si>
  <si>
    <t>2010-05-23T20:22:40</t>
  </si>
  <si>
    <t>23/05/2010 12:15</t>
  </si>
  <si>
    <t>2010-06-12</t>
  </si>
  <si>
    <t>2010-06-12T06:03:57</t>
  </si>
  <si>
    <t>2010-06-12T20:34:34</t>
  </si>
  <si>
    <t>12/06/2010 10:30</t>
  </si>
  <si>
    <t>11/07/2010 15:55</t>
  </si>
  <si>
    <t>17/07/2010 16:00</t>
  </si>
  <si>
    <t>2010-08-12</t>
  </si>
  <si>
    <t>2010-08-12T06:36:15</t>
  </si>
  <si>
    <t>2010-08-12T20:12:06</t>
  </si>
  <si>
    <t>12/08/2010 12:15</t>
  </si>
  <si>
    <t>2010-08-14</t>
  </si>
  <si>
    <t>2010-08-14T06:37:47</t>
  </si>
  <si>
    <t>2010-08-14T20:09:50</t>
  </si>
  <si>
    <t>14/08/2010 13:00</t>
  </si>
  <si>
    <t>2010-08-18</t>
  </si>
  <si>
    <t>2010-08-18T06:40:51</t>
  </si>
  <si>
    <t>2010-08-18T20:05:07</t>
  </si>
  <si>
    <t>18/08/2010 01:20</t>
  </si>
  <si>
    <t>2010-08-22</t>
  </si>
  <si>
    <t>2010-08-22T06:43:54</t>
  </si>
  <si>
    <t>2010-08-22T20:00:09</t>
  </si>
  <si>
    <t>22/08/2010 16:35</t>
  </si>
  <si>
    <t>2010-08-27</t>
  </si>
  <si>
    <t>2010-08-27T06:47:41</t>
  </si>
  <si>
    <t>2010-08-27T19:53:39</t>
  </si>
  <si>
    <t>27/08/2010 18:10</t>
  </si>
  <si>
    <t>2010-08-30</t>
  </si>
  <si>
    <t>2010-08-30T06:49:56</t>
  </si>
  <si>
    <t>2010-08-30T19:49:37</t>
  </si>
  <si>
    <t>30/08/2010 15:35</t>
  </si>
  <si>
    <t>2010-08-31</t>
  </si>
  <si>
    <t>2010-08-31T06:50:41</t>
  </si>
  <si>
    <t>2010-08-31T19:48:15</t>
  </si>
  <si>
    <t>31/08/2010 20:10</t>
  </si>
  <si>
    <t>31/08/2010 20:45</t>
  </si>
  <si>
    <t>31/08/2010 21:35</t>
  </si>
  <si>
    <t>2010-09-01</t>
  </si>
  <si>
    <t>2010-09-01T06:51:26</t>
  </si>
  <si>
    <t>2010-09-01T19:46:53</t>
  </si>
  <si>
    <t>01/09/2010 20:45</t>
  </si>
  <si>
    <t>01/09/2010 19:40</t>
  </si>
  <si>
    <t>01/09/2010 17:05</t>
  </si>
  <si>
    <t>2010-09-03</t>
  </si>
  <si>
    <t>2010-09-03T06:52:55</t>
  </si>
  <si>
    <t>2010-09-03T19:44:06</t>
  </si>
  <si>
    <t>03/09/2010 18:20</t>
  </si>
  <si>
    <t>2010-09-05</t>
  </si>
  <si>
    <t>2010-09-05T06:54:24</t>
  </si>
  <si>
    <t>2010-09-05T19:41:18</t>
  </si>
  <si>
    <t>05/09/2010 21:50</t>
  </si>
  <si>
    <t>2010-09-13</t>
  </si>
  <si>
    <t>2010-09-13T07:00:20</t>
  </si>
  <si>
    <t>2010-09-13T19:29:52</t>
  </si>
  <si>
    <t>13/09/2010 20:30</t>
  </si>
  <si>
    <t>2010-09-24</t>
  </si>
  <si>
    <t>2010-09-24T07:08:32</t>
  </si>
  <si>
    <t>2010-09-24T19:13:51</t>
  </si>
  <si>
    <t>24/09/2010 10:15</t>
  </si>
  <si>
    <t>2010-09-26</t>
  </si>
  <si>
    <t>2010-09-26T07:10:03</t>
  </si>
  <si>
    <t>2010-09-26T19:10:57</t>
  </si>
  <si>
    <t>26/09/2010 17:40</t>
  </si>
  <si>
    <t>2010-09-29</t>
  </si>
  <si>
    <t>2010-09-29T07:12:21</t>
  </si>
  <si>
    <t>2010-09-29T19:06:38</t>
  </si>
  <si>
    <t>29/09/2010 06:00</t>
  </si>
  <si>
    <t>29/09/2010 05:50</t>
  </si>
  <si>
    <t>29/09/2010 06:10</t>
  </si>
  <si>
    <t>2010-10-01</t>
  </si>
  <si>
    <t>2010-10-01T07:13:54</t>
  </si>
  <si>
    <t>2010-10-01T19:03:46</t>
  </si>
  <si>
    <t>01/10/2010 14:45</t>
  </si>
  <si>
    <t>2010-10-02</t>
  </si>
  <si>
    <t>2010-10-02T07:14:41</t>
  </si>
  <si>
    <t>2010-10-02T19:02:21</t>
  </si>
  <si>
    <t>02/10/2010 14:10</t>
  </si>
  <si>
    <t>2010-10-09</t>
  </si>
  <si>
    <t>2010-10-09T07:20:16</t>
  </si>
  <si>
    <t>2010-10-09T18:52:35</t>
  </si>
  <si>
    <t>09/10/2010 13:10</t>
  </si>
  <si>
    <t>2010-10-25</t>
  </si>
  <si>
    <t>2010-10-25T07:34:03</t>
  </si>
  <si>
    <t>2010-10-25T18:32:22</t>
  </si>
  <si>
    <t>25/10/2010 18:55</t>
  </si>
  <si>
    <t>25/10/2010 23:00</t>
  </si>
  <si>
    <t>2010-11-04</t>
  </si>
  <si>
    <t>2010-11-04T06:43:26</t>
  </si>
  <si>
    <t>2010-11-04T17:21:58</t>
  </si>
  <si>
    <t>04/11/2010 16:10</t>
  </si>
  <si>
    <t>09/11/2010 19:30</t>
  </si>
  <si>
    <t>10/11/2010 14:45</t>
  </si>
  <si>
    <t>10/11/2010 15:20</t>
  </si>
  <si>
    <t>2010-11-11</t>
  </si>
  <si>
    <t>2010-11-11T06:50:17</t>
  </si>
  <si>
    <t>2010-11-11T17:16:03</t>
  </si>
  <si>
    <t>11/11/2010 11:15</t>
  </si>
  <si>
    <t>2010-11-12</t>
  </si>
  <si>
    <t>2010-11-12T06:51:16</t>
  </si>
  <si>
    <t>2010-11-12T17:15:18</t>
  </si>
  <si>
    <t>12/11/2010 14:00</t>
  </si>
  <si>
    <t>2010-11-22</t>
  </si>
  <si>
    <t>2010-11-22T07:01:08</t>
  </si>
  <si>
    <t>2010-11-22T17:09:29</t>
  </si>
  <si>
    <t>22/11/2010 18:30</t>
  </si>
  <si>
    <t>2010-12-02</t>
  </si>
  <si>
    <t>2010-12-02T07:10:32</t>
  </si>
  <si>
    <t>2010-12-02T17:06:45</t>
  </si>
  <si>
    <t>02/12/2010 11:23</t>
  </si>
  <si>
    <t>2010-06-11</t>
  </si>
  <si>
    <t>2010-06-11T06:04:00</t>
  </si>
  <si>
    <t>2010-06-11T20:34:08</t>
  </si>
  <si>
    <t>11/06/2010 21:40</t>
  </si>
  <si>
    <t>21/08/2010 11:20</t>
  </si>
  <si>
    <t>2010-10-13</t>
  </si>
  <si>
    <t>2010-10-13T07:23:35</t>
  </si>
  <si>
    <t>2010-10-13T18:47:13</t>
  </si>
  <si>
    <t>13/10/2010 19:25</t>
  </si>
  <si>
    <t>10/11/2010 21:55</t>
  </si>
  <si>
    <t>2010-12-01</t>
  </si>
  <si>
    <t>2010-12-01T07:09:38</t>
  </si>
  <si>
    <t>2010-12-01T17:06:52</t>
  </si>
  <si>
    <t>01/12/2010 12:27</t>
  </si>
  <si>
    <t>2010-06-14</t>
  </si>
  <si>
    <t>2010-06-14T06:03:58</t>
  </si>
  <si>
    <t>2010-06-14T20:35:22</t>
  </si>
  <si>
    <t>14/06/2010 16:45</t>
  </si>
  <si>
    <t>2010-08-19</t>
  </si>
  <si>
    <t>2010-08-19T06:41:37</t>
  </si>
  <si>
    <t>2010-08-19T20:03:54</t>
  </si>
  <si>
    <t>19/08/2010 11:40</t>
  </si>
  <si>
    <t>2010-09-15</t>
  </si>
  <si>
    <t>2010-09-15T07:01:49</t>
  </si>
  <si>
    <t>2010-09-15T19:26:57</t>
  </si>
  <si>
    <t>15/09/2010 13:55</t>
  </si>
  <si>
    <t>2010-01-08</t>
  </si>
  <si>
    <t>2010-01-08T07:28:54</t>
  </si>
  <si>
    <t>2010-01-08T17:23:21</t>
  </si>
  <si>
    <t>08/01/2010 12:19</t>
  </si>
  <si>
    <t>2010-09-10</t>
  </si>
  <si>
    <t>2010-09-10T06:58:06</t>
  </si>
  <si>
    <t>2010-09-10T19:34:11</t>
  </si>
  <si>
    <t>10/09/2010 11:52</t>
  </si>
  <si>
    <t>2010-10-10</t>
  </si>
  <si>
    <t>2010-10-10T07:21:05</t>
  </si>
  <si>
    <t>2010-10-10T18:51:14</t>
  </si>
  <si>
    <t>10/10/2010 11:50</t>
  </si>
  <si>
    <t>08/01/2010 12:15</t>
  </si>
  <si>
    <t>2010-01-10</t>
  </si>
  <si>
    <t>2010-01-10T07:28:46</t>
  </si>
  <si>
    <t>2010-01-10T17:25:10</t>
  </si>
  <si>
    <t>10/01/2010 11:45</t>
  </si>
  <si>
    <t>2010-02-02</t>
  </si>
  <si>
    <t>2010-02-02T07:18:19</t>
  </si>
  <si>
    <t>2010-02-02T17:48:16</t>
  </si>
  <si>
    <t>02/02/2010 12:30</t>
  </si>
  <si>
    <t>2010-02-15</t>
  </si>
  <si>
    <t>2010-02-15T07:06:07</t>
  </si>
  <si>
    <t>2010-02-15T18:01:25</t>
  </si>
  <si>
    <t>15/02/2010 19:00</t>
  </si>
  <si>
    <t>2010-04-17</t>
  </si>
  <si>
    <t>2010-04-17T06:44:49</t>
  </si>
  <si>
    <t>2010-04-17T19:53:43</t>
  </si>
  <si>
    <t>17/04/2010 14:15</t>
  </si>
  <si>
    <t>16/05/2010 16:18</t>
  </si>
  <si>
    <t>2010-06-17</t>
  </si>
  <si>
    <t>2010-06-17T06:04:10</t>
  </si>
  <si>
    <t>2010-06-17T20:36:24</t>
  </si>
  <si>
    <t>17/06/2010 03:05</t>
  </si>
  <si>
    <t>18/08/2010 11:45</t>
  </si>
  <si>
    <t>19/08/2010 21:05</t>
  </si>
  <si>
    <t>2010-11-28</t>
  </si>
  <si>
    <t>2010-11-28T07:06:53</t>
  </si>
  <si>
    <t>2010-11-28T17:07:27</t>
  </si>
  <si>
    <t>28/11/2010 18:50</t>
  </si>
  <si>
    <t>2010-12-21</t>
  </si>
  <si>
    <t>2010-12-21T07:24:21</t>
  </si>
  <si>
    <t>2010-12-21T17:10:27</t>
  </si>
  <si>
    <t>21/12/2010 18:40</t>
  </si>
  <si>
    <t>2010-12-27</t>
  </si>
  <si>
    <t>2010-12-27T07:26:57</t>
  </si>
  <si>
    <t>2010-12-27T17:13:51</t>
  </si>
  <si>
    <t>27/12/2010 15:28</t>
  </si>
  <si>
    <t>2010-02-19</t>
  </si>
  <si>
    <t>2010-02-19T07:01:40</t>
  </si>
  <si>
    <t>2010-02-19T18:05:18</t>
  </si>
  <si>
    <t>19/02/2010 13:35</t>
  </si>
  <si>
    <t>19/07/2010 14:40</t>
  </si>
  <si>
    <t>2010-09-07</t>
  </si>
  <si>
    <t>2010-09-07T06:55:53</t>
  </si>
  <si>
    <t>2010-09-07T19:38:28</t>
  </si>
  <si>
    <t>07/09/2010 11:45</t>
  </si>
  <si>
    <t>2010-09-12</t>
  </si>
  <si>
    <t>2010-09-12T06:59:35</t>
  </si>
  <si>
    <t>2010-09-12T19:31:18</t>
  </si>
  <si>
    <t>12/09/2010 15:15</t>
  </si>
  <si>
    <t>24/09/2010 10:50</t>
  </si>
  <si>
    <t>29/09/2010 00:25</t>
  </si>
  <si>
    <t>29/09/2010 10:15</t>
  </si>
  <si>
    <t>2010-10-11</t>
  </si>
  <si>
    <t>2010-10-11T07:21:55</t>
  </si>
  <si>
    <t>2010-10-11T18:49:53</t>
  </si>
  <si>
    <t>11/10/2010 13:02</t>
  </si>
  <si>
    <t>2010-10-14</t>
  </si>
  <si>
    <t>2010-10-14T07:24:25</t>
  </si>
  <si>
    <t>2010-10-14T18:45:54</t>
  </si>
  <si>
    <t>14/10/2010 14:00</t>
  </si>
  <si>
    <t>10/11/2010 16:10</t>
  </si>
  <si>
    <t>28/11/2010 13:15</t>
  </si>
  <si>
    <t>01/12/2010 13:40</t>
  </si>
  <si>
    <t>02/12/2010 09:40</t>
  </si>
  <si>
    <t>2010-06-18</t>
  </si>
  <si>
    <t>2010-06-18T06:04:18</t>
  </si>
  <si>
    <t>2010-06-18T20:36:42</t>
  </si>
  <si>
    <t>18/06/2010 15:25</t>
  </si>
  <si>
    <t>21/08/2010 21:10</t>
  </si>
  <si>
    <t>22/08/2010 05:20</t>
  </si>
  <si>
    <t>2010-09-09</t>
  </si>
  <si>
    <t>2010-09-09T06:57:22</t>
  </si>
  <si>
    <t>2010-09-09T19:35:37</t>
  </si>
  <si>
    <t>09/09/2010 12:15</t>
  </si>
  <si>
    <t>2010-09-11</t>
  </si>
  <si>
    <t>2010-09-11T06:58:51</t>
  </si>
  <si>
    <t>2010-09-11T19:32:45</t>
  </si>
  <si>
    <t>11/09/2010 13:00</t>
  </si>
  <si>
    <t>2010-09-20</t>
  </si>
  <si>
    <t>2010-09-20T07:05:32</t>
  </si>
  <si>
    <t>2010-09-20T19:19:41</t>
  </si>
  <si>
    <t>20/09/2010 12:15</t>
  </si>
  <si>
    <t>2010-09-25</t>
  </si>
  <si>
    <t>2010-09-25T07:09:18</t>
  </si>
  <si>
    <t>2010-09-25T19:12:24</t>
  </si>
  <si>
    <t>25/09/2010 22:45</t>
  </si>
  <si>
    <t>29/09/2010 14:04</t>
  </si>
  <si>
    <t>07/10/2010 14:42</t>
  </si>
  <si>
    <t>11/10/2010 15:50</t>
  </si>
  <si>
    <t>29/11/2010 23:11</t>
  </si>
  <si>
    <t>19/02/2010 12:35</t>
  </si>
  <si>
    <t>2010-06-16</t>
  </si>
  <si>
    <t>2010-06-16T06:04:05</t>
  </si>
  <si>
    <t>2010-06-16T20:36:05</t>
  </si>
  <si>
    <t>16/06/2010 11:45</t>
  </si>
  <si>
    <t>2010-08-20</t>
  </si>
  <si>
    <t>2010-08-20T06:42:23</t>
  </si>
  <si>
    <t>2010-08-20T20:02:40</t>
  </si>
  <si>
    <t>20/08/2010 03:36</t>
  </si>
  <si>
    <t>01/10/2010 16:31</t>
  </si>
  <si>
    <t>2010-10-12</t>
  </si>
  <si>
    <t>2010-10-12T07:22:44</t>
  </si>
  <si>
    <t>2010-10-12T18:48:33</t>
  </si>
  <si>
    <t>12/10/2010 16:35</t>
  </si>
  <si>
    <t>13/10/2010 15:11</t>
  </si>
  <si>
    <t>2010-06-15</t>
  </si>
  <si>
    <t>2010-06-15T06:04:00</t>
  </si>
  <si>
    <t>2010-06-15T20:35:44</t>
  </si>
  <si>
    <t>15/06/2010 13:11</t>
  </si>
  <si>
    <t>01/09/2010 03:44</t>
  </si>
  <si>
    <t>12/10/2010 21:45</t>
  </si>
  <si>
    <t>13/10/2010 17:00</t>
  </si>
  <si>
    <t>2010-03-03</t>
  </si>
  <si>
    <t>2010-03-03T06:46:49</t>
  </si>
  <si>
    <t>2010-03-03T18:16:23</t>
  </si>
  <si>
    <t>03/03/2010 15:30</t>
  </si>
  <si>
    <t>05/08/2010 15:30</t>
  </si>
  <si>
    <t>03/09/2010 13:00</t>
  </si>
  <si>
    <t>20/09/2010 12:00</t>
  </si>
  <si>
    <t>2010-09-22</t>
  </si>
  <si>
    <t>2010-09-22T07:07:02</t>
  </si>
  <si>
    <t>2010-09-22T19:16:46</t>
  </si>
  <si>
    <t>22/09/2010 17:00</t>
  </si>
  <si>
    <t>25/09/2010 22:15</t>
  </si>
  <si>
    <t>09/11/2010 22:20</t>
  </si>
  <si>
    <t>2010-11-24</t>
  </si>
  <si>
    <t>2010-11-24T07:03:05</t>
  </si>
  <si>
    <t>2010-11-24T17:08:40</t>
  </si>
  <si>
    <t>24/11/2010 16:48</t>
  </si>
  <si>
    <t>28/11/2010 11:00</t>
  </si>
  <si>
    <t>2010-02-20</t>
  </si>
  <si>
    <t>2010-02-20T07:00:31</t>
  </si>
  <si>
    <t>2010-02-20T18:06:15</t>
  </si>
  <si>
    <t>20/02/2010 18:10</t>
  </si>
  <si>
    <t>02/12/2010 10:15</t>
  </si>
  <si>
    <t>01/01/2010 11:39</t>
  </si>
  <si>
    <t>20/02/2010 10:40</t>
  </si>
  <si>
    <t>02/03/2010 13:45</t>
  </si>
  <si>
    <t>2010-03-31</t>
  </si>
  <si>
    <t>2010-03-31T07:07:49</t>
  </si>
  <si>
    <t>2010-03-31T19:39:54</t>
  </si>
  <si>
    <t>31/03/2010 11:39</t>
  </si>
  <si>
    <t>2010-04-13</t>
  </si>
  <si>
    <t>2010-04-13T06:50:01</t>
  </si>
  <si>
    <t>2010-04-13T19:50:27</t>
  </si>
  <si>
    <t>13/04/2010 17:40</t>
  </si>
  <si>
    <t>2010-04-28</t>
  </si>
  <si>
    <t>2010-04-28T06:31:34</t>
  </si>
  <si>
    <t>2010-04-28T20:02:46</t>
  </si>
  <si>
    <t>28/04/2010 14:54</t>
  </si>
  <si>
    <t>2010-07-29</t>
  </si>
  <si>
    <t>2010-07-29T06:25:33</t>
  </si>
  <si>
    <t>2010-07-29T20:25:42</t>
  </si>
  <si>
    <t>29/07/2010 21:05</t>
  </si>
  <si>
    <t>2010-07-30</t>
  </si>
  <si>
    <t>2010-07-30T06:26:18</t>
  </si>
  <si>
    <t>2010-07-30T20:24:52</t>
  </si>
  <si>
    <t>30/07/2010 22:00</t>
  </si>
  <si>
    <t>21/08/2010 20:20</t>
  </si>
  <si>
    <t>2010-02-10</t>
  </si>
  <si>
    <t>2010-02-10T07:11:15</t>
  </si>
  <si>
    <t>2010-02-10T17:56:27</t>
  </si>
  <si>
    <t>10/02/2010 10:15</t>
  </si>
  <si>
    <t>25/09/2010 20:20</t>
  </si>
  <si>
    <t>13/04/2010 12:05</t>
  </si>
  <si>
    <t>2010-07-15</t>
  </si>
  <si>
    <t>2010-07-15T06:15:41</t>
  </si>
  <si>
    <t>2010-07-15T20:34:39</t>
  </si>
  <si>
    <t>15/07/2010 15:20</t>
  </si>
  <si>
    <t>2010-08-15</t>
  </si>
  <si>
    <t>2010-08-15T06:38:33</t>
  </si>
  <si>
    <t>2010-08-15T20:08:41</t>
  </si>
  <si>
    <t>15/08/2010 03:29</t>
  </si>
  <si>
    <t>21/08/2010 21:28</t>
  </si>
  <si>
    <t>2010-12-25</t>
  </si>
  <si>
    <t>2010-12-25T07:26:12</t>
  </si>
  <si>
    <t>2010-12-25T17:12:37</t>
  </si>
  <si>
    <t>25/12/2010 16:15</t>
  </si>
  <si>
    <t>2010-07-06</t>
  </si>
  <si>
    <t>2010-07-06T06:10:25</t>
  </si>
  <si>
    <t>2010-07-06T20:37:35</t>
  </si>
  <si>
    <t>06/07/2010 14:43</t>
  </si>
  <si>
    <t>23/07/2010 07:00</t>
  </si>
  <si>
    <t>2010-07-25</t>
  </si>
  <si>
    <t>2010-07-25T06:22:36</t>
  </si>
  <si>
    <t>2010-07-25T20:28:47</t>
  </si>
  <si>
    <t>25/07/2010 22:40</t>
  </si>
  <si>
    <t>2010-07-31</t>
  </si>
  <si>
    <t>2010-07-31T06:27:04</t>
  </si>
  <si>
    <t>2010-07-31T20:24:01</t>
  </si>
  <si>
    <t>31/07/2010 16:04</t>
  </si>
  <si>
    <t>10/11/2010 11:30</t>
  </si>
  <si>
    <t>24/11/2010 08:17</t>
  </si>
  <si>
    <t>2010-11-27</t>
  </si>
  <si>
    <t>2010-11-27T07:05:56</t>
  </si>
  <si>
    <t>2010-11-27T17:07:42</t>
  </si>
  <si>
    <t>27/11/2010 12:20</t>
  </si>
  <si>
    <t>21/12/2010 12:20</t>
  </si>
  <si>
    <t>2011-02-07</t>
  </si>
  <si>
    <t>2011-02-07T07:14:18</t>
  </si>
  <si>
    <t>2011-02-07T17:53:10</t>
  </si>
  <si>
    <t>16:44</t>
  </si>
  <si>
    <t>07/02/2011 16:44</t>
  </si>
  <si>
    <t>2011-02-13</t>
  </si>
  <si>
    <t>2011-02-13T07:08:29</t>
  </si>
  <si>
    <t>2011-02-13T17:59:12</t>
  </si>
  <si>
    <t>13/02/2011 14:40</t>
  </si>
  <si>
    <t>2011-02-28</t>
  </si>
  <si>
    <t>2011-02-28T06:51:01</t>
  </si>
  <si>
    <t>2011-02-28T18:13:29</t>
  </si>
  <si>
    <t>18:16</t>
  </si>
  <si>
    <t>28/02/2011 18:16</t>
  </si>
  <si>
    <t>2011-03-11</t>
  </si>
  <si>
    <t>2011-03-11T06:36:21</t>
  </si>
  <si>
    <t>2011-03-11T18:23:10</t>
  </si>
  <si>
    <t>19:10</t>
  </si>
  <si>
    <t>11/03/2011 19:10</t>
  </si>
  <si>
    <t>2011-03-12</t>
  </si>
  <si>
    <t>2011-03-12T06:34:58</t>
  </si>
  <si>
    <t>2011-03-12T18:24:01</t>
  </si>
  <si>
    <t>16:10</t>
  </si>
  <si>
    <t>12/03/2011 16:10</t>
  </si>
  <si>
    <t>2011-03-27</t>
  </si>
  <si>
    <t>2011-03-27T07:13:49</t>
  </si>
  <si>
    <t>2011-03-27T19:36:27</t>
  </si>
  <si>
    <t>10:54</t>
  </si>
  <si>
    <t>27/03/2011 10:54</t>
  </si>
  <si>
    <t>2011-04-24</t>
  </si>
  <si>
    <t>2011-04-24T06:36:28</t>
  </si>
  <si>
    <t>2011-04-24T19:59:16</t>
  </si>
  <si>
    <t>24/04/2011 19:39</t>
  </si>
  <si>
    <t>2011-08-05</t>
  </si>
  <si>
    <t>2011-08-05T06:30:41</t>
  </si>
  <si>
    <t>2011-08-05T20:19:39</t>
  </si>
  <si>
    <t>16:50</t>
  </si>
  <si>
    <t>05/08/2011 16:50</t>
  </si>
  <si>
    <t>2011-08-25</t>
  </si>
  <si>
    <t>2011-08-25T06:46:00</t>
  </si>
  <si>
    <t>2011-08-25T19:56:37</t>
  </si>
  <si>
    <t>17:35</t>
  </si>
  <si>
    <t>25/08/2011 17:35</t>
  </si>
  <si>
    <t>2011-08-31</t>
  </si>
  <si>
    <t>2011-08-31T06:50:30</t>
  </si>
  <si>
    <t>2011-08-31T19:48:35</t>
  </si>
  <si>
    <t>15:45</t>
  </si>
  <si>
    <t>31/08/2011 15:45</t>
  </si>
  <si>
    <t>2011-09-02</t>
  </si>
  <si>
    <t>2011-09-02T06:52:00</t>
  </si>
  <si>
    <t>2011-09-02T19:45:50</t>
  </si>
  <si>
    <t>19:14</t>
  </si>
  <si>
    <t>02/09/2011 19:14</t>
  </si>
  <si>
    <t>2011-09-18</t>
  </si>
  <si>
    <t>2011-09-18T07:03:52</t>
  </si>
  <si>
    <t>2011-09-18T19:22:57</t>
  </si>
  <si>
    <t>18/09/2011 12:45</t>
  </si>
  <si>
    <t>2011-09-24</t>
  </si>
  <si>
    <t>2011-09-24T07:08:22</t>
  </si>
  <si>
    <t>2011-09-24T19:14:13</t>
  </si>
  <si>
    <t>17:50</t>
  </si>
  <si>
    <t>24/09/2011 17:50</t>
  </si>
  <si>
    <t>2011-09-26</t>
  </si>
  <si>
    <t>2011-09-26T07:09:53</t>
  </si>
  <si>
    <t>2011-09-26T19:11:19</t>
  </si>
  <si>
    <t>26/09/2011 15:50</t>
  </si>
  <si>
    <t>2011-10-29</t>
  </si>
  <si>
    <t>2011-10-29T07:37:31</t>
  </si>
  <si>
    <t>2011-10-29T18:28:13</t>
  </si>
  <si>
    <t>29/10/2011 12:30</t>
  </si>
  <si>
    <t>2011-12-17</t>
  </si>
  <si>
    <t>2011-12-17T07:21:55</t>
  </si>
  <si>
    <t>2011-12-17T17:08:39</t>
  </si>
  <si>
    <t>17/12/2011 12:00</t>
  </si>
  <si>
    <t>2011-03-25</t>
  </si>
  <si>
    <t>2011-03-25T06:16:39</t>
  </si>
  <si>
    <t>2011-03-25T18:34:50</t>
  </si>
  <si>
    <t>12:15</t>
  </si>
  <si>
    <t>25/03/2011 12:15</t>
  </si>
  <si>
    <t>2011-06-17</t>
  </si>
  <si>
    <t>2011-06-17T06:04:09</t>
  </si>
  <si>
    <t>2011-06-17T20:36:20</t>
  </si>
  <si>
    <t>14:15</t>
  </si>
  <si>
    <t>17/06/2011 14:15</t>
  </si>
  <si>
    <t>2011-06-24</t>
  </si>
  <si>
    <t>2011-06-24T06:05:29</t>
  </si>
  <si>
    <t>2011-06-24T20:37:56</t>
  </si>
  <si>
    <t>13:19</t>
  </si>
  <si>
    <t>24/06/2011 13:19</t>
  </si>
  <si>
    <t>2011-07-09</t>
  </si>
  <si>
    <t>2011-07-09T06:11:55</t>
  </si>
  <si>
    <t>2011-07-09T20:36:56</t>
  </si>
  <si>
    <t>16:20</t>
  </si>
  <si>
    <t>09/07/2011 16:20</t>
  </si>
  <si>
    <t>2011-07-15</t>
  </si>
  <si>
    <t>2011-07-15T06:15:33</t>
  </si>
  <si>
    <t>2011-07-15T20:34:46</t>
  </si>
  <si>
    <t>11:09</t>
  </si>
  <si>
    <t>15/07/2011 11:09</t>
  </si>
  <si>
    <t>2011-07-17</t>
  </si>
  <si>
    <t>2011-07-17T06:16:51</t>
  </si>
  <si>
    <t>2011-07-17T20:33:49</t>
  </si>
  <si>
    <t>09:55</t>
  </si>
  <si>
    <t>17/07/2011 09:55</t>
  </si>
  <si>
    <t>2011-07-20</t>
  </si>
  <si>
    <t>2011-07-20T06:18:53</t>
  </si>
  <si>
    <t>2011-07-20T20:32:12</t>
  </si>
  <si>
    <t>13:34</t>
  </si>
  <si>
    <t>20/07/2011 13:34</t>
  </si>
  <si>
    <t>2011-08-02</t>
  </si>
  <si>
    <t>2011-08-02T06:28:24</t>
  </si>
  <si>
    <t>2011-08-02T20:22:28</t>
  </si>
  <si>
    <t>02/08/2011 21:00</t>
  </si>
  <si>
    <t>2011-08-04</t>
  </si>
  <si>
    <t>2011-08-04T06:29:56</t>
  </si>
  <si>
    <t>2011-08-04T20:20:37</t>
  </si>
  <si>
    <t>04/08/2011 14:05</t>
  </si>
  <si>
    <t>2011-08-13</t>
  </si>
  <si>
    <t>2011-08-13T06:36:50</t>
  </si>
  <si>
    <t>2011-08-13T20:11:15</t>
  </si>
  <si>
    <t>13/08/2011 15:15</t>
  </si>
  <si>
    <t>2011-08-14</t>
  </si>
  <si>
    <t>2011-08-14T06:37:37</t>
  </si>
  <si>
    <t>2011-08-14T20:10:07</t>
  </si>
  <si>
    <t>16:14</t>
  </si>
  <si>
    <t>14/08/2011 16:14</t>
  </si>
  <si>
    <t>2011-08-22</t>
  </si>
  <si>
    <t>2011-08-22T06:43:44</t>
  </si>
  <si>
    <t>2011-08-22T20:00:28</t>
  </si>
  <si>
    <t>14:00</t>
  </si>
  <si>
    <t>22/08/2011 14:00</t>
  </si>
  <si>
    <t>07:25</t>
  </si>
  <si>
    <t>26/09/2011 07:25</t>
  </si>
  <si>
    <t>2011-09-29</t>
  </si>
  <si>
    <t>2011-09-29T07:12:11</t>
  </si>
  <si>
    <t>2011-09-29T19:06:59</t>
  </si>
  <si>
    <t>29/09/2011 12:30</t>
  </si>
  <si>
    <t>2011-11-04</t>
  </si>
  <si>
    <t>2011-11-04T06:43:12</t>
  </si>
  <si>
    <t>2011-11-04T17:22:12</t>
  </si>
  <si>
    <t>17:20</t>
  </si>
  <si>
    <t>04/11/2011 17:20</t>
  </si>
  <si>
    <t>2011-11-10</t>
  </si>
  <si>
    <t>2011-11-10T06:49:03</t>
  </si>
  <si>
    <t>2011-11-10T17:17:01</t>
  </si>
  <si>
    <t>11:33</t>
  </si>
  <si>
    <t>10/11/2011 11:33</t>
  </si>
  <si>
    <t>2011-11-23</t>
  </si>
  <si>
    <t>2011-11-23T07:01:53</t>
  </si>
  <si>
    <t>2011-11-23T17:09:10</t>
  </si>
  <si>
    <t>23/11/2011 17:45</t>
  </si>
  <si>
    <t>2011-02-08</t>
  </si>
  <si>
    <t>2011-02-08T07:13:23</t>
  </si>
  <si>
    <t>2011-02-08T17:54:11</t>
  </si>
  <si>
    <t>15:40</t>
  </si>
  <si>
    <t>08/02/2011 15:40</t>
  </si>
  <si>
    <t>2011-04-14</t>
  </si>
  <si>
    <t>2011-04-14T06:49:01</t>
  </si>
  <si>
    <t>2011-04-14T19:51:04</t>
  </si>
  <si>
    <t>14/04/2011 15:25</t>
  </si>
  <si>
    <t>2011-05-09</t>
  </si>
  <si>
    <t>2011-05-09T06:20:35</t>
  </si>
  <si>
    <t>2011-05-09T20:11:36</t>
  </si>
  <si>
    <t>09/05/2011 16:00</t>
  </si>
  <si>
    <t>2011-07-10</t>
  </si>
  <si>
    <t>2011-07-10T06:12:29</t>
  </si>
  <si>
    <t>2011-07-10T20:36:39</t>
  </si>
  <si>
    <t>17:30</t>
  </si>
  <si>
    <t>10/07/2011 17:30</t>
  </si>
  <si>
    <t>2011-07-11</t>
  </si>
  <si>
    <t>2011-07-11T06:13:04</t>
  </si>
  <si>
    <t>2011-07-11T20:36:20</t>
  </si>
  <si>
    <t>11:20</t>
  </si>
  <si>
    <t>11/07/2011 11:20</t>
  </si>
  <si>
    <t>2011-08-18</t>
  </si>
  <si>
    <t>2011-08-18T06:40:41</t>
  </si>
  <si>
    <t>2011-08-18T20:05:25</t>
  </si>
  <si>
    <t>18/08/2011 15:05</t>
  </si>
  <si>
    <t>2011-08-21</t>
  </si>
  <si>
    <t>2011-08-21T06:42:58</t>
  </si>
  <si>
    <t>2011-08-21T20:01:43</t>
  </si>
  <si>
    <t>11:30</t>
  </si>
  <si>
    <t>21/08/2011 11:30</t>
  </si>
  <si>
    <t>29/09/2011 15:00</t>
  </si>
  <si>
    <t>2011-10-30</t>
  </si>
  <si>
    <t>2011-10-30T06:38:27</t>
  </si>
  <si>
    <t>2011-10-30T17:27:10</t>
  </si>
  <si>
    <t>18:20</t>
  </si>
  <si>
    <t>30/10/2011 18:20</t>
  </si>
  <si>
    <t>2011-11-03</t>
  </si>
  <si>
    <t>2011-11-03T06:42:15</t>
  </si>
  <si>
    <t>2011-11-03T17:23:08</t>
  </si>
  <si>
    <t>03/11/2011 15:50</t>
  </si>
  <si>
    <t>2011-12-29</t>
  </si>
  <si>
    <t>2011-12-29T07:27:31</t>
  </si>
  <si>
    <t>2011-12-29T17:15:02</t>
  </si>
  <si>
    <t>29/12/2011 15:45</t>
  </si>
  <si>
    <t>2011-06-25</t>
  </si>
  <si>
    <t>2011-06-25T06:05:46</t>
  </si>
  <si>
    <t>2011-06-25T20:38:03</t>
  </si>
  <si>
    <t>19:50</t>
  </si>
  <si>
    <t>25/06/2011 19:50</t>
  </si>
  <si>
    <t>2011-11-16</t>
  </si>
  <si>
    <t>2011-11-16T06:54:59</t>
  </si>
  <si>
    <t>2011-11-16T17:12:47</t>
  </si>
  <si>
    <t>12:55</t>
  </si>
  <si>
    <t>16/11/2011 12:55</t>
  </si>
  <si>
    <t>2011-11-20</t>
  </si>
  <si>
    <t>2011-11-20T06:58:57</t>
  </si>
  <si>
    <t>2011-11-20T17:10:32</t>
  </si>
  <si>
    <t>20/11/2011 12:50</t>
  </si>
  <si>
    <t>07/02/2011 14:20</t>
  </si>
  <si>
    <t>25/03/2011 17:40</t>
  </si>
  <si>
    <t>2011-05-24</t>
  </si>
  <si>
    <t>2011-05-24T06:09:30</t>
  </si>
  <si>
    <t>2011-05-24T20:23:14</t>
  </si>
  <si>
    <t>24/05/2011 18:35</t>
  </si>
  <si>
    <t>2011-06-23</t>
  </si>
  <si>
    <t>2011-06-23T06:05:13</t>
  </si>
  <si>
    <t>2011-06-23T20:37:46</t>
  </si>
  <si>
    <t>14:45</t>
  </si>
  <si>
    <t>23/06/2011 14:45</t>
  </si>
  <si>
    <t>2011-06-26</t>
  </si>
  <si>
    <t>2011-06-26T06:06:05</t>
  </si>
  <si>
    <t>2011-06-26T20:38:09</t>
  </si>
  <si>
    <t>10:40</t>
  </si>
  <si>
    <t>26/06/2011 10:40</t>
  </si>
  <si>
    <t>2011-06-29</t>
  </si>
  <si>
    <t>2011-06-29T06:07:08</t>
  </si>
  <si>
    <t>2011-06-29T20:38:18</t>
  </si>
  <si>
    <t>29/06/2011 10:30</t>
  </si>
  <si>
    <t>2011-07-03</t>
  </si>
  <si>
    <t>2011-07-03T06:08:50</t>
  </si>
  <si>
    <t>2011-07-03T20:38:05</t>
  </si>
  <si>
    <t>03/07/2011 18:55</t>
  </si>
  <si>
    <t>03/07/2011 17:00</t>
  </si>
  <si>
    <t>2011-07-07</t>
  </si>
  <si>
    <t>2011-07-07T06:10:49</t>
  </si>
  <si>
    <t>2011-07-07T20:37:26</t>
  </si>
  <si>
    <t>10:05</t>
  </si>
  <si>
    <t>07/07/2011 10:05</t>
  </si>
  <si>
    <t>2011-07-12</t>
  </si>
  <si>
    <t>2011-07-12T06:13:40</t>
  </si>
  <si>
    <t>2011-07-12T20:35:59</t>
  </si>
  <si>
    <t>12/07/2011 17:20</t>
  </si>
  <si>
    <t>09:45</t>
  </si>
  <si>
    <t>12/07/2011 09:45</t>
  </si>
  <si>
    <t>2011-07-13</t>
  </si>
  <si>
    <t>2011-07-13T06:14:17</t>
  </si>
  <si>
    <t>2011-07-13T20:35:36</t>
  </si>
  <si>
    <t>13/07/2011 18:05</t>
  </si>
  <si>
    <t>20:40</t>
  </si>
  <si>
    <t>17/07/2011 20:40</t>
  </si>
  <si>
    <t>2011-07-18</t>
  </si>
  <si>
    <t>2011-07-18T06:17:31</t>
  </si>
  <si>
    <t>2011-07-18T20:33:18</t>
  </si>
  <si>
    <t>18/07/2011 16:10</t>
  </si>
  <si>
    <t>2011-07-22</t>
  </si>
  <si>
    <t>2011-07-22T06:20:17</t>
  </si>
  <si>
    <t>2011-07-22T20:30:59</t>
  </si>
  <si>
    <t>19:20</t>
  </si>
  <si>
    <t>22/07/2011 19:20</t>
  </si>
  <si>
    <t>22/07/2011 17:10</t>
  </si>
  <si>
    <t>2011-07-24</t>
  </si>
  <si>
    <t>2011-07-24T06:21:43</t>
  </si>
  <si>
    <t>2011-07-24T20:29:39</t>
  </si>
  <si>
    <t>03:20</t>
  </si>
  <si>
    <t>24/07/2011 03:20</t>
  </si>
  <si>
    <t>2011-07-29</t>
  </si>
  <si>
    <t>2011-07-29T06:25:23</t>
  </si>
  <si>
    <t>2011-07-29T20:25:54</t>
  </si>
  <si>
    <t>29/07/2011 15:45</t>
  </si>
  <si>
    <t>2011-07-30</t>
  </si>
  <si>
    <t>2011-07-30T06:26:08</t>
  </si>
  <si>
    <t>2011-07-30T20:25:05</t>
  </si>
  <si>
    <t>30/07/2011 15:50</t>
  </si>
  <si>
    <t>2011-08-08</t>
  </si>
  <si>
    <t>2011-08-08T06:33:00</t>
  </si>
  <si>
    <t>2011-08-08T20:16:39</t>
  </si>
  <si>
    <t>17:02</t>
  </si>
  <si>
    <t>08/08/2011 17:02</t>
  </si>
  <si>
    <t>21/08/2011 13:30</t>
  </si>
  <si>
    <t>2011-09-10</t>
  </si>
  <si>
    <t>2011-09-10T06:57:56</t>
  </si>
  <si>
    <t>2011-09-10T19:34:32</t>
  </si>
  <si>
    <t>10/09/2011 13:50</t>
  </si>
  <si>
    <t>10/09/2011 13:55</t>
  </si>
  <si>
    <t>13:40</t>
  </si>
  <si>
    <t>10/09/2011 13:40</t>
  </si>
  <si>
    <t>18/09/2011 09:30</t>
  </si>
  <si>
    <t>2011-09-27</t>
  </si>
  <si>
    <t>2011-09-27T07:10:38</t>
  </si>
  <si>
    <t>2011-09-27T19:09:52</t>
  </si>
  <si>
    <t>11:10</t>
  </si>
  <si>
    <t>27/09/2011 11:10</t>
  </si>
  <si>
    <t>2011-09-28</t>
  </si>
  <si>
    <t>2011-09-28T07:11:24</t>
  </si>
  <si>
    <t>2011-09-28T19:08:25</t>
  </si>
  <si>
    <t>22:00</t>
  </si>
  <si>
    <t>28/09/2011 22:00</t>
  </si>
  <si>
    <t>2011-09-30</t>
  </si>
  <si>
    <t>2011-09-30T07:12:57</t>
  </si>
  <si>
    <t>2011-09-30T19:05:33</t>
  </si>
  <si>
    <t>21:20</t>
  </si>
  <si>
    <t>30/09/2011 21:20</t>
  </si>
  <si>
    <t>2011-10-06</t>
  </si>
  <si>
    <t>2011-10-06T07:17:40</t>
  </si>
  <si>
    <t>2011-10-06T18:57:04</t>
  </si>
  <si>
    <t>19:15</t>
  </si>
  <si>
    <t>06/10/2011 19:15</t>
  </si>
  <si>
    <t>2011-10-13</t>
  </si>
  <si>
    <t>2011-10-13T07:23:23</t>
  </si>
  <si>
    <t>2011-10-13T18:47:33</t>
  </si>
  <si>
    <t>11:45</t>
  </si>
  <si>
    <t>13/10/2011 11:45</t>
  </si>
  <si>
    <t>2011-10-24</t>
  </si>
  <si>
    <t>2011-10-24T07:32:56</t>
  </si>
  <si>
    <t>2011-10-24T18:33:48</t>
  </si>
  <si>
    <t>24/10/2011 19:50</t>
  </si>
  <si>
    <t>2011-10-26</t>
  </si>
  <si>
    <t>2011-10-26T07:34:45</t>
  </si>
  <si>
    <t>2011-10-26T18:31:31</t>
  </si>
  <si>
    <t>26/10/2011 23:50</t>
  </si>
  <si>
    <t>30/10/2011 12:35</t>
  </si>
  <si>
    <t>10:35</t>
  </si>
  <si>
    <t>30/10/2011 10:35</t>
  </si>
  <si>
    <t>2011-10-31</t>
  </si>
  <si>
    <t>2011-10-31T06:39:24</t>
  </si>
  <si>
    <t>2011-10-31T17:26:07</t>
  </si>
  <si>
    <t>31/10/2011 19:15</t>
  </si>
  <si>
    <t>18:09</t>
  </si>
  <si>
    <t>31/10/2011 18:09</t>
  </si>
  <si>
    <t>2011-11-02</t>
  </si>
  <si>
    <t>2011-11-02T06:41:17</t>
  </si>
  <si>
    <t>2011-11-02T17:24:07</t>
  </si>
  <si>
    <t>02/11/2011 17:30</t>
  </si>
  <si>
    <t>14:35</t>
  </si>
  <si>
    <t>04/11/2011 14:35</t>
  </si>
  <si>
    <t>2011-11-08</t>
  </si>
  <si>
    <t>2011-11-08T06:47:06</t>
  </si>
  <si>
    <t>2011-11-08T17:18:38</t>
  </si>
  <si>
    <t>08/11/2011 15:40</t>
  </si>
  <si>
    <t>2011-11-12</t>
  </si>
  <si>
    <t>2011-11-12T06:51:02</t>
  </si>
  <si>
    <t>2011-11-12T17:15:29</t>
  </si>
  <si>
    <t>16:38</t>
  </si>
  <si>
    <t>12/11/2011 16:38</t>
  </si>
  <si>
    <t>2011-11-13</t>
  </si>
  <si>
    <t>2011-11-13T06:52:01</t>
  </si>
  <si>
    <t>2011-11-13T17:14:46</t>
  </si>
  <si>
    <t>13/11/2011 12:00</t>
  </si>
  <si>
    <t>2011-11-14</t>
  </si>
  <si>
    <t>2011-11-14T06:53:01</t>
  </si>
  <si>
    <t>2011-11-14T17:14:05</t>
  </si>
  <si>
    <t>13:45</t>
  </si>
  <si>
    <t>14/11/2011 13:45</t>
  </si>
  <si>
    <t>14/11/2011 18:10</t>
  </si>
  <si>
    <t>08:40</t>
  </si>
  <si>
    <t>14/11/2011 08:40</t>
  </si>
  <si>
    <t>2011-11-15</t>
  </si>
  <si>
    <t>2011-11-15T06:54:00</t>
  </si>
  <si>
    <t>2011-11-15T17:13:25</t>
  </si>
  <si>
    <t>Cloudy skies throughout the day with rain clearing later.</t>
  </si>
  <si>
    <t>13:15</t>
  </si>
  <si>
    <t>15/11/2011 13:15</t>
  </si>
  <si>
    <t>2011-11-18</t>
  </si>
  <si>
    <t>2011-11-18T06:56:58</t>
  </si>
  <si>
    <t>2011-11-18T17:11:36</t>
  </si>
  <si>
    <t>09:54</t>
  </si>
  <si>
    <t>18/11/2011 09:54</t>
  </si>
  <si>
    <t>2011-11-19</t>
  </si>
  <si>
    <t>2011-11-19T06:57:57</t>
  </si>
  <si>
    <t>2011-11-19T17:11:03</t>
  </si>
  <si>
    <t>23:15</t>
  </si>
  <si>
    <t>19/11/2011 23:15</t>
  </si>
  <si>
    <t>2011-11-22</t>
  </si>
  <si>
    <t>2011-11-22T07:00:54</t>
  </si>
  <si>
    <t>2011-11-22T17:09:35</t>
  </si>
  <si>
    <t>17:39</t>
  </si>
  <si>
    <t>22/11/2011 17:39</t>
  </si>
  <si>
    <t>2011-11-24</t>
  </si>
  <si>
    <t>2011-11-24T07:02:51</t>
  </si>
  <si>
    <t>2011-11-24T17:08:46</t>
  </si>
  <si>
    <t>23:35</t>
  </si>
  <si>
    <t>24/11/2011 23:35</t>
  </si>
  <si>
    <t>2011-11-26</t>
  </si>
  <si>
    <t>2011-11-26T07:04:46</t>
  </si>
  <si>
    <t>2011-11-26T17:08:05</t>
  </si>
  <si>
    <t>00:25</t>
  </si>
  <si>
    <t>26/11/2011 00:25</t>
  </si>
  <si>
    <t>2011-11-29</t>
  </si>
  <si>
    <t>2011-11-29T07:07:35</t>
  </si>
  <si>
    <t>2011-11-29T17:07:17</t>
  </si>
  <si>
    <t>10:25</t>
  </si>
  <si>
    <t>29/11/2011 10:25</t>
  </si>
  <si>
    <t>2011-12-04</t>
  </si>
  <si>
    <t>2011-12-04T07:12:05</t>
  </si>
  <si>
    <t>2011-12-04T17:06:36</t>
  </si>
  <si>
    <t>16:45</t>
  </si>
  <si>
    <t>04/12/2011 16:45</t>
  </si>
  <si>
    <t>04/12/2011 14:45</t>
  </si>
  <si>
    <t>14:50</t>
  </si>
  <si>
    <t>04/12/2011 14:50</t>
  </si>
  <si>
    <t>2011-12-15</t>
  </si>
  <si>
    <t>2011-12-15T07:20:38</t>
  </si>
  <si>
    <t>2011-12-15T17:07:59</t>
  </si>
  <si>
    <t>17:12</t>
  </si>
  <si>
    <t>15/12/2011 17:12</t>
  </si>
  <si>
    <t>2011-07-16</t>
  </si>
  <si>
    <t>2011-07-16T06:16:12</t>
  </si>
  <si>
    <t>2011-07-16T20:34:19</t>
  </si>
  <si>
    <t>16/07/2011 13:50</t>
  </si>
  <si>
    <t>24/07/2011 10:30</t>
  </si>
  <si>
    <t>2011-09-15</t>
  </si>
  <si>
    <t>2011-09-15T07:01:38</t>
  </si>
  <si>
    <t>2011-09-15T19:27:19</t>
  </si>
  <si>
    <t>16:25</t>
  </si>
  <si>
    <t>15/09/2011 16:25</t>
  </si>
  <si>
    <t>20:20</t>
  </si>
  <si>
    <t>06/10/2011 20:20</t>
  </si>
  <si>
    <t>2011-11-28</t>
  </si>
  <si>
    <t>2011-11-28T07:06:39</t>
  </si>
  <si>
    <t>2011-11-28T17:07:31</t>
  </si>
  <si>
    <t>11:55</t>
  </si>
  <si>
    <t>28/11/2011 11:55</t>
  </si>
  <si>
    <t>17:43</t>
  </si>
  <si>
    <t>21/08/2011 17:43</t>
  </si>
  <si>
    <t>30/10/2011 14:00</t>
  </si>
  <si>
    <t>00:40</t>
  </si>
  <si>
    <t>13/07/2011 00:40</t>
  </si>
  <si>
    <t>2011-09-11</t>
  </si>
  <si>
    <t>2011-09-11T06:58:40</t>
  </si>
  <si>
    <t>2011-09-11T19:33:06</t>
  </si>
  <si>
    <t>22:15</t>
  </si>
  <si>
    <t>11/09/2011 22:15</t>
  </si>
  <si>
    <t>2011-11-05</t>
  </si>
  <si>
    <t>2011-11-05T06:44:10</t>
  </si>
  <si>
    <t>2011-11-05T17:21:16</t>
  </si>
  <si>
    <t>05/11/2011 10:35</t>
  </si>
  <si>
    <t>2011-02-09</t>
  </si>
  <si>
    <t>2011-02-09T07:12:27</t>
  </si>
  <si>
    <t>2011-02-09T17:55:12</t>
  </si>
  <si>
    <t>09/02/2011 17:35</t>
  </si>
  <si>
    <t>20/07/2011 18:40</t>
  </si>
  <si>
    <t>29/07/2011 17:10</t>
  </si>
  <si>
    <t>2011-08-11</t>
  </si>
  <si>
    <t>2011-08-11T06:35:18</t>
  </si>
  <si>
    <t>2011-08-11T20:13:28</t>
  </si>
  <si>
    <t>11/08/2011 10:20</t>
  </si>
  <si>
    <t>13:25</t>
  </si>
  <si>
    <t>21/08/2011 13:25</t>
  </si>
  <si>
    <t>2011-09-16</t>
  </si>
  <si>
    <t>2011-09-16T07:02:23</t>
  </si>
  <si>
    <t>2011-09-16T19:25:52</t>
  </si>
  <si>
    <t>16/09/2011 12:45</t>
  </si>
  <si>
    <t>2011-09-19</t>
  </si>
  <si>
    <t>2011-09-19T07:04:37</t>
  </si>
  <si>
    <t>2011-09-19T19:21:30</t>
  </si>
  <si>
    <t>19/09/2011 14:45</t>
  </si>
  <si>
    <t>30/09/2011 11:10</t>
  </si>
  <si>
    <t>2011-10-08</t>
  </si>
  <si>
    <t>2011-10-08T07:19:16</t>
  </si>
  <si>
    <t>2011-10-08T18:54:18</t>
  </si>
  <si>
    <t>Becoming cloudy in the afternoon with late afternoon rain.</t>
  </si>
  <si>
    <t>08/10/2011 15:30</t>
  </si>
  <si>
    <t>2011-10-14</t>
  </si>
  <si>
    <t>2011-10-14T07:24:13</t>
  </si>
  <si>
    <t>2011-10-14T18:46:14</t>
  </si>
  <si>
    <t>14/10/2011 12:35</t>
  </si>
  <si>
    <t>2011-07-14</t>
  </si>
  <si>
    <t>2011-07-14T06:14:54</t>
  </si>
  <si>
    <t>2011-07-14T20:35:12</t>
  </si>
  <si>
    <t>14/07/2011 11:20</t>
  </si>
  <si>
    <t>2011-07-19</t>
  </si>
  <si>
    <t>2011-07-19T06:18:12</t>
  </si>
  <si>
    <t>2011-07-19T20:32:46</t>
  </si>
  <si>
    <t>19/07/2011 15:30</t>
  </si>
  <si>
    <t>2011-07-28</t>
  </si>
  <si>
    <t>2011-07-28T06:24:38</t>
  </si>
  <si>
    <t>2011-07-28T20:26:42</t>
  </si>
  <si>
    <t>21:16</t>
  </si>
  <si>
    <t>28/07/2011 21:16</t>
  </si>
  <si>
    <t>2011-08-07</t>
  </si>
  <si>
    <t>2011-08-07T06:32:14</t>
  </si>
  <si>
    <t>2011-08-07T20:17:40</t>
  </si>
  <si>
    <t>07/08/2011 15:30</t>
  </si>
  <si>
    <t>2011-08-16</t>
  </si>
  <si>
    <t>2011-08-16T06:39:09</t>
  </si>
  <si>
    <t>2011-08-16T20:07:48</t>
  </si>
  <si>
    <t>21:06</t>
  </si>
  <si>
    <t>16/08/2011 21:06</t>
  </si>
  <si>
    <t>2011-10-19</t>
  </si>
  <si>
    <t>2011-10-19T07:28:30</t>
  </si>
  <si>
    <t>2011-10-19T18:39:50</t>
  </si>
  <si>
    <t>19/10/2011 11:20</t>
  </si>
  <si>
    <t>2011-11-27</t>
  </si>
  <si>
    <t>2011-11-27T07:05:43</t>
  </si>
  <si>
    <t>2011-11-27T17:07:47</t>
  </si>
  <si>
    <t>27/11/2011 17:20</t>
  </si>
  <si>
    <t>16:31</t>
  </si>
  <si>
    <t>04/08/2011 16:31</t>
  </si>
  <si>
    <t>11/09/2011 12:40</t>
  </si>
  <si>
    <t>16/08/2011 15:30</t>
  </si>
  <si>
    <t>2011-10-07</t>
  </si>
  <si>
    <t>2011-10-07T07:18:28</t>
  </si>
  <si>
    <t>2011-10-07T18:55:41</t>
  </si>
  <si>
    <t>12:49</t>
  </si>
  <si>
    <t>07/10/2011 12:49</t>
  </si>
  <si>
    <t>2011-09-07</t>
  </si>
  <si>
    <t>2011-09-07T06:55:43</t>
  </si>
  <si>
    <t>2011-09-07T19:38:49</t>
  </si>
  <si>
    <t>07/09/2011 22:00</t>
  </si>
  <si>
    <t>20:50</t>
  </si>
  <si>
    <t>07/10/2011 20:50</t>
  </si>
  <si>
    <t>2011-10-21</t>
  </si>
  <si>
    <t>2011-10-21T07:30:15</t>
  </si>
  <si>
    <t>2011-10-21T18:37:22</t>
  </si>
  <si>
    <t>16:13</t>
  </si>
  <si>
    <t>21/10/2011 16:13</t>
  </si>
  <si>
    <t>2011-12-16</t>
  </si>
  <si>
    <t>2011-12-16T07:21:17</t>
  </si>
  <si>
    <t>2011-12-16T17:08:18</t>
  </si>
  <si>
    <t>10:00</t>
  </si>
  <si>
    <t>16/12/2011 10:00</t>
  </si>
  <si>
    <t>24/09/2011 11:50</t>
  </si>
  <si>
    <t>19/10/2011 14:25</t>
  </si>
  <si>
    <t>19/07/2011 23:35</t>
  </si>
  <si>
    <t>05:00</t>
  </si>
  <si>
    <t>25/08/2011 05:00</t>
  </si>
  <si>
    <t>31/08/2011 16:30</t>
  </si>
  <si>
    <t>15:08</t>
  </si>
  <si>
    <t>07/09/2011 15:08</t>
  </si>
  <si>
    <t>19/09/2011 22:00</t>
  </si>
  <si>
    <t>20:10</t>
  </si>
  <si>
    <t>24/09/2011 20:10</t>
  </si>
  <si>
    <t>2011-12-07</t>
  </si>
  <si>
    <t>2011-12-07T07:14:37</t>
  </si>
  <si>
    <t>2011-12-07T17:06:36</t>
  </si>
  <si>
    <t>08:29</t>
  </si>
  <si>
    <t>07/12/2011 08:29</t>
  </si>
  <si>
    <t>18:48</t>
  </si>
  <si>
    <t>12/03/2011 18:48</t>
  </si>
  <si>
    <t>27/03/2011 09:45</t>
  </si>
  <si>
    <t>2011-04-07</t>
  </si>
  <si>
    <t>2011-04-07T06:58:26</t>
  </si>
  <si>
    <t>2011-04-07T19:45:23</t>
  </si>
  <si>
    <t>07/04/2011 14:05</t>
  </si>
  <si>
    <t>2011-07-27</t>
  </si>
  <si>
    <t>2011-07-27T06:23:54</t>
  </si>
  <si>
    <t>2011-07-27T20:27:29</t>
  </si>
  <si>
    <t>01:59</t>
  </si>
  <si>
    <t>27/07/2011 01:59</t>
  </si>
  <si>
    <t>00:30</t>
  </si>
  <si>
    <t>13/08/2011 00:30</t>
  </si>
  <si>
    <t>2011-09-01</t>
  </si>
  <si>
    <t>2011-09-01T06:51:15</t>
  </si>
  <si>
    <t>2011-09-01T19:47:13</t>
  </si>
  <si>
    <t>01/09/2011 18:05</t>
  </si>
  <si>
    <t>2011-09-06</t>
  </si>
  <si>
    <t>2011-09-06T06:54:58</t>
  </si>
  <si>
    <t>2011-09-06T19:40:14</t>
  </si>
  <si>
    <t>10:15</t>
  </si>
  <si>
    <t>06/09/2011 10:15</t>
  </si>
  <si>
    <t>06/10/2011 23:50</t>
  </si>
  <si>
    <t>11/03/2011 19:14</t>
  </si>
  <si>
    <t>2011-04-17</t>
  </si>
  <si>
    <t>2011-04-17T06:45:08</t>
  </si>
  <si>
    <t>2011-04-17T19:53:31</t>
  </si>
  <si>
    <t>11:25</t>
  </si>
  <si>
    <t>17/04/2011 11:25</t>
  </si>
  <si>
    <t>2011-05-23</t>
  </si>
  <si>
    <t>2011-05-23T06:10:04</t>
  </si>
  <si>
    <t>2011-05-23T20:22:30</t>
  </si>
  <si>
    <t>23/05/2011 17:12</t>
  </si>
  <si>
    <t>13/07/2011 13:45</t>
  </si>
  <si>
    <t>19/07/2011 10:20</t>
  </si>
  <si>
    <t>2011-08-01</t>
  </si>
  <si>
    <t>2011-08-01T06:27:39</t>
  </si>
  <si>
    <t>2011-08-01T20:23:22</t>
  </si>
  <si>
    <t>12:37</t>
  </si>
  <si>
    <t>01/08/2011 12:37</t>
  </si>
  <si>
    <t>2011-08-10</t>
  </si>
  <si>
    <t>2011-08-10T06:34:32</t>
  </si>
  <si>
    <t>2011-08-10T20:14:33</t>
  </si>
  <si>
    <t>15:03</t>
  </si>
  <si>
    <t>10/08/2011 15:03</t>
  </si>
  <si>
    <t>2011-09-25</t>
  </si>
  <si>
    <t>2011-09-25T07:09:07</t>
  </si>
  <si>
    <t>2011-09-25T19:12:46</t>
  </si>
  <si>
    <t>25/09/2011 09:45</t>
  </si>
  <si>
    <t>2011-10-18</t>
  </si>
  <si>
    <t>2011-10-18T07:27:38</t>
  </si>
  <si>
    <t>2011-10-18T18:41:05</t>
  </si>
  <si>
    <t>18/10/2011 19:50</t>
  </si>
  <si>
    <t>2011-12-19</t>
  </si>
  <si>
    <t>2011-12-19T07:23:07</t>
  </si>
  <si>
    <t>2011-12-19T17:09:26</t>
  </si>
  <si>
    <t>10:52</t>
  </si>
  <si>
    <t>19/12/2011 10:52</t>
  </si>
  <si>
    <t>2012-01-03</t>
  </si>
  <si>
    <t>2012-01-03T07:28:36</t>
  </si>
  <si>
    <t>2012-01-03T17:18:44</t>
  </si>
  <si>
    <t>03/01/2012 14:20</t>
  </si>
  <si>
    <t>03/01/2012 17:45</t>
  </si>
  <si>
    <t>2012-01-14</t>
  </si>
  <si>
    <t>2012-01-14T07:28:13</t>
  </si>
  <si>
    <t>2012-01-14T17:28:28</t>
  </si>
  <si>
    <t>16:39</t>
  </si>
  <si>
    <t>14/01/2012 16:39</t>
  </si>
  <si>
    <t>2012-03-10</t>
  </si>
  <si>
    <t>2012-03-10T06:36:42</t>
  </si>
  <si>
    <t>2012-03-10T18:22:58</t>
  </si>
  <si>
    <t>10/03/2012 18:20</t>
  </si>
  <si>
    <t>2012-03-21</t>
  </si>
  <si>
    <t>2012-03-21T06:21:16</t>
  </si>
  <si>
    <t>2012-03-21T18:32:11</t>
  </si>
  <si>
    <t>21/03/2012 14:35</t>
  </si>
  <si>
    <t>21/03/2012 15:10</t>
  </si>
  <si>
    <t>2012-03-22</t>
  </si>
  <si>
    <t>2012-03-22T06:19:51</t>
  </si>
  <si>
    <t>2012-03-22T18:33:00</t>
  </si>
  <si>
    <t>12:44</t>
  </si>
  <si>
    <t>22/03/2012 12:44</t>
  </si>
  <si>
    <t>2012-03-24</t>
  </si>
  <si>
    <t>2012-03-24T06:17:00</t>
  </si>
  <si>
    <t>2012-03-24T18:34:38</t>
  </si>
  <si>
    <t>24/03/2012 13:40</t>
  </si>
  <si>
    <t>24/03/2012 15:15</t>
  </si>
  <si>
    <t>2012-03-25</t>
  </si>
  <si>
    <t>2012-03-25T07:15:35</t>
  </si>
  <si>
    <t>2012-03-25T19:35:27</t>
  </si>
  <si>
    <t>15:59</t>
  </si>
  <si>
    <t>25/03/2012 15:59</t>
  </si>
  <si>
    <t>2012-04-01</t>
  </si>
  <si>
    <t>2012-04-01T07:05:42</t>
  </si>
  <si>
    <t>2012-04-01T19:41:08</t>
  </si>
  <si>
    <t>01/04/2012 14:30</t>
  </si>
  <si>
    <t>2012-04-02</t>
  </si>
  <si>
    <t>2012-04-02T07:04:18</t>
  </si>
  <si>
    <t>2012-04-02T19:41:57</t>
  </si>
  <si>
    <t>11:54</t>
  </si>
  <si>
    <t>02/04/2012 11:54</t>
  </si>
  <si>
    <t>15:04</t>
  </si>
  <si>
    <t>02/04/2012 15:04</t>
  </si>
  <si>
    <t>2012-04-08</t>
  </si>
  <si>
    <t>2012-04-08T06:56:02</t>
  </si>
  <si>
    <t>2012-04-08T19:46:48</t>
  </si>
  <si>
    <t>08/04/2012 17:10</t>
  </si>
  <si>
    <t>2012-07-31</t>
  </si>
  <si>
    <t>2012-07-31T06:27:27</t>
  </si>
  <si>
    <t>2012-07-31T20:23:34</t>
  </si>
  <si>
    <t>31/07/2012 17:20</t>
  </si>
  <si>
    <t>2012-08-01</t>
  </si>
  <si>
    <t>2012-08-01T06:28:13</t>
  </si>
  <si>
    <t>2012-08-01T20:22:40</t>
  </si>
  <si>
    <t>01/08/2012 14:20</t>
  </si>
  <si>
    <t>01/08/2012 15:15</t>
  </si>
  <si>
    <t>01/08/2012 16:25</t>
  </si>
  <si>
    <t>01/08/2012 17:00</t>
  </si>
  <si>
    <t>01/08/2012 17:20</t>
  </si>
  <si>
    <t>01/08/2012 17:40</t>
  </si>
  <si>
    <t>01/08/2012 18:30</t>
  </si>
  <si>
    <t>2012-08-02</t>
  </si>
  <si>
    <t>2012-08-02T06:28:58</t>
  </si>
  <si>
    <t>2012-08-02T20:21:46</t>
  </si>
  <si>
    <t>03:15</t>
  </si>
  <si>
    <t>02/08/2012 03:15</t>
  </si>
  <si>
    <t>2012-08-03</t>
  </si>
  <si>
    <t>2012-08-03T06:29:44</t>
  </si>
  <si>
    <t>2012-08-03T20:20:50</t>
  </si>
  <si>
    <t>03/08/2012 12:00</t>
  </si>
  <si>
    <t>2012-08-11</t>
  </si>
  <si>
    <t>2012-08-11T06:35:53</t>
  </si>
  <si>
    <t>2012-08-11T20:12:37</t>
  </si>
  <si>
    <t>11/08/2012 18:20</t>
  </si>
  <si>
    <t>2012-08-19</t>
  </si>
  <si>
    <t>2012-08-19T06:42:01</t>
  </si>
  <si>
    <t>2012-08-19T20:03:15</t>
  </si>
  <si>
    <t>19/08/2012 11:05</t>
  </si>
  <si>
    <t>2012-09-01</t>
  </si>
  <si>
    <t>2012-09-01T06:51:48</t>
  </si>
  <si>
    <t>2012-09-01T19:46:10</t>
  </si>
  <si>
    <t>16:59</t>
  </si>
  <si>
    <t>01/09/2012 16:59</t>
  </si>
  <si>
    <t>2012-09-15</t>
  </si>
  <si>
    <t>2012-09-15T07:02:11</t>
  </si>
  <si>
    <t>2012-09-15T19:26:12</t>
  </si>
  <si>
    <t>15/09/2012 18:25</t>
  </si>
  <si>
    <t>2012-09-16</t>
  </si>
  <si>
    <t>2012-09-16T07:02:56</t>
  </si>
  <si>
    <t>2012-09-16T19:24:45</t>
  </si>
  <si>
    <t>16/09/2012 21:45</t>
  </si>
  <si>
    <t>2012-10-17</t>
  </si>
  <si>
    <t>2012-10-17T07:27:24</t>
  </si>
  <si>
    <t>2012-10-17T18:41:23</t>
  </si>
  <si>
    <t>17/10/2012 14:00</t>
  </si>
  <si>
    <t>2012-11-01</t>
  </si>
  <si>
    <t>2012-11-01T06:41:03</t>
  </si>
  <si>
    <t>2012-11-01T17:24:21</t>
  </si>
  <si>
    <t>16:55</t>
  </si>
  <si>
    <t>01/11/2012 16:55</t>
  </si>
  <si>
    <t>2012-11-02</t>
  </si>
  <si>
    <t>2012-11-02T06:42:00</t>
  </si>
  <si>
    <t>2012-11-02T17:23:22</t>
  </si>
  <si>
    <t>11:31</t>
  </si>
  <si>
    <t>02/11/2012 11:31</t>
  </si>
  <si>
    <t>2012-11-14</t>
  </si>
  <si>
    <t>2012-11-14T06:53:45</t>
  </si>
  <si>
    <t>2012-11-14T17:13:34</t>
  </si>
  <si>
    <t>11:40</t>
  </si>
  <si>
    <t>14/11/2012 11:40</t>
  </si>
  <si>
    <t>2012-11-21</t>
  </si>
  <si>
    <t>2012-11-21T07:00:39</t>
  </si>
  <si>
    <t>2012-11-21T17:09:41</t>
  </si>
  <si>
    <t>14:17</t>
  </si>
  <si>
    <t>21/11/2012 14:17</t>
  </si>
  <si>
    <t>2012-02-29</t>
  </si>
  <si>
    <t>2012-02-29T06:50:03</t>
  </si>
  <si>
    <t>2012-02-29T18:14:10</t>
  </si>
  <si>
    <t>29/02/2012 12:10</t>
  </si>
  <si>
    <t>2012-03-03</t>
  </si>
  <si>
    <t>2012-03-03T06:46:08</t>
  </si>
  <si>
    <t>2012-03-03T18:16:51</t>
  </si>
  <si>
    <t>20:00</t>
  </si>
  <si>
    <t>03/03/2012 20:00</t>
  </si>
  <si>
    <t>2012-03-16</t>
  </si>
  <si>
    <t>2012-03-16T06:28:20</t>
  </si>
  <si>
    <t>2012-03-16T18:28:02</t>
  </si>
  <si>
    <t>16/03/2012 12:30</t>
  </si>
  <si>
    <t>21/03/2012 12:25</t>
  </si>
  <si>
    <t>2012-04-06</t>
  </si>
  <si>
    <t>2012-04-06T06:58:46</t>
  </si>
  <si>
    <t>2012-04-06T19:45:11</t>
  </si>
  <si>
    <t>22:30</t>
  </si>
  <si>
    <t>06/04/2012 22:30</t>
  </si>
  <si>
    <t>08/04/2012 17:20</t>
  </si>
  <si>
    <t>2012-04-21</t>
  </si>
  <si>
    <t>2012-04-21T06:39:11</t>
  </si>
  <si>
    <t>2012-04-21T19:57:25</t>
  </si>
  <si>
    <t>21/04/2012 09:50</t>
  </si>
  <si>
    <t>21/04/2012 16:35</t>
  </si>
  <si>
    <t>2012-04-23</t>
  </si>
  <si>
    <t>2012-04-23T06:36:46</t>
  </si>
  <si>
    <t>2012-04-23T19:59:04</t>
  </si>
  <si>
    <t>15:54</t>
  </si>
  <si>
    <t>23/04/2012 15:54</t>
  </si>
  <si>
    <t>2012-05-02</t>
  </si>
  <si>
    <t>2012-05-02T06:26:42</t>
  </si>
  <si>
    <t>2012-05-02T20:06:30</t>
  </si>
  <si>
    <t>16:04</t>
  </si>
  <si>
    <t>02/05/2012 16:04</t>
  </si>
  <si>
    <t>2012-06-24</t>
  </si>
  <si>
    <t>2012-06-24T06:05:43</t>
  </si>
  <si>
    <t>2012-06-24T20:38:02</t>
  </si>
  <si>
    <t>24/06/2012 12:25</t>
  </si>
  <si>
    <t>2012-07-23</t>
  </si>
  <si>
    <t>2012-07-23T06:21:32</t>
  </si>
  <si>
    <t>2012-07-23T20:29:48</t>
  </si>
  <si>
    <t>23/07/2012 23:50</t>
  </si>
  <si>
    <t>2012-08-22</t>
  </si>
  <si>
    <t>2012-08-22T06:44:18</t>
  </si>
  <si>
    <t>2012-08-22T19:59:29</t>
  </si>
  <si>
    <t>22/08/2012 17:20</t>
  </si>
  <si>
    <t>2012-08-23</t>
  </si>
  <si>
    <t>2012-08-23T06:45:03</t>
  </si>
  <si>
    <t>2012-08-23T19:58:12</t>
  </si>
  <si>
    <t>23/08/2012 16:30</t>
  </si>
  <si>
    <t>23/08/2012 18:00</t>
  </si>
  <si>
    <t>2012-08-31</t>
  </si>
  <si>
    <t>2012-08-31T06:51:04</t>
  </si>
  <si>
    <t>2012-08-31T19:47:32</t>
  </si>
  <si>
    <t>31/08/2012 14:00</t>
  </si>
  <si>
    <t>2012-09-05</t>
  </si>
  <si>
    <t>2012-09-05T06:54:47</t>
  </si>
  <si>
    <t>2012-09-05T19:40:34</t>
  </si>
  <si>
    <t>13:20</t>
  </si>
  <si>
    <t>05/09/2012 13:20</t>
  </si>
  <si>
    <t>05/09/2012 14:10</t>
  </si>
  <si>
    <t>2012-09-09</t>
  </si>
  <si>
    <t>2012-09-09T06:57:45</t>
  </si>
  <si>
    <t>2012-09-09T19:34:53</t>
  </si>
  <si>
    <t>09/09/2012 12:35</t>
  </si>
  <si>
    <t>2012-10-26</t>
  </si>
  <si>
    <t>2012-10-26T07:35:26</t>
  </si>
  <si>
    <t>2012-10-26T18:30:39</t>
  </si>
  <si>
    <t>15:20</t>
  </si>
  <si>
    <t>26/10/2012 15:20</t>
  </si>
  <si>
    <t>2012-11-06</t>
  </si>
  <si>
    <t>2012-11-06T06:45:52</t>
  </si>
  <si>
    <t>2012-11-06T17:19:41</t>
  </si>
  <si>
    <t>06/11/2012 16:30</t>
  </si>
  <si>
    <t>2012-03-05</t>
  </si>
  <si>
    <t>2012-03-05T06:43:29</t>
  </si>
  <si>
    <t>2012-03-05T18:18:37</t>
  </si>
  <si>
    <t>05/03/2012 10:55</t>
  </si>
  <si>
    <t>2012-04-04</t>
  </si>
  <si>
    <t>2012-04-04T07:01:32</t>
  </si>
  <si>
    <t>2012-04-04T19:43:34</t>
  </si>
  <si>
    <t>19:00</t>
  </si>
  <si>
    <t>04/04/2012 19:00</t>
  </si>
  <si>
    <t>2012-06-16</t>
  </si>
  <si>
    <t>2012-06-16T06:04:09</t>
  </si>
  <si>
    <t>2012-06-16T20:36:15</t>
  </si>
  <si>
    <t>16/06/2012 09:45</t>
  </si>
  <si>
    <t>2012-06-17</t>
  </si>
  <si>
    <t>2012-06-17T06:04:15</t>
  </si>
  <si>
    <t>2012-06-17T20:36:34</t>
  </si>
  <si>
    <t>04:40</t>
  </si>
  <si>
    <t>17/06/2012 04:40</t>
  </si>
  <si>
    <t>2012-08-13</t>
  </si>
  <si>
    <t>2012-08-13T06:37:25</t>
  </si>
  <si>
    <t>2012-08-13T20:10:23</t>
  </si>
  <si>
    <t>08:45</t>
  </si>
  <si>
    <t>13/08/2012 08:45</t>
  </si>
  <si>
    <t>2012-10-03</t>
  </si>
  <si>
    <t>2012-10-03T07:15:52</t>
  </si>
  <si>
    <t>2012-10-03T19:00:12</t>
  </si>
  <si>
    <t>03/10/2012 15:45</t>
  </si>
  <si>
    <t>2012-10-08</t>
  </si>
  <si>
    <t>2012-10-08T07:19:52</t>
  </si>
  <si>
    <t>2012-10-08T18:53:15</t>
  </si>
  <si>
    <t>08/10/2012 15:50</t>
  </si>
  <si>
    <t>2012-10-27</t>
  </si>
  <si>
    <t>2012-10-27T07:36:21</t>
  </si>
  <si>
    <t>2012-10-27T18:29:33</t>
  </si>
  <si>
    <t>27/10/2012 15:30</t>
  </si>
  <si>
    <t>2012-11-05</t>
  </si>
  <si>
    <t>2012-11-05T06:44:54</t>
  </si>
  <si>
    <t>2012-11-05T17:20:34</t>
  </si>
  <si>
    <t>05/11/2012 15:35</t>
  </si>
  <si>
    <t>2012-02-05</t>
  </si>
  <si>
    <t>2012-02-05T07:16:16</t>
  </si>
  <si>
    <t>2012-02-05T17:50:52</t>
  </si>
  <si>
    <t>23:05</t>
  </si>
  <si>
    <t>05/02/2012 23:05</t>
  </si>
  <si>
    <t>2012-04-07</t>
  </si>
  <si>
    <t>2012-04-07T06:57:24</t>
  </si>
  <si>
    <t>2012-04-07T19:46:00</t>
  </si>
  <si>
    <t>07/04/2012 14:35</t>
  </si>
  <si>
    <t>2012-04-30</t>
  </si>
  <si>
    <t>2012-04-30T06:28:49</t>
  </si>
  <si>
    <t>2012-04-30T20:04:51</t>
  </si>
  <si>
    <t>30/04/2012 12:10</t>
  </si>
  <si>
    <t>2012-05-04</t>
  </si>
  <si>
    <t>2012-05-04T06:24:40</t>
  </si>
  <si>
    <t>2012-05-04T20:08:08</t>
  </si>
  <si>
    <t>08:10</t>
  </si>
  <si>
    <t>04/05/2012 08:10</t>
  </si>
  <si>
    <t>2012-06-15</t>
  </si>
  <si>
    <t>2012-06-15T06:04:04</t>
  </si>
  <si>
    <t>2012-06-15T20:35:55</t>
  </si>
  <si>
    <t>15/06/2012 14:15</t>
  </si>
  <si>
    <t>16/06/2012 09:30</t>
  </si>
  <si>
    <t>2012-06-21</t>
  </si>
  <si>
    <t>2012-06-21T06:04:56</t>
  </si>
  <si>
    <t>2012-06-21T20:37:33</t>
  </si>
  <si>
    <t>21/06/2012 11:40</t>
  </si>
  <si>
    <t>2012-09-12</t>
  </si>
  <si>
    <t>2012-09-12T06:59:58</t>
  </si>
  <si>
    <t>2012-09-12T19:30:33</t>
  </si>
  <si>
    <t>12/09/2012 20:25</t>
  </si>
  <si>
    <t>03:00</t>
  </si>
  <si>
    <t>16/09/2012 03:00</t>
  </si>
  <si>
    <t>06/11/2012 13:00</t>
  </si>
  <si>
    <t>2012-11-25</t>
  </si>
  <si>
    <t>2012-11-25T07:04:31</t>
  </si>
  <si>
    <t>2012-11-25T17:08:09</t>
  </si>
  <si>
    <t>25/11/2012 10:20</t>
  </si>
  <si>
    <t>2012-02-03</t>
  </si>
  <si>
    <t>2012-02-03T07:17:54</t>
  </si>
  <si>
    <t>2012-02-03T17:48:49</t>
  </si>
  <si>
    <t>03/02/2012 16:59</t>
  </si>
  <si>
    <t>2012-04-13</t>
  </si>
  <si>
    <t>2012-04-13T06:49:21</t>
  </si>
  <si>
    <t>2012-04-13T19:50:52</t>
  </si>
  <si>
    <t>13/04/2012 10:54</t>
  </si>
  <si>
    <t>2012-04-29</t>
  </si>
  <si>
    <t>2012-04-29T06:29:54</t>
  </si>
  <si>
    <t>2012-04-29T20:04:01</t>
  </si>
  <si>
    <t>07:44</t>
  </si>
  <si>
    <t>29/04/2012 07:44</t>
  </si>
  <si>
    <t>30/04/2012 14:20</t>
  </si>
  <si>
    <t>2012-05-17</t>
  </si>
  <si>
    <t>2012-05-17T06:13:28</t>
  </si>
  <si>
    <t>2012-05-17T20:18:34</t>
  </si>
  <si>
    <t>17:47</t>
  </si>
  <si>
    <t>17/05/2012 17:47</t>
  </si>
  <si>
    <t>2012-05-20</t>
  </si>
  <si>
    <t>2012-05-20T06:11:26</t>
  </si>
  <si>
    <t>2012-05-20T20:20:51</t>
  </si>
  <si>
    <t>20/05/2012 14:30</t>
  </si>
  <si>
    <t>2012-06-03</t>
  </si>
  <si>
    <t>2012-06-03T06:05:10</t>
  </si>
  <si>
    <t>2012-06-03T20:30:18</t>
  </si>
  <si>
    <t>21:05</t>
  </si>
  <si>
    <t>03/06/2012 21:05</t>
  </si>
  <si>
    <t>2012-06-18</t>
  </si>
  <si>
    <t>2012-06-18T06:04:23</t>
  </si>
  <si>
    <t>2012-06-18T20:36:51</t>
  </si>
  <si>
    <t>13:29</t>
  </si>
  <si>
    <t>18/06/2012 13:29</t>
  </si>
  <si>
    <t>2012-06-23</t>
  </si>
  <si>
    <t>2012-06-23T06:05:26</t>
  </si>
  <si>
    <t>2012-06-23T20:37:54</t>
  </si>
  <si>
    <t>11:46</t>
  </si>
  <si>
    <t>23/06/2012 11:46</t>
  </si>
  <si>
    <t>2012-07-01</t>
  </si>
  <si>
    <t>2012-07-01T06:08:16</t>
  </si>
  <si>
    <t>2012-07-01T20:38:11</t>
  </si>
  <si>
    <t>11:24</t>
  </si>
  <si>
    <t>01/07/2012 11:24</t>
  </si>
  <si>
    <t>2012-07-02</t>
  </si>
  <si>
    <t>2012-07-02T06:08:43</t>
  </si>
  <si>
    <t>2012-07-02T20:38:06</t>
  </si>
  <si>
    <t>11:44</t>
  </si>
  <si>
    <t>02/07/2012 11:44</t>
  </si>
  <si>
    <t>2012-07-04</t>
  </si>
  <si>
    <t>2012-07-04T06:09:40</t>
  </si>
  <si>
    <t>2012-07-04T20:37:51</t>
  </si>
  <si>
    <t>17:15</t>
  </si>
  <si>
    <t>04/07/2012 17:15</t>
  </si>
  <si>
    <t>2012-07-14</t>
  </si>
  <si>
    <t>2012-07-14T06:15:23</t>
  </si>
  <si>
    <t>2012-07-14T20:34:52</t>
  </si>
  <si>
    <t>09:41</t>
  </si>
  <si>
    <t>14/07/2012 09:41</t>
  </si>
  <si>
    <t>2012-07-18</t>
  </si>
  <si>
    <t>2012-07-18T06:18:01</t>
  </si>
  <si>
    <t>2012-07-18T20:32:53</t>
  </si>
  <si>
    <t>11:56</t>
  </si>
  <si>
    <t>18/07/2012 11:56</t>
  </si>
  <si>
    <t>2012-07-22</t>
  </si>
  <si>
    <t>2012-07-22T06:20:49</t>
  </si>
  <si>
    <t>2012-07-22T20:30:29</t>
  </si>
  <si>
    <t>20:14</t>
  </si>
  <si>
    <t>22/07/2012 20:14</t>
  </si>
  <si>
    <t>11:35</t>
  </si>
  <si>
    <t>23/07/2012 11:35</t>
  </si>
  <si>
    <t>13:24</t>
  </si>
  <si>
    <t>23/07/2012 13:24</t>
  </si>
  <si>
    <t>2012-07-24</t>
  </si>
  <si>
    <t>2012-07-24T06:22:15</t>
  </si>
  <si>
    <t>2012-07-24T20:29:07</t>
  </si>
  <si>
    <t>10:22</t>
  </si>
  <si>
    <t>24/07/2012 10:22</t>
  </si>
  <si>
    <t>03/08/2012 17:15</t>
  </si>
  <si>
    <t>2012-08-04</t>
  </si>
  <si>
    <t>2012-08-04T06:30:30</t>
  </si>
  <si>
    <t>2012-08-04T20:19:53</t>
  </si>
  <si>
    <t>04/08/2012 15:15</t>
  </si>
  <si>
    <t>2012-08-14</t>
  </si>
  <si>
    <t>2012-08-14T06:38:11</t>
  </si>
  <si>
    <t>2012-08-14T20:09:14</t>
  </si>
  <si>
    <t>14/08/2012 11:10</t>
  </si>
  <si>
    <t>14/08/2012 17:30</t>
  </si>
  <si>
    <t>19/08/2012 11:24</t>
  </si>
  <si>
    <t>19/08/2012 12:00</t>
  </si>
  <si>
    <t>2012-08-20</t>
  </si>
  <si>
    <t>2012-08-20T06:42:46</t>
  </si>
  <si>
    <t>2012-08-20T20:02:01</t>
  </si>
  <si>
    <t>20/08/2012 10:30</t>
  </si>
  <si>
    <t>20/08/2012 11:30</t>
  </si>
  <si>
    <t>20/08/2012 18:50</t>
  </si>
  <si>
    <t>23/08/2012 11:00</t>
  </si>
  <si>
    <t>2012-08-27</t>
  </si>
  <si>
    <t>2012-08-27T06:48:04</t>
  </si>
  <si>
    <t>2012-08-27T19:52:58</t>
  </si>
  <si>
    <t>13:14</t>
  </si>
  <si>
    <t>27/08/2012 13:14</t>
  </si>
  <si>
    <t>27/08/2012 13:40</t>
  </si>
  <si>
    <t>27/08/2012 21:20</t>
  </si>
  <si>
    <t>27/08/2012 21:40</t>
  </si>
  <si>
    <t>22:10</t>
  </si>
  <si>
    <t>27/08/2012 22:10</t>
  </si>
  <si>
    <t>2012-08-30</t>
  </si>
  <si>
    <t>2012-08-30T06:50:19</t>
  </si>
  <si>
    <t>2012-08-30T19:48:55</t>
  </si>
  <si>
    <t>13:27</t>
  </si>
  <si>
    <t>30/08/2012 13:27</t>
  </si>
  <si>
    <t>2012-09-02</t>
  </si>
  <si>
    <t>2012-09-02T06:52:33</t>
  </si>
  <si>
    <t>2012-09-02T19:44:46</t>
  </si>
  <si>
    <t>16:40</t>
  </si>
  <si>
    <t>02/09/2012 16:40</t>
  </si>
  <si>
    <t>2012-09-03</t>
  </si>
  <si>
    <t>2012-09-03T06:53:18</t>
  </si>
  <si>
    <t>2012-09-03T19:43:23</t>
  </si>
  <si>
    <t>13:28</t>
  </si>
  <si>
    <t>03/09/2012 13:28</t>
  </si>
  <si>
    <t>14:19</t>
  </si>
  <si>
    <t>05/09/2012 14:19</t>
  </si>
  <si>
    <t>2012-09-06</t>
  </si>
  <si>
    <t>2012-09-06T06:55:31</t>
  </si>
  <si>
    <t>2012-09-06T19:39:09</t>
  </si>
  <si>
    <t>19:35</t>
  </si>
  <si>
    <t>06/09/2012 19:35</t>
  </si>
  <si>
    <t>20:23</t>
  </si>
  <si>
    <t>06/09/2012 20:23</t>
  </si>
  <si>
    <t>2012-09-11</t>
  </si>
  <si>
    <t>2012-09-11T06:59:13</t>
  </si>
  <si>
    <t>2012-09-11T19:32:00</t>
  </si>
  <si>
    <t>11/09/2012 14:20</t>
  </si>
  <si>
    <t>2012-09-13</t>
  </si>
  <si>
    <t>2012-09-13T07:00:42</t>
  </si>
  <si>
    <t>2012-09-13T19:29:06</t>
  </si>
  <si>
    <t>13/09/2012 21:05</t>
  </si>
  <si>
    <t>2012-09-14</t>
  </si>
  <si>
    <t>2012-09-14T07:01:27</t>
  </si>
  <si>
    <t>2012-09-14T19:27:39</t>
  </si>
  <si>
    <t>11:12</t>
  </si>
  <si>
    <t>14/09/2012 11:12</t>
  </si>
  <si>
    <t>15/09/2012 18:00</t>
  </si>
  <si>
    <t>15/09/2012 19:55</t>
  </si>
  <si>
    <t>2012-09-19</t>
  </si>
  <si>
    <t>2012-09-19T07:05:10</t>
  </si>
  <si>
    <t>2012-09-19T19:20:23</t>
  </si>
  <si>
    <t>19:59</t>
  </si>
  <si>
    <t>19/09/2012 19:59</t>
  </si>
  <si>
    <t>2012-09-20</t>
  </si>
  <si>
    <t>2012-09-20T07:05:55</t>
  </si>
  <si>
    <t>2012-09-20T19:18:55</t>
  </si>
  <si>
    <t>20/09/2012 13:40</t>
  </si>
  <si>
    <t>20/09/2012 15:00</t>
  </si>
  <si>
    <t>21:14</t>
  </si>
  <si>
    <t>20/09/2012 21:14</t>
  </si>
  <si>
    <t>2012-09-21</t>
  </si>
  <si>
    <t>2012-09-21T07:06:40</t>
  </si>
  <si>
    <t>2012-09-21T19:17:28</t>
  </si>
  <si>
    <t>21/09/2012 15:50</t>
  </si>
  <si>
    <t>2012-09-27</t>
  </si>
  <si>
    <t>2012-09-27T07:11:13</t>
  </si>
  <si>
    <t>2012-09-27T19:08:46</t>
  </si>
  <si>
    <t>27/09/2012 15:39</t>
  </si>
  <si>
    <t>2012-09-30</t>
  </si>
  <si>
    <t>2012-09-30T07:13:31</t>
  </si>
  <si>
    <t>2012-09-30T19:04:27</t>
  </si>
  <si>
    <t>30/09/2012 09:54</t>
  </si>
  <si>
    <t>2012-10-04</t>
  </si>
  <si>
    <t>2012-10-04T07:16:40</t>
  </si>
  <si>
    <t>2012-10-04T18:58:48</t>
  </si>
  <si>
    <t>14:09</t>
  </si>
  <si>
    <t>04/10/2012 14:09</t>
  </si>
  <si>
    <t>04/10/2012 14:10</t>
  </si>
  <si>
    <t>09:19</t>
  </si>
  <si>
    <t>01/11/2012 09:19</t>
  </si>
  <si>
    <t>01/11/2012 16:39</t>
  </si>
  <si>
    <t>2012-11-10</t>
  </si>
  <si>
    <t>2012-11-10T06:49:47</t>
  </si>
  <si>
    <t>2012-11-10T17:16:25</t>
  </si>
  <si>
    <t>18:44</t>
  </si>
  <si>
    <t>10/11/2012 18:44</t>
  </si>
  <si>
    <t>2012-11-11</t>
  </si>
  <si>
    <t>2012-11-11T06:50:47</t>
  </si>
  <si>
    <t>2012-11-11T17:15:40</t>
  </si>
  <si>
    <t>15:09</t>
  </si>
  <si>
    <t>11/11/2012 15:09</t>
  </si>
  <si>
    <t>11/11/2012 15:20</t>
  </si>
  <si>
    <t>2012-11-15</t>
  </si>
  <si>
    <t>2012-11-15T06:54:44</t>
  </si>
  <si>
    <t>2012-11-15T17:12:55</t>
  </si>
  <si>
    <t>17:14</t>
  </si>
  <si>
    <t>15/11/2012 17:14</t>
  </si>
  <si>
    <t>2012-11-16</t>
  </si>
  <si>
    <t>2012-11-16T06:55:44</t>
  </si>
  <si>
    <t>2012-11-16T17:12:19</t>
  </si>
  <si>
    <t>16/11/2012 10:05</t>
  </si>
  <si>
    <t>2012-12-19</t>
  </si>
  <si>
    <t>2012-12-19T07:23:32</t>
  </si>
  <si>
    <t>2012-12-19T17:09:45</t>
  </si>
  <si>
    <t>13:59</t>
  </si>
  <si>
    <t>19/12/2012 13:59</t>
  </si>
  <si>
    <t>2012-08-08</t>
  </si>
  <si>
    <t>2012-08-08T06:33:34</t>
  </si>
  <si>
    <t>2012-08-08T20:15:51</t>
  </si>
  <si>
    <t>08/08/2012 17:00</t>
  </si>
  <si>
    <t>06:20</t>
  </si>
  <si>
    <t>14/08/2012 06:20</t>
  </si>
  <si>
    <t>2012-08-18</t>
  </si>
  <si>
    <t>2012-08-18T06:41:15</t>
  </si>
  <si>
    <t>2012-08-18T20:04:29</t>
  </si>
  <si>
    <t>18/08/2012 15:15</t>
  </si>
  <si>
    <t>19/08/2012 14:35</t>
  </si>
  <si>
    <t>21:54</t>
  </si>
  <si>
    <t>19/09/2012 21:54</t>
  </si>
  <si>
    <t>2012-10-28</t>
  </si>
  <si>
    <t>2012-10-28T06:37:17</t>
  </si>
  <si>
    <t>2012-10-28T17:28:28</t>
  </si>
  <si>
    <t>28/10/2012 12:00</t>
  </si>
  <si>
    <t>2012-04-18</t>
  </si>
  <si>
    <t>2012-04-18T06:42:54</t>
  </si>
  <si>
    <t>2012-04-18T19:54:58</t>
  </si>
  <si>
    <t>01:35</t>
  </si>
  <si>
    <t>18/04/2012 01:35</t>
  </si>
  <si>
    <t>22/07/2012 00:30</t>
  </si>
  <si>
    <t>2012-07-29</t>
  </si>
  <si>
    <t>2012-07-29T06:25:57</t>
  </si>
  <si>
    <t>2012-07-29T20:25:16</t>
  </si>
  <si>
    <t>29/07/2012 17:35</t>
  </si>
  <si>
    <t>2012-08-09</t>
  </si>
  <si>
    <t>2012-08-09T06:34:20</t>
  </si>
  <si>
    <t>2012-08-09T20:14:48</t>
  </si>
  <si>
    <t>09/08/2012 17:20</t>
  </si>
  <si>
    <t>2012-08-29</t>
  </si>
  <si>
    <t>2012-08-29T06:49:34</t>
  </si>
  <si>
    <t>2012-08-29T19:50:16</t>
  </si>
  <si>
    <t>29/08/2012 10:30</t>
  </si>
  <si>
    <t>00:20</t>
  </si>
  <si>
    <t>09/09/2012 00:20</t>
  </si>
  <si>
    <t>2012-07-19</t>
  </si>
  <si>
    <t>2012-07-19T06:18:43</t>
  </si>
  <si>
    <t>2012-07-19T20:32:19</t>
  </si>
  <si>
    <t>19/07/2012 17:50</t>
  </si>
  <si>
    <t>15:48</t>
  </si>
  <si>
    <t>22/07/2012 15:48</t>
  </si>
  <si>
    <t>2012-07-30</t>
  </si>
  <si>
    <t>2012-07-30T06:26:42</t>
  </si>
  <si>
    <t>2012-07-30T20:24:26</t>
  </si>
  <si>
    <t>00:12</t>
  </si>
  <si>
    <t>30/07/2012 00:12</t>
  </si>
  <si>
    <t>17/10/2012 22:00</t>
  </si>
  <si>
    <t>2012-02-19</t>
  </si>
  <si>
    <t>2012-02-19T07:02:13</t>
  </si>
  <si>
    <t>2012-02-19T18:04:50</t>
  </si>
  <si>
    <t>19/02/2012 15:00</t>
  </si>
  <si>
    <t>2012-07-25</t>
  </si>
  <si>
    <t>2012-07-25T06:22:59</t>
  </si>
  <si>
    <t>2012-07-25T20:28:24</t>
  </si>
  <si>
    <t>25/07/2012 14:25</t>
  </si>
  <si>
    <t>22:52</t>
  </si>
  <si>
    <t>09/09/2012 22:52</t>
  </si>
  <si>
    <t>2012-09-17</t>
  </si>
  <si>
    <t>2012-09-17T07:03:40</t>
  </si>
  <si>
    <t>2012-09-17T19:23:18</t>
  </si>
  <si>
    <t>07:38</t>
  </si>
  <si>
    <t>17/09/2012 07:38</t>
  </si>
  <si>
    <t>2012-05-23</t>
  </si>
  <si>
    <t>2012-05-23T06:09:39</t>
  </si>
  <si>
    <t>2012-05-23T20:23:04</t>
  </si>
  <si>
    <t>23/05/2012 14:15</t>
  </si>
  <si>
    <t>2012-07-15</t>
  </si>
  <si>
    <t>2012-07-15T06:16:02</t>
  </si>
  <si>
    <t>2012-07-15T20:34:25</t>
  </si>
  <si>
    <t>15/07/2012 07:40</t>
  </si>
  <si>
    <t>18/07/2012 19:00</t>
  </si>
  <si>
    <t>30/07/2012 11:20</t>
  </si>
  <si>
    <t>2012-08-21</t>
  </si>
  <si>
    <t>2012-08-21T06:43:32</t>
  </si>
  <si>
    <t>2012-08-21T20:00:45</t>
  </si>
  <si>
    <t>21/08/2012 14:35</t>
  </si>
  <si>
    <t>2012-10-14</t>
  </si>
  <si>
    <t>2012-10-14T07:24:51</t>
  </si>
  <si>
    <t>2012-10-14T18:45:14</t>
  </si>
  <si>
    <t>14/10/2012 19:00</t>
  </si>
  <si>
    <t>14/10/2012 13:00</t>
  </si>
  <si>
    <t>2012-10-16</t>
  </si>
  <si>
    <t>2012-10-16T07:26:33</t>
  </si>
  <si>
    <t>2012-10-16T18:42:39</t>
  </si>
  <si>
    <t>16/10/2012 17:35</t>
  </si>
  <si>
    <t>17:49</t>
  </si>
  <si>
    <t>19/07/2012 17:49</t>
  </si>
  <si>
    <t>2012-07-28</t>
  </si>
  <si>
    <t>2012-07-28T06:25:12</t>
  </si>
  <si>
    <t>2012-07-28T20:26:05</t>
  </si>
  <si>
    <t>13:39</t>
  </si>
  <si>
    <t>28/07/2012 13:39</t>
  </si>
  <si>
    <t>2012-08-10</t>
  </si>
  <si>
    <t>2012-08-10T06:35:06</t>
  </si>
  <si>
    <t>2012-08-10T20:13:43</t>
  </si>
  <si>
    <t>07:20</t>
  </si>
  <si>
    <t>10/08/2012 07:20</t>
  </si>
  <si>
    <t>00:23</t>
  </si>
  <si>
    <t>18/08/2012 00:23</t>
  </si>
  <si>
    <t>14/09/2012 11:00</t>
  </si>
  <si>
    <t>03/10/2012 11:40</t>
  </si>
  <si>
    <t>2012-10-18</t>
  </si>
  <si>
    <t>2012-10-18T07:28:16</t>
  </si>
  <si>
    <t>2012-10-18T18:40:07</t>
  </si>
  <si>
    <t>18/10/2012 12:50</t>
  </si>
  <si>
    <t>2012-11-13</t>
  </si>
  <si>
    <t>2012-11-13T06:52:45</t>
  </si>
  <si>
    <t>2012-11-13T17:14:14</t>
  </si>
  <si>
    <t>13/11/2012 13:50</t>
  </si>
  <si>
    <t>2012-03-30</t>
  </si>
  <si>
    <t>2012-03-30T07:08:31</t>
  </si>
  <si>
    <t>2012-03-30T19:39:31</t>
  </si>
  <si>
    <t>17:01</t>
  </si>
  <si>
    <t>30/03/2012 17:01</t>
  </si>
  <si>
    <t>2012-05-12</t>
  </si>
  <si>
    <t>2012-05-12T06:17:19</t>
  </si>
  <si>
    <t>2012-05-12T20:14:38</t>
  </si>
  <si>
    <t>12/05/2012 17:45</t>
  </si>
  <si>
    <t>2012-06-08</t>
  </si>
  <si>
    <t>2012-06-08T06:04:13</t>
  </si>
  <si>
    <t>2012-06-08T20:32:59</t>
  </si>
  <si>
    <t>21:03</t>
  </si>
  <si>
    <t>08/06/2012 21:03</t>
  </si>
  <si>
    <t>20:43</t>
  </si>
  <si>
    <t>09/08/2012 20:43</t>
  </si>
  <si>
    <t>2012-08-16</t>
  </si>
  <si>
    <t>2012-08-16T06:39:43</t>
  </si>
  <si>
    <t>2012-08-16T20:06:53</t>
  </si>
  <si>
    <t>16/08/2012 18:30</t>
  </si>
  <si>
    <t>2012-10-01</t>
  </si>
  <si>
    <t>2012-10-01T07:14:18</t>
  </si>
  <si>
    <t>2012-10-01T19:03:02</t>
  </si>
  <si>
    <t>01/10/2012 13:00</t>
  </si>
  <si>
    <t>10:19</t>
  </si>
  <si>
    <t>03/10/2012 10:19</t>
  </si>
  <si>
    <t>2012-11-07</t>
  </si>
  <si>
    <t>2012-11-07T06:46:51</t>
  </si>
  <si>
    <t>2012-11-07T17:18:50</t>
  </si>
  <si>
    <t>15:33</t>
  </si>
  <si>
    <t>07/11/2012 15:33</t>
  </si>
  <si>
    <t>03/09/2012 15:20</t>
  </si>
  <si>
    <t>2012-09-29</t>
  </si>
  <si>
    <t>2012-09-29T07:12:45</t>
  </si>
  <si>
    <t>2012-09-29T19:05:53</t>
  </si>
  <si>
    <t>29/09/2012 10:25</t>
  </si>
  <si>
    <t>12:36</t>
  </si>
  <si>
    <t>01/11/2012 12:36</t>
  </si>
  <si>
    <t>2012-04-05</t>
  </si>
  <si>
    <t>2012-04-05T07:00:09</t>
  </si>
  <si>
    <t>2012-04-05T19:44:22</t>
  </si>
  <si>
    <t>11:28</t>
  </si>
  <si>
    <t>05/04/2012 11:28</t>
  </si>
  <si>
    <t>2012-04-25</t>
  </si>
  <si>
    <t>2012-04-25T06:34:25</t>
  </si>
  <si>
    <t>2012-04-25T20:00:43</t>
  </si>
  <si>
    <t>25/04/2012 11:50</t>
  </si>
  <si>
    <t>2012-04-27</t>
  </si>
  <si>
    <t>2012-04-27T06:32:08</t>
  </si>
  <si>
    <t>2012-04-27T20:02:22</t>
  </si>
  <si>
    <t>19:28</t>
  </si>
  <si>
    <t>27/04/2012 19:28</t>
  </si>
  <si>
    <t>22/07/2012 11:33</t>
  </si>
  <si>
    <t>10:28</t>
  </si>
  <si>
    <t>27/09/2012 10:28</t>
  </si>
  <si>
    <t>2012-10-15</t>
  </si>
  <si>
    <t>2012-10-15T07:25:41</t>
  </si>
  <si>
    <t>2012-10-15T18:43:56</t>
  </si>
  <si>
    <t>15/10/2012 09:30</t>
  </si>
  <si>
    <t>14:01</t>
  </si>
  <si>
    <t>17/10/2012 14:01</t>
  </si>
  <si>
    <t>2012-10-21</t>
  </si>
  <si>
    <t>2012-10-21T07:30:55</t>
  </si>
  <si>
    <t>2012-10-21T18:36:27</t>
  </si>
  <si>
    <t>22:58</t>
  </si>
  <si>
    <t>21/10/2012 22:58</t>
  </si>
  <si>
    <t>2012-10-22</t>
  </si>
  <si>
    <t>2012-10-22T07:31:48</t>
  </si>
  <si>
    <t>2012-10-22T18:35:15</t>
  </si>
  <si>
    <t>00:43</t>
  </si>
  <si>
    <t>22/10/2012 00:43</t>
  </si>
  <si>
    <t>2012-10-30</t>
  </si>
  <si>
    <t>2012-10-30T06:39:09</t>
  </si>
  <si>
    <t>2012-10-30T17:26:22</t>
  </si>
  <si>
    <t>16:57</t>
  </si>
  <si>
    <t>30/10/2012 16:57</t>
  </si>
  <si>
    <t>01/11/2012 12:05</t>
  </si>
  <si>
    <t>30/07/2012 00:20</t>
  </si>
  <si>
    <t>2012-08-12</t>
  </si>
  <si>
    <t>2012-08-12T06:36:39</t>
  </si>
  <si>
    <t>2012-08-12T20:11:31</t>
  </si>
  <si>
    <t>12/08/2012 15:05</t>
  </si>
  <si>
    <t>13/08/2012 13:10</t>
  </si>
  <si>
    <t>27/08/2012 17:50</t>
  </si>
  <si>
    <t>18:06</t>
  </si>
  <si>
    <t>14/10/2012 18:06</t>
  </si>
  <si>
    <t>16:09</t>
  </si>
  <si>
    <t>18/04/2012 16:09</t>
  </si>
  <si>
    <t>2012-07-17</t>
  </si>
  <si>
    <t>2012-07-17T06:17:21</t>
  </si>
  <si>
    <t>2012-07-17T20:33:25</t>
  </si>
  <si>
    <t>20:30</t>
  </si>
  <si>
    <t>17/07/2012 20:30</t>
  </si>
  <si>
    <t>2012-07-21</t>
  </si>
  <si>
    <t>2012-07-21T06:20:06</t>
  </si>
  <si>
    <t>2012-07-21T20:31:07</t>
  </si>
  <si>
    <t>01:12</t>
  </si>
  <si>
    <t>21/07/2012 01:12</t>
  </si>
  <si>
    <t>2012-08-15</t>
  </si>
  <si>
    <t>2012-08-15T06:38:57</t>
  </si>
  <si>
    <t>2012-08-15T20:08:04</t>
  </si>
  <si>
    <t>09:15</t>
  </si>
  <si>
    <t>15/08/2012 09:15</t>
  </si>
  <si>
    <t>20:45</t>
  </si>
  <si>
    <t>19/08/2012 20:45</t>
  </si>
  <si>
    <t>2012-08-28</t>
  </si>
  <si>
    <t>2012-08-28T06:48:49</t>
  </si>
  <si>
    <t>2012-08-28T19:51:37</t>
  </si>
  <si>
    <t>21:50</t>
  </si>
  <si>
    <t>28/08/2012 21:50</t>
  </si>
  <si>
    <t>2012-09-10</t>
  </si>
  <si>
    <t>2012-09-10T06:58:29</t>
  </si>
  <si>
    <t>2012-09-10T19:33:26</t>
  </si>
  <si>
    <t>10/09/2012 20:15</t>
  </si>
  <si>
    <t>12/09/2012 13:50</t>
  </si>
  <si>
    <t>2012-09-22</t>
  </si>
  <si>
    <t>2012-09-22T07:07:25</t>
  </si>
  <si>
    <t>2012-09-22T19:16:01</t>
  </si>
  <si>
    <t>22/09/2012 19:30</t>
  </si>
  <si>
    <t>2012-09-24</t>
  </si>
  <si>
    <t>2012-09-24T07:08:55</t>
  </si>
  <si>
    <t>2012-09-24T19:13:06</t>
  </si>
  <si>
    <t>24/09/2012 20:15</t>
  </si>
  <si>
    <t>2012-09-26</t>
  </si>
  <si>
    <t>2012-09-26T07:10:27</t>
  </si>
  <si>
    <t>2012-09-26T19:10:12</t>
  </si>
  <si>
    <t>26/09/2012 19:15</t>
  </si>
  <si>
    <t>12:39</t>
  </si>
  <si>
    <t>27/09/2012 12:39</t>
  </si>
  <si>
    <t>18/10/2012 17:43</t>
  </si>
  <si>
    <t>2012-10-19</t>
  </si>
  <si>
    <t>2012-10-19T07:29:09</t>
  </si>
  <si>
    <t>2012-10-19T18:38:53</t>
  </si>
  <si>
    <t>19/10/2012 20:10</t>
  </si>
  <si>
    <t>22:20</t>
  </si>
  <si>
    <t>19/10/2012 22:20</t>
  </si>
  <si>
    <t>2012-10-20</t>
  </si>
  <si>
    <t>2012-10-20T07:30:01</t>
  </si>
  <si>
    <t>2012-10-20T18:37:39</t>
  </si>
  <si>
    <t>20/10/2012 20:45</t>
  </si>
  <si>
    <t>22:37</t>
  </si>
  <si>
    <t>01/11/2012 22:37</t>
  </si>
  <si>
    <t>2012-11-12</t>
  </si>
  <si>
    <t>2012-11-12T06:51:46</t>
  </si>
  <si>
    <t>2012-11-12T17:14:56</t>
  </si>
  <si>
    <t>12:03</t>
  </si>
  <si>
    <t>12/11/2012 12:03</t>
  </si>
  <si>
    <t>2012-08-05</t>
  </si>
  <si>
    <t>2012-08-05T06:31:16</t>
  </si>
  <si>
    <t>2012-08-05T20:18:54</t>
  </si>
  <si>
    <t>05/08/2012 13:20</t>
  </si>
  <si>
    <t>12/08/2012 05:00</t>
  </si>
  <si>
    <t>06:00</t>
  </si>
  <si>
    <t>20/08/2012 06:00</t>
  </si>
  <si>
    <t>2012-08-25</t>
  </si>
  <si>
    <t>2012-08-25T06:46:34</t>
  </si>
  <si>
    <t>2012-08-25T19:55:36</t>
  </si>
  <si>
    <t>20:35</t>
  </si>
  <si>
    <t>25/08/2012 20:35</t>
  </si>
  <si>
    <t>16/10/2012 17:20</t>
  </si>
  <si>
    <t>2012-01-20</t>
  </si>
  <si>
    <t>2012-01-20T07:26:23</t>
  </si>
  <si>
    <t>2012-01-20T17:34:24</t>
  </si>
  <si>
    <t>16:15</t>
  </si>
  <si>
    <t>20/01/2012 16:15</t>
  </si>
  <si>
    <t>05:10</t>
  </si>
  <si>
    <t>08/06/2012 05:10</t>
  </si>
  <si>
    <t>22:16</t>
  </si>
  <si>
    <t>14/07/2012 22:16</t>
  </si>
  <si>
    <t>12:58</t>
  </si>
  <si>
    <t>30/07/2012 12:58</t>
  </si>
  <si>
    <t>2012-08-06</t>
  </si>
  <si>
    <t>2012-08-06T06:32:02</t>
  </si>
  <si>
    <t>2012-08-06T20:17:54</t>
  </si>
  <si>
    <t>06/08/2012 16:15</t>
  </si>
  <si>
    <t>06/08/2012 17:25</t>
  </si>
  <si>
    <t>06/08/2012 19:15</t>
  </si>
  <si>
    <t>2012-10-12</t>
  </si>
  <si>
    <t>2012-10-12T07:23:10</t>
  </si>
  <si>
    <t>2012-10-12T18:47:51</t>
  </si>
  <si>
    <t>19:18</t>
  </si>
  <si>
    <t>12/10/2012 19:18</t>
  </si>
  <si>
    <t>2012-02-08</t>
  </si>
  <si>
    <t>2012-02-08T07:13:37</t>
  </si>
  <si>
    <t>2012-02-08T17:53:56</t>
  </si>
  <si>
    <t>08/02/2012 13:27</t>
  </si>
  <si>
    <t>2012-03-19</t>
  </si>
  <si>
    <t>2012-03-19T06:24:06</t>
  </si>
  <si>
    <t>2012-03-19T18:30:32</t>
  </si>
  <si>
    <t>14:47</t>
  </si>
  <si>
    <t>19/03/2012 14:47</t>
  </si>
  <si>
    <t>20:26</t>
  </si>
  <si>
    <t>19/08/2012 20:26</t>
  </si>
  <si>
    <t>17:44</t>
  </si>
  <si>
    <t>28/08/2012 17:44</t>
  </si>
  <si>
    <t>12:20</t>
  </si>
  <si>
    <t>30/08/2012 12:20</t>
  </si>
  <si>
    <t>10/09/2012 21:20</t>
  </si>
  <si>
    <t>12/10/2012 18:30</t>
  </si>
  <si>
    <t>2014-02-17</t>
  </si>
  <si>
    <t>2014-02-17T07:03:53</t>
  </si>
  <si>
    <t>2014-02-17T18:03:23</t>
  </si>
  <si>
    <t>17/02/2014   17:45</t>
  </si>
  <si>
    <t>2014-04-03</t>
  </si>
  <si>
    <t>2014-04-03T07:03:35</t>
  </si>
  <si>
    <t>2014-04-03T19:42:21</t>
  </si>
  <si>
    <t>14:12</t>
  </si>
  <si>
    <t>03/04/2014   14:12</t>
  </si>
  <si>
    <t>2014-01-10</t>
  </si>
  <si>
    <t>2014-01-10T07:28:45</t>
  </si>
  <si>
    <t>2014-01-10T17:25:12</t>
  </si>
  <si>
    <t>10/01/2014   17:00</t>
  </si>
  <si>
    <t>2014-03-20</t>
  </si>
  <si>
    <t>2014-03-20T06:23:22</t>
  </si>
  <si>
    <t>2014-03-20T18:30:57</t>
  </si>
  <si>
    <t>20/03/2014   18:00</t>
  </si>
  <si>
    <t>2014-04-04</t>
  </si>
  <si>
    <t>2014-04-04T07:02:12</t>
  </si>
  <si>
    <t>2014-04-04T19:43:10</t>
  </si>
  <si>
    <t>20:39</t>
  </si>
  <si>
    <t>04/04/2014   20:39</t>
  </si>
  <si>
    <t>04/04/2014   20:40</t>
  </si>
  <si>
    <t>2014-04-09</t>
  </si>
  <si>
    <t>2014-04-09T06:55:20</t>
  </si>
  <si>
    <t>2014-04-09T19:47:13</t>
  </si>
  <si>
    <t>09/04/2014   14:00</t>
  </si>
  <si>
    <t>2014-05-15</t>
  </si>
  <si>
    <t>2014-05-15T06:15:18</t>
  </si>
  <si>
    <t>2014-05-15T20:16:37</t>
  </si>
  <si>
    <t>15/05/2014   17:40</t>
  </si>
  <si>
    <t>2014-07-23</t>
  </si>
  <si>
    <t>2014-07-23T06:21:12</t>
  </si>
  <si>
    <t>2014-07-23T20:30:09</t>
  </si>
  <si>
    <t>23/07/2014   20:30</t>
  </si>
  <si>
    <t>2014-08-17</t>
  </si>
  <si>
    <t>2014-08-17T06:40:08</t>
  </si>
  <si>
    <t>2014-08-17T20:06:17</t>
  </si>
  <si>
    <t>17/08/2014   18:20</t>
  </si>
  <si>
    <t>2014-08-24</t>
  </si>
  <si>
    <t>2014-08-24T06:45:27</t>
  </si>
  <si>
    <t>2014-08-24T19:57:33</t>
  </si>
  <si>
    <t>24/08/2014   13:30</t>
  </si>
  <si>
    <t>2014-08-27</t>
  </si>
  <si>
    <t>2014-08-27T06:47:43</t>
  </si>
  <si>
    <t>2014-08-27T19:53:37</t>
  </si>
  <si>
    <t>14:04</t>
  </si>
  <si>
    <t>27/08/2014   14:04</t>
  </si>
  <si>
    <t>2014-09-26</t>
  </si>
  <si>
    <t>2014-09-26T07:10:05</t>
  </si>
  <si>
    <t>2014-09-26T19:10:55</t>
  </si>
  <si>
    <t>26/09/2014   06:00</t>
  </si>
  <si>
    <t>2014-09-29</t>
  </si>
  <si>
    <t>2014-09-29T07:12:23</t>
  </si>
  <si>
    <t>2014-09-29T19:06:36</t>
  </si>
  <si>
    <t>29/09/2014   11:30</t>
  </si>
  <si>
    <t>2014-10-04</t>
  </si>
  <si>
    <t>2014-10-04T07:16:17</t>
  </si>
  <si>
    <t>2014-10-04T18:59:29</t>
  </si>
  <si>
    <t>04/10/2014   14:30</t>
  </si>
  <si>
    <t>04/10/2014   18:30</t>
  </si>
  <si>
    <t>2014-03-16</t>
  </si>
  <si>
    <t>2014-03-16T06:29:00</t>
  </si>
  <si>
    <t>2014-03-16T18:27:37</t>
  </si>
  <si>
    <t>16/03/2014   15:20</t>
  </si>
  <si>
    <t>2014-03-31</t>
  </si>
  <si>
    <t>2014-03-31T07:07:47</t>
  </si>
  <si>
    <t>2014-03-31T19:39:55</t>
  </si>
  <si>
    <t>31/03/2014   11:40</t>
  </si>
  <si>
    <t>04/04/2014   16:40</t>
  </si>
  <si>
    <t>2014-04-16</t>
  </si>
  <si>
    <t>2014-04-16T06:46:04</t>
  </si>
  <si>
    <t>2014-04-16T19:52:55</t>
  </si>
  <si>
    <t>16/04/2014   09:30</t>
  </si>
  <si>
    <t>2014-05-02</t>
  </si>
  <si>
    <t>2014-05-02T06:27:13</t>
  </si>
  <si>
    <t>2014-05-02T20:06:05</t>
  </si>
  <si>
    <t>02/05/2014   19:20</t>
  </si>
  <si>
    <t>2014-06-18</t>
  </si>
  <si>
    <t>2014-06-18T06:04:19</t>
  </si>
  <si>
    <t>2014-06-18T20:36:42</t>
  </si>
  <si>
    <t>18/06/2014   13:40</t>
  </si>
  <si>
    <t>2014-06-24</t>
  </si>
  <si>
    <t>2014-06-24T06:05:35</t>
  </si>
  <si>
    <t>2014-06-24T20:37:58</t>
  </si>
  <si>
    <t>01:15</t>
  </si>
  <si>
    <t>24/06/2014   01:15</t>
  </si>
  <si>
    <t>2014-07-11</t>
  </si>
  <si>
    <t>2014-07-11T06:13:15</t>
  </si>
  <si>
    <t>2014-07-11T20:36:14</t>
  </si>
  <si>
    <t>11/07/2014   10:40</t>
  </si>
  <si>
    <t>2014-10-03</t>
  </si>
  <si>
    <t>2014-10-03T07:15:30</t>
  </si>
  <si>
    <t>2014-10-03T19:00:54</t>
  </si>
  <si>
    <t>00:50</t>
  </si>
  <si>
    <t>03/10/2014   00:50</t>
  </si>
  <si>
    <t>2014-10-10</t>
  </si>
  <si>
    <t>2014-10-10T07:21:07</t>
  </si>
  <si>
    <t>2014-10-10T18:51:12</t>
  </si>
  <si>
    <t>10/10/2014   09:50</t>
  </si>
  <si>
    <t>2014-10-17</t>
  </si>
  <si>
    <t>2014-10-17T07:27:00</t>
  </si>
  <si>
    <t>2014-10-17T18:42:00</t>
  </si>
  <si>
    <t>17/10/2014   11:55</t>
  </si>
  <si>
    <t>2014-11-04</t>
  </si>
  <si>
    <t>2014-11-04T06:43:28</t>
  </si>
  <si>
    <t>2014-11-04T17:21:57</t>
  </si>
  <si>
    <t>04/11/2014   11:40</t>
  </si>
  <si>
    <t>2014-01-20</t>
  </si>
  <si>
    <t>2014-01-20T07:26:09</t>
  </si>
  <si>
    <t>2014-01-20T17:34:54</t>
  </si>
  <si>
    <t>20/01/2014   16:10</t>
  </si>
  <si>
    <t>2014-08-07</t>
  </si>
  <si>
    <t>2014-08-07T06:32:27</t>
  </si>
  <si>
    <t>2014-08-07T20:17:24</t>
  </si>
  <si>
    <t>16:24</t>
  </si>
  <si>
    <t>07/08/2014   16:24</t>
  </si>
  <si>
    <t>2014-06-02</t>
  </si>
  <si>
    <t>2014-06-02T06:05:35</t>
  </si>
  <si>
    <t>2014-06-02T20:29:25</t>
  </si>
  <si>
    <t>22:05</t>
  </si>
  <si>
    <t>02/06/2014   22:05</t>
  </si>
  <si>
    <t>2014-06-28</t>
  </si>
  <si>
    <t>2014-06-28T06:06:53</t>
  </si>
  <si>
    <t>2014-06-28T20:38:17</t>
  </si>
  <si>
    <t>28/06/2014   13:15</t>
  </si>
  <si>
    <t>2014-06-30</t>
  </si>
  <si>
    <t>2014-06-30T06:07:39</t>
  </si>
  <si>
    <t>2014-06-30T20:38:16</t>
  </si>
  <si>
    <t>14:58</t>
  </si>
  <si>
    <t>30/06/2014   14:58</t>
  </si>
  <si>
    <t>2014-07-09</t>
  </si>
  <si>
    <t>2014-07-09T06:12:05</t>
  </si>
  <si>
    <t>2014-07-09T20:36:52</t>
  </si>
  <si>
    <t>09/07/2014   17:00</t>
  </si>
  <si>
    <t>2014-07-10</t>
  </si>
  <si>
    <t>2014-07-10T06:12:40</t>
  </si>
  <si>
    <t>2014-07-10T20:36:34</t>
  </si>
  <si>
    <t>10/07/2014   15:30</t>
  </si>
  <si>
    <t>2014-07-13</t>
  </si>
  <si>
    <t>2014-07-13T06:14:28</t>
  </si>
  <si>
    <t>2014-07-13T20:35:30</t>
  </si>
  <si>
    <t>13/07/2014   22:20</t>
  </si>
  <si>
    <t>2014-07-14</t>
  </si>
  <si>
    <t>2014-07-14T06:15:06</t>
  </si>
  <si>
    <t>2014-07-14T20:35:05</t>
  </si>
  <si>
    <t>21:55</t>
  </si>
  <si>
    <t>14/07/2014   21:55</t>
  </si>
  <si>
    <t>2014-07-15</t>
  </si>
  <si>
    <t>2014-07-15T06:15:44</t>
  </si>
  <si>
    <t>2014-07-15T20:34:39</t>
  </si>
  <si>
    <t>15/07/2014   21:40</t>
  </si>
  <si>
    <t>22:49</t>
  </si>
  <si>
    <t>15/07/2014   22:49</t>
  </si>
  <si>
    <t>2014-08-01</t>
  </si>
  <si>
    <t>2014-08-01T06:27:52</t>
  </si>
  <si>
    <t>2014-08-01T20:23:07</t>
  </si>
  <si>
    <t>20:05</t>
  </si>
  <si>
    <t>01/08/2014   20:05</t>
  </si>
  <si>
    <t>2014-08-09</t>
  </si>
  <si>
    <t>2014-08-09T06:33:59</t>
  </si>
  <si>
    <t>2014-08-09T20:15:19</t>
  </si>
  <si>
    <t>12:19</t>
  </si>
  <si>
    <t>09/08/2014   12:19</t>
  </si>
  <si>
    <t>13:01</t>
  </si>
  <si>
    <t>17/08/2014   13:01</t>
  </si>
  <si>
    <t>17/08/2014   13:35</t>
  </si>
  <si>
    <t>17/08/2014   14:30</t>
  </si>
  <si>
    <t>2014-08-23</t>
  </si>
  <si>
    <t>2014-08-23T06:44:42</t>
  </si>
  <si>
    <t>2014-08-23T19:58:51</t>
  </si>
  <si>
    <t>23/08/2014   12:10</t>
  </si>
  <si>
    <t>2014-08-28</t>
  </si>
  <si>
    <t>2014-08-28T06:48:28</t>
  </si>
  <si>
    <t>2014-08-28T19:52:17</t>
  </si>
  <si>
    <t>28/08/2014   15:20</t>
  </si>
  <si>
    <t>15:21</t>
  </si>
  <si>
    <t>28/08/2014   15:21</t>
  </si>
  <si>
    <t>2014-08-31</t>
  </si>
  <si>
    <t>2014-08-31T06:50:43</t>
  </si>
  <si>
    <t>2014-08-31T19:48:13</t>
  </si>
  <si>
    <t>31/08/2014   13:55</t>
  </si>
  <si>
    <t>31/08/2014   14:00</t>
  </si>
  <si>
    <t>2014-09-02</t>
  </si>
  <si>
    <t>2014-09-02T06:52:12</t>
  </si>
  <si>
    <t>2014-09-02T19:45:28</t>
  </si>
  <si>
    <t>15:29</t>
  </si>
  <si>
    <t>02/09/2014   15:29</t>
  </si>
  <si>
    <t>2014-09-05</t>
  </si>
  <si>
    <t>2014-09-05T06:54:26</t>
  </si>
  <si>
    <t>2014-09-05T19:41:16</t>
  </si>
  <si>
    <t>05/09/2014   11:50</t>
  </si>
  <si>
    <t>05/09/2014   14:45</t>
  </si>
  <si>
    <t>2014-09-08</t>
  </si>
  <si>
    <t>2014-09-08T06:56:39</t>
  </si>
  <si>
    <t>2014-09-08T19:37:01</t>
  </si>
  <si>
    <t>08/09/2014   12:55</t>
  </si>
  <si>
    <t>08/09/2014   13:30</t>
  </si>
  <si>
    <t>2014-09-11</t>
  </si>
  <si>
    <t>2014-09-11T06:58:53</t>
  </si>
  <si>
    <t>2014-09-11T19:32:43</t>
  </si>
  <si>
    <t>11/09/2014   13:30</t>
  </si>
  <si>
    <t>11/09/2014   13:35</t>
  </si>
  <si>
    <t>2014-09-17</t>
  </si>
  <si>
    <t>2014-09-17T07:03:20</t>
  </si>
  <si>
    <t>2014-09-17T19:24:01</t>
  </si>
  <si>
    <t>17/09/2014   13:28</t>
  </si>
  <si>
    <t>17/09/2014   14:10</t>
  </si>
  <si>
    <t>2014-09-18</t>
  </si>
  <si>
    <t>2014-09-18T07:04:04</t>
  </si>
  <si>
    <t>2014-09-18T19:22:33</t>
  </si>
  <si>
    <t>13:52</t>
  </si>
  <si>
    <t>18/09/2014   13:52</t>
  </si>
  <si>
    <t>18/09/2014   16:10</t>
  </si>
  <si>
    <t>2014-09-22</t>
  </si>
  <si>
    <t>2014-09-22T07:07:04</t>
  </si>
  <si>
    <t>2014-09-22T19:16:44</t>
  </si>
  <si>
    <t>22/09/2014   17:45</t>
  </si>
  <si>
    <t>2014-09-24</t>
  </si>
  <si>
    <t>2014-09-24T07:08:34</t>
  </si>
  <si>
    <t>2014-09-24T19:13:49</t>
  </si>
  <si>
    <t>24/09/2014   13:39</t>
  </si>
  <si>
    <t>2014-09-27</t>
  </si>
  <si>
    <t>2014-09-27T07:10:51</t>
  </si>
  <si>
    <t>2014-09-27T19:09:29</t>
  </si>
  <si>
    <t>12:34</t>
  </si>
  <si>
    <t>27/09/2014   12:34</t>
  </si>
  <si>
    <t>2014-09-30</t>
  </si>
  <si>
    <t>2014-09-30T07:13:09</t>
  </si>
  <si>
    <t>2014-09-30T19:05:10</t>
  </si>
  <si>
    <t>14:41</t>
  </si>
  <si>
    <t>30/09/2014   14:41</t>
  </si>
  <si>
    <t>2014-10-01</t>
  </si>
  <si>
    <t>2014-10-01T07:13:56</t>
  </si>
  <si>
    <t>2014-10-01T19:03:44</t>
  </si>
  <si>
    <t>01/10/2014   12:00</t>
  </si>
  <si>
    <t>04/10/2014   15:08</t>
  </si>
  <si>
    <t>04/10/2014   15:10</t>
  </si>
  <si>
    <t>2014-10-05</t>
  </si>
  <si>
    <t>2014-10-05T07:17:05</t>
  </si>
  <si>
    <t>2014-10-05T18:58:05</t>
  </si>
  <si>
    <t>05/10/2014   13:00</t>
  </si>
  <si>
    <t>2014-10-06</t>
  </si>
  <si>
    <t>2014-10-06T07:17:53</t>
  </si>
  <si>
    <t>2014-10-06T18:56:42</t>
  </si>
  <si>
    <t>12:14</t>
  </si>
  <si>
    <t>06/10/2014   12:14</t>
  </si>
  <si>
    <t>06/10/2014   12:44</t>
  </si>
  <si>
    <t>13:44</t>
  </si>
  <si>
    <t>06/10/2014   13:44</t>
  </si>
  <si>
    <t>2014-10-09</t>
  </si>
  <si>
    <t>2014-10-09T07:20:18</t>
  </si>
  <si>
    <t>2014-10-09T18:52:34</t>
  </si>
  <si>
    <t>09/10/2014   16:10</t>
  </si>
  <si>
    <t>2014-10-14</t>
  </si>
  <si>
    <t>2014-10-14T07:24:27</t>
  </si>
  <si>
    <t>2014-10-14T18:45:52</t>
  </si>
  <si>
    <t>14:14</t>
  </si>
  <si>
    <t>14/10/2014   14:14</t>
  </si>
  <si>
    <t>2014-10-20</t>
  </si>
  <si>
    <t>2014-10-20T07:29:36</t>
  </si>
  <si>
    <t>2014-10-20T18:38:16</t>
  </si>
  <si>
    <t>01:14</t>
  </si>
  <si>
    <t>20/10/2014   01:14</t>
  </si>
  <si>
    <t>2014-11-01</t>
  </si>
  <si>
    <t>2014-11-01T06:40:35</t>
  </si>
  <si>
    <t>2014-11-01T17:24:50</t>
  </si>
  <si>
    <t>17:55</t>
  </si>
  <si>
    <t>01/11/2014   17:55</t>
  </si>
  <si>
    <t>2014-11-06</t>
  </si>
  <si>
    <t>2014-11-06T06:45:24</t>
  </si>
  <si>
    <t>2014-11-06T17:20:08</t>
  </si>
  <si>
    <t>18:14</t>
  </si>
  <si>
    <t>06/11/2014   18:14</t>
  </si>
  <si>
    <t>2014-11-16</t>
  </si>
  <si>
    <t>2014-11-16T06:55:15</t>
  </si>
  <si>
    <t>2014-11-16T17:12:37</t>
  </si>
  <si>
    <t>16/11/2014   19:55</t>
  </si>
  <si>
    <t>2014-11-19</t>
  </si>
  <si>
    <t>2014-11-19T06:58:13</t>
  </si>
  <si>
    <t>2014-11-19T17:10:55</t>
  </si>
  <si>
    <t>10:34</t>
  </si>
  <si>
    <t>19/11/2014   10:34</t>
  </si>
  <si>
    <t>2014-11-25</t>
  </si>
  <si>
    <t>2014-11-25T07:04:03</t>
  </si>
  <si>
    <t>2014-11-25T17:08:19</t>
  </si>
  <si>
    <t>25/11/2014   16:38</t>
  </si>
  <si>
    <t>2014-07-04</t>
  </si>
  <si>
    <t>2014-07-04T06:09:27</t>
  </si>
  <si>
    <t>2014-07-04T20:37:56</t>
  </si>
  <si>
    <t>04/07/2014   12:55</t>
  </si>
  <si>
    <t>2014-07-05</t>
  </si>
  <si>
    <t>2014-07-05T06:09:57</t>
  </si>
  <si>
    <t>2014-07-05T20:37:46</t>
  </si>
  <si>
    <t>10:38</t>
  </si>
  <si>
    <t>05/07/2014   10:38</t>
  </si>
  <si>
    <t>2014-07-31</t>
  </si>
  <si>
    <t>2014-07-31T06:27:06</t>
  </si>
  <si>
    <t>2014-07-31T20:24:00</t>
  </si>
  <si>
    <t>31/07/2014   16:55</t>
  </si>
  <si>
    <t>2014-08-25</t>
  </si>
  <si>
    <t>2014-08-25T06:46:13</t>
  </si>
  <si>
    <t>2014-08-25T19:56:15</t>
  </si>
  <si>
    <t>25/08/2014   18:00</t>
  </si>
  <si>
    <t>2014-12-02</t>
  </si>
  <si>
    <t>2014-12-02T07:10:33</t>
  </si>
  <si>
    <t>2014-12-02T17:06:45</t>
  </si>
  <si>
    <t>02/12/2014   17:05</t>
  </si>
  <si>
    <t>2014-09-19</t>
  </si>
  <si>
    <t>2014-09-19T07:04:49</t>
  </si>
  <si>
    <t>2014-09-19T19:21:06</t>
  </si>
  <si>
    <t>19/09/2014   23:05</t>
  </si>
  <si>
    <t>18/06/2014   19:30</t>
  </si>
  <si>
    <t>24/06/2014   22:35</t>
  </si>
  <si>
    <t>01:20</t>
  </si>
  <si>
    <t>28/06/2014   01:20</t>
  </si>
  <si>
    <t>2014-07-20</t>
  </si>
  <si>
    <t>2014-07-20T06:19:05</t>
  </si>
  <si>
    <t>2014-07-20T20:32:02</t>
  </si>
  <si>
    <t>20/07/2014   21:10</t>
  </si>
  <si>
    <t>2014-01-05</t>
  </si>
  <si>
    <t>2014-01-05T07:28:51</t>
  </si>
  <si>
    <t>2014-01-05T17:20:47</t>
  </si>
  <si>
    <t>05/01/2014   15:45</t>
  </si>
  <si>
    <t>2014-06-08</t>
  </si>
  <si>
    <t>2014-06-08T06:04:17</t>
  </si>
  <si>
    <t>2014-06-08T20:32:44</t>
  </si>
  <si>
    <t>08/06/2014   09:30</t>
  </si>
  <si>
    <t>2014-07-28</t>
  </si>
  <si>
    <t>2014-07-28T06:24:51</t>
  </si>
  <si>
    <t>2014-07-28T20:26:29</t>
  </si>
  <si>
    <t>28/07/2014   10:15</t>
  </si>
  <si>
    <t>14:27</t>
  </si>
  <si>
    <t>28/07/2014   14:27</t>
  </si>
  <si>
    <t>02/09/2014   22:49</t>
  </si>
  <si>
    <t>11:17</t>
  </si>
  <si>
    <t>26/09/2014   11:17</t>
  </si>
  <si>
    <t>19:05</t>
  </si>
  <si>
    <t>10/10/2014   19:05</t>
  </si>
  <si>
    <t>11:29</t>
  </si>
  <si>
    <t>17/10/2014   11:29</t>
  </si>
  <si>
    <t>21:25</t>
  </si>
  <si>
    <t>17/10/2014   21:25</t>
  </si>
  <si>
    <t>2014-12-03</t>
  </si>
  <si>
    <t>2014-12-03T07:11:26</t>
  </si>
  <si>
    <t>2014-12-03T17:06:40</t>
  </si>
  <si>
    <t>03/12/2014   14:15</t>
  </si>
  <si>
    <t>2014-04-02</t>
  </si>
  <si>
    <t>2014-04-02T07:04:59</t>
  </si>
  <si>
    <t>2014-04-02T19:41:33</t>
  </si>
  <si>
    <t>02/04/2014   14:35</t>
  </si>
  <si>
    <t>2014-07-27</t>
  </si>
  <si>
    <t>2014-07-27T06:24:07</t>
  </si>
  <si>
    <t>2014-07-27T20:27:16</t>
  </si>
  <si>
    <t>27/07/2014   11:40</t>
  </si>
  <si>
    <t>2014-06-20</t>
  </si>
  <si>
    <t>2014-06-20T06:04:39</t>
  </si>
  <si>
    <t>2014-06-20T20:37:14</t>
  </si>
  <si>
    <t>14:44</t>
  </si>
  <si>
    <t>20/06/2014   14:44</t>
  </si>
  <si>
    <t>2014-09-23</t>
  </si>
  <si>
    <t>2014-09-23T07:07:49</t>
  </si>
  <si>
    <t>2014-09-23T19:15:17</t>
  </si>
  <si>
    <t>23/09/2014   20:10</t>
  </si>
  <si>
    <t>2014-10-19</t>
  </si>
  <si>
    <t>2014-10-19T07:28:44</t>
  </si>
  <si>
    <t>2014-10-19T18:39:30</t>
  </si>
  <si>
    <t>19/10/2014   16:44</t>
  </si>
  <si>
    <t>08:30</t>
  </si>
  <si>
    <t>17/10/2014   08:30</t>
  </si>
  <si>
    <t>2014-10-22</t>
  </si>
  <si>
    <t>2014-10-22T07:31:23</t>
  </si>
  <si>
    <t>2014-10-22T18:35:51</t>
  </si>
  <si>
    <t>22/10/2014   14:10</t>
  </si>
  <si>
    <t>16:34</t>
  </si>
  <si>
    <t>01/08/2014   16:34</t>
  </si>
  <si>
    <t>20/01/2014   16:30</t>
  </si>
  <si>
    <t>2014-03-27</t>
  </si>
  <si>
    <t>2014-03-27T06:13:26</t>
  </si>
  <si>
    <t>2014-03-27T18:36:41</t>
  </si>
  <si>
    <t>27/03/2014   14:40</t>
  </si>
  <si>
    <t>02:19</t>
  </si>
  <si>
    <t>15/07/2014   02:19</t>
  </si>
  <si>
    <t>12:17</t>
  </si>
  <si>
    <t>23/07/2014   12:17</t>
  </si>
  <si>
    <t>2014-07-30</t>
  </si>
  <si>
    <t>2014-07-30T06:26:21</t>
  </si>
  <si>
    <t>2014-07-30T20:24:51</t>
  </si>
  <si>
    <t>20:53</t>
  </si>
  <si>
    <t>30/07/2014   20:53</t>
  </si>
  <si>
    <t>2014-08-10</t>
  </si>
  <si>
    <t>2014-08-10T06:34:45</t>
  </si>
  <si>
    <t>2014-08-10T20:14:15</t>
  </si>
  <si>
    <t>10/08/2014   19:10</t>
  </si>
  <si>
    <t>27/08/2014   11:45</t>
  </si>
  <si>
    <t>13:02</t>
  </si>
  <si>
    <t>19/09/2014   13:02</t>
  </si>
  <si>
    <t>2014-10-18</t>
  </si>
  <si>
    <t>2014-10-18T07:27:52</t>
  </si>
  <si>
    <t>2014-10-18T18:40:45</t>
  </si>
  <si>
    <t>18/10/2014   14:45</t>
  </si>
  <si>
    <t>2014-01-24</t>
  </si>
  <si>
    <t>2014-01-24T07:24:15</t>
  </si>
  <si>
    <t>2014-01-24T17:39:00</t>
  </si>
  <si>
    <t>24/01/2014   11:25</t>
  </si>
  <si>
    <t>2014-08-18</t>
  </si>
  <si>
    <t>2014-08-18T06:40:54</t>
  </si>
  <si>
    <t>2014-08-18T20:05:05</t>
  </si>
  <si>
    <t>18/08/2014   12:40</t>
  </si>
  <si>
    <t>09:20</t>
  </si>
  <si>
    <t>19/10/2014   09:20</t>
  </si>
  <si>
    <t>01:50</t>
  </si>
  <si>
    <t>09/07/2014   01:50</t>
  </si>
  <si>
    <t>2014-07-26</t>
  </si>
  <si>
    <t>2014-07-26T06:23:23</t>
  </si>
  <si>
    <t>2014-07-26T20:28:01</t>
  </si>
  <si>
    <t>26/07/2014   14:40</t>
  </si>
  <si>
    <t>17/08/2014   20:15</t>
  </si>
  <si>
    <t>2014-09-03</t>
  </si>
  <si>
    <t>2014-09-03T06:52:57</t>
  </si>
  <si>
    <t>2014-09-03T19:44:04</t>
  </si>
  <si>
    <t>09:00</t>
  </si>
  <si>
    <t>03/09/2014   09:00</t>
  </si>
  <si>
    <t>2014-05-14</t>
  </si>
  <si>
    <t>2014-05-14T06:16:05</t>
  </si>
  <si>
    <t>2014-05-14T20:15:50</t>
  </si>
  <si>
    <t>14/05/2014   14:45</t>
  </si>
  <si>
    <t>2014-06-23</t>
  </si>
  <si>
    <t>2014-06-23T06:05:18</t>
  </si>
  <si>
    <t>2014-06-23T20:37:49</t>
  </si>
  <si>
    <t>16:54</t>
  </si>
  <si>
    <t>23/06/2014   16:54</t>
  </si>
  <si>
    <t>2014-07-03</t>
  </si>
  <si>
    <t>2014-07-03T06:08:58</t>
  </si>
  <si>
    <t>2014-07-03T20:38:03</t>
  </si>
  <si>
    <t>03/07/2014   16:35</t>
  </si>
  <si>
    <t>18:12</t>
  </si>
  <si>
    <t>07/08/2014   18:12</t>
  </si>
  <si>
    <t>22/09/2014   12:15</t>
  </si>
  <si>
    <t>2015-04-13</t>
  </si>
  <si>
    <t>2015-04-13T06:50:19</t>
  </si>
  <si>
    <t>2015-04-13T19:50:17</t>
  </si>
  <si>
    <t>16:32</t>
  </si>
  <si>
    <t>13/04/2015 16:32</t>
  </si>
  <si>
    <t>2015-04-15</t>
  </si>
  <si>
    <t>2015-04-15T06:47:41</t>
  </si>
  <si>
    <t>2015-04-15T19:51:55</t>
  </si>
  <si>
    <t>15/04/2015 14:49</t>
  </si>
  <si>
    <t>2015-05-01</t>
  </si>
  <si>
    <t>2015-05-01T06:28:32</t>
  </si>
  <si>
    <t>2015-05-01T20:05:04</t>
  </si>
  <si>
    <t>14:34</t>
  </si>
  <si>
    <t>01/05/2015 14:34</t>
  </si>
  <si>
    <t>2015-05-12</t>
  </si>
  <si>
    <t>2015-05-12T06:17:56</t>
  </si>
  <si>
    <t>2015-05-12T20:14:03</t>
  </si>
  <si>
    <t>22:04</t>
  </si>
  <si>
    <t>12/05/2015 22:04</t>
  </si>
  <si>
    <t>2015-08-05</t>
  </si>
  <si>
    <t>2015-08-05T06:30:43</t>
  </si>
  <si>
    <t>2015-08-05T20:19:37</t>
  </si>
  <si>
    <t>05/08/2015 14:34</t>
  </si>
  <si>
    <t>2015-01-17</t>
  </si>
  <si>
    <t>2015-01-17T07:27:21</t>
  </si>
  <si>
    <t>2015-01-17T17:31:40</t>
  </si>
  <si>
    <t>17/01/2015 17:50</t>
  </si>
  <si>
    <t>2015-02-18</t>
  </si>
  <si>
    <t>2015-02-18T07:03:03</t>
  </si>
  <si>
    <t>2015-02-18T18:04:08</t>
  </si>
  <si>
    <t>18/02/2015 13:40</t>
  </si>
  <si>
    <t>2015-03-19</t>
  </si>
  <si>
    <t>2015-03-19T06:25:08</t>
  </si>
  <si>
    <t>2015-03-19T18:29:55</t>
  </si>
  <si>
    <t>11:22</t>
  </si>
  <si>
    <t>19/03/2015 11:22</t>
  </si>
  <si>
    <t>15/04/2015 15:30</t>
  </si>
  <si>
    <t>15/04/2015 15:40</t>
  </si>
  <si>
    <t>2015-04-17</t>
  </si>
  <si>
    <t>2015-04-17T06:45:06</t>
  </si>
  <si>
    <t>2015-04-17T19:53:33</t>
  </si>
  <si>
    <t>17/04/2015 18:05</t>
  </si>
  <si>
    <t>2015-04-18</t>
  </si>
  <si>
    <t>2015-04-18T06:43:50</t>
  </si>
  <si>
    <t>2015-04-18T19:54:22</t>
  </si>
  <si>
    <t>18/04/2015 11:25</t>
  </si>
  <si>
    <t>2015-04-27</t>
  </si>
  <si>
    <t>2015-04-27T06:32:58</t>
  </si>
  <si>
    <t>2015-04-27T20:01:46</t>
  </si>
  <si>
    <t>27/04/2015 13:10</t>
  </si>
  <si>
    <t>2015-07-18</t>
  </si>
  <si>
    <t>2015-07-18T06:17:33</t>
  </si>
  <si>
    <t>2015-07-18T20:33:17</t>
  </si>
  <si>
    <t>18/07/2015 18:20</t>
  </si>
  <si>
    <t>2015-07-24</t>
  </si>
  <si>
    <t>2015-07-24T06:21:44</t>
  </si>
  <si>
    <t>2015-07-24T20:29:37</t>
  </si>
  <si>
    <t>02:30</t>
  </si>
  <si>
    <t>24/07/2015 02:30</t>
  </si>
  <si>
    <t>2015-08-10</t>
  </si>
  <si>
    <t>2015-08-10T06:34:33</t>
  </si>
  <si>
    <t>2015-08-10T20:14:30</t>
  </si>
  <si>
    <t>10/08/2015 17:05</t>
  </si>
  <si>
    <t>2015-08-24</t>
  </si>
  <si>
    <t>2015-08-24T06:45:16</t>
  </si>
  <si>
    <t>2015-08-24T19:57:52</t>
  </si>
  <si>
    <t>24/08/2015 11:50</t>
  </si>
  <si>
    <t>2015-09-03</t>
  </si>
  <si>
    <t>2015-09-03T06:52:46</t>
  </si>
  <si>
    <t>2015-09-03T19:44:24</t>
  </si>
  <si>
    <t>10:44</t>
  </si>
  <si>
    <t>03/09/2015 10:44</t>
  </si>
  <si>
    <t>03/09/2015 11:44</t>
  </si>
  <si>
    <t>03/09/2015 13:14</t>
  </si>
  <si>
    <t>2015-09-10</t>
  </si>
  <si>
    <t>2015-09-10T06:57:57</t>
  </si>
  <si>
    <t>2015-09-10T19:34:29</t>
  </si>
  <si>
    <t>10/09/2015 16:15</t>
  </si>
  <si>
    <t>2015-09-18</t>
  </si>
  <si>
    <t>2015-09-18T07:03:53</t>
  </si>
  <si>
    <t>2015-09-18T19:22:54</t>
  </si>
  <si>
    <t>18/09/2015 13:29</t>
  </si>
  <si>
    <t>2015-11-02</t>
  </si>
  <si>
    <t>2015-11-02T06:41:18</t>
  </si>
  <si>
    <t>2015-11-02T17:24:05</t>
  </si>
  <si>
    <t>02/11/2015 10:30</t>
  </si>
  <si>
    <t>2015-11-09</t>
  </si>
  <si>
    <t>2015-11-09T06:48:05</t>
  </si>
  <si>
    <t>2015-11-09T17:17:47</t>
  </si>
  <si>
    <t>09/11/2015 12:15</t>
  </si>
  <si>
    <t>2015-04-10</t>
  </si>
  <si>
    <t>2015-04-10T06:54:19</t>
  </si>
  <si>
    <t>2015-04-10T19:47:50</t>
  </si>
  <si>
    <t>10:50</t>
  </si>
  <si>
    <t>10/04/2015 10:50</t>
  </si>
  <si>
    <t>2015-04-16</t>
  </si>
  <si>
    <t>2015-04-16T06:46:23</t>
  </si>
  <si>
    <t>2015-04-16T19:52:44</t>
  </si>
  <si>
    <t>16/04/2015 13:30</t>
  </si>
  <si>
    <t>2015-07-03</t>
  </si>
  <si>
    <t>2015-07-03T06:08:51</t>
  </si>
  <si>
    <t>2015-07-03T20:38:05</t>
  </si>
  <si>
    <t>03/07/2015 23:50</t>
  </si>
  <si>
    <t>2015-08-09</t>
  </si>
  <si>
    <t>2015-08-09T06:33:47</t>
  </si>
  <si>
    <t>2015-08-09T20:15:34</t>
  </si>
  <si>
    <t>09/08/2015 16:00</t>
  </si>
  <si>
    <t>2015-09-12</t>
  </si>
  <si>
    <t>2015-09-12T06:59:26</t>
  </si>
  <si>
    <t>2015-09-12T19:31:37</t>
  </si>
  <si>
    <t>12/09/2015 10:52</t>
  </si>
  <si>
    <t>2015-12-02</t>
  </si>
  <si>
    <t>2015-12-02T07:10:19</t>
  </si>
  <si>
    <t>2015-12-02T17:06:46</t>
  </si>
  <si>
    <t>10:10</t>
  </si>
  <si>
    <t>02/12/2015 10:10</t>
  </si>
  <si>
    <t>2015-01-20</t>
  </si>
  <si>
    <t>2015-01-20T07:26:15</t>
  </si>
  <si>
    <t>2015-01-20T17:34:40</t>
  </si>
  <si>
    <t>20/01/2015 13:10</t>
  </si>
  <si>
    <t>2015-07-17</t>
  </si>
  <si>
    <t>2015-07-17T06:16:53</t>
  </si>
  <si>
    <t>2015-07-17T20:33:48</t>
  </si>
  <si>
    <t>03:40</t>
  </si>
  <si>
    <t>17/07/2015 03:40</t>
  </si>
  <si>
    <t>05/08/2015 12:15</t>
  </si>
  <si>
    <t>2015-08-08</t>
  </si>
  <si>
    <t>2015-08-08T06:33:01</t>
  </si>
  <si>
    <t>2015-08-08T20:16:37</t>
  </si>
  <si>
    <t>08/08/2015 20:40</t>
  </si>
  <si>
    <t>2015-11-23</t>
  </si>
  <si>
    <t>2015-11-23T07:01:53</t>
  </si>
  <si>
    <t>2015-11-23T17:09:09</t>
  </si>
  <si>
    <t>23/11/2015 16:10</t>
  </si>
  <si>
    <t>2015-04-21</t>
  </si>
  <si>
    <t>2015-04-21T06:40:05</t>
  </si>
  <si>
    <t>2015-04-21T19:56:49</t>
  </si>
  <si>
    <t>21/04/2015 16:09</t>
  </si>
  <si>
    <t>2015-04-24</t>
  </si>
  <si>
    <t>2015-04-24T06:36:27</t>
  </si>
  <si>
    <t>2015-04-24T19:59:18</t>
  </si>
  <si>
    <t>18:39</t>
  </si>
  <si>
    <t>24/04/2015 18:39</t>
  </si>
  <si>
    <t>24/04/2015 18:40</t>
  </si>
  <si>
    <t>2015-04-28</t>
  </si>
  <si>
    <t>2015-04-28T06:31:50</t>
  </si>
  <si>
    <t>2015-04-28T20:02:36</t>
  </si>
  <si>
    <t>28/04/2015 12:37</t>
  </si>
  <si>
    <t>2015-05-16</t>
  </si>
  <si>
    <t>2015-05-16T06:14:44</t>
  </si>
  <si>
    <t>2015-05-16T20:17:13</t>
  </si>
  <si>
    <t>16/05/2015 12:34</t>
  </si>
  <si>
    <t>2015-05-27</t>
  </si>
  <si>
    <t>2015-05-27T06:07:59</t>
  </si>
  <si>
    <t>2015-05-27T20:25:22</t>
  </si>
  <si>
    <t>27/05/2015 09:19</t>
  </si>
  <si>
    <t>2015-06-26</t>
  </si>
  <si>
    <t>2015-06-26T06:06:07</t>
  </si>
  <si>
    <t>2015-06-26T20:38:10</t>
  </si>
  <si>
    <t>09:39</t>
  </si>
  <si>
    <t>26/06/2015 09:39</t>
  </si>
  <si>
    <t>17/07/2015 11:24</t>
  </si>
  <si>
    <t>2015-08-30</t>
  </si>
  <si>
    <t>2015-08-30T06:49:47</t>
  </si>
  <si>
    <t>2015-08-30T19:49:54</t>
  </si>
  <si>
    <t>30/08/2015 12:34</t>
  </si>
  <si>
    <t>2015-09-01</t>
  </si>
  <si>
    <t>2015-09-01T06:51:16</t>
  </si>
  <si>
    <t>2015-09-01T19:47:10</t>
  </si>
  <si>
    <t>08:57</t>
  </si>
  <si>
    <t>01/09/2015 08:57</t>
  </si>
  <si>
    <t>04:09</t>
  </si>
  <si>
    <t>03/09/2015 04:09</t>
  </si>
  <si>
    <t>05:29</t>
  </si>
  <si>
    <t>03/09/2015 05:29</t>
  </si>
  <si>
    <t>2015-09-06</t>
  </si>
  <si>
    <t>2015-09-06T06:54:59</t>
  </si>
  <si>
    <t>2015-09-06T19:40:11</t>
  </si>
  <si>
    <t>21:44</t>
  </si>
  <si>
    <t>06/09/2015 21:44</t>
  </si>
  <si>
    <t>2015-09-09</t>
  </si>
  <si>
    <t>2015-09-09T06:57:13</t>
  </si>
  <si>
    <t>2015-09-09T19:35:55</t>
  </si>
  <si>
    <t>21:49</t>
  </si>
  <si>
    <t>09/09/2015 21:49</t>
  </si>
  <si>
    <t>2015-10-03</t>
  </si>
  <si>
    <t>2015-10-03T07:15:18</t>
  </si>
  <si>
    <t>2015-10-03T19:01:14</t>
  </si>
  <si>
    <t>03/10/2015 11:17</t>
  </si>
  <si>
    <t>2015-10-06</t>
  </si>
  <si>
    <t>2015-10-06T07:17:40</t>
  </si>
  <si>
    <t>2015-10-06T18:57:01</t>
  </si>
  <si>
    <t>21:17</t>
  </si>
  <si>
    <t>06/10/2015 21:17</t>
  </si>
  <si>
    <t>2015-10-25</t>
  </si>
  <si>
    <t>2015-10-25T06:33:51</t>
  </si>
  <si>
    <t>2015-10-25T17:32:37</t>
  </si>
  <si>
    <t>01:24</t>
  </si>
  <si>
    <t>25/10/2015 01:24</t>
  </si>
  <si>
    <t>2015-10-26</t>
  </si>
  <si>
    <t>2015-10-26T06:34:45</t>
  </si>
  <si>
    <t>2015-10-26T17:31:29</t>
  </si>
  <si>
    <t>10:42</t>
  </si>
  <si>
    <t>26/10/2015 10:42</t>
  </si>
  <si>
    <t>11:49</t>
  </si>
  <si>
    <t>02/11/2015 11:49</t>
  </si>
  <si>
    <t>2015-11-04</t>
  </si>
  <si>
    <t>2015-11-04T06:43:13</t>
  </si>
  <si>
    <t>2015-11-04T17:22:10</t>
  </si>
  <si>
    <t>16:12</t>
  </si>
  <si>
    <t>04/11/2015 16:12</t>
  </si>
  <si>
    <t>2015-11-07</t>
  </si>
  <si>
    <t>2015-11-07T06:46:08</t>
  </si>
  <si>
    <t>2015-11-07T17:19:28</t>
  </si>
  <si>
    <t>11:27</t>
  </si>
  <si>
    <t>07/11/2015 11:27</t>
  </si>
  <si>
    <t>2015-11-08</t>
  </si>
  <si>
    <t>2015-11-08T06:47:06</t>
  </si>
  <si>
    <t>2015-11-08T17:18:37</t>
  </si>
  <si>
    <t>08/11/2015 10:19</t>
  </si>
  <si>
    <t>2015-11-14</t>
  </si>
  <si>
    <t>2015-11-14T06:53:01</t>
  </si>
  <si>
    <t>2015-11-14T17:14:03</t>
  </si>
  <si>
    <t>14/11/2015 15:29</t>
  </si>
  <si>
    <t>2015-11-16</t>
  </si>
  <si>
    <t>2015-11-16T06:55:00</t>
  </si>
  <si>
    <t>2015-11-16T17:12:46</t>
  </si>
  <si>
    <t>16:48</t>
  </si>
  <si>
    <t>16/11/2015 16:48</t>
  </si>
  <si>
    <t>2015-11-20</t>
  </si>
  <si>
    <t>2015-11-20T06:58:57</t>
  </si>
  <si>
    <t>2015-11-20T17:10:31</t>
  </si>
  <si>
    <t>16:19</t>
  </si>
  <si>
    <t>20/11/2015 16:19</t>
  </si>
  <si>
    <t>20:09</t>
  </si>
  <si>
    <t>20/11/2015 20:09</t>
  </si>
  <si>
    <t>2015-10-04</t>
  </si>
  <si>
    <t>2015-10-04T07:16:05</t>
  </si>
  <si>
    <t>2015-10-04T18:59:49</t>
  </si>
  <si>
    <t>04/10/2015 16:45</t>
  </si>
  <si>
    <t>20/01/2015 15:20</t>
  </si>
  <si>
    <t>2015-06-25</t>
  </si>
  <si>
    <t>2015-06-25T06:05:48</t>
  </si>
  <si>
    <t>2015-06-25T20:38:04</t>
  </si>
  <si>
    <t>25/06/2015 14:15</t>
  </si>
  <si>
    <t>2015-07-19</t>
  </si>
  <si>
    <t>2015-07-19T06:18:13</t>
  </si>
  <si>
    <t>2015-07-19T20:32:44</t>
  </si>
  <si>
    <t>21:18</t>
  </si>
  <si>
    <t>19/07/2015 21:18</t>
  </si>
  <si>
    <t>2015-09-02</t>
  </si>
  <si>
    <t>2015-09-02T06:52:01</t>
  </si>
  <si>
    <t>2015-09-02T19:45:47</t>
  </si>
  <si>
    <t>02/09/2015 14:34</t>
  </si>
  <si>
    <t>28/04/2015 09:00</t>
  </si>
  <si>
    <t>2015-07-29</t>
  </si>
  <si>
    <t>2015-07-29T06:25:25</t>
  </si>
  <si>
    <t>2015-07-29T20:25:52</t>
  </si>
  <si>
    <t>29/07/2015 13:35</t>
  </si>
  <si>
    <t>14:18</t>
  </si>
  <si>
    <t>12/09/2015 14:18</t>
  </si>
  <si>
    <t>2015-10-11</t>
  </si>
  <si>
    <t>2015-10-11T07:21:44</t>
  </si>
  <si>
    <t>2015-10-11T18:50:10</t>
  </si>
  <si>
    <t>10:13</t>
  </si>
  <si>
    <t>11/10/2015 10:13</t>
  </si>
  <si>
    <t>18:43</t>
  </si>
  <si>
    <t>11/10/2015 18:43</t>
  </si>
  <si>
    <t>2015-01-23</t>
  </si>
  <si>
    <t>2015-01-23T07:24:54</t>
  </si>
  <si>
    <t>2015-01-23T17:37:43</t>
  </si>
  <si>
    <t>14:24</t>
  </si>
  <si>
    <t>23/01/2015 14:24</t>
  </si>
  <si>
    <t>10:57</t>
  </si>
  <si>
    <t>16/04/2015 10:57</t>
  </si>
  <si>
    <t>2015-07-10</t>
  </si>
  <si>
    <t>2015-07-10T06:12:31</t>
  </si>
  <si>
    <t>2015-07-10T20:36:38</t>
  </si>
  <si>
    <t>10/07/2015 14:49</t>
  </si>
  <si>
    <t>2015-08-03</t>
  </si>
  <si>
    <t>2015-08-03T06:29:11</t>
  </si>
  <si>
    <t>2015-08-03T20:21:31</t>
  </si>
  <si>
    <t>02:59</t>
  </si>
  <si>
    <t>03/08/2015 02:59</t>
  </si>
  <si>
    <t>2015-08-13</t>
  </si>
  <si>
    <t>2015-08-13T06:36:52</t>
  </si>
  <si>
    <t>2015-08-13T20:11:13</t>
  </si>
  <si>
    <t>13/08/2015 13:30</t>
  </si>
  <si>
    <t>2015-07-05</t>
  </si>
  <si>
    <t>2015-07-05T06:09:49</t>
  </si>
  <si>
    <t>2015-07-05T20:37:48</t>
  </si>
  <si>
    <t>05/07/2015 14:40</t>
  </si>
  <si>
    <t>2015-11-17</t>
  </si>
  <si>
    <t>2015-11-17T06:55:59</t>
  </si>
  <si>
    <t>2015-11-17T17:12:09</t>
  </si>
  <si>
    <t>17/11/2015 11:00</t>
  </si>
  <si>
    <t>2015-02-05</t>
  </si>
  <si>
    <t>2015-02-05T07:16:01</t>
  </si>
  <si>
    <t>2015-02-05T17:51:09</t>
  </si>
  <si>
    <t>12:09</t>
  </si>
  <si>
    <t>05/02/2015 12:09</t>
  </si>
  <si>
    <t>2015-02-26</t>
  </si>
  <si>
    <t>2015-02-26T06:53:30</t>
  </si>
  <si>
    <t>2015-02-26T18:11:40</t>
  </si>
  <si>
    <t>13:48</t>
  </si>
  <si>
    <t>26/02/2015 13:48</t>
  </si>
  <si>
    <t>22:59</t>
  </si>
  <si>
    <t>24/08/2015 22:59</t>
  </si>
  <si>
    <t>2015-11-22</t>
  </si>
  <si>
    <t>2015-11-22T07:00:54</t>
  </si>
  <si>
    <t>2015-11-22T17:09:34</t>
  </si>
  <si>
    <t>16:05</t>
  </si>
  <si>
    <t>22/11/2015 16:05</t>
  </si>
  <si>
    <t>13/04/2015 12:30</t>
  </si>
  <si>
    <t>2015-04-26</t>
  </si>
  <si>
    <t>2015-04-26T06:34:07</t>
  </si>
  <si>
    <t>2015-04-26T20:00:57</t>
  </si>
  <si>
    <t>26/04/2015 23:15</t>
  </si>
  <si>
    <t>21:23</t>
  </si>
  <si>
    <t>08/11/2015 21:23</t>
  </si>
  <si>
    <t>2015-11-10</t>
  </si>
  <si>
    <t>2015-11-10T06:49:04</t>
  </si>
  <si>
    <t>2015-11-10T17:16:59</t>
  </si>
  <si>
    <t>10/11/2015 17:30</t>
  </si>
  <si>
    <t>2015-09-04</t>
  </si>
  <si>
    <t>2015-09-04T06:53:30</t>
  </si>
  <si>
    <t>2015-09-04T19:43:00</t>
  </si>
  <si>
    <t>04/09/2015 20:40</t>
  </si>
  <si>
    <t>2016-02-04</t>
  </si>
  <si>
    <t>2016-02-04T07:17:03</t>
  </si>
  <si>
    <t>2016-02-04T17:49:51</t>
  </si>
  <si>
    <t>14:32</t>
  </si>
  <si>
    <t>04/02/2016 14:32</t>
  </si>
  <si>
    <t>2016-03-23</t>
  </si>
  <si>
    <t>2016-03-23T06:18:23</t>
  </si>
  <si>
    <t>2016-03-23T18:33:49</t>
  </si>
  <si>
    <t>02:40</t>
  </si>
  <si>
    <t>23/03/2016 02:40</t>
  </si>
  <si>
    <t>10:04</t>
  </si>
  <si>
    <t>23/03/2016 10:04</t>
  </si>
  <si>
    <t>2016-05-06</t>
  </si>
  <si>
    <t>2016-05-06T06:22:40</t>
  </si>
  <si>
    <t>2016-05-06T20:09:47</t>
  </si>
  <si>
    <t>11:02</t>
  </si>
  <si>
    <t>06/05/2016 11:02</t>
  </si>
  <si>
    <t>2016-06-13</t>
  </si>
  <si>
    <t>2016-06-13T06:03:59</t>
  </si>
  <si>
    <t>2016-06-13T20:35:12</t>
  </si>
  <si>
    <t>13/06/2016 12:49</t>
  </si>
  <si>
    <t>2016-08-06</t>
  </si>
  <si>
    <t>2016-08-06T06:32:04</t>
  </si>
  <si>
    <t>2016-08-06T20:17:53</t>
  </si>
  <si>
    <t>06/08/2016 15:08</t>
  </si>
  <si>
    <t>2016-08-07</t>
  </si>
  <si>
    <t>2016-08-07T06:32:50</t>
  </si>
  <si>
    <t>2016-08-07T20:16:52</t>
  </si>
  <si>
    <t>14:02</t>
  </si>
  <si>
    <t>07/08/2016 14:02</t>
  </si>
  <si>
    <t>2016-11-17</t>
  </si>
  <si>
    <t>2016-11-17T06:56:45</t>
  </si>
  <si>
    <t>2016-11-17T17:11:43</t>
  </si>
  <si>
    <t>22:48</t>
  </si>
  <si>
    <t>17/11/2016 22:48</t>
  </si>
  <si>
    <t>2016-02-15</t>
  </si>
  <si>
    <t>2016-02-15T07:06:36</t>
  </si>
  <si>
    <t>2016-02-15T18:00:57</t>
  </si>
  <si>
    <t>15/02/2016 12:10</t>
  </si>
  <si>
    <t>2016-05-28</t>
  </si>
  <si>
    <t>2016-05-28T06:07:12</t>
  </si>
  <si>
    <t>2016-05-28T20:26:33</t>
  </si>
  <si>
    <t>28/05/2016 15:15</t>
  </si>
  <si>
    <t>15/02/2016 15:30</t>
  </si>
  <si>
    <t>2016-02-16</t>
  </si>
  <si>
    <t>2016-02-16T07:05:31</t>
  </si>
  <si>
    <t>2016-02-16T18:01:56</t>
  </si>
  <si>
    <t>16/02/2016 19:00</t>
  </si>
  <si>
    <t>2016-02-29</t>
  </si>
  <si>
    <t>2016-02-29T06:50:00</t>
  </si>
  <si>
    <t>2016-02-29T18:14:10</t>
  </si>
  <si>
    <t>29/02/2016 20:05</t>
  </si>
  <si>
    <t>2016-03-12</t>
  </si>
  <si>
    <t>2016-03-12T06:33:53</t>
  </si>
  <si>
    <t>2016-03-12T18:24:40</t>
  </si>
  <si>
    <t>12/03/2016 11:49</t>
  </si>
  <si>
    <t>2016-04-07</t>
  </si>
  <si>
    <t>2016-04-07T06:57:21</t>
  </si>
  <si>
    <t>2016-04-07T19:46:00</t>
  </si>
  <si>
    <t>07/04/2016 20:45</t>
  </si>
  <si>
    <t>2016-04-15</t>
  </si>
  <si>
    <t>2016-04-15T06:46:42</t>
  </si>
  <si>
    <t>2016-04-15T19:52:31</t>
  </si>
  <si>
    <t>15/04/2016 08:35</t>
  </si>
  <si>
    <t>2016-04-29</t>
  </si>
  <si>
    <t>2016-04-29T06:29:53</t>
  </si>
  <si>
    <t>2016-04-29T20:04:02</t>
  </si>
  <si>
    <t>29/04/2016 14:10</t>
  </si>
  <si>
    <t>2016-08-17</t>
  </si>
  <si>
    <t>2016-08-17T06:40:31</t>
  </si>
  <si>
    <t>2016-08-17T20:05:40</t>
  </si>
  <si>
    <t>17/08/2016 13:35</t>
  </si>
  <si>
    <t>15:55</t>
  </si>
  <si>
    <t>17/08/2016 15:55</t>
  </si>
  <si>
    <t>2016-09-04</t>
  </si>
  <si>
    <t>2016-09-04T06:54:04</t>
  </si>
  <si>
    <t>2016-09-04T19:41:57</t>
  </si>
  <si>
    <t>04/09/2016 20:15</t>
  </si>
  <si>
    <t>2016-09-24</t>
  </si>
  <si>
    <t>2016-09-24T07:08:57</t>
  </si>
  <si>
    <t>2016-09-24T19:13:05</t>
  </si>
  <si>
    <t>24/09/2016 14:15</t>
  </si>
  <si>
    <t>2016-09-26</t>
  </si>
  <si>
    <t>2016-09-26T07:10:29</t>
  </si>
  <si>
    <t>2016-09-26T19:10:11</t>
  </si>
  <si>
    <t>26/09/2016 21:20</t>
  </si>
  <si>
    <t>2016-10-11</t>
  </si>
  <si>
    <t>2016-10-11T07:22:22</t>
  </si>
  <si>
    <t>2016-10-11T18:49:10</t>
  </si>
  <si>
    <t>07:15</t>
  </si>
  <si>
    <t>11/10/2016 07:15</t>
  </si>
  <si>
    <t>2016-11-26</t>
  </si>
  <si>
    <t>2016-11-26T07:05:29</t>
  </si>
  <si>
    <t>2016-11-26T17:07:51</t>
  </si>
  <si>
    <t>26/11/2016 17:55</t>
  </si>
  <si>
    <t>2016-11-28</t>
  </si>
  <si>
    <t>2016-11-28T07:07:22</t>
  </si>
  <si>
    <t>2016-11-28T17:07:20</t>
  </si>
  <si>
    <t>28/11/2016 15:40</t>
  </si>
  <si>
    <t>2016-12-21</t>
  </si>
  <si>
    <t>2016-12-21T07:24:36</t>
  </si>
  <si>
    <t>2016-12-21T17:10:43</t>
  </si>
  <si>
    <t>21/12/2016 09:50</t>
  </si>
  <si>
    <t>2016-04-08</t>
  </si>
  <si>
    <t>2016-04-08T06:56:00</t>
  </si>
  <si>
    <t>2016-04-08T19:46:49</t>
  </si>
  <si>
    <t>08/04/2016 17:05</t>
  </si>
  <si>
    <t>2016-08-23</t>
  </si>
  <si>
    <t>2016-08-23T06:45:05</t>
  </si>
  <si>
    <t>2016-08-23T19:58:11</t>
  </si>
  <si>
    <t>16:58</t>
  </si>
  <si>
    <t>23/08/2016 16:58</t>
  </si>
  <si>
    <t>2016-04-06</t>
  </si>
  <si>
    <t>2016-04-06T06:58:43</t>
  </si>
  <si>
    <t>2016-04-06T19:45:12</t>
  </si>
  <si>
    <t>06/04/2016 15:45</t>
  </si>
  <si>
    <t>2016-05-23</t>
  </si>
  <si>
    <t>2016-05-23T06:09:39</t>
  </si>
  <si>
    <t>2016-05-23T20:23:04</t>
  </si>
  <si>
    <t>23/05/2016 16:20</t>
  </si>
  <si>
    <t>13/06/2016 12:10</t>
  </si>
  <si>
    <t>2016-08-13</t>
  </si>
  <si>
    <t>2016-08-13T06:37:27</t>
  </si>
  <si>
    <t>2016-08-13T20:10:22</t>
  </si>
  <si>
    <t>13/08/2016 11:30</t>
  </si>
  <si>
    <t>2016-09-01</t>
  </si>
  <si>
    <t>2016-09-01T06:51:51</t>
  </si>
  <si>
    <t>2016-09-01T19:46:08</t>
  </si>
  <si>
    <t>01/09/2016 10:44</t>
  </si>
  <si>
    <t>2016-07-24</t>
  </si>
  <si>
    <t>2016-07-24T06:22:18</t>
  </si>
  <si>
    <t>2016-07-24T20:29:06</t>
  </si>
  <si>
    <t>22:25</t>
  </si>
  <si>
    <t>24/07/2016 22:25</t>
  </si>
  <si>
    <t>04/02/2016 12:40</t>
  </si>
  <si>
    <t>2016-02-17</t>
  </si>
  <si>
    <t>2016-02-17T07:04:25</t>
  </si>
  <si>
    <t>2016-02-17T18:02:55</t>
  </si>
  <si>
    <t>17/02/2016 15:30</t>
  </si>
  <si>
    <t>2016-02-18</t>
  </si>
  <si>
    <t>2016-02-18T07:03:18</t>
  </si>
  <si>
    <t>2016-02-18T18:03:53</t>
  </si>
  <si>
    <t>09:40</t>
  </si>
  <si>
    <t>18/02/2016 09:40</t>
  </si>
  <si>
    <t>2016-02-22</t>
  </si>
  <si>
    <t>2016-02-22T06:58:41</t>
  </si>
  <si>
    <t>2016-02-22T18:07:42</t>
  </si>
  <si>
    <t>22/02/2016 09:30</t>
  </si>
  <si>
    <t>2016-04-05</t>
  </si>
  <si>
    <t>2016-04-05T07:00:06</t>
  </si>
  <si>
    <t>2016-04-05T19:44:23</t>
  </si>
  <si>
    <t>05/04/2016 12:45</t>
  </si>
  <si>
    <t>2016-08-04</t>
  </si>
  <si>
    <t>2016-08-04T06:30:32</t>
  </si>
  <si>
    <t>2016-08-04T20:19:52</t>
  </si>
  <si>
    <t>08:50</t>
  </si>
  <si>
    <t>04/08/2016 08:50</t>
  </si>
  <si>
    <t>2016-09-09</t>
  </si>
  <si>
    <t>2016-09-09T06:57:47</t>
  </si>
  <si>
    <t>2016-09-09T19:34:51</t>
  </si>
  <si>
    <t>10:47</t>
  </si>
  <si>
    <t>09/09/2016 10:47</t>
  </si>
  <si>
    <t>2016-10-17</t>
  </si>
  <si>
    <t>2016-10-17T07:27:26</t>
  </si>
  <si>
    <t>2016-10-17T18:41:21</t>
  </si>
  <si>
    <t>17/10/2016 10:55</t>
  </si>
  <si>
    <t>2016-12-16</t>
  </si>
  <si>
    <t>2016-12-16T07:21:46</t>
  </si>
  <si>
    <t>2016-12-16T17:08:34</t>
  </si>
  <si>
    <t>16/12/2016 12:00</t>
  </si>
  <si>
    <t>2016-01-16</t>
  </si>
  <si>
    <t>2016-01-16T07:27:42</t>
  </si>
  <si>
    <t>2016-01-16T17:30:26</t>
  </si>
  <si>
    <t>16/01/2016 13:50</t>
  </si>
  <si>
    <t>2016-06-01</t>
  </si>
  <si>
    <t>2016-06-01T06:05:44</t>
  </si>
  <si>
    <t>2016-06-01T20:29:07</t>
  </si>
  <si>
    <t>15:16</t>
  </si>
  <si>
    <t>01/06/2016 15:16</t>
  </si>
  <si>
    <t>2016-09-17</t>
  </si>
  <si>
    <t>2016-09-17T07:03:42</t>
  </si>
  <si>
    <t>2016-09-17T19:23:16</t>
  </si>
  <si>
    <t>17/09/2016 13:45</t>
  </si>
  <si>
    <t>2016-06-20</t>
  </si>
  <si>
    <t>2016-06-20T06:04:45</t>
  </si>
  <si>
    <t>2016-06-20T20:37:21</t>
  </si>
  <si>
    <t>20/06/2016 03:20</t>
  </si>
  <si>
    <t>2016-09-29</t>
  </si>
  <si>
    <t>2016-09-29T07:12:47</t>
  </si>
  <si>
    <t>2016-09-29T19:05:52</t>
  </si>
  <si>
    <t>29/09/2016 00:25</t>
  </si>
  <si>
    <t>2016-10-02</t>
  </si>
  <si>
    <t>2016-10-02T07:15:07</t>
  </si>
  <si>
    <t>2016-10-02T19:01:35</t>
  </si>
  <si>
    <t>02/10/2016 12:35</t>
  </si>
  <si>
    <t>02/10/2016 14:00</t>
  </si>
  <si>
    <t>2016-10-05</t>
  </si>
  <si>
    <t>2016-10-05T07:17:29</t>
  </si>
  <si>
    <t>2016-10-05T18:57:22</t>
  </si>
  <si>
    <t>05/10/2016 13:20</t>
  </si>
  <si>
    <t>17/10/2016 18:20</t>
  </si>
  <si>
    <t>2016-11-07</t>
  </si>
  <si>
    <t>2016-11-07T06:46:52</t>
  </si>
  <si>
    <t>2016-11-07T17:18:49</t>
  </si>
  <si>
    <t>13:54</t>
  </si>
  <si>
    <t>07/11/2016 13:54</t>
  </si>
  <si>
    <t>2016-01-30</t>
  </si>
  <si>
    <t>2016-01-30T07:20:51</t>
  </si>
  <si>
    <t>2016-01-30T17:44:41</t>
  </si>
  <si>
    <t>30/01/2016 16:15</t>
  </si>
  <si>
    <t>2016-04-09</t>
  </si>
  <si>
    <t>2016-04-09T06:54:38</t>
  </si>
  <si>
    <t>2016-04-09T19:47:38</t>
  </si>
  <si>
    <t>09/04/2016 16:25</t>
  </si>
  <si>
    <t>2016-07-28</t>
  </si>
  <si>
    <t>2016-07-28T06:25:14</t>
  </si>
  <si>
    <t>2016-07-28T20:26:04</t>
  </si>
  <si>
    <t>28/07/2016 14:35</t>
  </si>
  <si>
    <t>2016-07-30</t>
  </si>
  <si>
    <t>2016-07-30T06:26:44</t>
  </si>
  <si>
    <t>2016-07-30T20:24:25</t>
  </si>
  <si>
    <t>30/07/2016 13:20</t>
  </si>
  <si>
    <t>2016-10-26</t>
  </si>
  <si>
    <t>2016-10-26T07:35:27</t>
  </si>
  <si>
    <t>2016-10-26T18:30:38</t>
  </si>
  <si>
    <t>26/10/2016 16:00</t>
  </si>
  <si>
    <t>2016-11-01</t>
  </si>
  <si>
    <t>2016-11-01T06:41:04</t>
  </si>
  <si>
    <t>2016-11-01T17:24:20</t>
  </si>
  <si>
    <t>01/11/2016 13:30</t>
  </si>
  <si>
    <t>2016-06-14</t>
  </si>
  <si>
    <t>2016-06-14T06:04:01</t>
  </si>
  <si>
    <t>2016-06-14T20:35:34</t>
  </si>
  <si>
    <t>14/06/2016 07:20</t>
  </si>
  <si>
    <t>16/02/2016 12:00</t>
  </si>
  <si>
    <t>15:58</t>
  </si>
  <si>
    <t>17/02/2016 15:58</t>
  </si>
  <si>
    <t>28/07/2016 15:40</t>
  </si>
  <si>
    <t>2016-08-12</t>
  </si>
  <si>
    <t>2016-08-12T06:36:41</t>
  </si>
  <si>
    <t>2016-08-12T20:11:30</t>
  </si>
  <si>
    <t>16:52</t>
  </si>
  <si>
    <t>12/08/2016 16:52</t>
  </si>
  <si>
    <t>2016-11-08</t>
  </si>
  <si>
    <t>2016-11-08T06:47:51</t>
  </si>
  <si>
    <t>2016-11-08T17:17:59</t>
  </si>
  <si>
    <t>08/11/2016 13:05</t>
  </si>
  <si>
    <t>2016-11-20</t>
  </si>
  <si>
    <t>2016-11-20T06:59:42</t>
  </si>
  <si>
    <t>2016-11-20T17:10:09</t>
  </si>
  <si>
    <t>20/11/2016 16:50</t>
  </si>
  <si>
    <t>2016-12-10</t>
  </si>
  <si>
    <t>2016-12-10T07:17:36</t>
  </si>
  <si>
    <t>2016-12-10T17:07:00</t>
  </si>
  <si>
    <t>12:18</t>
  </si>
  <si>
    <t>10/12/2016 12:18</t>
  </si>
  <si>
    <t>2016-01-28</t>
  </si>
  <si>
    <t>2016-01-28T07:22:11</t>
  </si>
  <si>
    <t>2016-01-28T17:42:37</t>
  </si>
  <si>
    <t>28/01/2016 15:59</t>
  </si>
  <si>
    <t>2016-02-24</t>
  </si>
  <si>
    <t>2016-02-24T06:56:16</t>
  </si>
  <si>
    <t>2016-02-24T18:09:35</t>
  </si>
  <si>
    <t>11:41</t>
  </si>
  <si>
    <t>24/02/2016 11:41</t>
  </si>
  <si>
    <t>2016-03-01</t>
  </si>
  <si>
    <t>2016-03-01T06:48:42</t>
  </si>
  <si>
    <t>2016-03-01T18:15:05</t>
  </si>
  <si>
    <t>15:14</t>
  </si>
  <si>
    <t>01/03/2016 15:14</t>
  </si>
  <si>
    <t>2016-03-29</t>
  </si>
  <si>
    <t>2016-03-29T07:09:53</t>
  </si>
  <si>
    <t>2016-03-29T19:38:43</t>
  </si>
  <si>
    <t>29/03/2016 20:35</t>
  </si>
  <si>
    <t>2016-04-01</t>
  </si>
  <si>
    <t>2016-04-01T07:05:40</t>
  </si>
  <si>
    <t>2016-04-01T19:41:09</t>
  </si>
  <si>
    <t>14:21</t>
  </si>
  <si>
    <t>01/04/2016 14:21</t>
  </si>
  <si>
    <t>2016-04-13</t>
  </si>
  <si>
    <t>2016-04-13T06:49:18</t>
  </si>
  <si>
    <t>2016-04-13T19:50:53</t>
  </si>
  <si>
    <t>22:45</t>
  </si>
  <si>
    <t>13/04/2016 22:45</t>
  </si>
  <si>
    <t>2016-04-19</t>
  </si>
  <si>
    <t>2016-04-19T06:41:37</t>
  </si>
  <si>
    <t>2016-04-19T19:55:48</t>
  </si>
  <si>
    <t>16:06</t>
  </si>
  <si>
    <t>19/04/2016 16:06</t>
  </si>
  <si>
    <t>2016-04-22</t>
  </si>
  <si>
    <t>2016-04-22T06:37:56</t>
  </si>
  <si>
    <t>2016-04-22T19:58:16</t>
  </si>
  <si>
    <t>22/04/2016 14:05</t>
  </si>
  <si>
    <t>21:37</t>
  </si>
  <si>
    <t>22/04/2016 21:37</t>
  </si>
  <si>
    <t>12:13</t>
  </si>
  <si>
    <t>29/04/2016 12:13</t>
  </si>
  <si>
    <t>29/04/2016 22:49</t>
  </si>
  <si>
    <t>2016-05-01</t>
  </si>
  <si>
    <t>2016-05-01T06:27:43</t>
  </si>
  <si>
    <t>2016-05-01T20:05:41</t>
  </si>
  <si>
    <t>00:19</t>
  </si>
  <si>
    <t>01/05/2016 00:19</t>
  </si>
  <si>
    <t>2016-05-12</t>
  </si>
  <si>
    <t>2016-05-12T06:17:18</t>
  </si>
  <si>
    <t>2016-05-12T20:14:39</t>
  </si>
  <si>
    <t>12/05/2016 13:40</t>
  </si>
  <si>
    <t>2016-06-05</t>
  </si>
  <si>
    <t>2016-06-05T06:04:42</t>
  </si>
  <si>
    <t>2016-06-05T20:31:26</t>
  </si>
  <si>
    <t>05/06/2016 12:25</t>
  </si>
  <si>
    <t>2016-06-27</t>
  </si>
  <si>
    <t>2016-06-27T06:06:42</t>
  </si>
  <si>
    <t>2016-06-27T20:38:16</t>
  </si>
  <si>
    <t>27/06/2016 22:00</t>
  </si>
  <si>
    <t>2016-06-28</t>
  </si>
  <si>
    <t>2016-06-28T06:07:04</t>
  </si>
  <si>
    <t>2016-06-28T20:38:17</t>
  </si>
  <si>
    <t>06:04</t>
  </si>
  <si>
    <t>28/06/2016 06:04</t>
  </si>
  <si>
    <t>2016-07-14</t>
  </si>
  <si>
    <t>2016-07-14T06:15:25</t>
  </si>
  <si>
    <t>2016-07-14T20:34:52</t>
  </si>
  <si>
    <t>04:02</t>
  </si>
  <si>
    <t>14/07/2016 04:02</t>
  </si>
  <si>
    <t>2016-07-15</t>
  </si>
  <si>
    <t>2016-07-15T06:16:04</t>
  </si>
  <si>
    <t>2016-07-15T20:34:25</t>
  </si>
  <si>
    <t>15/07/2016 21:40</t>
  </si>
  <si>
    <t>2016-07-17</t>
  </si>
  <si>
    <t>2016-07-17T06:17:23</t>
  </si>
  <si>
    <t>2016-07-17T20:33:25</t>
  </si>
  <si>
    <t>03:44</t>
  </si>
  <si>
    <t>17/07/2016 03:44</t>
  </si>
  <si>
    <t>2016-07-25</t>
  </si>
  <si>
    <t>2016-07-25T06:23:01</t>
  </si>
  <si>
    <t>2016-07-25T20:28:23</t>
  </si>
  <si>
    <t>11:04</t>
  </si>
  <si>
    <t>25/07/2016 11:04</t>
  </si>
  <si>
    <t>00:55</t>
  </si>
  <si>
    <t>12/08/2016 00:55</t>
  </si>
  <si>
    <t>2016-08-15</t>
  </si>
  <si>
    <t>2016-08-15T06:38:59</t>
  </si>
  <si>
    <t>2016-08-15T20:08:03</t>
  </si>
  <si>
    <t>23:10</t>
  </si>
  <si>
    <t>15/08/2016 23:10</t>
  </si>
  <si>
    <t>2016-08-16</t>
  </si>
  <si>
    <t>2016-08-16T06:39:45</t>
  </si>
  <si>
    <t>2016-08-16T20:06:52</t>
  </si>
  <si>
    <t>20:13</t>
  </si>
  <si>
    <t>16/08/2016 20:13</t>
  </si>
  <si>
    <t>2016-08-24</t>
  </si>
  <si>
    <t>2016-08-24T06:45:51</t>
  </si>
  <si>
    <t>2016-08-24T19:56:53</t>
  </si>
  <si>
    <t>24/08/2016 17:50</t>
  </si>
  <si>
    <t>2016-08-25</t>
  </si>
  <si>
    <t>2016-08-25T06:46:36</t>
  </si>
  <si>
    <t>2016-08-25T19:55:35</t>
  </si>
  <si>
    <t>06:29</t>
  </si>
  <si>
    <t>25/08/2016 06:29</t>
  </si>
  <si>
    <t>25/08/2016 13:28</t>
  </si>
  <si>
    <t>25/08/2016 22:48</t>
  </si>
  <si>
    <t>23:00</t>
  </si>
  <si>
    <t>25/08/2016 23:00</t>
  </si>
  <si>
    <t>2016-08-26</t>
  </si>
  <si>
    <t>2016-08-26T06:47:21</t>
  </si>
  <si>
    <t>2016-08-26T19:54:16</t>
  </si>
  <si>
    <t>04:00</t>
  </si>
  <si>
    <t>26/08/2016 04:00</t>
  </si>
  <si>
    <t>09:59</t>
  </si>
  <si>
    <t>26/08/2016 09:59</t>
  </si>
  <si>
    <t>12:47</t>
  </si>
  <si>
    <t>17/09/2016 12:47</t>
  </si>
  <si>
    <t>20:34</t>
  </si>
  <si>
    <t>17/09/2016 20:34</t>
  </si>
  <si>
    <t>17/09/2016 21:05</t>
  </si>
  <si>
    <t>2016-09-22</t>
  </si>
  <si>
    <t>2016-09-22T07:07:27</t>
  </si>
  <si>
    <t>2016-09-22T19:15:59</t>
  </si>
  <si>
    <t>22/09/2016 16:50</t>
  </si>
  <si>
    <t>29/09/2016 06:00</t>
  </si>
  <si>
    <t>17:19</t>
  </si>
  <si>
    <t>17/10/2016 17:19</t>
  </si>
  <si>
    <t>2016-10-22</t>
  </si>
  <si>
    <t>2016-10-22T07:31:50</t>
  </si>
  <si>
    <t>2016-10-22T18:35:14</t>
  </si>
  <si>
    <t>22/10/2016 17:43</t>
  </si>
  <si>
    <t>2016-11-06</t>
  </si>
  <si>
    <t>2016-11-06T06:45:54</t>
  </si>
  <si>
    <t>2016-11-06T17:19:41</t>
  </si>
  <si>
    <t>06/11/2016 14:40</t>
  </si>
  <si>
    <t>2016-12-13</t>
  </si>
  <si>
    <t>2016-12-13T07:19:47</t>
  </si>
  <si>
    <t>2016-12-13T17:07:39</t>
  </si>
  <si>
    <t>13/12/2016 17:40</t>
  </si>
  <si>
    <t>2016-12-22</t>
  </si>
  <si>
    <t>2016-12-22T07:25:05</t>
  </si>
  <si>
    <t>2016-12-22T17:11:14</t>
  </si>
  <si>
    <t>22/12/2016 14:27</t>
  </si>
  <si>
    <t>2016-12-30</t>
  </si>
  <si>
    <t>2016-12-30T07:27:58</t>
  </si>
  <si>
    <t>2016-12-30T17:16:17</t>
  </si>
  <si>
    <t>14:53</t>
  </si>
  <si>
    <t>30/12/2016 14:53</t>
  </si>
  <si>
    <t>2016-02-23</t>
  </si>
  <si>
    <t>2016-02-23T06:57:29</t>
  </si>
  <si>
    <t>2016-02-23T18:08:39</t>
  </si>
  <si>
    <t>23/02/2016 11:44</t>
  </si>
  <si>
    <t>2016-03-03</t>
  </si>
  <si>
    <t>2016-03-03T06:46:05</t>
  </si>
  <si>
    <t>2016-03-03T18:16:52</t>
  </si>
  <si>
    <t>12:24</t>
  </si>
  <si>
    <t>03/03/2016 12:24</t>
  </si>
  <si>
    <t>14:55</t>
  </si>
  <si>
    <t>29/03/2016 14:55</t>
  </si>
  <si>
    <t>06/04/2016 14:40</t>
  </si>
  <si>
    <t>2016-04-17</t>
  </si>
  <si>
    <t>2016-04-17T06:44:08</t>
  </si>
  <si>
    <t>2016-04-17T19:54:09</t>
  </si>
  <si>
    <t>17/04/2016 21:05</t>
  </si>
  <si>
    <t>19/04/2016 17:14</t>
  </si>
  <si>
    <t>2016-04-23</t>
  </si>
  <si>
    <t>2016-04-23T06:36:44</t>
  </si>
  <si>
    <t>2016-04-23T19:59:05</t>
  </si>
  <si>
    <t>23/04/2016 14:45</t>
  </si>
  <si>
    <t>2016-07-01</t>
  </si>
  <si>
    <t>2016-07-01T06:08:18</t>
  </si>
  <si>
    <t>2016-07-01T20:38:12</t>
  </si>
  <si>
    <t>01/07/2016 13:20</t>
  </si>
  <si>
    <t>2016-07-26</t>
  </si>
  <si>
    <t>2016-07-26T06:23:45</t>
  </si>
  <si>
    <t>2016-07-26T20:27:38</t>
  </si>
  <si>
    <t>26/07/2016 11:54</t>
  </si>
  <si>
    <t>15:24</t>
  </si>
  <si>
    <t>26/07/2016 15:24</t>
  </si>
  <si>
    <t>2016-07-27</t>
  </si>
  <si>
    <t>2016-07-27T06:24:30</t>
  </si>
  <si>
    <t>2016-07-27T20:26:52</t>
  </si>
  <si>
    <t>27/07/2016 16:50</t>
  </si>
  <si>
    <t>2016-07-29</t>
  </si>
  <si>
    <t>2016-07-29T06:25:59</t>
  </si>
  <si>
    <t>2016-07-29T20:25:15</t>
  </si>
  <si>
    <t>29/07/2016 14:00</t>
  </si>
  <si>
    <t>30/07/2016 12:30</t>
  </si>
  <si>
    <t>12/08/2016 12:40</t>
  </si>
  <si>
    <t>2016-08-22</t>
  </si>
  <si>
    <t>2016-08-22T06:44:20</t>
  </si>
  <si>
    <t>2016-08-22T19:59:28</t>
  </si>
  <si>
    <t>22/08/2016 13:45</t>
  </si>
  <si>
    <t>2016-10-23</t>
  </si>
  <si>
    <t>2016-10-23T07:32:44</t>
  </si>
  <si>
    <t>2016-10-23T18:34:03</t>
  </si>
  <si>
    <t>23/10/2016 17:30</t>
  </si>
  <si>
    <t>08/04/2016 12:30</t>
  </si>
  <si>
    <t>2016-04-21</t>
  </si>
  <si>
    <t>2016-04-21T06:39:09</t>
  </si>
  <si>
    <t>2016-04-21T19:57:26</t>
  </si>
  <si>
    <t>12:59</t>
  </si>
  <si>
    <t>21/04/2016 12:59</t>
  </si>
  <si>
    <t>2016-07-18</t>
  </si>
  <si>
    <t>2016-07-18T06:18:04</t>
  </si>
  <si>
    <t>2016-07-18T20:32:53</t>
  </si>
  <si>
    <t>22:39</t>
  </si>
  <si>
    <t>18/07/2016 22:39</t>
  </si>
  <si>
    <t>28/01/2016 12:40</t>
  </si>
  <si>
    <t>16/02/2016 10:15</t>
  </si>
  <si>
    <t>07/04/2016 13:35</t>
  </si>
  <si>
    <t>21/04/2016 15:10</t>
  </si>
  <si>
    <t>2016-05-14</t>
  </si>
  <si>
    <t>2016-05-14T06:15:41</t>
  </si>
  <si>
    <t>2016-05-14T20:16:14</t>
  </si>
  <si>
    <t>14/05/2016 10:05</t>
  </si>
  <si>
    <t>2016-07-21</t>
  </si>
  <si>
    <t>2016-07-21T06:20:09</t>
  </si>
  <si>
    <t>2016-07-21T20:31:07</t>
  </si>
  <si>
    <t>14:39</t>
  </si>
  <si>
    <t>21/07/2016 14:39</t>
  </si>
  <si>
    <t>13/08/2016 14:10</t>
  </si>
  <si>
    <t>13/08/2016 17:40</t>
  </si>
  <si>
    <t>2016-02-10</t>
  </si>
  <si>
    <t>2016-02-10T07:11:41</t>
  </si>
  <si>
    <t>2016-02-10T17:55:58</t>
  </si>
  <si>
    <t>10/02/2016 15:25</t>
  </si>
  <si>
    <t>2016-02-12</t>
  </si>
  <si>
    <t>2016-02-12T07:09:43</t>
  </si>
  <si>
    <t>2016-02-12T17:57:59</t>
  </si>
  <si>
    <t>12/02/2016 11:05</t>
  </si>
  <si>
    <t>16/02/2016 13:40</t>
  </si>
  <si>
    <t>23/03/2016 10:55</t>
  </si>
  <si>
    <t>08/04/2016 03:50</t>
  </si>
  <si>
    <t>2016-05-21</t>
  </si>
  <si>
    <t>2016-05-21T06:10:49</t>
  </si>
  <si>
    <t>2016-05-21T20:21:37</t>
  </si>
  <si>
    <t>21/05/2016 05:00</t>
  </si>
  <si>
    <t>2016-05-22</t>
  </si>
  <si>
    <t>2016-05-22T06:10:13</t>
  </si>
  <si>
    <t>2016-05-22T20:22:21</t>
  </si>
  <si>
    <t>22/05/2016 16:20</t>
  </si>
  <si>
    <t>02:02</t>
  </si>
  <si>
    <t>14/06/2016 02:02</t>
  </si>
  <si>
    <t>2016-07-13</t>
  </si>
  <si>
    <t>2016-07-13T06:14:47</t>
  </si>
  <si>
    <t>2016-07-13T20:35:17</t>
  </si>
  <si>
    <t>13/07/2016 14:10</t>
  </si>
  <si>
    <t>2016-08-29</t>
  </si>
  <si>
    <t>2016-08-29T06:49:36</t>
  </si>
  <si>
    <t>2016-08-29T19:50:15</t>
  </si>
  <si>
    <t>11:15</t>
  </si>
  <si>
    <t>29/08/2016 11:15</t>
  </si>
  <si>
    <t>2016-09-02</t>
  </si>
  <si>
    <t>2016-09-02T06:52:35</t>
  </si>
  <si>
    <t>2016-09-02T19:44:45</t>
  </si>
  <si>
    <t>02/09/2016 20:50</t>
  </si>
  <si>
    <t>2016-09-06</t>
  </si>
  <si>
    <t>2016-09-06T06:55:33</t>
  </si>
  <si>
    <t>2016-09-06T19:39:08</t>
  </si>
  <si>
    <t>06:45</t>
  </si>
  <si>
    <t>06/09/2016 06:45</t>
  </si>
  <si>
    <t>2016-09-15</t>
  </si>
  <si>
    <t>2016-09-15T07:02:13</t>
  </si>
  <si>
    <t>2016-09-15T19:26:11</t>
  </si>
  <si>
    <t>15/09/2016 15:25</t>
  </si>
  <si>
    <t>17/09/2016 17:55</t>
  </si>
  <si>
    <t>2016-09-19</t>
  </si>
  <si>
    <t>2016-09-19T07:05:12</t>
  </si>
  <si>
    <t>2016-09-19T19:20:21</t>
  </si>
  <si>
    <t>19/09/2016 12:45</t>
  </si>
  <si>
    <t>2016-09-30</t>
  </si>
  <si>
    <t>2016-09-30T07:13:33</t>
  </si>
  <si>
    <t>2016-09-30T19:04:26</t>
  </si>
  <si>
    <t>30/09/2016 18:30</t>
  </si>
  <si>
    <t>02/10/2016 15:30</t>
  </si>
  <si>
    <t>11/10/2016 12:30</t>
  </si>
  <si>
    <t>15:27</t>
  </si>
  <si>
    <t>11/10/2016 15:27</t>
  </si>
  <si>
    <t>17/10/2016 15:20</t>
  </si>
  <si>
    <t>17/10/2016 18:35</t>
  </si>
  <si>
    <t>23/10/2016 18:50</t>
  </si>
  <si>
    <t>07/11/2016 10:10</t>
  </si>
  <si>
    <t>2016-11-09</t>
  </si>
  <si>
    <t>2016-11-09T06:48:50</t>
  </si>
  <si>
    <t>2016-11-09T17:17:11</t>
  </si>
  <si>
    <t>09/11/2016 14:30</t>
  </si>
  <si>
    <t>09/11/2016 16:50</t>
  </si>
  <si>
    <t>26/11/2016 20:25</t>
  </si>
  <si>
    <t>2016-02-27</t>
  </si>
  <si>
    <t>2016-02-27T06:52:33</t>
  </si>
  <si>
    <t>2016-02-27T18:12:21</t>
  </si>
  <si>
    <t>27/02/2016 17:49</t>
  </si>
  <si>
    <t>10:59</t>
  </si>
  <si>
    <t>29/02/2016 10:59</t>
  </si>
  <si>
    <t>2016-04-26</t>
  </si>
  <si>
    <t>2016-04-26T06:33:14</t>
  </si>
  <si>
    <t>2016-04-26T20:01:33</t>
  </si>
  <si>
    <t>15:19</t>
  </si>
  <si>
    <t>26/04/2016 15:19</t>
  </si>
  <si>
    <t>26/04/2016 18:39</t>
  </si>
  <si>
    <t>2017-04-12</t>
  </si>
  <si>
    <t>2017-04-12T06:50:56</t>
  </si>
  <si>
    <t>2017-04-12T19:49:52</t>
  </si>
  <si>
    <t>12/04/2017 15:20</t>
  </si>
  <si>
    <t>2017-04-15</t>
  </si>
  <si>
    <t>2017-04-15T06:47:00</t>
  </si>
  <si>
    <t>2017-04-15T19:52:19</t>
  </si>
  <si>
    <t>15/04/2017 15:14</t>
  </si>
  <si>
    <t>2017-04-20</t>
  </si>
  <si>
    <t>2017-04-20T06:40:40</t>
  </si>
  <si>
    <t>2017-04-20T19:56:24</t>
  </si>
  <si>
    <t>20/04/2017 11:44</t>
  </si>
  <si>
    <t>2017-05-09</t>
  </si>
  <si>
    <t>2017-05-09T06:20:06</t>
  </si>
  <si>
    <t>2017-05-09T20:12:02</t>
  </si>
  <si>
    <t>09/05/2017 12:20</t>
  </si>
  <si>
    <t>2017-07-19</t>
  </si>
  <si>
    <t>2017-07-19T06:18:35</t>
  </si>
  <si>
    <t>2017-07-19T20:32:27</t>
  </si>
  <si>
    <t>19/07/2017 14:00</t>
  </si>
  <si>
    <t>2017-08-03</t>
  </si>
  <si>
    <t>2017-08-03T06:29:35</t>
  </si>
  <si>
    <t>2017-08-03T20:21:02</t>
  </si>
  <si>
    <t>03/08/2017 19:35</t>
  </si>
  <si>
    <t>2017-08-18</t>
  </si>
  <si>
    <t>2017-08-18T06:41:06</t>
  </si>
  <si>
    <t>2017-08-18T20:04:45</t>
  </si>
  <si>
    <t>10:45</t>
  </si>
  <si>
    <t>18/08/2017 10:45</t>
  </si>
  <si>
    <t>2017-09-06</t>
  </si>
  <si>
    <t>2017-09-06T06:55:22</t>
  </si>
  <si>
    <t>2017-09-06T19:39:28</t>
  </si>
  <si>
    <t>06/09/2017 12:30</t>
  </si>
  <si>
    <t>2017-09-14</t>
  </si>
  <si>
    <t>2017-09-14T07:01:17</t>
  </si>
  <si>
    <t>2017-09-14T19:27:58</t>
  </si>
  <si>
    <t>14/09/2017 12:05</t>
  </si>
  <si>
    <t>2017-04-19</t>
  </si>
  <si>
    <t>2017-04-19T06:41:55</t>
  </si>
  <si>
    <t>2017-04-19T19:55:35</t>
  </si>
  <si>
    <t>19/04/2017 14:19</t>
  </si>
  <si>
    <t>2017-08-25</t>
  </si>
  <si>
    <t>2017-08-25T06:46:24</t>
  </si>
  <si>
    <t>2017-08-25T19:55:54</t>
  </si>
  <si>
    <t>25/08/2017 09:45</t>
  </si>
  <si>
    <t>2017-04-28</t>
  </si>
  <si>
    <t>2017-04-28T06:31:14</t>
  </si>
  <si>
    <t>2017-04-28T20:03:00</t>
  </si>
  <si>
    <t>16:49</t>
  </si>
  <si>
    <t>28/04/2017 16:49</t>
  </si>
  <si>
    <t>18/08/2017 16:00</t>
  </si>
  <si>
    <t>2017-11-26</t>
  </si>
  <si>
    <t>2017-11-26T07:05:15</t>
  </si>
  <si>
    <t>2017-11-26T17:07:54</t>
  </si>
  <si>
    <t>13:09</t>
  </si>
  <si>
    <t>26/11/2017 13:09</t>
  </si>
  <si>
    <t>2017-01-02</t>
  </si>
  <si>
    <t>2017-01-02T07:28:32</t>
  </si>
  <si>
    <t>2017-01-02T17:18:33</t>
  </si>
  <si>
    <t>02/01/2017 14:25</t>
  </si>
  <si>
    <t>2017-02-16</t>
  </si>
  <si>
    <t>2017-02-16T07:04:41</t>
  </si>
  <si>
    <t>2017-02-16T18:02:40</t>
  </si>
  <si>
    <t>16/02/2017 13:59</t>
  </si>
  <si>
    <t>2017-03-21</t>
  </si>
  <si>
    <t>2017-03-21T06:21:33</t>
  </si>
  <si>
    <t>2017-03-21T18:31:58</t>
  </si>
  <si>
    <t>19:07</t>
  </si>
  <si>
    <t>21/03/2017 19:07</t>
  </si>
  <si>
    <t>2017-03-25</t>
  </si>
  <si>
    <t>2017-03-25T06:15:53</t>
  </si>
  <si>
    <t>2017-03-25T18:35:15</t>
  </si>
  <si>
    <t>18:54</t>
  </si>
  <si>
    <t>25/03/2017 18:54</t>
  </si>
  <si>
    <t>15/04/2017 17:12</t>
  </si>
  <si>
    <t>20/04/2017 15:29</t>
  </si>
  <si>
    <t>2017-04-21</t>
  </si>
  <si>
    <t>2017-04-21T06:39:26</t>
  </si>
  <si>
    <t>2017-04-21T19:57:14</t>
  </si>
  <si>
    <t>20:51</t>
  </si>
  <si>
    <t>21/04/2017 20:51</t>
  </si>
  <si>
    <t>2017-04-30</t>
  </si>
  <si>
    <t>2017-04-30T06:29:03</t>
  </si>
  <si>
    <t>2017-04-30T20:04:39</t>
  </si>
  <si>
    <t>12:53</t>
  </si>
  <si>
    <t>30/04/2017 12:53</t>
  </si>
  <si>
    <t>2017-06-03</t>
  </si>
  <si>
    <t>2017-06-03T06:05:13</t>
  </si>
  <si>
    <t>2017-06-03T20:30:10</t>
  </si>
  <si>
    <t>03/06/2017 21:40</t>
  </si>
  <si>
    <t>2017-06-25</t>
  </si>
  <si>
    <t>2017-06-25T06:05:57</t>
  </si>
  <si>
    <t>2017-06-25T20:38:06</t>
  </si>
  <si>
    <t>25/06/2017 18:50</t>
  </si>
  <si>
    <t>2017-07-01</t>
  </si>
  <si>
    <t>2017-07-01T06:08:11</t>
  </si>
  <si>
    <t>2017-07-01T20:38:13</t>
  </si>
  <si>
    <t>01/07/2017 11:25</t>
  </si>
  <si>
    <t>2017-07-02</t>
  </si>
  <si>
    <t>2017-07-02T06:08:38</t>
  </si>
  <si>
    <t>2017-07-02T20:38:08</t>
  </si>
  <si>
    <t>02/07/2017 19:00</t>
  </si>
  <si>
    <t>2017-07-03</t>
  </si>
  <si>
    <t>2017-07-03T06:09:06</t>
  </si>
  <si>
    <t>2017-07-03T20:38:01</t>
  </si>
  <si>
    <t>19:43</t>
  </si>
  <si>
    <t>03/07/2017 19:43</t>
  </si>
  <si>
    <t>2017-08-13</t>
  </si>
  <si>
    <t>2017-08-13T06:37:16</t>
  </si>
  <si>
    <t>2017-08-13T20:10:38</t>
  </si>
  <si>
    <t>20:29</t>
  </si>
  <si>
    <t>13/08/2017 20:29</t>
  </si>
  <si>
    <t>2017-09-04</t>
  </si>
  <si>
    <t>2017-09-04T06:53:53</t>
  </si>
  <si>
    <t>2017-09-04T19:42:17</t>
  </si>
  <si>
    <t>22:24</t>
  </si>
  <si>
    <t>04/09/2017 22:24</t>
  </si>
  <si>
    <t>22:33</t>
  </si>
  <si>
    <t>04/09/2017 22:33</t>
  </si>
  <si>
    <t>2017-09-15</t>
  </si>
  <si>
    <t>2017-09-15T07:02:02</t>
  </si>
  <si>
    <t>2017-09-15T19:26:31</t>
  </si>
  <si>
    <t>18:58</t>
  </si>
  <si>
    <t>15/09/2017 18:58</t>
  </si>
  <si>
    <t>2017-09-21</t>
  </si>
  <si>
    <t>2017-09-21T07:06:30</t>
  </si>
  <si>
    <t>2017-09-21T19:17:47</t>
  </si>
  <si>
    <t>21/09/2017 19:59</t>
  </si>
  <si>
    <t>2017-10-08</t>
  </si>
  <si>
    <t>2017-10-08T07:19:42</t>
  </si>
  <si>
    <t>2017-10-08T18:53:33</t>
  </si>
  <si>
    <t>08/10/2017 15:55</t>
  </si>
  <si>
    <t>2017-10-14</t>
  </si>
  <si>
    <t>2017-10-14T07:24:39</t>
  </si>
  <si>
    <t>2017-10-14T18:45:31</t>
  </si>
  <si>
    <t>14/10/2017 00:20</t>
  </si>
  <si>
    <t>2017-10-29</t>
  </si>
  <si>
    <t>2017-10-29T06:38:00</t>
  </si>
  <si>
    <t>2017-10-29T17:27:38</t>
  </si>
  <si>
    <t>12:43</t>
  </si>
  <si>
    <t>29/10/2017 12:43</t>
  </si>
  <si>
    <t>29/10/2017 17:45</t>
  </si>
  <si>
    <t>2017-10-31</t>
  </si>
  <si>
    <t>2017-10-31T06:39:53</t>
  </si>
  <si>
    <t>2017-10-31T17:25:34</t>
  </si>
  <si>
    <t>31/10/2017 20:40</t>
  </si>
  <si>
    <t>2017-11-01</t>
  </si>
  <si>
    <t>2017-11-01T06:40:50</t>
  </si>
  <si>
    <t>2017-11-01T17:24:34</t>
  </si>
  <si>
    <t>01/11/2017 12:14</t>
  </si>
  <si>
    <t>2017-11-07</t>
  </si>
  <si>
    <t>2017-11-07T06:46:37</t>
  </si>
  <si>
    <t>2017-11-07T17:19:01</t>
  </si>
  <si>
    <t>15:43</t>
  </si>
  <si>
    <t>07/11/2017 15:43</t>
  </si>
  <si>
    <t>07/11/2017 16:25</t>
  </si>
  <si>
    <t>2017-11-09</t>
  </si>
  <si>
    <t>2017-11-09T06:48:35</t>
  </si>
  <si>
    <t>2017-11-09T17:17:22</t>
  </si>
  <si>
    <t>09/11/2017 13:39</t>
  </si>
  <si>
    <t>2017-12-05</t>
  </si>
  <si>
    <t>2017-12-05T07:13:23</t>
  </si>
  <si>
    <t>2017-12-05T17:06:33</t>
  </si>
  <si>
    <t>09:29</t>
  </si>
  <si>
    <t>05/12/2017 09:29</t>
  </si>
  <si>
    <t>2017-12-08</t>
  </si>
  <si>
    <t>2017-12-08T07:15:51</t>
  </si>
  <si>
    <t>2017-12-08T17:06:42</t>
  </si>
  <si>
    <t>14:16</t>
  </si>
  <si>
    <t>08/12/2017 14:16</t>
  </si>
  <si>
    <t>2017-12-09</t>
  </si>
  <si>
    <t>2017-12-09T07:16:38</t>
  </si>
  <si>
    <t>2017-12-09T17:06:48</t>
  </si>
  <si>
    <t>09/12/2017 12:20</t>
  </si>
  <si>
    <t>2017-12-15</t>
  </si>
  <si>
    <t>2017-12-15T07:20:58</t>
  </si>
  <si>
    <t>2017-12-15T17:08:09</t>
  </si>
  <si>
    <t>15/12/2017 09:50</t>
  </si>
  <si>
    <t>2017-12-20</t>
  </si>
  <si>
    <t>2017-12-20T07:23:57</t>
  </si>
  <si>
    <t>2017-12-20T17:10:06</t>
  </si>
  <si>
    <t>20/12/2017 16:34</t>
  </si>
  <si>
    <t>2017-02-07</t>
  </si>
  <si>
    <t>2017-02-07T07:13:47</t>
  </si>
  <si>
    <t>2017-02-07T17:53:41</t>
  </si>
  <si>
    <t>12:28</t>
  </si>
  <si>
    <t>07/02/2017 12:28</t>
  </si>
  <si>
    <t>2017-09-07</t>
  </si>
  <si>
    <t>2017-09-07T06:56:07</t>
  </si>
  <si>
    <t>2017-09-07T19:38:03</t>
  </si>
  <si>
    <t>07/09/2017 05:29</t>
  </si>
  <si>
    <t>2017-08-15</t>
  </si>
  <si>
    <t>2017-08-15T06:38:48</t>
  </si>
  <si>
    <t>2017-08-15T20:08:20</t>
  </si>
  <si>
    <t>15/08/2017 16:59</t>
  </si>
  <si>
    <t>2017-07-22</t>
  </si>
  <si>
    <t>2017-07-22T06:20:41</t>
  </si>
  <si>
    <t>2017-07-22T20:30:37</t>
  </si>
  <si>
    <t>21:30</t>
  </si>
  <si>
    <t>22/07/2017 21:30</t>
  </si>
  <si>
    <t>2017-08-23</t>
  </si>
  <si>
    <t>2017-08-23T06:44:54</t>
  </si>
  <si>
    <t>2017-08-23T19:58:29</t>
  </si>
  <si>
    <t>23/08/2017 21:30</t>
  </si>
  <si>
    <t>03/07/2017 10:44</t>
  </si>
  <si>
    <t>15:17</t>
  </si>
  <si>
    <t>22/07/2017 15:17</t>
  </si>
  <si>
    <t>2017-08-28</t>
  </si>
  <si>
    <t>2017-08-28T06:48:40</t>
  </si>
  <si>
    <t>2017-08-28T19:51:55</t>
  </si>
  <si>
    <t>17:33</t>
  </si>
  <si>
    <t>28/08/2017 17:33</t>
  </si>
  <si>
    <t>2017-09-12</t>
  </si>
  <si>
    <t>2017-09-12T06:59:49</t>
  </si>
  <si>
    <t>2017-09-12T19:30:52</t>
  </si>
  <si>
    <t>20:32</t>
  </si>
  <si>
    <t>12/09/2017 20:32</t>
  </si>
  <si>
    <t>2017-10-05</t>
  </si>
  <si>
    <t>2017-10-05T07:17:17</t>
  </si>
  <si>
    <t>2017-10-05T18:57:42</t>
  </si>
  <si>
    <t>05/10/2017 12:28</t>
  </si>
  <si>
    <t>05/10/2017 15:44</t>
  </si>
  <si>
    <t>2017-11-30</t>
  </si>
  <si>
    <t>2017-11-30T07:08:58</t>
  </si>
  <si>
    <t>2017-11-30T17:06:59</t>
  </si>
  <si>
    <t>18:03</t>
  </si>
  <si>
    <t>30/11/2017 18:03</t>
  </si>
  <si>
    <t>2017-02-05</t>
  </si>
  <si>
    <t>2017-02-05T07:15:34</t>
  </si>
  <si>
    <t>2017-02-05T17:51:39</t>
  </si>
  <si>
    <t>05/02/2017 18:50</t>
  </si>
  <si>
    <t>2017-04-03</t>
  </si>
  <si>
    <t>2017-04-03T07:03:12</t>
  </si>
  <si>
    <t>2017-04-03T19:42:33</t>
  </si>
  <si>
    <t>03/04/2017 20:30</t>
  </si>
  <si>
    <t>2017-04-09</t>
  </si>
  <si>
    <t>2017-04-09T06:54:57</t>
  </si>
  <si>
    <t>2017-04-09T19:47:25</t>
  </si>
  <si>
    <t>09/04/2017 14:40</t>
  </si>
  <si>
    <t>2017-05-02</t>
  </si>
  <si>
    <t>2017-05-02T06:26:55</t>
  </si>
  <si>
    <t>2017-05-02T20:06:18</t>
  </si>
  <si>
    <t>02/05/2017 15:15</t>
  </si>
  <si>
    <t>14/10/2017 15:15</t>
  </si>
  <si>
    <t>2017-02-17</t>
  </si>
  <si>
    <t>2017-02-17T07:03:34</t>
  </si>
  <si>
    <t>2017-02-17T18:03:38</t>
  </si>
  <si>
    <t>17/02/2017 15:45</t>
  </si>
  <si>
    <t>15/04/2017 11:22</t>
  </si>
  <si>
    <t>19/04/2017 18:50</t>
  </si>
  <si>
    <t>2017-07-18</t>
  </si>
  <si>
    <t>2017-07-18T06:17:54</t>
  </si>
  <si>
    <t>2017-07-18T20:33:01</t>
  </si>
  <si>
    <t>18/07/2017 18:30</t>
  </si>
  <si>
    <t>2017-07-21</t>
  </si>
  <si>
    <t>2017-07-21T06:19:58</t>
  </si>
  <si>
    <t>2017-07-21T20:31:16</t>
  </si>
  <si>
    <t>16:02</t>
  </si>
  <si>
    <t>21/07/2017 16:02</t>
  </si>
  <si>
    <t>2017-02-23</t>
  </si>
  <si>
    <t>2017-02-23T06:56:33</t>
  </si>
  <si>
    <t>2017-02-23T18:09:21</t>
  </si>
  <si>
    <t>23/02/2017 15:50</t>
  </si>
  <si>
    <t>2017-03-04</t>
  </si>
  <si>
    <t>2017-03-04T06:45:05</t>
  </si>
  <si>
    <t>2017-03-04T18:17:32</t>
  </si>
  <si>
    <t>04/03/2017 12:03</t>
  </si>
  <si>
    <t>2017-04-27</t>
  </si>
  <si>
    <t>2017-04-27T06:32:22</t>
  </si>
  <si>
    <t>2017-04-27T20:02:10</t>
  </si>
  <si>
    <t>20:47</t>
  </si>
  <si>
    <t>27/04/2017 20:47</t>
  </si>
  <si>
    <t>28/04/2017 14:18</t>
  </si>
  <si>
    <t>2017-10-12</t>
  </si>
  <si>
    <t>2017-10-12T07:22:59</t>
  </si>
  <si>
    <t>2017-10-12T18:48:09</t>
  </si>
  <si>
    <t>12/10/2017 14:25</t>
  </si>
  <si>
    <t>2017-05-08</t>
  </si>
  <si>
    <t>2017-05-08T06:21:01</t>
  </si>
  <si>
    <t>2017-05-08T20:11:13</t>
  </si>
  <si>
    <t>08/05/2017 11:45</t>
  </si>
  <si>
    <t>17:31</t>
  </si>
  <si>
    <t>14/10/2017 17:31</t>
  </si>
  <si>
    <t>28/08/2017 19:00</t>
  </si>
  <si>
    <t>2017-09-11</t>
  </si>
  <si>
    <t>2017-09-11T06:59:04</t>
  </si>
  <si>
    <t>2017-09-11T19:32:19</t>
  </si>
  <si>
    <t>11/09/2017 17:01</t>
  </si>
  <si>
    <t>30/11/2017 16:55</t>
  </si>
  <si>
    <t>2017-02-20</t>
  </si>
  <si>
    <t>2017-02-20T07:00:08</t>
  </si>
  <si>
    <t>2017-02-20T18:06:31</t>
  </si>
  <si>
    <t>20/02/2017 09:50</t>
  </si>
  <si>
    <t>21/04/2017 14:40</t>
  </si>
  <si>
    <t>14/10/2017 13:00</t>
  </si>
  <si>
    <t>2018-04-05</t>
  </si>
  <si>
    <t>2018-04-05T07:00:46</t>
  </si>
  <si>
    <t>2018-04-05T19:43:59</t>
  </si>
  <si>
    <t>19:34</t>
  </si>
  <si>
    <t>05/04/2018 19:34</t>
  </si>
  <si>
    <t>2018-04-11</t>
  </si>
  <si>
    <t>2018-04-11T06:52:36</t>
  </si>
  <si>
    <t>2018-04-11T19:48:51</t>
  </si>
  <si>
    <t>19:24</t>
  </si>
  <si>
    <t>11/04/2018 19:24</t>
  </si>
  <si>
    <t>21:24</t>
  </si>
  <si>
    <t>11/04/2018 21:24</t>
  </si>
  <si>
    <t>2018-07-28</t>
  </si>
  <si>
    <t>2018-07-28T06:24:53</t>
  </si>
  <si>
    <t>2018-07-28T20:26:28</t>
  </si>
  <si>
    <t>28/07/2018 16:34</t>
  </si>
  <si>
    <t>2018-09-16</t>
  </si>
  <si>
    <t>2018-09-16T07:02:36</t>
  </si>
  <si>
    <t>2018-09-16T19:25:26</t>
  </si>
  <si>
    <t>16/09/2018 16:12</t>
  </si>
  <si>
    <t>2018-12-28</t>
  </si>
  <si>
    <t>2018-12-28T07:27:17</t>
  </si>
  <si>
    <t>2018-12-28T17:14:32</t>
  </si>
  <si>
    <t>28/12/2018 19:24</t>
  </si>
  <si>
    <t>2018-03-20</t>
  </si>
  <si>
    <t>2018-03-20T06:23:19</t>
  </si>
  <si>
    <t>2018-03-20T18:30:57</t>
  </si>
  <si>
    <t>20/03/2018 13:25</t>
  </si>
  <si>
    <t>2018-03-22</t>
  </si>
  <si>
    <t>2018-03-22T06:20:29</t>
  </si>
  <si>
    <t>2018-03-22T18:32:36</t>
  </si>
  <si>
    <t>22/03/2018 19:34</t>
  </si>
  <si>
    <t>2018-04-03</t>
  </si>
  <si>
    <t>2018-04-03T07:03:33</t>
  </si>
  <si>
    <t>2018-04-03T19:42:22</t>
  </si>
  <si>
    <t>03/04/2018 16:05</t>
  </si>
  <si>
    <t>2018-04-19</t>
  </si>
  <si>
    <t>2018-04-19T06:42:13</t>
  </si>
  <si>
    <t>2018-04-19T19:55:24</t>
  </si>
  <si>
    <t>19/04/2018 16:30</t>
  </si>
  <si>
    <t>2018-04-27</t>
  </si>
  <si>
    <t>2018-04-27T06:32:39</t>
  </si>
  <si>
    <t>2018-04-27T20:01:59</t>
  </si>
  <si>
    <t>27/04/2018 13:25</t>
  </si>
  <si>
    <t>2018-07-16</t>
  </si>
  <si>
    <t>2018-07-16T06:16:24</t>
  </si>
  <si>
    <t>2018-07-16T20:34:10</t>
  </si>
  <si>
    <t>16/07/2018 18:20</t>
  </si>
  <si>
    <t>2018-09-05</t>
  </si>
  <si>
    <t>2018-09-05T06:54:27</t>
  </si>
  <si>
    <t>2018-09-05T19:41:14</t>
  </si>
  <si>
    <t>05/09/2018 12:47</t>
  </si>
  <si>
    <t>2018-04-12</t>
  </si>
  <si>
    <t>2018-04-12T06:51:16</t>
  </si>
  <si>
    <t>2018-04-12T19:49:40</t>
  </si>
  <si>
    <t>12/04/2018 16:45</t>
  </si>
  <si>
    <t>2018-07-12</t>
  </si>
  <si>
    <t>2018-07-12T06:13:52</t>
  </si>
  <si>
    <t>2018-07-12T20:35:53</t>
  </si>
  <si>
    <t>12/07/2018 13:10</t>
  </si>
  <si>
    <t>2018-09-03</t>
  </si>
  <si>
    <t>2018-09-03T06:52:58</t>
  </si>
  <si>
    <t>2018-09-03T19:44:02</t>
  </si>
  <si>
    <t>03/09/2018 15:33</t>
  </si>
  <si>
    <t>2018-09-15</t>
  </si>
  <si>
    <t>2018-09-15T07:01:52</t>
  </si>
  <si>
    <t>2018-09-15T19:26:53</t>
  </si>
  <si>
    <t>15/09/2018 19:05</t>
  </si>
  <si>
    <t>2018-03-01</t>
  </si>
  <si>
    <t>2018-03-01T06:49:20</t>
  </si>
  <si>
    <t>2018-03-01T18:14:38</t>
  </si>
  <si>
    <t>12:54</t>
  </si>
  <si>
    <t>01/03/2018 12:54</t>
  </si>
  <si>
    <t>2018-03-07</t>
  </si>
  <si>
    <t>2018-03-07T06:41:24</t>
  </si>
  <si>
    <t>2018-03-07T18:19:57</t>
  </si>
  <si>
    <t>07/03/2018 11:55</t>
  </si>
  <si>
    <t>2018-03-13</t>
  </si>
  <si>
    <t>2018-03-13T06:33:10</t>
  </si>
  <si>
    <t>2018-03-13T18:25:06</t>
  </si>
  <si>
    <t>13/03/2018 15:40</t>
  </si>
  <si>
    <t>2018-03-17</t>
  </si>
  <si>
    <t>2018-03-17T06:27:33</t>
  </si>
  <si>
    <t>2018-03-17T18:28:28</t>
  </si>
  <si>
    <t>17/03/2018 12:44</t>
  </si>
  <si>
    <t>20/03/2018 16:55</t>
  </si>
  <si>
    <t>2018-07-05</t>
  </si>
  <si>
    <t>2018-07-05T06:09:58</t>
  </si>
  <si>
    <t>2018-07-05T20:37:47</t>
  </si>
  <si>
    <t>21:12</t>
  </si>
  <si>
    <t>05/07/2018 21:12</t>
  </si>
  <si>
    <t>2018-07-24</t>
  </si>
  <si>
    <t>2018-07-24T06:21:57</t>
  </si>
  <si>
    <t>2018-07-24T20:29:27</t>
  </si>
  <si>
    <t>16:43</t>
  </si>
  <si>
    <t>24/07/2018 16:43</t>
  </si>
  <si>
    <t>2018-09-27</t>
  </si>
  <si>
    <t>2018-09-27T07:10:52</t>
  </si>
  <si>
    <t>2018-09-27T19:09:26</t>
  </si>
  <si>
    <t>27/09/2018 20:00</t>
  </si>
  <si>
    <t>2018-11-06</t>
  </si>
  <si>
    <t>2018-11-06T06:45:25</t>
  </si>
  <si>
    <t>2018-11-06T17:20:06</t>
  </si>
  <si>
    <t>06/11/2018 18:06</t>
  </si>
  <si>
    <t>2018-03-06</t>
  </si>
  <si>
    <t>2018-03-06T06:42:45</t>
  </si>
  <si>
    <t>2018-03-06T18:19:05</t>
  </si>
  <si>
    <t>06/03/2018 10:30</t>
  </si>
  <si>
    <t>20/03/2018 10:45</t>
  </si>
  <si>
    <t>2018-04-04</t>
  </si>
  <si>
    <t>2018-04-04T07:02:09</t>
  </si>
  <si>
    <t>2018-04-04T19:43:11</t>
  </si>
  <si>
    <t>04/04/2018 13:05</t>
  </si>
  <si>
    <t>16/07/2018 15:43</t>
  </si>
  <si>
    <t>27/09/2018 17:20</t>
  </si>
  <si>
    <t>2018-11-13</t>
  </si>
  <si>
    <t>2018-11-13T06:52:18</t>
  </si>
  <si>
    <t>2018-11-13T17:14:34</t>
  </si>
  <si>
    <t>13/11/2018 16:50</t>
  </si>
  <si>
    <t>2018-01-02</t>
  </si>
  <si>
    <t>2018-01-02T07:28:31</t>
  </si>
  <si>
    <t>2018-01-02T17:18:21</t>
  </si>
  <si>
    <t>02/01/2018 14:21</t>
  </si>
  <si>
    <t>2018-01-03</t>
  </si>
  <si>
    <t>2018-01-03T07:28:39</t>
  </si>
  <si>
    <t>2018-01-03T17:19:09</t>
  </si>
  <si>
    <t>03/01/2018 18:09</t>
  </si>
  <si>
    <t>2018-01-21</t>
  </si>
  <si>
    <t>2018-01-21T07:25:42</t>
  </si>
  <si>
    <t>2018-01-21T17:35:56</t>
  </si>
  <si>
    <t>21/01/2018 12:20</t>
  </si>
  <si>
    <t>2018-01-25</t>
  </si>
  <si>
    <t>2018-01-25T07:23:40</t>
  </si>
  <si>
    <t>2018-01-25T17:40:02</t>
  </si>
  <si>
    <t>15:31</t>
  </si>
  <si>
    <t>25/01/2018 15:31</t>
  </si>
  <si>
    <t>2018-02-09</t>
  </si>
  <si>
    <t>2018-02-09T07:12:09</t>
  </si>
  <si>
    <t>2018-02-09T17:55:28</t>
  </si>
  <si>
    <t>09/02/2018 12:30</t>
  </si>
  <si>
    <t>2018-03-05</t>
  </si>
  <si>
    <t>2018-03-05T06:44:05</t>
  </si>
  <si>
    <t>2018-03-05T18:18:12</t>
  </si>
  <si>
    <t>05/03/2018 14:34</t>
  </si>
  <si>
    <t>2018-03-14</t>
  </si>
  <si>
    <t>2018-03-14T06:31:46</t>
  </si>
  <si>
    <t>2018-03-14T18:25:57</t>
  </si>
  <si>
    <t>14/03/2018 19:14</t>
  </si>
  <si>
    <t>18:29</t>
  </si>
  <si>
    <t>17/03/2018 18:29</t>
  </si>
  <si>
    <t>18:33</t>
  </si>
  <si>
    <t>17/03/2018 18:33</t>
  </si>
  <si>
    <t>2018-03-21</t>
  </si>
  <si>
    <t>2018-03-21T06:21:54</t>
  </si>
  <si>
    <t>2018-03-21T18:31:47</t>
  </si>
  <si>
    <t>23:12</t>
  </si>
  <si>
    <t>21/03/2018 23:12</t>
  </si>
  <si>
    <t>03/04/2018 14:15</t>
  </si>
  <si>
    <t>2018-04-13</t>
  </si>
  <si>
    <t>2018-04-13T06:49:57</t>
  </si>
  <si>
    <t>2018-04-13T19:50:29</t>
  </si>
  <si>
    <t>13/04/2018 16:34</t>
  </si>
  <si>
    <t>2018-04-25</t>
  </si>
  <si>
    <t>2018-04-25T06:34:57</t>
  </si>
  <si>
    <t>2018-04-25T20:00:20</t>
  </si>
  <si>
    <t>09:47</t>
  </si>
  <si>
    <t>25/04/2018 09:47</t>
  </si>
  <si>
    <t>2018-04-28</t>
  </si>
  <si>
    <t>2018-04-28T06:31:31</t>
  </si>
  <si>
    <t>2018-04-28T20:02:48</t>
  </si>
  <si>
    <t>28/04/2018 18:14</t>
  </si>
  <si>
    <t>2018-09-04</t>
  </si>
  <si>
    <t>2018-09-04T06:53:43</t>
  </si>
  <si>
    <t>2018-09-04T19:42:38</t>
  </si>
  <si>
    <t>21:26</t>
  </si>
  <si>
    <t>04/09/2018 21:26</t>
  </si>
  <si>
    <t>2018-09-25</t>
  </si>
  <si>
    <t>2018-09-25T07:09:21</t>
  </si>
  <si>
    <t>2018-09-25T19:12:20</t>
  </si>
  <si>
    <t>21:31</t>
  </si>
  <si>
    <t>25/09/2018 21:31</t>
  </si>
  <si>
    <t>2018-09-26</t>
  </si>
  <si>
    <t>2018-09-26T07:10:06</t>
  </si>
  <si>
    <t>2018-09-26T19:10:53</t>
  </si>
  <si>
    <t>14:54</t>
  </si>
  <si>
    <t>26/09/2018 14:54</t>
  </si>
  <si>
    <t>27/09/2018 20:55</t>
  </si>
  <si>
    <t>2018-12-07</t>
  </si>
  <si>
    <t>2018-12-07T07:14:51</t>
  </si>
  <si>
    <t>2018-12-07T17:06:36</t>
  </si>
  <si>
    <t>07/12/2018 15:14</t>
  </si>
  <si>
    <t>2018-10-26</t>
  </si>
  <si>
    <t>2018-10-26T07:35:00</t>
  </si>
  <si>
    <t>2018-10-26T18:31:11</t>
  </si>
  <si>
    <t>26/10/2018 18:40</t>
  </si>
  <si>
    <t>2018-08-16</t>
  </si>
  <si>
    <t>2018-08-16T06:39:23</t>
  </si>
  <si>
    <t>2018-08-16T20:07:27</t>
  </si>
  <si>
    <t>16/08/2018 18:40</t>
  </si>
  <si>
    <t>16/07/2018 15:20</t>
  </si>
  <si>
    <t>02:18</t>
  </si>
  <si>
    <t>22/03/2018 02:18</t>
  </si>
  <si>
    <t>2018-03-23</t>
  </si>
  <si>
    <t>2018-03-23T06:19:04</t>
  </si>
  <si>
    <t>2018-03-23T18:33:25</t>
  </si>
  <si>
    <t>23/03/2018 15:45</t>
  </si>
  <si>
    <t>2018-10-06</t>
  </si>
  <si>
    <t>2018-10-06T07:17:54</t>
  </si>
  <si>
    <t>2018-10-06T18:56:39</t>
  </si>
  <si>
    <t>06/10/2018 12:20</t>
  </si>
  <si>
    <t>2018-03-30</t>
  </si>
  <si>
    <t>2018-03-30T07:09:09</t>
  </si>
  <si>
    <t>2018-03-30T19:39:08</t>
  </si>
  <si>
    <t>30/03/2018 09:00</t>
  </si>
  <si>
    <t>04/04/2018 16:00</t>
  </si>
  <si>
    <t>2018-05-29</t>
  </si>
  <si>
    <t>2018-05-29T06:06:59</t>
  </si>
  <si>
    <t>2018-05-29T20:26:54</t>
  </si>
  <si>
    <t>06:40</t>
  </si>
  <si>
    <t>29/05/2018 06:40</t>
  </si>
  <si>
    <t>2018-06-03</t>
  </si>
  <si>
    <t>2018-06-03T06:05:18</t>
  </si>
  <si>
    <t>2018-06-03T20:30:02</t>
  </si>
  <si>
    <t>13:42</t>
  </si>
  <si>
    <t>03/06/2018 13:42</t>
  </si>
  <si>
    <t>2018-06-06</t>
  </si>
  <si>
    <t>2018-06-06T06:04:37</t>
  </si>
  <si>
    <t>2018-06-06T20:31:43</t>
  </si>
  <si>
    <t>11:14</t>
  </si>
  <si>
    <t>06/06/2018 11:14</t>
  </si>
  <si>
    <t>2018-07-03</t>
  </si>
  <si>
    <t>2018-07-03T06:09:00</t>
  </si>
  <si>
    <t>2018-07-03T20:38:04</t>
  </si>
  <si>
    <t>03/07/2018 01:12</t>
  </si>
  <si>
    <t>03/07/2018 22:10</t>
  </si>
  <si>
    <t>19:16</t>
  </si>
  <si>
    <t>24/07/2018 19:16</t>
  </si>
  <si>
    <t>2018-09-06</t>
  </si>
  <si>
    <t>2018-09-06T06:55:12</t>
  </si>
  <si>
    <t>2018-09-06T19:39:49</t>
  </si>
  <si>
    <t>06/09/2018 12:19</t>
  </si>
  <si>
    <t>2018-12-26</t>
  </si>
  <si>
    <t>2018-12-26T07:26:35</t>
  </si>
  <si>
    <t>2018-12-26T17:13:15</t>
  </si>
  <si>
    <t>26/12/2018 14:30</t>
  </si>
  <si>
    <t>2018-01-30</t>
  </si>
  <si>
    <t>2018-01-30T07:20:29</t>
  </si>
  <si>
    <t>2018-01-30T17:45:13</t>
  </si>
  <si>
    <t>14:59</t>
  </si>
  <si>
    <t>30/01/2018 14:59</t>
  </si>
  <si>
    <t>2018-05-06</t>
  </si>
  <si>
    <t>2018-05-06T06:23:09</t>
  </si>
  <si>
    <t>2018-05-06T20:09:24</t>
  </si>
  <si>
    <t>06/05/2018 10:40</t>
  </si>
  <si>
    <t>2018-06-10</t>
  </si>
  <si>
    <t>2018-06-10T06:04:05</t>
  </si>
  <si>
    <t>2018-06-10T20:33:43</t>
  </si>
  <si>
    <t>07:50</t>
  </si>
  <si>
    <t>10/06/2018 07:50</t>
  </si>
  <si>
    <t>2018-06-12</t>
  </si>
  <si>
    <t>2018-06-12T06:03:59</t>
  </si>
  <si>
    <t>2018-06-12T20:34:36</t>
  </si>
  <si>
    <t>12/06/2018 16:00</t>
  </si>
  <si>
    <t>2018-06-14</t>
  </si>
  <si>
    <t>2018-06-14T06:04:00</t>
  </si>
  <si>
    <t>2018-06-14T20:35:24</t>
  </si>
  <si>
    <t>14/06/2018 14:50</t>
  </si>
  <si>
    <t>2018-08-08</t>
  </si>
  <si>
    <t>2018-08-08T06:33:14</t>
  </si>
  <si>
    <t>2018-08-08T20:16:21</t>
  </si>
  <si>
    <t>08/08/2018 13:30</t>
  </si>
  <si>
    <t>2018-08-21</t>
  </si>
  <si>
    <t>2018-08-21T06:43:12</t>
  </si>
  <si>
    <t>2018-08-21T20:01:21</t>
  </si>
  <si>
    <t>17:56</t>
  </si>
  <si>
    <t>21/08/2018 17:56</t>
  </si>
  <si>
    <t>2018-11-15</t>
  </si>
  <si>
    <t>2018-11-15T06:54:17</t>
  </si>
  <si>
    <t>2018-11-15T17:13:13</t>
  </si>
  <si>
    <t>15/11/2018 15:55</t>
  </si>
  <si>
    <t>17:32</t>
  </si>
  <si>
    <t>06/06/2018 17:32</t>
  </si>
  <si>
    <t>2018-08-11</t>
  </si>
  <si>
    <t>2018-08-11T06:35:33</t>
  </si>
  <si>
    <t>2018-08-11T20:13:09</t>
  </si>
  <si>
    <t>10:01</t>
  </si>
  <si>
    <t>11/08/2018 10:01</t>
  </si>
  <si>
    <t>06/11/2018 16:06</t>
  </si>
  <si>
    <t>2018-01-22</t>
  </si>
  <si>
    <t>2018-01-22T07:25:14</t>
  </si>
  <si>
    <t>2018-01-22T17:36:57</t>
  </si>
  <si>
    <t>09:28</t>
  </si>
  <si>
    <t>22/01/2018 09:28</t>
  </si>
  <si>
    <t>03:10</t>
  </si>
  <si>
    <t>16/08/2018 03:10</t>
  </si>
  <si>
    <t>2018-08-26</t>
  </si>
  <si>
    <t>2018-08-26T06:46:59</t>
  </si>
  <si>
    <t>2018-08-26T19:54:55</t>
  </si>
  <si>
    <t>26/08/2018 14:15</t>
  </si>
  <si>
    <t>19:57</t>
  </si>
  <si>
    <t>05/09/2018 19:57</t>
  </si>
  <si>
    <t>2018-01-31</t>
  </si>
  <si>
    <t>2018-01-31T07:19:46</t>
  </si>
  <si>
    <t>2018-01-31T17:46:15</t>
  </si>
  <si>
    <t>17:57</t>
  </si>
  <si>
    <t>31/01/2018 17:57</t>
  </si>
  <si>
    <t>2018-05-26</t>
  </si>
  <si>
    <t>2018-05-26T06:08:20</t>
  </si>
  <si>
    <t>2018-05-26T20:24:52</t>
  </si>
  <si>
    <t>26/05/2018 13:40</t>
  </si>
  <si>
    <t>2018-07-04</t>
  </si>
  <si>
    <t>2018-07-04T06:09:28</t>
  </si>
  <si>
    <t>2018-07-04T20:37:56</t>
  </si>
  <si>
    <t>04/07/2018 18:05</t>
  </si>
  <si>
    <t>25/09/2018 10:01</t>
  </si>
  <si>
    <t>2018-02-04</t>
  </si>
  <si>
    <t>2018-02-04T07:16:38</t>
  </si>
  <si>
    <t>2018-02-04T17:50:23</t>
  </si>
  <si>
    <t>10:08</t>
  </si>
  <si>
    <t>04/02/2018 10:08</t>
  </si>
  <si>
    <t>2018-02-10</t>
  </si>
  <si>
    <t>2018-02-10T07:11:11</t>
  </si>
  <si>
    <t>2018-02-10T17:56:29</t>
  </si>
  <si>
    <t>10/02/2018 11:10</t>
  </si>
  <si>
    <t>17/03/2018 18:50</t>
  </si>
  <si>
    <t>2018-07-15</t>
  </si>
  <si>
    <t>2018-07-15T06:15:45</t>
  </si>
  <si>
    <t>2018-07-15T20:34:38</t>
  </si>
  <si>
    <t>15/07/2018 14:55</t>
  </si>
  <si>
    <t>2018-11-05</t>
  </si>
  <si>
    <t>2018-11-05T06:44:27</t>
  </si>
  <si>
    <t>2018-11-05T17:21:00</t>
  </si>
  <si>
    <t>05/11/2018 10:45</t>
  </si>
  <si>
    <t>2018-11-18</t>
  </si>
  <si>
    <t>2018-11-18T06:57:15</t>
  </si>
  <si>
    <t>2018-11-18T17:11:26</t>
  </si>
  <si>
    <t>18/11/2018 14:55</t>
  </si>
  <si>
    <t>2018-05-01</t>
  </si>
  <si>
    <t>2018-05-01T06:28:14</t>
  </si>
  <si>
    <t>2018-05-01T20:05:17</t>
  </si>
  <si>
    <t>01/05/2018 22:49</t>
  </si>
  <si>
    <t>15/07/2018 18:55</t>
  </si>
  <si>
    <t>2018-08-23</t>
  </si>
  <si>
    <t>2018-08-23T06:44:43</t>
  </si>
  <si>
    <t>2018-08-23T19:58:49</t>
  </si>
  <si>
    <t>12:32</t>
  </si>
  <si>
    <t>23/08/2018 12:32</t>
  </si>
  <si>
    <t>2018-02-08</t>
  </si>
  <si>
    <t>2018-02-08T07:13:05</t>
  </si>
  <si>
    <t>2018-02-08T17:54:28</t>
  </si>
  <si>
    <t>16:18</t>
  </si>
  <si>
    <t>08/02/2018 16:18</t>
  </si>
  <si>
    <t>10/02/2018 11:33</t>
  </si>
  <si>
    <t>06:19</t>
  </si>
  <si>
    <t>22/03/2018 06:19</t>
  </si>
  <si>
    <t>06/06/2018 13:24</t>
  </si>
  <si>
    <t>2018-07-02</t>
  </si>
  <si>
    <t>2018-07-02T06:08:32</t>
  </si>
  <si>
    <t>2018-07-02T20:38:10</t>
  </si>
  <si>
    <t>21:57</t>
  </si>
  <si>
    <t>02/07/2018 21:57</t>
  </si>
  <si>
    <t>2018-07-21</t>
  </si>
  <si>
    <t>2018-07-21T06:19:48</t>
  </si>
  <si>
    <t>2018-07-21T20:31:25</t>
  </si>
  <si>
    <t>21/07/2018 13:54</t>
  </si>
  <si>
    <t>2018-11-01</t>
  </si>
  <si>
    <t>2018-11-01T06:40:37</t>
  </si>
  <si>
    <t>2018-11-01T17:24:48</t>
  </si>
  <si>
    <t>01/11/2018 11:30</t>
  </si>
  <si>
    <t>2018-11-14</t>
  </si>
  <si>
    <t>2018-11-14T06:53:17</t>
  </si>
  <si>
    <t>2018-11-14T17:13:53</t>
  </si>
  <si>
    <t>13:18</t>
  </si>
  <si>
    <t>14/11/2018 13:18</t>
  </si>
  <si>
    <t>2019-03-08</t>
  </si>
  <si>
    <t>2019-03-08T06:40:23</t>
  </si>
  <si>
    <t>2019-03-08T18:20:37</t>
  </si>
  <si>
    <t>19:53</t>
  </si>
  <si>
    <t>08/03/2019 19:53</t>
  </si>
  <si>
    <t>2019-03-10</t>
  </si>
  <si>
    <t>2019-03-10T06:37:39</t>
  </si>
  <si>
    <t>2019-03-10T18:22:21</t>
  </si>
  <si>
    <t>10/03/2019 21:59</t>
  </si>
  <si>
    <t>2019-03-18</t>
  </si>
  <si>
    <t>2019-03-18T06:26:30</t>
  </si>
  <si>
    <t>2019-03-18T18:29:06</t>
  </si>
  <si>
    <t>19:37</t>
  </si>
  <si>
    <t>18/03/2019 19:37</t>
  </si>
  <si>
    <t>2019-03-23</t>
  </si>
  <si>
    <t>2019-03-23T06:19:25</t>
  </si>
  <si>
    <t>2019-03-23T18:33:14</t>
  </si>
  <si>
    <t>19:38</t>
  </si>
  <si>
    <t>23/03/2019 19:38</t>
  </si>
  <si>
    <t>2019-03-24</t>
  </si>
  <si>
    <t>2019-03-24T06:18:00</t>
  </si>
  <si>
    <t>2019-03-24T18:34:03</t>
  </si>
  <si>
    <t>24/03/2019 09:29</t>
  </si>
  <si>
    <t>2019-03-26</t>
  </si>
  <si>
    <t>2019-03-26T06:15:10</t>
  </si>
  <si>
    <t>2019-03-26T18:35:41</t>
  </si>
  <si>
    <t>26/03/2019 13:10</t>
  </si>
  <si>
    <t>2019-06-15</t>
  </si>
  <si>
    <t>2019-06-15T06:04:02</t>
  </si>
  <si>
    <t>2019-06-15T20:35:41</t>
  </si>
  <si>
    <t>15/06/2019 17:45</t>
  </si>
  <si>
    <t>2019-07-15</t>
  </si>
  <si>
    <t>2019-07-15T06:15:37</t>
  </si>
  <si>
    <t>2019-07-15T20:34:46</t>
  </si>
  <si>
    <t>15/07/2019 14:45</t>
  </si>
  <si>
    <t>2019-09-06</t>
  </si>
  <si>
    <t>2019-09-06T06:55:02</t>
  </si>
  <si>
    <t>2019-09-06T19:40:10</t>
  </si>
  <si>
    <t>06/09/2019 12:49</t>
  </si>
  <si>
    <t>2019-09-08</t>
  </si>
  <si>
    <t>2019-09-08T06:56:30</t>
  </si>
  <si>
    <t>2019-09-08T19:37:20</t>
  </si>
  <si>
    <t>08/09/2019 14:58</t>
  </si>
  <si>
    <t>2019-10-21</t>
  </si>
  <si>
    <t>2019-10-21T07:30:18</t>
  </si>
  <si>
    <t>2019-10-21T18:37:19</t>
  </si>
  <si>
    <t>09:35</t>
  </si>
  <si>
    <t>21/10/2019 09:35</t>
  </si>
  <si>
    <t>2019-02-17</t>
  </si>
  <si>
    <t>2019-02-17T07:04:08</t>
  </si>
  <si>
    <t>2019-02-17T18:03:10</t>
  </si>
  <si>
    <t>17/02/2019 14:41</t>
  </si>
  <si>
    <t>2019-06-28</t>
  </si>
  <si>
    <t>2019-06-28T06:06:49</t>
  </si>
  <si>
    <t>2019-06-28T20:38:18</t>
  </si>
  <si>
    <t>17:11</t>
  </si>
  <si>
    <t>28/06/2019 17:11</t>
  </si>
  <si>
    <t>2019-08-13</t>
  </si>
  <si>
    <t>2019-08-13T06:36:54</t>
  </si>
  <si>
    <t>2019-08-13T20:11:12</t>
  </si>
  <si>
    <t>18:53</t>
  </si>
  <si>
    <t>13/08/2019 18:53</t>
  </si>
  <si>
    <t>2019-09-14</t>
  </si>
  <si>
    <t>2019-09-14T07:00:57</t>
  </si>
  <si>
    <t>2019-09-14T19:28:42</t>
  </si>
  <si>
    <t>17:24</t>
  </si>
  <si>
    <t>14/09/2019 17:24</t>
  </si>
  <si>
    <t>2019-10-23</t>
  </si>
  <si>
    <t>2019-10-23T07:32:05</t>
  </si>
  <si>
    <t>2019-10-23T18:34:55</t>
  </si>
  <si>
    <t>23/10/2019 11:25</t>
  </si>
  <si>
    <t>13:46</t>
  </si>
  <si>
    <t>18/03/2019 13:46</t>
  </si>
  <si>
    <t>26/03/2019 11:40</t>
  </si>
  <si>
    <t>2019-05-31</t>
  </si>
  <si>
    <t>2019-05-31T06:06:19</t>
  </si>
  <si>
    <t>2019-05-31T20:28:03</t>
  </si>
  <si>
    <t>31/05/2019 18:00</t>
  </si>
  <si>
    <t>2019-09-20</t>
  </si>
  <si>
    <t>2019-09-20T07:05:24</t>
  </si>
  <si>
    <t>2019-09-20T19:19:58</t>
  </si>
  <si>
    <t>20/09/2019 11:15</t>
  </si>
  <si>
    <t>08:51</t>
  </si>
  <si>
    <t>23/10/2019 08:51</t>
  </si>
  <si>
    <t>2019-12-04</t>
  </si>
  <si>
    <t>2019-12-04T07:12:07</t>
  </si>
  <si>
    <t>2019-12-04T17:06:36</t>
  </si>
  <si>
    <t>Clearing in the afternoon with late afternoon rain.</t>
  </si>
  <si>
    <t>15:36</t>
  </si>
  <si>
    <t>04/12/2019 15:36</t>
  </si>
  <si>
    <t>2019-12-05</t>
  </si>
  <si>
    <t>2019-12-05T07:12:59</t>
  </si>
  <si>
    <t>2019-12-05T17:06:34</t>
  </si>
  <si>
    <t>05/12/2019 17:45</t>
  </si>
  <si>
    <t>2019-06-20</t>
  </si>
  <si>
    <t>2019-06-20T06:04:37</t>
  </si>
  <si>
    <t>2019-06-20T20:37:12</t>
  </si>
  <si>
    <t>04:30</t>
  </si>
  <si>
    <t>20/06/2019 04:30</t>
  </si>
  <si>
    <t>2019-08-10</t>
  </si>
  <si>
    <t>2019-08-10T06:34:36</t>
  </si>
  <si>
    <t>2019-08-10T20:14:30</t>
  </si>
  <si>
    <t>05:40</t>
  </si>
  <si>
    <t>10/08/2019 05:40</t>
  </si>
  <si>
    <t>2019-08-25</t>
  </si>
  <si>
    <t>2019-08-25T06:46:04</t>
  </si>
  <si>
    <t>2019-08-25T19:56:33</t>
  </si>
  <si>
    <t>16:26</t>
  </si>
  <si>
    <t>25/08/2019 16:26</t>
  </si>
  <si>
    <t>2019-02-04</t>
  </si>
  <si>
    <t>2019-02-04T07:16:50</t>
  </si>
  <si>
    <t>2019-02-04T17:50:08</t>
  </si>
  <si>
    <t>04/02/2019 16:34</t>
  </si>
  <si>
    <t>2019-02-18</t>
  </si>
  <si>
    <t>2019-02-18T07:03:01</t>
  </si>
  <si>
    <t>2019-02-18T18:04:08</t>
  </si>
  <si>
    <t>18/02/2019 16:50</t>
  </si>
  <si>
    <t>2019-02-28</t>
  </si>
  <si>
    <t>2019-02-28T06:50:56</t>
  </si>
  <si>
    <t>2019-02-28T18:13:31</t>
  </si>
  <si>
    <t>28/02/2019 14:25</t>
  </si>
  <si>
    <t>2019-03-06</t>
  </si>
  <si>
    <t>2019-03-06T06:43:05</t>
  </si>
  <si>
    <t>2019-03-06T18:18:52</t>
  </si>
  <si>
    <t>20:38</t>
  </si>
  <si>
    <t>06/03/2019 20:38</t>
  </si>
  <si>
    <t>2019-04-05</t>
  </si>
  <si>
    <t>2019-04-05T07:01:07</t>
  </si>
  <si>
    <t>2019-04-05T19:43:48</t>
  </si>
  <si>
    <t>17:54</t>
  </si>
  <si>
    <t>05/04/2019 17:54</t>
  </si>
  <si>
    <t>2019-05-08</t>
  </si>
  <si>
    <t>2019-05-08T06:21:29</t>
  </si>
  <si>
    <t>2019-05-08T20:10:50</t>
  </si>
  <si>
    <t>18:17</t>
  </si>
  <si>
    <t>08/05/2019 18:17</t>
  </si>
  <si>
    <t>2019-05-10</t>
  </si>
  <si>
    <t>2019-05-10T06:19:39</t>
  </si>
  <si>
    <t>2019-05-10T20:12:28</t>
  </si>
  <si>
    <t>21:48</t>
  </si>
  <si>
    <t>10/05/2019 21:48</t>
  </si>
  <si>
    <t>2019-06-08</t>
  </si>
  <si>
    <t>2019-06-08T06:04:20</t>
  </si>
  <si>
    <t>2019-06-08T20:32:39</t>
  </si>
  <si>
    <t>19:49</t>
  </si>
  <si>
    <t>08/06/2019 19:49</t>
  </si>
  <si>
    <t>15/06/2019 18:29</t>
  </si>
  <si>
    <t>2019-07-07</t>
  </si>
  <si>
    <t>2019-07-07T06:10:53</t>
  </si>
  <si>
    <t>2019-07-07T20:37:27</t>
  </si>
  <si>
    <t>07/07/2019 16:30</t>
  </si>
  <si>
    <t>2019-07-10</t>
  </si>
  <si>
    <t>2019-07-10T06:12:33</t>
  </si>
  <si>
    <t>2019-07-10T20:36:39</t>
  </si>
  <si>
    <t>17:29</t>
  </si>
  <si>
    <t>10/07/2019 17:29</t>
  </si>
  <si>
    <t>21:35</t>
  </si>
  <si>
    <t>10/07/2019 21:35</t>
  </si>
  <si>
    <t>2019-09-23</t>
  </si>
  <si>
    <t>2019-09-23T07:07:39</t>
  </si>
  <si>
    <t>2019-09-23T19:15:36</t>
  </si>
  <si>
    <t>23/09/2019 14:05</t>
  </si>
  <si>
    <t>2019-10-03</t>
  </si>
  <si>
    <t>2019-10-03T07:15:20</t>
  </si>
  <si>
    <t>2019-10-03T19:01:13</t>
  </si>
  <si>
    <t>03/10/2019 16:10</t>
  </si>
  <si>
    <t>2019-11-01</t>
  </si>
  <si>
    <t>2019-11-01T06:40:23</t>
  </si>
  <si>
    <t>2019-11-01T17:25:03</t>
  </si>
  <si>
    <t>17:38</t>
  </si>
  <si>
    <t>01/11/2019 17:38</t>
  </si>
  <si>
    <t>2019-12-01</t>
  </si>
  <si>
    <t>2019-12-01T07:09:27</t>
  </si>
  <si>
    <t>2019-12-01T17:06:54</t>
  </si>
  <si>
    <t>01/12/2019 17:43</t>
  </si>
  <si>
    <t>2019-07-11</t>
  </si>
  <si>
    <t>2019-07-11T06:13:08</t>
  </si>
  <si>
    <t>2019-07-11T20:36:20</t>
  </si>
  <si>
    <t>11/07/2019 19:30</t>
  </si>
  <si>
    <t>2019-08-15</t>
  </si>
  <si>
    <t>2019-08-15T06:38:27</t>
  </si>
  <si>
    <t>2019-08-15T20:08:55</t>
  </si>
  <si>
    <t>15/08/2019 13:30</t>
  </si>
  <si>
    <t>2019-11-06</t>
  </si>
  <si>
    <t>2019-11-06T06:45:11</t>
  </si>
  <si>
    <t>2019-11-06T17:20:19</t>
  </si>
  <si>
    <t>10:37</t>
  </si>
  <si>
    <t>06/11/2019 10:37</t>
  </si>
  <si>
    <t>2019-02-11</t>
  </si>
  <si>
    <t>2019-02-11T07:10:27</t>
  </si>
  <si>
    <t>2019-02-11T17:57:15</t>
  </si>
  <si>
    <t>11/02/2019 17:50</t>
  </si>
  <si>
    <t>05:05</t>
  </si>
  <si>
    <t>05/04/2019 05:05</t>
  </si>
  <si>
    <t>2019-05-05</t>
  </si>
  <si>
    <t>2019-05-05T06:24:22</t>
  </si>
  <si>
    <t>2019-05-05T20:08:23</t>
  </si>
  <si>
    <t>05/05/2019 13:35</t>
  </si>
  <si>
    <t>2019-08-06</t>
  </si>
  <si>
    <t>2019-08-06T06:31:32</t>
  </si>
  <si>
    <t>2019-08-06T20:18:38</t>
  </si>
  <si>
    <t>14:52</t>
  </si>
  <si>
    <t>06/08/2019 14:52</t>
  </si>
  <si>
    <t>21:51</t>
  </si>
  <si>
    <t>06/08/2019 21:51</t>
  </si>
  <si>
    <t>2019-09-29</t>
  </si>
  <si>
    <t>2019-09-29T07:12:13</t>
  </si>
  <si>
    <t>2019-09-29T19:06:55</t>
  </si>
  <si>
    <t>29/09/2019 17:02</t>
  </si>
  <si>
    <t>2019-04-20</t>
  </si>
  <si>
    <t>2019-04-20T06:41:17</t>
  </si>
  <si>
    <t>2019-04-20T19:56:01</t>
  </si>
  <si>
    <t>20/04/2019 20:00</t>
  </si>
  <si>
    <t>2019-10-04</t>
  </si>
  <si>
    <t>2019-10-04T07:16:07</t>
  </si>
  <si>
    <t>2019-10-04T18:59:48</t>
  </si>
  <si>
    <t>13:31</t>
  </si>
  <si>
    <t>04/10/2019 13:31</t>
  </si>
  <si>
    <t>2019-11-04</t>
  </si>
  <si>
    <t>2019-11-04T06:43:15</t>
  </si>
  <si>
    <t>2019-11-04T17:22:09</t>
  </si>
  <si>
    <t>13:36</t>
  </si>
  <si>
    <t>04/11/2019 13:36</t>
  </si>
  <si>
    <t>2019-11-10</t>
  </si>
  <si>
    <t>2019-11-10T06:49:06</t>
  </si>
  <si>
    <t>2019-11-10T17:16:58</t>
  </si>
  <si>
    <t>10/11/2019 10:37</t>
  </si>
  <si>
    <t>2019-11-19</t>
  </si>
  <si>
    <t>2019-11-19T06:58:00</t>
  </si>
  <si>
    <t>2019-11-19T17:11:01</t>
  </si>
  <si>
    <t>19/11/2019 10:00</t>
  </si>
  <si>
    <t>10/11/2019 13:18</t>
  </si>
  <si>
    <t>2019-12-02</t>
  </si>
  <si>
    <t>2019-12-02T07:10:21</t>
  </si>
  <si>
    <t>2019-12-02T17:06:46</t>
  </si>
  <si>
    <t>15:42</t>
  </si>
  <si>
    <t>02/12/2019 15:42</t>
  </si>
  <si>
    <t>13:53</t>
  </si>
  <si>
    <t>06/08/2019 13:53</t>
  </si>
  <si>
    <t>2019-04-21</t>
  </si>
  <si>
    <t>2019-04-21T06:40:03</t>
  </si>
  <si>
    <t>2019-04-21T19:56:51</t>
  </si>
  <si>
    <t>08:00</t>
  </si>
  <si>
    <t>21/04/2019 08:00</t>
  </si>
  <si>
    <t>2019-06-18</t>
  </si>
  <si>
    <t>2019-06-18T06:04:19</t>
  </si>
  <si>
    <t>2019-06-18T20:36:40</t>
  </si>
  <si>
    <t>20:41</t>
  </si>
  <si>
    <t>18/06/2019 20:41</t>
  </si>
  <si>
    <t>13/08/2019 19:18</t>
  </si>
  <si>
    <t>21/04/2019 10:10</t>
  </si>
  <si>
    <t>2019-07-23</t>
  </si>
  <si>
    <t>2019-07-23T06:21:04</t>
  </si>
  <si>
    <t>2019-07-23T20:30:19</t>
  </si>
  <si>
    <t>23/07/2019 18:06</t>
  </si>
  <si>
    <t>2019-09-22</t>
  </si>
  <si>
    <t>2019-09-22T07:06:54</t>
  </si>
  <si>
    <t>2019-09-22T19:17:03</t>
  </si>
  <si>
    <t>23:53</t>
  </si>
  <si>
    <t>22/09/2019 23:53</t>
  </si>
  <si>
    <t>2019-12-07</t>
  </si>
  <si>
    <t>2019-12-07T07:14:39</t>
  </si>
  <si>
    <t>2019-12-07T17:06:36</t>
  </si>
  <si>
    <t>07/12/2019 11:40</t>
  </si>
  <si>
    <t>2019-12-22</t>
  </si>
  <si>
    <t>2019-12-22T07:24:45</t>
  </si>
  <si>
    <t>2019-12-22T17:10:51</t>
  </si>
  <si>
    <t>22/12/2019 13:25</t>
  </si>
  <si>
    <t>2019-08-30</t>
  </si>
  <si>
    <t>2019-08-30T06:49:49</t>
  </si>
  <si>
    <t>2019-08-30T19:49:53</t>
  </si>
  <si>
    <t>21:46</t>
  </si>
  <si>
    <t>30/08/2019 21:46</t>
  </si>
  <si>
    <t>2019-03-09</t>
  </si>
  <si>
    <t>2019-03-09T06:39:01</t>
  </si>
  <si>
    <t>2019-03-09T18:21:29</t>
  </si>
  <si>
    <t>09/03/2019 19:49</t>
  </si>
  <si>
    <t>2019-12-19</t>
  </si>
  <si>
    <t>2019-12-19T07:23:09</t>
  </si>
  <si>
    <t>2019-12-19T17:09:27</t>
  </si>
  <si>
    <t>17:22</t>
  </si>
  <si>
    <t>19/12/2019 17:22</t>
  </si>
  <si>
    <t>2020-01-03</t>
  </si>
  <si>
    <t>2020-01-03T07:28:36</t>
  </si>
  <si>
    <t>2020-01-03T17:18:46</t>
  </si>
  <si>
    <t>03/01/2020 16:30</t>
  </si>
  <si>
    <t>2020-01-26</t>
  </si>
  <si>
    <t>2020-01-26T07:23:24</t>
  </si>
  <si>
    <t>2020-01-26T17:40:35</t>
  </si>
  <si>
    <t>13:21</t>
  </si>
  <si>
    <t>26/01/2020 13:21</t>
  </si>
  <si>
    <t>2020-01-29</t>
  </si>
  <si>
    <t>2020-01-29T07:21:31</t>
  </si>
  <si>
    <t>2020-01-29T17:43:41</t>
  </si>
  <si>
    <t>18:19</t>
  </si>
  <si>
    <t>29/01/2020 18:19</t>
  </si>
  <si>
    <t>2020-02-04</t>
  </si>
  <si>
    <t>2020-02-04T07:17:03</t>
  </si>
  <si>
    <t>2020-02-04T17:49:53</t>
  </si>
  <si>
    <t>04/02/2020 00:40</t>
  </si>
  <si>
    <t>2020-03-01</t>
  </si>
  <si>
    <t>2020-03-01T06:48:41</t>
  </si>
  <si>
    <t>2020-03-01T18:15:07</t>
  </si>
  <si>
    <t>01/03/2020 13:30</t>
  </si>
  <si>
    <t>01/03/2020 14:19</t>
  </si>
  <si>
    <t>01/03/2020 18:14</t>
  </si>
  <si>
    <t>2020-03-03</t>
  </si>
  <si>
    <t>2020-03-03T06:46:04</t>
  </si>
  <si>
    <t>2020-03-03T18:16:54</t>
  </si>
  <si>
    <t>03/03/2020 17:00</t>
  </si>
  <si>
    <t>03/03/2020 14:53</t>
  </si>
  <si>
    <t>2020-03-06</t>
  </si>
  <si>
    <t>2020-03-06T06:42:04</t>
  </si>
  <si>
    <t>2020-03-06T18:19:33</t>
  </si>
  <si>
    <t>06/03/2020 11:49</t>
  </si>
  <si>
    <t>2020-03-07</t>
  </si>
  <si>
    <t>2020-03-07T06:40:43</t>
  </si>
  <si>
    <t>2020-03-07T18:20:25</t>
  </si>
  <si>
    <t>12:48</t>
  </si>
  <si>
    <t>07/03/2020 12:48</t>
  </si>
  <si>
    <t>2020-03-08</t>
  </si>
  <si>
    <t>2020-03-08T06:39:22</t>
  </si>
  <si>
    <t>2020-03-08T18:21:17</t>
  </si>
  <si>
    <t>08/03/2020 15:45</t>
  </si>
  <si>
    <t>2020-03-12</t>
  </si>
  <si>
    <t>2020-03-12T06:33:51</t>
  </si>
  <si>
    <t>2020-03-12T18:24:42</t>
  </si>
  <si>
    <t>12/03/2020 15:30</t>
  </si>
  <si>
    <t>2020-03-13</t>
  </si>
  <si>
    <t>2020-03-13T06:32:28</t>
  </si>
  <si>
    <t>2020-03-13T18:25:33</t>
  </si>
  <si>
    <t>13/03/2020 08:29</t>
  </si>
  <si>
    <t>2020-03-17</t>
  </si>
  <si>
    <t>2020-03-17T06:26:51</t>
  </si>
  <si>
    <t>2020-03-17T18:28:55</t>
  </si>
  <si>
    <t>17/03/2020 09:35</t>
  </si>
  <si>
    <t>2020-03-19</t>
  </si>
  <si>
    <t>2020-03-19T06:24:01</t>
  </si>
  <si>
    <t>2020-03-19T18:30:34</t>
  </si>
  <si>
    <t>19/03/2020 11:50</t>
  </si>
  <si>
    <t>2020-03-20</t>
  </si>
  <si>
    <t>2020-03-20T06:22:36</t>
  </si>
  <si>
    <t>2020-03-20T18:31:24</t>
  </si>
  <si>
    <t>20/03/2020 13:14</t>
  </si>
  <si>
    <t>20/03/2020 14:55</t>
  </si>
  <si>
    <t>20/03/2020 15:39</t>
  </si>
  <si>
    <t>2020-03-21</t>
  </si>
  <si>
    <t>2020-03-21T06:21:11</t>
  </si>
  <si>
    <t>2020-03-21T18:32:13</t>
  </si>
  <si>
    <t>21/03/2020 13:10</t>
  </si>
  <si>
    <t>21/03/2020 13:21</t>
  </si>
  <si>
    <t>15:52</t>
  </si>
  <si>
    <t>21/03/2020 15:52</t>
  </si>
  <si>
    <t>2020-03-23</t>
  </si>
  <si>
    <t>2020-03-23T06:18:21</t>
  </si>
  <si>
    <t>2020-03-23T18:33:52</t>
  </si>
  <si>
    <t>23/03/2020 13:44</t>
  </si>
  <si>
    <t>2020-03-24</t>
  </si>
  <si>
    <t>2020-03-24T06:16:56</t>
  </si>
  <si>
    <t>2020-03-24T18:34:41</t>
  </si>
  <si>
    <t>14:51</t>
  </si>
  <si>
    <t>24/03/2020 14:51</t>
  </si>
  <si>
    <t>24/03/2020 19:18</t>
  </si>
  <si>
    <t>24/03/2020 15:40</t>
  </si>
  <si>
    <t>2020-04-06</t>
  </si>
  <si>
    <t>2020-04-06T06:58:42</t>
  </si>
  <si>
    <t>2020-04-06T19:45:14</t>
  </si>
  <si>
    <t>06/04/2020 18:35</t>
  </si>
  <si>
    <t>2020-04-09</t>
  </si>
  <si>
    <t>2020-04-09T06:54:37</t>
  </si>
  <si>
    <t>2020-04-09T19:47:40</t>
  </si>
  <si>
    <t>09/04/2020 11:30</t>
  </si>
  <si>
    <t>2020-04-10</t>
  </si>
  <si>
    <t>2020-04-10T06:53:16</t>
  </si>
  <si>
    <t>2020-04-10T19:48:29</t>
  </si>
  <si>
    <t>10/04/2020 15:20</t>
  </si>
  <si>
    <t>2020-04-11</t>
  </si>
  <si>
    <t>2020-04-11T06:51:56</t>
  </si>
  <si>
    <t>2020-04-11T19:49:18</t>
  </si>
  <si>
    <t>11/04/2020 19:20</t>
  </si>
  <si>
    <t>2020-04-12</t>
  </si>
  <si>
    <t>2020-04-12T06:50:36</t>
  </si>
  <si>
    <t>2020-04-12T19:50:07</t>
  </si>
  <si>
    <t>12/04/2020 15:29</t>
  </si>
  <si>
    <t>2020-04-13</t>
  </si>
  <si>
    <t>2020-04-13T06:49:17</t>
  </si>
  <si>
    <t>2020-04-13T19:50:55</t>
  </si>
  <si>
    <t>12:51</t>
  </si>
  <si>
    <t>13/04/2020 12:51</t>
  </si>
  <si>
    <t>2020-04-14</t>
  </si>
  <si>
    <t>2020-04-14T06:47:58</t>
  </si>
  <si>
    <t>2020-04-14T19:51:44</t>
  </si>
  <si>
    <t>21:09</t>
  </si>
  <si>
    <t>14/04/2020 21:09</t>
  </si>
  <si>
    <t>23:39</t>
  </si>
  <si>
    <t>14/04/2020 23:39</t>
  </si>
  <si>
    <t>2020-04-29</t>
  </si>
  <si>
    <t>2020-04-29T06:29:52</t>
  </si>
  <si>
    <t>2020-04-29T20:04:05</t>
  </si>
  <si>
    <t>17:13</t>
  </si>
  <si>
    <t>29/04/2020 17:13</t>
  </si>
  <si>
    <t>2020-05-01</t>
  </si>
  <si>
    <t>2020-05-01T06:27:42</t>
  </si>
  <si>
    <t>2020-05-01T20:05:44</t>
  </si>
  <si>
    <t>18:41</t>
  </si>
  <si>
    <t>01/05/2020 18:41</t>
  </si>
  <si>
    <t>2020-05-09</t>
  </si>
  <si>
    <t>2020-05-09T06:19:53</t>
  </si>
  <si>
    <t>2020-05-09T20:12:17</t>
  </si>
  <si>
    <t>14:43</t>
  </si>
  <si>
    <t>09/05/2020 14:43</t>
  </si>
  <si>
    <t>2020-05-11</t>
  </si>
  <si>
    <t>2020-05-11T06:18:08</t>
  </si>
  <si>
    <t>2020-05-11T20:13:54</t>
  </si>
  <si>
    <t>16:36</t>
  </si>
  <si>
    <t>11/05/2020 16:36</t>
  </si>
  <si>
    <t>2020-05-20</t>
  </si>
  <si>
    <t>2020-05-20T06:11:26</t>
  </si>
  <si>
    <t>2020-05-20T20:20:55</t>
  </si>
  <si>
    <t>20/05/2020 12:00</t>
  </si>
  <si>
    <t>2020-05-28</t>
  </si>
  <si>
    <t>2020-05-28T06:07:12</t>
  </si>
  <si>
    <t>2020-05-28T20:26:36</t>
  </si>
  <si>
    <t>15:18</t>
  </si>
  <si>
    <t>28/05/2020 15:18</t>
  </si>
  <si>
    <t>2020-05-29</t>
  </si>
  <si>
    <t>2020-05-29T06:06:48</t>
  </si>
  <si>
    <t>2020-05-29T20:27:16</t>
  </si>
  <si>
    <t>29/05/2020 17:30</t>
  </si>
  <si>
    <t>2020-06-06</t>
  </si>
  <si>
    <t>2020-06-06T06:04:32</t>
  </si>
  <si>
    <t>2020-06-06T20:32:01</t>
  </si>
  <si>
    <t>06/06/2020 20:43</t>
  </si>
  <si>
    <t>2020-06-19</t>
  </si>
  <si>
    <t>2020-06-19T06:04:35</t>
  </si>
  <si>
    <t>2020-06-19T20:37:09</t>
  </si>
  <si>
    <t>19/06/2020 09:50</t>
  </si>
  <si>
    <t>2020-06-22</t>
  </si>
  <si>
    <t>2020-06-22T06:05:13</t>
  </si>
  <si>
    <t>2020-06-22T20:37:47</t>
  </si>
  <si>
    <t>07:24</t>
  </si>
  <si>
    <t>22/06/2020 07:24</t>
  </si>
  <si>
    <t>2020-06-25</t>
  </si>
  <si>
    <t>2020-06-25T06:06:04</t>
  </si>
  <si>
    <t>2020-06-25T20:38:10</t>
  </si>
  <si>
    <t>25/06/2020 18:10</t>
  </si>
  <si>
    <t>2020-07-02</t>
  </si>
  <si>
    <t>2020-07-02T06:08:47</t>
  </si>
  <si>
    <t>2020-07-02T20:38:09</t>
  </si>
  <si>
    <t>02/07/2020 15:08</t>
  </si>
  <si>
    <t>2020-07-03</t>
  </si>
  <si>
    <t>2020-07-03T06:09:15</t>
  </si>
  <si>
    <t>2020-07-03T20:38:02</t>
  </si>
  <si>
    <t>03/07/2020 10:00</t>
  </si>
  <si>
    <t>2020-07-16</t>
  </si>
  <si>
    <t>2020-07-16T06:16:46</t>
  </si>
  <si>
    <t>2020-07-16T20:33:57</t>
  </si>
  <si>
    <t>16/07/2020 12:55</t>
  </si>
  <si>
    <t>2020-07-20</t>
  </si>
  <si>
    <t>2020-07-20T06:19:29</t>
  </si>
  <si>
    <t>2020-07-20T20:31:45</t>
  </si>
  <si>
    <t>20/07/2020 12:24</t>
  </si>
  <si>
    <t>2020-07-21</t>
  </si>
  <si>
    <t>2020-07-21T06:20:11</t>
  </si>
  <si>
    <t>2020-07-21T20:31:08</t>
  </si>
  <si>
    <t>21/07/2020 16:00</t>
  </si>
  <si>
    <t>2020-07-22</t>
  </si>
  <si>
    <t>2020-07-22T06:20:54</t>
  </si>
  <si>
    <t>2020-07-22T20:30:29</t>
  </si>
  <si>
    <t>13:07</t>
  </si>
  <si>
    <t>22/07/2020 13:07</t>
  </si>
  <si>
    <t>2020-07-27</t>
  </si>
  <si>
    <t>2020-07-27T06:24:32</t>
  </si>
  <si>
    <t>2020-07-27T20:26:53</t>
  </si>
  <si>
    <t>27/07/2020 16:12</t>
  </si>
  <si>
    <t>27/07/2020 14:44</t>
  </si>
  <si>
    <t>2020-07-31</t>
  </si>
  <si>
    <t>2020-07-31T06:27:32</t>
  </si>
  <si>
    <t>2020-07-31T20:23:33</t>
  </si>
  <si>
    <t>23:46</t>
  </si>
  <si>
    <t>31/07/2020 23:46</t>
  </si>
  <si>
    <t>2020-08-06</t>
  </si>
  <si>
    <t>2020-08-06T06:32:07</t>
  </si>
  <si>
    <t>2020-08-06T20:17:53</t>
  </si>
  <si>
    <t>20:12</t>
  </si>
  <si>
    <t>06/08/2020 20:12</t>
  </si>
  <si>
    <t>2020-08-08</t>
  </si>
  <si>
    <t>2020-08-08T06:33:39</t>
  </si>
  <si>
    <t>2020-08-08T20:15:50</t>
  </si>
  <si>
    <t>08/08/2020 16:10</t>
  </si>
  <si>
    <t>2020-08-15</t>
  </si>
  <si>
    <t>2020-08-15T06:39:02</t>
  </si>
  <si>
    <t>2020-08-15T20:08:03</t>
  </si>
  <si>
    <t>15/08/2020 13:00</t>
  </si>
  <si>
    <t>2020-08-22</t>
  </si>
  <si>
    <t>2020-08-22T06:44:22</t>
  </si>
  <si>
    <t>2020-08-22T19:59:27</t>
  </si>
  <si>
    <t>22/08/2020 12:10</t>
  </si>
  <si>
    <t>22/08/2020 16:50</t>
  </si>
  <si>
    <t>2020-08-25</t>
  </si>
  <si>
    <t>2020-08-25T06:46:38</t>
  </si>
  <si>
    <t>2020-08-25T19:55:34</t>
  </si>
  <si>
    <t>25/08/2020 19:55</t>
  </si>
  <si>
    <t>2020-08-27</t>
  </si>
  <si>
    <t>2020-08-27T06:48:09</t>
  </si>
  <si>
    <t>2020-08-27T19:52:55</t>
  </si>
  <si>
    <t>27/08/2020 13:50</t>
  </si>
  <si>
    <t>2020-08-31</t>
  </si>
  <si>
    <t>2020-08-31T06:51:08</t>
  </si>
  <si>
    <t>2020-08-31T19:47:30</t>
  </si>
  <si>
    <t>17:04</t>
  </si>
  <si>
    <t>31/08/2020 17:04</t>
  </si>
  <si>
    <t>2020-09-01</t>
  </si>
  <si>
    <t>2020-09-01T06:51:53</t>
  </si>
  <si>
    <t>2020-09-01T19:46:07</t>
  </si>
  <si>
    <t>01/09/2020 14:05</t>
  </si>
  <si>
    <t>2020-09-03</t>
  </si>
  <si>
    <t>2020-09-03T06:53:22</t>
  </si>
  <si>
    <t>2020-09-03T19:43:20</t>
  </si>
  <si>
    <t>08:56</t>
  </si>
  <si>
    <t>03/09/2020 08:56</t>
  </si>
  <si>
    <t>2020-09-04</t>
  </si>
  <si>
    <t>2020-09-04T06:54:07</t>
  </si>
  <si>
    <t>2020-09-04T19:41:56</t>
  </si>
  <si>
    <t>13:32</t>
  </si>
  <si>
    <t>04/09/2020 13:32</t>
  </si>
  <si>
    <t>2020-09-09</t>
  </si>
  <si>
    <t>2020-09-09T06:57:49</t>
  </si>
  <si>
    <t>2020-09-09T19:34:50</t>
  </si>
  <si>
    <t>09/09/2020 23:00</t>
  </si>
  <si>
    <t>2020-09-10</t>
  </si>
  <si>
    <t>2020-09-10T06:58:33</t>
  </si>
  <si>
    <t>2020-09-10T19:33:24</t>
  </si>
  <si>
    <t>14:42</t>
  </si>
  <si>
    <t>10/09/2020 14:42</t>
  </si>
  <si>
    <t>2020-09-11</t>
  </si>
  <si>
    <t>2020-09-11T06:59:18</t>
  </si>
  <si>
    <t>2020-09-11T19:31:57</t>
  </si>
  <si>
    <t>11/09/2020 15:30</t>
  </si>
  <si>
    <t>2020-09-13</t>
  </si>
  <si>
    <t>2020-09-13T07:00:47</t>
  </si>
  <si>
    <t>2020-09-13T19:29:03</t>
  </si>
  <si>
    <t>13/09/2020 17:54</t>
  </si>
  <si>
    <t>2020-09-14</t>
  </si>
  <si>
    <t>2020-09-14T07:01:31</t>
  </si>
  <si>
    <t>2020-09-14T19:27:36</t>
  </si>
  <si>
    <t>14/09/2020 07:50</t>
  </si>
  <si>
    <t>2020-09-17</t>
  </si>
  <si>
    <t>2020-09-17T07:03:45</t>
  </si>
  <si>
    <t>2020-09-17T19:23:15</t>
  </si>
  <si>
    <t>01:04</t>
  </si>
  <si>
    <t>17/09/2020 01:04</t>
  </si>
  <si>
    <t>02:31</t>
  </si>
  <si>
    <t>17/09/2020 02:31</t>
  </si>
  <si>
    <t>16:11</t>
  </si>
  <si>
    <t>17/09/2020 16:11</t>
  </si>
  <si>
    <t>2020-09-18</t>
  </si>
  <si>
    <t>2020-09-18T07:04:29</t>
  </si>
  <si>
    <t>2020-09-18T19:21:47</t>
  </si>
  <si>
    <t>18/09/2020 20:20</t>
  </si>
  <si>
    <t>2020-09-26</t>
  </si>
  <si>
    <t>2020-09-26T07:10:31</t>
  </si>
  <si>
    <t>2020-09-26T19:10:09</t>
  </si>
  <si>
    <t>26/09/2020 14:10</t>
  </si>
  <si>
    <t>26/09/2020 14:53</t>
  </si>
  <si>
    <t>14:29</t>
  </si>
  <si>
    <t>26/09/2020 14:29</t>
  </si>
  <si>
    <t>26/09/2020 14:55</t>
  </si>
  <si>
    <t>2020-09-29</t>
  </si>
  <si>
    <t>2020-09-29T07:12:49</t>
  </si>
  <si>
    <t>2020-09-29T19:05:50</t>
  </si>
  <si>
    <t>29/09/2020 18:14</t>
  </si>
  <si>
    <t>2020-10-08</t>
  </si>
  <si>
    <t>2020-10-08T07:19:56</t>
  </si>
  <si>
    <t>2020-10-08T18:53:12</t>
  </si>
  <si>
    <t>08/10/2020 14:40</t>
  </si>
  <si>
    <t>2020-10-12</t>
  </si>
  <si>
    <t>2020-10-12T07:23:14</t>
  </si>
  <si>
    <t>2020-10-12T18:47:48</t>
  </si>
  <si>
    <t>12/10/2020 19:05</t>
  </si>
  <si>
    <t>2020-10-24</t>
  </si>
  <si>
    <t>2020-10-24T07:33:40</t>
  </si>
  <si>
    <t>2020-10-24T18:32:53</t>
  </si>
  <si>
    <t>17:23</t>
  </si>
  <si>
    <t>24/10/2020 17:23</t>
  </si>
  <si>
    <t>2020-10-27</t>
  </si>
  <si>
    <t>2020-10-27T06:36:25</t>
  </si>
  <si>
    <t>2020-10-27T17:29:31</t>
  </si>
  <si>
    <t>27/10/2020 12:10</t>
  </si>
  <si>
    <t>2020-10-28</t>
  </si>
  <si>
    <t>2020-10-28T06:37:21</t>
  </si>
  <si>
    <t>2020-10-28T17:28:26</t>
  </si>
  <si>
    <t>01:30</t>
  </si>
  <si>
    <t>28/10/2020 01:30</t>
  </si>
  <si>
    <t>2020-11-06</t>
  </si>
  <si>
    <t>2020-11-06T06:45:56</t>
  </si>
  <si>
    <t>2020-11-06T17:19:40</t>
  </si>
  <si>
    <t>06/11/2020 11:12</t>
  </si>
  <si>
    <t>2020-11-11</t>
  </si>
  <si>
    <t>2020-11-11T06:50:51</t>
  </si>
  <si>
    <t>2020-11-11T17:15:38</t>
  </si>
  <si>
    <t>11/11/2020 12:15</t>
  </si>
  <si>
    <t>2020-11-13</t>
  </si>
  <si>
    <t>2020-11-13T06:52:50</t>
  </si>
  <si>
    <t>2020-11-13T17:14:13</t>
  </si>
  <si>
    <t>13/11/2020 12:49</t>
  </si>
  <si>
    <t>2020-11-14</t>
  </si>
  <si>
    <t>2020-11-14T06:53:49</t>
  </si>
  <si>
    <t>2020-11-14T17:13:33</t>
  </si>
  <si>
    <t>16:16</t>
  </si>
  <si>
    <t>14/11/2020 16:16</t>
  </si>
  <si>
    <t>2020-11-19</t>
  </si>
  <si>
    <t>2020-11-19T06:58:45</t>
  </si>
  <si>
    <t>2020-11-19T17:10:38</t>
  </si>
  <si>
    <t>19/11/2020 15:04</t>
  </si>
  <si>
    <t>2020-11-21</t>
  </si>
  <si>
    <t>2020-11-21T07:00:43</t>
  </si>
  <si>
    <t>2020-11-21T17:09:41</t>
  </si>
  <si>
    <t>21/11/2020 14:15</t>
  </si>
  <si>
    <t>2020-11-22</t>
  </si>
  <si>
    <t>2020-11-22T07:01:42</t>
  </si>
  <si>
    <t>2020-11-22T17:09:15</t>
  </si>
  <si>
    <t>22/11/2020 19:43</t>
  </si>
  <si>
    <t>2020-11-27</t>
  </si>
  <si>
    <t>2020-11-27T07:06:29</t>
  </si>
  <si>
    <t>2020-11-27T17:07:34</t>
  </si>
  <si>
    <t>14:33</t>
  </si>
  <si>
    <t>27/11/2020 14:33</t>
  </si>
  <si>
    <t>2020-11-28</t>
  </si>
  <si>
    <t>2020-11-28T07:07:25</t>
  </si>
  <si>
    <t>2020-11-28T17:07:20</t>
  </si>
  <si>
    <t>28/11/2020 10:42</t>
  </si>
  <si>
    <t>2020-12-27</t>
  </si>
  <si>
    <t>2020-12-27T07:27:08</t>
  </si>
  <si>
    <t>2020-12-27T17:14:14</t>
  </si>
  <si>
    <t>27/12/2020 12:20</t>
  </si>
  <si>
    <t>2021-06-25</t>
  </si>
  <si>
    <t>2021-06-25T06:06:00</t>
  </si>
  <si>
    <t>2021-06-25T20:38:10</t>
  </si>
  <si>
    <t>17:09</t>
  </si>
  <si>
    <t>25/06/2021 17:09</t>
  </si>
  <si>
    <t>2021-06-26</t>
  </si>
  <si>
    <t>2021-06-26T06:06:19</t>
  </si>
  <si>
    <t>2021-06-26T20:38:15</t>
  </si>
  <si>
    <t>06:39</t>
  </si>
  <si>
    <t>26/06/2021 06:39</t>
  </si>
  <si>
    <t>2021-02-22</t>
  </si>
  <si>
    <t>2021-02-22T06:57:46</t>
  </si>
  <si>
    <t>2021-02-22T18:08:27</t>
  </si>
  <si>
    <t>22/02/2021 13:50</t>
  </si>
  <si>
    <t>2021-03-06</t>
  </si>
  <si>
    <t>2021-03-06T06:42:24</t>
  </si>
  <si>
    <t>2021-03-06T18:19:20</t>
  </si>
  <si>
    <t>06/03/2021 17:00</t>
  </si>
  <si>
    <t>2021-04-12</t>
  </si>
  <si>
    <t>2021-04-12T06:50:56</t>
  </si>
  <si>
    <t>2021-04-12T19:49:55</t>
  </si>
  <si>
    <t>12/04/2021 16:50</t>
  </si>
  <si>
    <t>2021-05-24</t>
  </si>
  <si>
    <t>2021-05-24T06:09:14</t>
  </si>
  <si>
    <t>2021-05-24T20:23:41</t>
  </si>
  <si>
    <t>24/05/2021 14:34</t>
  </si>
  <si>
    <t>2021-05-26</t>
  </si>
  <si>
    <t>2021-05-26T06:08:13</t>
  </si>
  <si>
    <t>2021-05-26T20:25:05</t>
  </si>
  <si>
    <t>14:07</t>
  </si>
  <si>
    <t>26/05/2021 14:07</t>
  </si>
  <si>
    <t>2021-07-18</t>
  </si>
  <si>
    <t>2021-07-18T06:17:57</t>
  </si>
  <si>
    <t>2021-07-18T20:33:03</t>
  </si>
  <si>
    <t>18/07/2021 11:40</t>
  </si>
  <si>
    <t>2021-08-03</t>
  </si>
  <si>
    <t>2021-08-03T06:29:39</t>
  </si>
  <si>
    <t>2021-08-03T20:21:04</t>
  </si>
  <si>
    <t>03/08/2021 13:10</t>
  </si>
  <si>
    <t>2021-11-12</t>
  </si>
  <si>
    <t>2021-11-12T06:51:36</t>
  </si>
  <si>
    <t>2021-11-12T17:15:06</t>
  </si>
  <si>
    <t>12/11/2021 13:35</t>
  </si>
  <si>
    <t>2021-04-07</t>
  </si>
  <si>
    <t>2021-04-07T06:57:40</t>
  </si>
  <si>
    <t>2021-04-07T19:45:51</t>
  </si>
  <si>
    <t>07/04/2021 13:35</t>
  </si>
  <si>
    <t>2021-03-20</t>
  </si>
  <si>
    <t>2021-03-20T06:22:58</t>
  </si>
  <si>
    <t>2021-03-20T18:31:12</t>
  </si>
  <si>
    <t>Clearing in the afternoon with early morning rain.</t>
  </si>
  <si>
    <t>20/03/2021 15:50</t>
  </si>
  <si>
    <t>2021-04-19</t>
  </si>
  <si>
    <t>2021-04-19T06:41:54</t>
  </si>
  <si>
    <t>2021-04-19T19:55:39</t>
  </si>
  <si>
    <t>10:39</t>
  </si>
  <si>
    <t>19/04/2021 10:39</t>
  </si>
  <si>
    <t>2021-05-02</t>
  </si>
  <si>
    <t>2021-05-02T06:26:55</t>
  </si>
  <si>
    <t>2021-05-02T20:06:22</t>
  </si>
  <si>
    <t>02/05/2021 19:15</t>
  </si>
  <si>
    <t>2021-05-04</t>
  </si>
  <si>
    <t>2021-05-04T06:24:52</t>
  </si>
  <si>
    <t>2021-05-04T20:08:01</t>
  </si>
  <si>
    <t>04/05/2021 20:14</t>
  </si>
  <si>
    <t>2021-09-07</t>
  </si>
  <si>
    <t>2021-09-07T06:56:10</t>
  </si>
  <si>
    <t>2021-09-07T19:38:03</t>
  </si>
  <si>
    <t>11:39</t>
  </si>
  <si>
    <t>07/09/2021 11:39</t>
  </si>
  <si>
    <t>2021-11-11</t>
  </si>
  <si>
    <t>2021-11-11T06:50:37</t>
  </si>
  <si>
    <t>2021-11-11T17:15:49</t>
  </si>
  <si>
    <t>21:07</t>
  </si>
  <si>
    <t>11/11/2021 21:07</t>
  </si>
  <si>
    <t>2021-12-19</t>
  </si>
  <si>
    <t>2021-12-19T07:23:27</t>
  </si>
  <si>
    <t>2021-12-19T17:09:41</t>
  </si>
  <si>
    <t>19/12/2021 10:37</t>
  </si>
  <si>
    <t>2021-03-03</t>
  </si>
  <si>
    <t>2021-03-03T06:46:24</t>
  </si>
  <si>
    <t>2021-03-03T18:16:41</t>
  </si>
  <si>
    <t>03/03/2021 12:55</t>
  </si>
  <si>
    <t>2021-03-30</t>
  </si>
  <si>
    <t>2021-03-30T07:08:48</t>
  </si>
  <si>
    <t>2021-03-30T19:39:22</t>
  </si>
  <si>
    <t>30/03/2021 18:00</t>
  </si>
  <si>
    <t>2021-04-04</t>
  </si>
  <si>
    <t>2021-04-04T07:01:48</t>
  </si>
  <si>
    <t>2021-04-04T19:43:26</t>
  </si>
  <si>
    <t>04/04/2021 12:24</t>
  </si>
  <si>
    <t>12/04/2021 19:15</t>
  </si>
  <si>
    <t>2021-07-01</t>
  </si>
  <si>
    <t>2021-07-01T06:08:14</t>
  </si>
  <si>
    <t>2021-07-01T20:38:16</t>
  </si>
  <si>
    <t>01/07/2021 13:30</t>
  </si>
  <si>
    <t>2021-07-30</t>
  </si>
  <si>
    <t>2021-07-30T06:26:37</t>
  </si>
  <si>
    <t>2021-07-30T20:24:38</t>
  </si>
  <si>
    <t>30/07/2021 10:28</t>
  </si>
  <si>
    <t>2021-01-08</t>
  </si>
  <si>
    <t>2021-01-08T07:28:53</t>
  </si>
  <si>
    <t>2021-01-08T17:23:39</t>
  </si>
  <si>
    <t>08/01/2021 14:10</t>
  </si>
  <si>
    <t>2021-03-13</t>
  </si>
  <si>
    <t>2021-03-13T06:32:48</t>
  </si>
  <si>
    <t>2021-03-13T18:25:22</t>
  </si>
  <si>
    <t>13/03/2021 14:49</t>
  </si>
  <si>
    <t>2021-04-09</t>
  </si>
  <si>
    <t>2021-04-09T06:54:57</t>
  </si>
  <si>
    <t>2021-04-09T19:47:29</t>
  </si>
  <si>
    <t>10:09</t>
  </si>
  <si>
    <t>09/04/2021 10:09</t>
  </si>
  <si>
    <t>2021-04-28</t>
  </si>
  <si>
    <t>2021-04-28T06:31:14</t>
  </si>
  <si>
    <t>2021-04-28T20:03:04</t>
  </si>
  <si>
    <t>28/04/2021 18:25</t>
  </si>
  <si>
    <t>2021-05-22</t>
  </si>
  <si>
    <t>2021-05-22T06:10:22</t>
  </si>
  <si>
    <t>2021-05-22T20:22:14</t>
  </si>
  <si>
    <t>22/05/2021 17:04</t>
  </si>
  <si>
    <t>08:28</t>
  </si>
  <si>
    <t>30/07/2021 08:28</t>
  </si>
  <si>
    <t>2021-08-05</t>
  </si>
  <si>
    <t>2021-08-05T06:31:11</t>
  </si>
  <si>
    <t>2021-08-05T20:19:08</t>
  </si>
  <si>
    <t>18:59</t>
  </si>
  <si>
    <t>05/08/2021 18:59</t>
  </si>
  <si>
    <t>2021-08-06</t>
  </si>
  <si>
    <t>2021-08-06T06:31:57</t>
  </si>
  <si>
    <t>2021-08-06T20:18:09</t>
  </si>
  <si>
    <t>21:28</t>
  </si>
  <si>
    <t>06/08/2021 21:28</t>
  </si>
  <si>
    <t>2021-08-13</t>
  </si>
  <si>
    <t>2021-08-13T06:37:19</t>
  </si>
  <si>
    <t>2021-08-13T20:10:39</t>
  </si>
  <si>
    <t>13/08/2021 16:18</t>
  </si>
  <si>
    <t>2021-08-18</t>
  </si>
  <si>
    <t>2021-08-18T06:41:09</t>
  </si>
  <si>
    <t>2021-08-18T20:04:45</t>
  </si>
  <si>
    <t>18/08/2021 19:09</t>
  </si>
  <si>
    <t>2021-09-05</t>
  </si>
  <si>
    <t>2021-09-05T06:54:41</t>
  </si>
  <si>
    <t>2021-09-05T19:40:53</t>
  </si>
  <si>
    <t>05/09/2021 17:02</t>
  </si>
  <si>
    <t>2021-09-22</t>
  </si>
  <si>
    <t>2021-09-22T07:07:19</t>
  </si>
  <si>
    <t>2021-09-22T19:16:19</t>
  </si>
  <si>
    <t>22/09/2021 14:40</t>
  </si>
  <si>
    <t>2021-10-07</t>
  </si>
  <si>
    <t>2021-10-07T07:18:57</t>
  </si>
  <si>
    <t>2021-10-07T18:54:55</t>
  </si>
  <si>
    <t>07/10/2021 20:14</t>
  </si>
  <si>
    <t>2021-10-13</t>
  </si>
  <si>
    <t>2021-10-13T07:23:53</t>
  </si>
  <si>
    <t>2021-10-13T18:46:49</t>
  </si>
  <si>
    <t>18:15</t>
  </si>
  <si>
    <t>13/10/2021 18:15</t>
  </si>
  <si>
    <t>2021-10-31</t>
  </si>
  <si>
    <t>2021-10-31T06:39:57</t>
  </si>
  <si>
    <t>2021-10-31T17:25:34</t>
  </si>
  <si>
    <t>02:05</t>
  </si>
  <si>
    <t>31/10/2021 02:05</t>
  </si>
  <si>
    <t>2021-11-09</t>
  </si>
  <si>
    <t>2021-11-09T06:48:39</t>
  </si>
  <si>
    <t>2021-11-09T17:17:22</t>
  </si>
  <si>
    <t>20:36</t>
  </si>
  <si>
    <t>09/11/2021 20:36</t>
  </si>
  <si>
    <t>2021-11-10</t>
  </si>
  <si>
    <t>2021-11-10T06:49:38</t>
  </si>
  <si>
    <t>2021-11-10T17:16:35</t>
  </si>
  <si>
    <t>10/11/2021 10:39</t>
  </si>
  <si>
    <t>01:45</t>
  </si>
  <si>
    <t>11/11/2021 01:45</t>
  </si>
  <si>
    <t>2021-11-14</t>
  </si>
  <si>
    <t>2021-11-14T06:53:35</t>
  </si>
  <si>
    <t>2021-11-14T17:13:43</t>
  </si>
  <si>
    <t>18:32</t>
  </si>
  <si>
    <t>14/11/2021 18:32</t>
  </si>
  <si>
    <t>2021-12-01</t>
  </si>
  <si>
    <t>2021-12-01T07:09:56</t>
  </si>
  <si>
    <t>2021-12-01T17:06:51</t>
  </si>
  <si>
    <t>22:29</t>
  </si>
  <si>
    <t>01/12/2021 22:29</t>
  </si>
  <si>
    <t>2021-12-05</t>
  </si>
  <si>
    <t>2021-12-05T07:13:26</t>
  </si>
  <si>
    <t>2021-12-05T17:06:34</t>
  </si>
  <si>
    <t>Clearing in the afternoon with rain clearing later.</t>
  </si>
  <si>
    <t>05/12/2021 13:50</t>
  </si>
  <si>
    <t>2021-12-24</t>
  </si>
  <si>
    <t>2021-12-24T07:25:55</t>
  </si>
  <si>
    <t>2021-12-24T17:12:14</t>
  </si>
  <si>
    <t>24/12/2021 20:36</t>
  </si>
  <si>
    <t>2021-12-27</t>
  </si>
  <si>
    <t>2021-12-27T07:27:04</t>
  </si>
  <si>
    <t>2021-12-27T17:14:04</t>
  </si>
  <si>
    <t>27/12/2021 18:32</t>
  </si>
  <si>
    <t>03/08/2021 14:58</t>
  </si>
  <si>
    <t>2021-11-13</t>
  </si>
  <si>
    <t>2021-11-13T06:52:36</t>
  </si>
  <si>
    <t>2021-11-13T17:14:23</t>
  </si>
  <si>
    <t>13/11/2021 07:25</t>
  </si>
  <si>
    <t>2021-06-22</t>
  </si>
  <si>
    <t>2021-06-22T06:05:10</t>
  </si>
  <si>
    <t>2021-06-22T20:37:45</t>
  </si>
  <si>
    <t>22/06/2021 13:34</t>
  </si>
  <si>
    <t>2021-10-15</t>
  </si>
  <si>
    <t>2021-10-15T07:25:34</t>
  </si>
  <si>
    <t>2021-10-15T18:44:12</t>
  </si>
  <si>
    <t>12:01</t>
  </si>
  <si>
    <t>15/10/2021 12:01</t>
  </si>
  <si>
    <t>2021-11-22</t>
  </si>
  <si>
    <t>2021-11-22T07:01:28</t>
  </si>
  <si>
    <t>2021-11-22T17:09:21</t>
  </si>
  <si>
    <t>22/11/2021 12:50</t>
  </si>
  <si>
    <t>2021-11-23</t>
  </si>
  <si>
    <t>2021-11-23T07:02:26</t>
  </si>
  <si>
    <t>2021-11-23T17:08:57</t>
  </si>
  <si>
    <t>23/11/2021 13:30</t>
  </si>
  <si>
    <t>23/11/2021 14:43</t>
  </si>
  <si>
    <t>2021-02-14</t>
  </si>
  <si>
    <t>2021-02-14T07:06:51</t>
  </si>
  <si>
    <t>2021-02-14T18:00:45</t>
  </si>
  <si>
    <t>14/02/2021 14:40</t>
  </si>
  <si>
    <t>2021-07-09</t>
  </si>
  <si>
    <t>2021-07-09T06:12:18</t>
  </si>
  <si>
    <t>2021-07-09T20:36:49</t>
  </si>
  <si>
    <t>08:25</t>
  </si>
  <si>
    <t>09/07/2021 08:25</t>
  </si>
  <si>
    <t>19:54</t>
  </si>
  <si>
    <t>06/08/2021 19:54</t>
  </si>
  <si>
    <t>2021-01-14</t>
  </si>
  <si>
    <t>2021-01-14T07:28:02</t>
  </si>
  <si>
    <t>2021-01-14T17:29:15</t>
  </si>
  <si>
    <t>14/01/2021 15:42</t>
  </si>
  <si>
    <t>2021-02-28</t>
  </si>
  <si>
    <t>2021-02-28T06:50:18</t>
  </si>
  <si>
    <t>2021-02-28T18:14:00</t>
  </si>
  <si>
    <t>28/02/2021 08:45</t>
  </si>
  <si>
    <t>2021-06-05</t>
  </si>
  <si>
    <t>2021-06-05T06:04:47</t>
  </si>
  <si>
    <t>2021-06-05T20:31:22</t>
  </si>
  <si>
    <t>05/06/2021 22:30</t>
  </si>
  <si>
    <t>2021-01-02</t>
  </si>
  <si>
    <t>2021-01-02T07:28:35</t>
  </si>
  <si>
    <t>2021-01-02T17:18:35</t>
  </si>
  <si>
    <t>02/01/2021 14:34</t>
  </si>
  <si>
    <t>2021-02-11</t>
  </si>
  <si>
    <t>2021-02-11T07:09:57</t>
  </si>
  <si>
    <t>2021-02-11T17:57:47</t>
  </si>
  <si>
    <t>11/02/2021 12:30</t>
  </si>
  <si>
    <t>2021-04-05</t>
  </si>
  <si>
    <t>2021-04-05T07:00:25</t>
  </si>
  <si>
    <t>2021-04-05T19:44:14</t>
  </si>
  <si>
    <t>14:13</t>
  </si>
  <si>
    <t>05/04/2021 14:13</t>
  </si>
  <si>
    <t>2021-04-11</t>
  </si>
  <si>
    <t>2021-04-11T06:52:16</t>
  </si>
  <si>
    <t>2021-04-11T19:49:06</t>
  </si>
  <si>
    <t>10:24</t>
  </si>
  <si>
    <t>11/04/2021 10:24</t>
  </si>
  <si>
    <t>2021-04-24</t>
  </si>
  <si>
    <t>2021-04-24T06:35:50</t>
  </si>
  <si>
    <t>2021-04-24T19:59:46</t>
  </si>
  <si>
    <t>24/04/2021 11:40</t>
  </si>
  <si>
    <t>2021-05-31</t>
  </si>
  <si>
    <t>2021-05-31T06:06:09</t>
  </si>
  <si>
    <t>2021-05-31T20:28:24</t>
  </si>
  <si>
    <t>14:31</t>
  </si>
  <si>
    <t>31/05/2021 14:31</t>
  </si>
  <si>
    <t>2021-06-04</t>
  </si>
  <si>
    <t>2021-06-04T06:05:00</t>
  </si>
  <si>
    <t>2021-06-04T20:30:48</t>
  </si>
  <si>
    <t>04/06/2021 14:25</t>
  </si>
  <si>
    <t>2021-06-20</t>
  </si>
  <si>
    <t>2021-06-20T06:04:44</t>
  </si>
  <si>
    <t>2021-06-20T20:37:21</t>
  </si>
  <si>
    <t>20/06/2021 15:30</t>
  </si>
  <si>
    <t>2021-06-29</t>
  </si>
  <si>
    <t>2021-06-29T06:07:25</t>
  </si>
  <si>
    <t>2021-06-29T20:38:20</t>
  </si>
  <si>
    <t>29/06/2021 20:12</t>
  </si>
  <si>
    <t>2021-07-23</t>
  </si>
  <si>
    <t>2021-07-23T06:21:27</t>
  </si>
  <si>
    <t>2021-07-23T20:29:59</t>
  </si>
  <si>
    <t>23/07/2021 13:35</t>
  </si>
  <si>
    <t>2021-07-24</t>
  </si>
  <si>
    <t>2021-07-24T06:22:10</t>
  </si>
  <si>
    <t>2021-07-24T20:29:18</t>
  </si>
  <si>
    <t>00:58</t>
  </si>
  <si>
    <t>24/07/2021 00:58</t>
  </si>
  <si>
    <t>2021-07-29</t>
  </si>
  <si>
    <t>2021-07-29T06:25:52</t>
  </si>
  <si>
    <t>2021-07-29T20:25:29</t>
  </si>
  <si>
    <t>19:21</t>
  </si>
  <si>
    <t>29/07/2021 19:21</t>
  </si>
  <si>
    <t>2021-08-01</t>
  </si>
  <si>
    <t>2021-08-01T06:28:07</t>
  </si>
  <si>
    <t>2021-08-01T20:22:54</t>
  </si>
  <si>
    <t>01/08/2021 11:05</t>
  </si>
  <si>
    <t>03/08/2021 15:58</t>
  </si>
  <si>
    <t>06/08/2021 16:35</t>
  </si>
  <si>
    <t>2021-08-08</t>
  </si>
  <si>
    <t>2021-08-08T06:33:29</t>
  </si>
  <si>
    <t>2021-08-08T20:16:06</t>
  </si>
  <si>
    <t>11:57</t>
  </si>
  <si>
    <t>08/08/2021 11:57</t>
  </si>
  <si>
    <t>2021-08-21</t>
  </si>
  <si>
    <t>2021-08-21T06:43:26</t>
  </si>
  <si>
    <t>2021-08-21T20:01:03</t>
  </si>
  <si>
    <t>21/08/2021 00:23</t>
  </si>
  <si>
    <t>2021-10-22</t>
  </si>
  <si>
    <t>2021-10-22T07:31:40</t>
  </si>
  <si>
    <t>2021-10-22T18:35:30</t>
  </si>
  <si>
    <t>11:26</t>
  </si>
  <si>
    <t>22/10/2021 11:26</t>
  </si>
  <si>
    <t>2021-10-25</t>
  </si>
  <si>
    <t>2021-10-25T07:34:22</t>
  </si>
  <si>
    <t>2021-10-25T18:32:01</t>
  </si>
  <si>
    <t>19:04</t>
  </si>
  <si>
    <t>25/10/2021 19:04</t>
  </si>
  <si>
    <t>2021-11-25</t>
  </si>
  <si>
    <t>2021-11-25T07:04:22</t>
  </si>
  <si>
    <t>2021-11-25T17:08:14</t>
  </si>
  <si>
    <t>25/11/2021 18:15</t>
  </si>
  <si>
    <t>2021-12-06</t>
  </si>
  <si>
    <t>2021-12-06T07:14:17</t>
  </si>
  <si>
    <t>2021-12-06T17:06:35</t>
  </si>
  <si>
    <t>23:49</t>
  </si>
  <si>
    <t>06/12/2021 23:49</t>
  </si>
  <si>
    <t>2021-12-28</t>
  </si>
  <si>
    <t>2021-12-28T07:27:23</t>
  </si>
  <si>
    <t>2021-12-28T17:14:44</t>
  </si>
  <si>
    <t>28/12/2021 18:00</t>
  </si>
  <si>
    <t>2021-10-24</t>
  </si>
  <si>
    <t>2021-10-24T07:33:28</t>
  </si>
  <si>
    <t>2021-10-24T18:33:10</t>
  </si>
  <si>
    <t>24/10/2021 18:00</t>
  </si>
  <si>
    <t>2021-11-03</t>
  </si>
  <si>
    <t>2021-11-03T06:42:48</t>
  </si>
  <si>
    <t>2021-11-03T17:22:37</t>
  </si>
  <si>
    <t>03/11/2021 13:45</t>
  </si>
  <si>
    <t>2021-12-21</t>
  </si>
  <si>
    <t>2021-12-21T07:24:31</t>
  </si>
  <si>
    <t>2021-12-21T17:10:37</t>
  </si>
  <si>
    <t>21/12/2021 17:05</t>
  </si>
  <si>
    <t>2021-03-10</t>
  </si>
  <si>
    <t>2021-03-10T06:36:58</t>
  </si>
  <si>
    <t>2021-03-10T18:22:48</t>
  </si>
  <si>
    <t>10/03/2021 13:50</t>
  </si>
  <si>
    <t>2021-07-07</t>
  </si>
  <si>
    <t>2021-07-07T06:11:11</t>
  </si>
  <si>
    <t>2021-07-07T20:37:21</t>
  </si>
  <si>
    <t>07/07/2021 16:20</t>
  </si>
  <si>
    <t>2021-07-12</t>
  </si>
  <si>
    <t>2021-07-12T06:14:04</t>
  </si>
  <si>
    <t>2021-07-12T20:35:49</t>
  </si>
  <si>
    <t>03:31</t>
  </si>
  <si>
    <t>12/07/2021 03:31</t>
  </si>
  <si>
    <t>2021-10-11</t>
  </si>
  <si>
    <t>2021-10-11T07:22:13</t>
  </si>
  <si>
    <t>2021-10-11T18:49:28</t>
  </si>
  <si>
    <t>11/10/2021 19:30</t>
  </si>
  <si>
    <t>2021-11-06</t>
  </si>
  <si>
    <t>2021-11-06T06:45:43</t>
  </si>
  <si>
    <t>2021-11-06T17:19:53</t>
  </si>
  <si>
    <t>06/11/2021 13:35</t>
  </si>
  <si>
    <t>06/11/2021 13:40</t>
  </si>
  <si>
    <t>2021-09-18</t>
  </si>
  <si>
    <t>2021-09-18T07:04:19</t>
  </si>
  <si>
    <t>2021-09-18T19:22:09</t>
  </si>
  <si>
    <t>18/09/2021 11:41</t>
  </si>
  <si>
    <t>2021-02-06</t>
  </si>
  <si>
    <t>2021-02-06T07:14:41</t>
  </si>
  <si>
    <t>2021-02-06T17:52:43</t>
  </si>
  <si>
    <t>06/02/2021 14:00</t>
  </si>
  <si>
    <t>05/04/2021 10:30</t>
  </si>
  <si>
    <t>07/10/2021 16:50</t>
  </si>
  <si>
    <t>11/02/2021 13:00</t>
  </si>
  <si>
    <t>11/02/2021 16:26</t>
  </si>
  <si>
    <t>2021-02-12</t>
  </si>
  <si>
    <t>2021-02-12T07:08:56</t>
  </si>
  <si>
    <t>2021-02-12T17:58:46</t>
  </si>
  <si>
    <t>12/02/2021 15:10</t>
  </si>
  <si>
    <t>2021-10-01</t>
  </si>
  <si>
    <t>2021-10-01T07:14:12</t>
  </si>
  <si>
    <t>2021-10-01T19:03:20</t>
  </si>
  <si>
    <t>01/10/2021 21:48</t>
  </si>
  <si>
    <t>2021-11-28</t>
  </si>
  <si>
    <t>2021-11-28T07:07:12</t>
  </si>
  <si>
    <t>2021-11-28T17:07:23</t>
  </si>
  <si>
    <t>28/11/2021 14:40</t>
  </si>
  <si>
    <t>06/02/2021 17:45</t>
  </si>
  <si>
    <t>2021-09-04</t>
  </si>
  <si>
    <t>2021-09-04T06:53:57</t>
  </si>
  <si>
    <t>2021-09-04T19:42:17</t>
  </si>
  <si>
    <t>08:20</t>
  </si>
  <si>
    <t>04/09/2021 08:20</t>
  </si>
  <si>
    <t>2021-10-04</t>
  </si>
  <si>
    <t>2021-10-04T07:16:33</t>
  </si>
  <si>
    <t>2021-10-04T18:59:06</t>
  </si>
  <si>
    <t>04/10/2021 11:57</t>
  </si>
  <si>
    <t>28/04/2021 18:00</t>
  </si>
  <si>
    <t>10:51</t>
  </si>
  <si>
    <t>03/08/2021 10:51</t>
  </si>
  <si>
    <t>21:04</t>
  </si>
  <si>
    <t>03/08/2021 21:04</t>
  </si>
  <si>
    <t>05/08/2021 22:33</t>
  </si>
  <si>
    <t>2021-10-10</t>
  </si>
  <si>
    <t>2021-10-10T07:21:23</t>
  </si>
  <si>
    <t>2021-10-10T18:50:49</t>
  </si>
  <si>
    <t>10/10/2021 17:00</t>
  </si>
  <si>
    <t>2021-10-23</t>
  </si>
  <si>
    <t>2021-10-23T07:32:34</t>
  </si>
  <si>
    <t>2021-10-23T18:34:20</t>
  </si>
  <si>
    <t>18:52</t>
  </si>
  <si>
    <t>23/10/2021 18:52</t>
  </si>
  <si>
    <t>22/11/2021 13:20</t>
  </si>
  <si>
    <t>2021-11-27</t>
  </si>
  <si>
    <t>2021-11-27T07:06:15</t>
  </si>
  <si>
    <t>2021-11-27T17:07:38</t>
  </si>
  <si>
    <t>27/11/2021 17:09</t>
  </si>
  <si>
    <t>2021-11-30</t>
  </si>
  <si>
    <t>2021-11-30T07:09:02</t>
  </si>
  <si>
    <t>2021-11-30T17:07:00</t>
  </si>
  <si>
    <t>30/11/2021 17:49</t>
  </si>
  <si>
    <t>01/12/2021 14:43</t>
  </si>
  <si>
    <t>11/02/2021 17:39</t>
  </si>
  <si>
    <t>2021-03-18</t>
  </si>
  <si>
    <t>2021-03-18T06:25:47</t>
  </si>
  <si>
    <t>2021-03-18T18:29:33</t>
  </si>
  <si>
    <t>18/03/2021 12:09</t>
  </si>
  <si>
    <t>29/06/2021 18:30</t>
  </si>
  <si>
    <t>2021-08-25</t>
  </si>
  <si>
    <t>2021-08-25T06:46:28</t>
  </si>
  <si>
    <t>2021-08-25T19:55:54</t>
  </si>
  <si>
    <t>07:09</t>
  </si>
  <si>
    <t>25/08/2021 07:09</t>
  </si>
  <si>
    <t>05/09/2021 17:25</t>
  </si>
  <si>
    <t>2022-02-25</t>
  </si>
  <si>
    <t>2022-02-25T06:54:24</t>
  </si>
  <si>
    <t>2022-02-25T18:11:02</t>
  </si>
  <si>
    <t>25/02/2022 16:34</t>
  </si>
  <si>
    <t>2022-06-06</t>
  </si>
  <si>
    <t>2022-06-06T06:04:38</t>
  </si>
  <si>
    <t>2022-06-06T20:31:47</t>
  </si>
  <si>
    <t>06/06/2022 19:24</t>
  </si>
  <si>
    <t>2022-06-07</t>
  </si>
  <si>
    <t>2022-06-07T06:04:28</t>
  </si>
  <si>
    <t>2022-06-07T20:32:19</t>
  </si>
  <si>
    <t>07/06/2022 18:39</t>
  </si>
  <si>
    <t>07/06/2022 20:36</t>
  </si>
  <si>
    <t>07/06/2022 21:12</t>
  </si>
  <si>
    <t>2022-06-08</t>
  </si>
  <si>
    <t>2022-06-08T06:04:19</t>
  </si>
  <si>
    <t>2022-06-08T20:32:50</t>
  </si>
  <si>
    <t>08/06/2022 17:15</t>
  </si>
  <si>
    <t>2022-06-15</t>
  </si>
  <si>
    <t>2022-06-15T06:04:05</t>
  </si>
  <si>
    <t>2022-06-15T20:35:50</t>
  </si>
  <si>
    <t>15/06/2022 12:45</t>
  </si>
  <si>
    <t>2022-01-26</t>
  </si>
  <si>
    <t>2022-01-26T07:23:07</t>
  </si>
  <si>
    <t>2022-01-26T17:41:07</t>
  </si>
  <si>
    <t>13:49</t>
  </si>
  <si>
    <t>26/01/2022 13:49</t>
  </si>
  <si>
    <t>2022-03-15</t>
  </si>
  <si>
    <t>2022-03-15T06:30:22</t>
  </si>
  <si>
    <t>2022-03-15T18:26:51</t>
  </si>
  <si>
    <t>15/03/2022 19:00</t>
  </si>
  <si>
    <t>2022-04-02</t>
  </si>
  <si>
    <t>2022-04-02T07:04:56</t>
  </si>
  <si>
    <t>2022-04-02T19:41:37</t>
  </si>
  <si>
    <t>02/04/2022 16:39</t>
  </si>
  <si>
    <t>2022-04-09</t>
  </si>
  <si>
    <t>2022-04-09T06:55:17</t>
  </si>
  <si>
    <t>2022-04-09T19:47:18</t>
  </si>
  <si>
    <t>09/04/2022 13:10</t>
  </si>
  <si>
    <t>2022-06-04</t>
  </si>
  <si>
    <t>2022-06-04T06:05:04</t>
  </si>
  <si>
    <t>2022-06-04T20:30:41</t>
  </si>
  <si>
    <t>04/06/2022 14:15</t>
  </si>
  <si>
    <t>2022-06-16</t>
  </si>
  <si>
    <t>2022-06-16T06:04:09</t>
  </si>
  <si>
    <t>2022-06-16T20:36:10</t>
  </si>
  <si>
    <t>16/06/2022 16:35</t>
  </si>
  <si>
    <t>2022-08-03</t>
  </si>
  <si>
    <t>2022-08-03T06:29:28</t>
  </si>
  <si>
    <t>2022-08-03T20:21:18</t>
  </si>
  <si>
    <t>03/08/2022 15:20</t>
  </si>
  <si>
    <t>2022-08-06</t>
  </si>
  <si>
    <t>2022-08-06T06:31:46</t>
  </si>
  <si>
    <t>2022-08-06T20:18:24</t>
  </si>
  <si>
    <t>06/08/2022 10:40</t>
  </si>
  <si>
    <t>2022-07-19</t>
  </si>
  <si>
    <t>2022-07-19T06:18:29</t>
  </si>
  <si>
    <t>2022-07-19T20:32:38</t>
  </si>
  <si>
    <t>12:29</t>
  </si>
  <si>
    <t>19/07/2022 12:29</t>
  </si>
  <si>
    <t>2022-08-11</t>
  </si>
  <si>
    <t>2022-08-11T06:35:37</t>
  </si>
  <si>
    <t>2022-08-11T20:13:10</t>
  </si>
  <si>
    <t>11:16</t>
  </si>
  <si>
    <t>11/08/2022 11:16</t>
  </si>
  <si>
    <t>2022-04-05</t>
  </si>
  <si>
    <t>2022-04-05T07:00:46</t>
  </si>
  <si>
    <t>2022-04-05T19:44:03</t>
  </si>
  <si>
    <t>05/04/2022 15:20</t>
  </si>
  <si>
    <t>2022-02-11</t>
  </si>
  <si>
    <t>2022-02-11T07:10:12</t>
  </si>
  <si>
    <t>2022-02-11T17:57:32</t>
  </si>
  <si>
    <t>18:34</t>
  </si>
  <si>
    <t>11/02/2022 18:34</t>
  </si>
  <si>
    <t>2022-02-24</t>
  </si>
  <si>
    <t>2022-02-24T06:55:38</t>
  </si>
  <si>
    <t>2022-02-24T18:10:07</t>
  </si>
  <si>
    <t>24/02/2022 13:27</t>
  </si>
  <si>
    <t>14:57</t>
  </si>
  <si>
    <t>24/02/2022 14:57</t>
  </si>
  <si>
    <t>2022-03-19</t>
  </si>
  <si>
    <t>2022-03-19T06:24:44</t>
  </si>
  <si>
    <t>2022-03-19T18:30:11</t>
  </si>
  <si>
    <t>19/03/2022 12:18</t>
  </si>
  <si>
    <t>2022-04-13</t>
  </si>
  <si>
    <t>2022-04-13T06:49:56</t>
  </si>
  <si>
    <t>2022-04-13T19:50:33</t>
  </si>
  <si>
    <t>10:41</t>
  </si>
  <si>
    <t>13/04/2022 10:41</t>
  </si>
  <si>
    <t>2022-04-29</t>
  </si>
  <si>
    <t>2022-04-29T06:30:24</t>
  </si>
  <si>
    <t>2022-04-29T20:03:42</t>
  </si>
  <si>
    <t>29/04/2022 14:34</t>
  </si>
  <si>
    <t>2022-05-06</t>
  </si>
  <si>
    <t>2022-05-06T06:23:09</t>
  </si>
  <si>
    <t>2022-05-06T20:09:28</t>
  </si>
  <si>
    <t>06/05/2022 13:49</t>
  </si>
  <si>
    <t>2022-06-18</t>
  </si>
  <si>
    <t>2022-06-18T06:04:22</t>
  </si>
  <si>
    <t>2022-06-18T20:36:47</t>
  </si>
  <si>
    <t>18/06/2022 18:00</t>
  </si>
  <si>
    <t>2022-07-24</t>
  </si>
  <si>
    <t>2022-07-24T06:22:01</t>
  </si>
  <si>
    <t>2022-07-24T20:29:29</t>
  </si>
  <si>
    <t>20:07</t>
  </si>
  <si>
    <t>24/07/2022 20:07</t>
  </si>
  <si>
    <t>2022-09-27</t>
  </si>
  <si>
    <t>2022-09-27T07:10:56</t>
  </si>
  <si>
    <t>2022-09-27T19:09:26</t>
  </si>
  <si>
    <t>27/09/2022 19:14</t>
  </si>
  <si>
    <t>2022-10-10</t>
  </si>
  <si>
    <t>2022-10-10T07:21:12</t>
  </si>
  <si>
    <t>2022-10-10T18:51:09</t>
  </si>
  <si>
    <t>13:47</t>
  </si>
  <si>
    <t>10/10/2022 13:47</t>
  </si>
  <si>
    <t>2022-11-06</t>
  </si>
  <si>
    <t>2022-11-06T06:45:29</t>
  </si>
  <si>
    <t>2022-11-06T17:20:06</t>
  </si>
  <si>
    <t>17:58</t>
  </si>
  <si>
    <t>06/11/2022 17:58</t>
  </si>
  <si>
    <t>07:42</t>
  </si>
  <si>
    <t>29/04/2022 07:42</t>
  </si>
  <si>
    <t>16:46</t>
  </si>
  <si>
    <t>06/06/2022 16:46</t>
  </si>
  <si>
    <t>2022-09-08</t>
  </si>
  <si>
    <t>2022-09-08T06:56:45</t>
  </si>
  <si>
    <t>2022-09-08T19:36:58</t>
  </si>
  <si>
    <t>08/09/2022 19:55</t>
  </si>
  <si>
    <t>2022-01-15</t>
  </si>
  <si>
    <t>2022-01-15T07:27:51</t>
  </si>
  <si>
    <t>2022-01-15T17:30:00</t>
  </si>
  <si>
    <t>15/01/2022 12:44</t>
  </si>
  <si>
    <t>2022-01-28</t>
  </si>
  <si>
    <t>2022-01-28T07:21:52</t>
  </si>
  <si>
    <t>2022-01-28T17:43:11</t>
  </si>
  <si>
    <t>28/01/2022 13:31</t>
  </si>
  <si>
    <t>2022-02-06</t>
  </si>
  <si>
    <t>2022-02-06T07:14:55</t>
  </si>
  <si>
    <t>2022-02-06T17:52:29</t>
  </si>
  <si>
    <t>06/02/2022 17:12</t>
  </si>
  <si>
    <t>2022-03-26</t>
  </si>
  <si>
    <t>2022-03-26T06:14:48</t>
  </si>
  <si>
    <t>2022-03-26T18:35:56</t>
  </si>
  <si>
    <t>19:02</t>
  </si>
  <si>
    <t>26/03/2022 19:02</t>
  </si>
  <si>
    <t>2022-04-24</t>
  </si>
  <si>
    <t>2022-04-24T06:36:07</t>
  </si>
  <si>
    <t>2022-04-24T19:59:34</t>
  </si>
  <si>
    <t>24/04/2022 19:44</t>
  </si>
  <si>
    <t>2022-05-02</t>
  </si>
  <si>
    <t>2022-05-02T06:27:11</t>
  </si>
  <si>
    <t>2022-05-02T20:06:11</t>
  </si>
  <si>
    <t>03:55</t>
  </si>
  <si>
    <t>02/05/2022 03:55</t>
  </si>
  <si>
    <t>19/07/2022 13:36</t>
  </si>
  <si>
    <t>2022-08-17</t>
  </si>
  <si>
    <t>2022-08-17T06:40:13</t>
  </si>
  <si>
    <t>2022-08-17T20:06:16</t>
  </si>
  <si>
    <t>09:32</t>
  </si>
  <si>
    <t>17/08/2022 09:32</t>
  </si>
  <si>
    <t>2022-09-09</t>
  </si>
  <si>
    <t>2022-09-09T06:57:29</t>
  </si>
  <si>
    <t>2022-09-09T19:35:33</t>
  </si>
  <si>
    <t>09/09/2022 14:49</t>
  </si>
  <si>
    <t>2022-09-18</t>
  </si>
  <si>
    <t>2022-09-18T07:04:09</t>
  </si>
  <si>
    <t>2022-09-18T19:22:31</t>
  </si>
  <si>
    <t>20:48</t>
  </si>
  <si>
    <t>18/09/2022 20:48</t>
  </si>
  <si>
    <t>2022-09-23</t>
  </si>
  <si>
    <t>2022-09-23T07:07:54</t>
  </si>
  <si>
    <t>2022-09-23T19:15:14</t>
  </si>
  <si>
    <t>23/09/2022 18:33</t>
  </si>
  <si>
    <t>2022-09-26</t>
  </si>
  <si>
    <t>2022-09-26T07:10:10</t>
  </si>
  <si>
    <t>2022-09-26T19:10:52</t>
  </si>
  <si>
    <t>02:54</t>
  </si>
  <si>
    <t>26/09/2022 02:54</t>
  </si>
  <si>
    <t>2022-10-01</t>
  </si>
  <si>
    <t>2022-10-01T07:14:01</t>
  </si>
  <si>
    <t>2022-10-01T19:03:41</t>
  </si>
  <si>
    <t>19:03</t>
  </si>
  <si>
    <t>01/10/2022 19:03</t>
  </si>
  <si>
    <t>2022-10-11</t>
  </si>
  <si>
    <t>2022-10-11T07:22:01</t>
  </si>
  <si>
    <t>2022-10-11T18:49:48</t>
  </si>
  <si>
    <t>11/10/2022 18:17</t>
  </si>
  <si>
    <t>2022-11-05</t>
  </si>
  <si>
    <t>2022-11-05T06:44:31</t>
  </si>
  <si>
    <t>2022-11-05T17:21:00</t>
  </si>
  <si>
    <t>05/11/2022 13:49</t>
  </si>
  <si>
    <t>2022-11-11</t>
  </si>
  <si>
    <t>2022-11-11T06:50:23</t>
  </si>
  <si>
    <t>2022-11-11T17:16:01</t>
  </si>
  <si>
    <t>11/11/2022 16:49</t>
  </si>
  <si>
    <t>2022-11-17</t>
  </si>
  <si>
    <t>2022-11-17T06:56:20</t>
  </si>
  <si>
    <t>2022-11-17T17:12:00</t>
  </si>
  <si>
    <t>17/11/2022 16:14</t>
  </si>
  <si>
    <t>2022-11-21</t>
  </si>
  <si>
    <t>2022-11-21T07:00:16</t>
  </si>
  <si>
    <t>2022-11-21T17:09:55</t>
  </si>
  <si>
    <t>21/11/2022 21:44</t>
  </si>
  <si>
    <t>2022-11-29</t>
  </si>
  <si>
    <t>2022-11-29T07:07:54</t>
  </si>
  <si>
    <t>2022-11-29T17:07:14</t>
  </si>
  <si>
    <t>16:01</t>
  </si>
  <si>
    <t>29/11/2022 16:01</t>
  </si>
  <si>
    <t>2022-12-26</t>
  </si>
  <si>
    <t>2022-12-26T07:26:38</t>
  </si>
  <si>
    <t>2022-12-26T17:13:17</t>
  </si>
  <si>
    <t>18:21</t>
  </si>
  <si>
    <t>26/12/2022 18:21</t>
  </si>
  <si>
    <t>2022-06-13</t>
  </si>
  <si>
    <t>2022-06-13T06:04:01</t>
  </si>
  <si>
    <t>2022-06-13T20:35:05</t>
  </si>
  <si>
    <t>13/06/2022 18:06</t>
  </si>
  <si>
    <t>15:32</t>
  </si>
  <si>
    <t>24/07/2022 15:32</t>
  </si>
  <si>
    <t>2022-01-17</t>
  </si>
  <si>
    <t>2022-01-17T07:27:16</t>
  </si>
  <si>
    <t>2022-01-17T17:31:58</t>
  </si>
  <si>
    <t>17/01/2022 12:10</t>
  </si>
  <si>
    <t>2022-09-10</t>
  </si>
  <si>
    <t>2022-09-10T06:58:13</t>
  </si>
  <si>
    <t>2022-09-10T19:34:07</t>
  </si>
  <si>
    <t>10/09/2022 20:36</t>
  </si>
  <si>
    <t>2022-10-05</t>
  </si>
  <si>
    <t>2022-10-05T07:17:10</t>
  </si>
  <si>
    <t>2022-10-05T18:58:02</t>
  </si>
  <si>
    <t>05/10/2022 11:22</t>
  </si>
  <si>
    <t>2022-10-08</t>
  </si>
  <si>
    <t>2022-10-08T07:19:34</t>
  </si>
  <si>
    <t>2022-10-08T18:53:53</t>
  </si>
  <si>
    <t>08/10/2022 20:45</t>
  </si>
  <si>
    <t>06/11/2022 10:30</t>
  </si>
  <si>
    <t>2022-08-13</t>
  </si>
  <si>
    <t>2022-08-13T06:37:09</t>
  </si>
  <si>
    <t>2022-08-13T20:10:56</t>
  </si>
  <si>
    <t>13/08/2022 13:28</t>
  </si>
  <si>
    <t>2022-03-27</t>
  </si>
  <si>
    <t>2022-03-27T07:13:23</t>
  </si>
  <si>
    <t>2022-03-27T19:36:45</t>
  </si>
  <si>
    <t>27/03/2022 13:29</t>
  </si>
  <si>
    <t>2022-04-17</t>
  </si>
  <si>
    <t>2022-04-17T06:44:45</t>
  </si>
  <si>
    <t>2022-04-17T19:53:49</t>
  </si>
  <si>
    <t>11:53</t>
  </si>
  <si>
    <t>17/04/2022 11:53</t>
  </si>
  <si>
    <t>17/04/2022 16:45</t>
  </si>
  <si>
    <t>2022-05-11</t>
  </si>
  <si>
    <t>2022-05-11T06:18:34</t>
  </si>
  <si>
    <t>2022-05-11T20:13:32</t>
  </si>
  <si>
    <t>11/05/2022 15:52</t>
  </si>
  <si>
    <t>2022-05-29</t>
  </si>
  <si>
    <t>2022-05-29T06:07:00</t>
  </si>
  <si>
    <t>2022-05-29T20:26:58</t>
  </si>
  <si>
    <t>29/05/2022 13:48</t>
  </si>
  <si>
    <t>2022-06-28</t>
  </si>
  <si>
    <t>2022-06-28T06:06:57</t>
  </si>
  <si>
    <t>2022-06-28T20:38:21</t>
  </si>
  <si>
    <t>28/06/2022 21:09</t>
  </si>
  <si>
    <t>2022-10-21</t>
  </si>
  <si>
    <t>2022-10-21T07:30:34</t>
  </si>
  <si>
    <t>2022-10-21T18:37:00</t>
  </si>
  <si>
    <t>08:54</t>
  </si>
  <si>
    <t>21/10/2022 08:54</t>
  </si>
  <si>
    <t>2022-10-25</t>
  </si>
  <si>
    <t>2022-10-25T07:34:10</t>
  </si>
  <si>
    <t>2022-10-25T18:32:18</t>
  </si>
  <si>
    <t>25/10/2022 16:52</t>
  </si>
  <si>
    <t>2022-10-29</t>
  </si>
  <si>
    <t>2022-10-29T07:37:51</t>
  </si>
  <si>
    <t>2022-10-29T18:27:54</t>
  </si>
  <si>
    <t>29/10/2022 13:48</t>
  </si>
  <si>
    <t>2022-10-30</t>
  </si>
  <si>
    <t>2022-10-30T06:38:47</t>
  </si>
  <si>
    <t>2022-10-30T17:26:51</t>
  </si>
  <si>
    <t>15:22</t>
  </si>
  <si>
    <t>30/10/2022 15:22</t>
  </si>
  <si>
    <t>2022-11-04</t>
  </si>
  <si>
    <t>2022-11-04T06:43:33</t>
  </si>
  <si>
    <t>2022-11-04T17:21:55</t>
  </si>
  <si>
    <t>08:12</t>
  </si>
  <si>
    <t>04/11/2022 08:12</t>
  </si>
  <si>
    <t>05/11/2022 16:46</t>
  </si>
  <si>
    <t>17/11/2022 13:30</t>
  </si>
  <si>
    <t>2022-12-22</t>
  </si>
  <si>
    <t>2022-12-22T07:24:54</t>
  </si>
  <si>
    <t>2022-12-22T17:11:00</t>
  </si>
  <si>
    <t>22/12/2022 18:19</t>
  </si>
  <si>
    <t>2022-01-04</t>
  </si>
  <si>
    <t>2022-01-04T07:28:48</t>
  </si>
  <si>
    <t>2022-01-04T17:20:01</t>
  </si>
  <si>
    <t>04/01/2022 13:40</t>
  </si>
  <si>
    <t>2022-02-28</t>
  </si>
  <si>
    <t>2022-02-28T06:50:37</t>
  </si>
  <si>
    <t>2022-02-28T18:13:47</t>
  </si>
  <si>
    <t>28/02/2022 13:00</t>
  </si>
  <si>
    <t>2022-04-07</t>
  </si>
  <si>
    <t>2022-04-07T06:58:00</t>
  </si>
  <si>
    <t>2022-04-07T19:45:40</t>
  </si>
  <si>
    <t>16:08</t>
  </si>
  <si>
    <t>07/04/2022 16:08</t>
  </si>
  <si>
    <t>2022-04-20</t>
  </si>
  <si>
    <t>2022-04-20T06:40:58</t>
  </si>
  <si>
    <t>2022-04-20T19:56:17</t>
  </si>
  <si>
    <t>20/04/2022 12:20</t>
  </si>
  <si>
    <t>2022-07-18</t>
  </si>
  <si>
    <t>2022-07-18T06:17:48</t>
  </si>
  <si>
    <t>2022-07-18T20:33:11</t>
  </si>
  <si>
    <t>18/07/2022 17:10</t>
  </si>
  <si>
    <t>2022-08-02</t>
  </si>
  <si>
    <t>2022-08-02T06:28:43</t>
  </si>
  <si>
    <t>2022-08-02T20:22:13</t>
  </si>
  <si>
    <t>02/08/2022 14:30</t>
  </si>
  <si>
    <t>05/10/2022 14:05</t>
  </si>
  <si>
    <t>11/10/2022 19:00</t>
  </si>
  <si>
    <t>2022-12-27</t>
  </si>
  <si>
    <t>2022-12-27T07:27:00</t>
  </si>
  <si>
    <t>2022-12-27T17:13:55</t>
  </si>
  <si>
    <t>12:07</t>
  </si>
  <si>
    <t>27/12/2022 12:07</t>
  </si>
  <si>
    <t>2022-02-15</t>
  </si>
  <si>
    <t>2022-02-15T07:06:03</t>
  </si>
  <si>
    <t>2022-02-15T18:01:30</t>
  </si>
  <si>
    <t>15/02/2022 11:40</t>
  </si>
  <si>
    <t>13:38</t>
  </si>
  <si>
    <t>02/04/2022 13:38</t>
  </si>
  <si>
    <t>2022-04-12</t>
  </si>
  <si>
    <t>2022-04-12T06:51:16</t>
  </si>
  <si>
    <t>2022-04-12T19:49:44</t>
  </si>
  <si>
    <t>19:40</t>
  </si>
  <si>
    <t>12/04/2022 19:40</t>
  </si>
  <si>
    <t>2022-04-16</t>
  </si>
  <si>
    <t>2022-04-16T06:46:01</t>
  </si>
  <si>
    <t>2022-04-16T19:53:00</t>
  </si>
  <si>
    <t>18:45</t>
  </si>
  <si>
    <t>16/04/2022 18:45</t>
  </si>
  <si>
    <t>17/04/2022 15:00</t>
  </si>
  <si>
    <t>2022-04-21</t>
  </si>
  <si>
    <t>2022-04-21T06:39:44</t>
  </si>
  <si>
    <t>2022-04-21T19:57:06</t>
  </si>
  <si>
    <t>21/04/2022 17:10</t>
  </si>
  <si>
    <t>2022-04-27</t>
  </si>
  <si>
    <t>2022-04-27T06:32:39</t>
  </si>
  <si>
    <t>2022-04-27T20:02:03</t>
  </si>
  <si>
    <t>27/04/2022 12:50</t>
  </si>
  <si>
    <t>2022-04-28</t>
  </si>
  <si>
    <t>2022-04-28T06:31:31</t>
  </si>
  <si>
    <t>2022-04-28T20:02:53</t>
  </si>
  <si>
    <t>18:28</t>
  </si>
  <si>
    <t>28/04/2022 18:28</t>
  </si>
  <si>
    <t>2022-07-02</t>
  </si>
  <si>
    <t>2022-07-02T06:08:35</t>
  </si>
  <si>
    <t>2022-07-02T20:38:13</t>
  </si>
  <si>
    <t>02/07/2022 12:50</t>
  </si>
  <si>
    <t>2022-07-15</t>
  </si>
  <si>
    <t>2022-07-15T06:15:49</t>
  </si>
  <si>
    <t>2022-07-15T20:34:41</t>
  </si>
  <si>
    <t>10:48</t>
  </si>
  <si>
    <t>15/07/2022 10:48</t>
  </si>
  <si>
    <t>15/07/2022 15:35</t>
  </si>
  <si>
    <t>2022-07-25</t>
  </si>
  <si>
    <t>2022-07-25T06:22:44</t>
  </si>
  <si>
    <t>2022-07-25T20:28:47</t>
  </si>
  <si>
    <t>13:33</t>
  </si>
  <si>
    <t>25/07/2022 13:33</t>
  </si>
  <si>
    <t>2022-10-09</t>
  </si>
  <si>
    <t>2022-10-09T07:20:23</t>
  </si>
  <si>
    <t>2022-10-09T18:52:31</t>
  </si>
  <si>
    <t>10:46</t>
  </si>
  <si>
    <t>09/10/2022 10:46</t>
  </si>
  <si>
    <t>05/11/2022 16:30</t>
  </si>
  <si>
    <t>2022-11-15</t>
  </si>
  <si>
    <t>2022-11-15T06:54:21</t>
  </si>
  <si>
    <t>2022-11-15T17:13:13</t>
  </si>
  <si>
    <t>15/11/2022 17:38</t>
  </si>
  <si>
    <t>2022-04-01</t>
  </si>
  <si>
    <t>2022-04-01T07:06:20</t>
  </si>
  <si>
    <t>2022-04-01T19:40:48</t>
  </si>
  <si>
    <t>01/04/2022 11:40</t>
  </si>
  <si>
    <t>28/04/2022 14:32</t>
  </si>
  <si>
    <t>2022-06-22</t>
  </si>
  <si>
    <t>2022-06-22T06:05:07</t>
  </si>
  <si>
    <t>2022-06-22T20:37:43</t>
  </si>
  <si>
    <t>22/06/2022 12:15</t>
  </si>
  <si>
    <t>2022-09-12</t>
  </si>
  <si>
    <t>2022-09-12T06:59:42</t>
  </si>
  <si>
    <t>2022-09-12T19:31:14</t>
  </si>
  <si>
    <t>12/09/2022 12:20</t>
  </si>
  <si>
    <t>2022-09-28</t>
  </si>
  <si>
    <t>2022-09-28T07:11:42</t>
  </si>
  <si>
    <t>2022-09-28T19:07:59</t>
  </si>
  <si>
    <t>28/09/2022 13:36</t>
  </si>
  <si>
    <t>01/04/2022 10:30</t>
  </si>
  <si>
    <t>2022-09-19</t>
  </si>
  <si>
    <t>2022-09-19T07:04:54</t>
  </si>
  <si>
    <t>2022-09-19T19:21:03</t>
  </si>
  <si>
    <t>19/09/2022 10:45</t>
  </si>
  <si>
    <t>2022-11-20</t>
  </si>
  <si>
    <t>2022-11-20T06:59:17</t>
  </si>
  <si>
    <t>2022-11-20T17:10:23</t>
  </si>
  <si>
    <t>20/11/2022 21:44</t>
  </si>
  <si>
    <t>2022-04-23</t>
  </si>
  <si>
    <t>2022-04-23T06:37:19</t>
  </si>
  <si>
    <t>2022-04-23T19:58:45</t>
  </si>
  <si>
    <t>23/04/2022 14:30</t>
  </si>
  <si>
    <t>2022-04-30</t>
  </si>
  <si>
    <t>2022-04-30T06:29:19</t>
  </si>
  <si>
    <t>2022-04-30T20:04:32</t>
  </si>
  <si>
    <t>20:22</t>
  </si>
  <si>
    <t>30/04/2022 20:22</t>
  </si>
  <si>
    <t>2022-09-15</t>
  </si>
  <si>
    <t>2022-09-15T07:01:55</t>
  </si>
  <si>
    <t>2022-09-15T19:26:53</t>
  </si>
  <si>
    <t>15/09/2022 12:10</t>
  </si>
  <si>
    <t>2022-10-04</t>
  </si>
  <si>
    <t>2022-10-04T07:16:22</t>
  </si>
  <si>
    <t>2022-10-04T18:59:27</t>
  </si>
  <si>
    <t>02:32</t>
  </si>
  <si>
    <t>04/10/2022 02:32</t>
  </si>
  <si>
    <t>2022-10-27</t>
  </si>
  <si>
    <t>2022-10-27T07:36:00</t>
  </si>
  <si>
    <t>2022-10-27T18:30:04</t>
  </si>
  <si>
    <t>27/10/2022 15:20</t>
  </si>
  <si>
    <t>2022-10-28</t>
  </si>
  <si>
    <t>2022-10-28T07:36:55</t>
  </si>
  <si>
    <t>2022-10-28T18:28:58</t>
  </si>
  <si>
    <t>28/10/2022 20:10</t>
  </si>
  <si>
    <t>2022-12-25</t>
  </si>
  <si>
    <t>2022-12-25T07:26:15</t>
  </si>
  <si>
    <t>2022-12-25T17:12:41</t>
  </si>
  <si>
    <t>25/12/2022 12:55</t>
  </si>
  <si>
    <t>27/12/2022 18:00</t>
  </si>
  <si>
    <t>28/09/2022 14:05</t>
  </si>
  <si>
    <t>2022-07-28</t>
  </si>
  <si>
    <t>2022-07-28T06:24:57</t>
  </si>
  <si>
    <t>2022-07-28T20:26:30</t>
  </si>
  <si>
    <t>01:52</t>
  </si>
  <si>
    <t>28/07/2022 01:52</t>
  </si>
  <si>
    <t>2022-07-06</t>
  </si>
  <si>
    <t>2022-07-06T06:10:32</t>
  </si>
  <si>
    <t>2022-07-06T20:37:38</t>
  </si>
  <si>
    <t>13:17</t>
  </si>
  <si>
    <t>06/07/2022 13:17</t>
  </si>
  <si>
    <t>01:47</t>
  </si>
  <si>
    <t>25/07/2022 01:47</t>
  </si>
  <si>
    <t>2023-02-12</t>
  </si>
  <si>
    <t>2023-02-12T07:09:27</t>
  </si>
  <si>
    <t>2023-02-12T17:58:18</t>
  </si>
  <si>
    <t>12/02/2023 13:25</t>
  </si>
  <si>
    <t>2023-02-17</t>
  </si>
  <si>
    <t>2023-02-17T07:04:08</t>
  </si>
  <si>
    <t>2023-02-17T18:03:14</t>
  </si>
  <si>
    <t>17/02/2023 15:00</t>
  </si>
  <si>
    <t>2023-03-26</t>
  </si>
  <si>
    <t>2023-03-26T07:15:09</t>
  </si>
  <si>
    <t>2023-03-26T19:35:45</t>
  </si>
  <si>
    <t>26/03/2023 19:35</t>
  </si>
  <si>
    <t>2023-06-15</t>
  </si>
  <si>
    <t>2023-06-15T06:04:05</t>
  </si>
  <si>
    <t>2023-06-15T20:35:45</t>
  </si>
  <si>
    <t>15/06/2023 12:35</t>
  </si>
  <si>
    <t>2023-07-25</t>
  </si>
  <si>
    <t>2023-07-25T06:22:34</t>
  </si>
  <si>
    <t>2023-07-25T20:28:58</t>
  </si>
  <si>
    <t>25/07/2023 14:05</t>
  </si>
  <si>
    <t>2023-08-08</t>
  </si>
  <si>
    <t>2023-08-08T06:33:08</t>
  </si>
  <si>
    <t>2023-08-08T20:16:37</t>
  </si>
  <si>
    <t>08/08/2023 13:15</t>
  </si>
  <si>
    <t>2023-08-25</t>
  </si>
  <si>
    <t>2023-08-25T06:46:08</t>
  </si>
  <si>
    <t>2023-08-25T19:56:33</t>
  </si>
  <si>
    <t>25/08/2023 14:00</t>
  </si>
  <si>
    <t>2023-11-15</t>
  </si>
  <si>
    <t>2023-11-15T06:54:07</t>
  </si>
  <si>
    <t>2023-11-15T17:13:23</t>
  </si>
  <si>
    <t>15/11/2023 13:30</t>
  </si>
  <si>
    <t>2023-11-18</t>
  </si>
  <si>
    <t>2023-11-18T06:57:05</t>
  </si>
  <si>
    <t>2023-11-18T17:11:35</t>
  </si>
  <si>
    <t>18/11/2023 11:35</t>
  </si>
  <si>
    <t>2023-03-30</t>
  </si>
  <si>
    <t>2023-03-30T07:09:30</t>
  </si>
  <si>
    <t>2023-03-30T19:39:00</t>
  </si>
  <si>
    <t>30/03/2023 12:53</t>
  </si>
  <si>
    <t>13:56</t>
  </si>
  <si>
    <t>30/03/2023 13:56</t>
  </si>
  <si>
    <t>2023-08-10</t>
  </si>
  <si>
    <t>2023-08-10T06:34:40</t>
  </si>
  <si>
    <t>2023-08-10T20:14:31</t>
  </si>
  <si>
    <t>10/08/2023 12:59</t>
  </si>
  <si>
    <t>25/08/2023 16:30</t>
  </si>
  <si>
    <t>2023-03-10</t>
  </si>
  <si>
    <t>2023-03-10T06:37:39</t>
  </si>
  <si>
    <t>2023-03-10T18:22:24</t>
  </si>
  <si>
    <t>10/03/2023 19:15</t>
  </si>
  <si>
    <t>26/03/2023 13:14</t>
  </si>
  <si>
    <t>2023-04-27</t>
  </si>
  <si>
    <t>2023-04-27T06:32:56</t>
  </si>
  <si>
    <t>2023-04-27T20:01:52</t>
  </si>
  <si>
    <t>27/04/2023 16:09</t>
  </si>
  <si>
    <t>2023-12-27</t>
  </si>
  <si>
    <t>2023-12-27T07:26:55</t>
  </si>
  <si>
    <t>2023-12-27T17:13:46</t>
  </si>
  <si>
    <t>10:49</t>
  </si>
  <si>
    <t>27/12/2023 10:49</t>
  </si>
  <si>
    <t>30/03/2023 14:25</t>
  </si>
  <si>
    <t>2023-10-27</t>
  </si>
  <si>
    <t>2023-10-27T07:35:47</t>
  </si>
  <si>
    <t>2023-10-27T18:30:20</t>
  </si>
  <si>
    <t>27/10/2023 10:19</t>
  </si>
  <si>
    <t>2023-11-06</t>
  </si>
  <si>
    <t>2023-11-06T06:45:16</t>
  </si>
  <si>
    <t>2023-11-06T17:20:19</t>
  </si>
  <si>
    <t>07:30</t>
  </si>
  <si>
    <t>06/11/2023 07:30</t>
  </si>
  <si>
    <t>2023-02-13</t>
  </si>
  <si>
    <t>2023-02-13T07:08:25</t>
  </si>
  <si>
    <t>2023-02-13T17:59:18</t>
  </si>
  <si>
    <t>16:41</t>
  </si>
  <si>
    <t>13/02/2023 16:41</t>
  </si>
  <si>
    <t>2023-02-18</t>
  </si>
  <si>
    <t>2023-02-18T07:03:01</t>
  </si>
  <si>
    <t>2023-02-18T18:04:12</t>
  </si>
  <si>
    <t>18/02/2023 15:10</t>
  </si>
  <si>
    <t>2023-02-26</t>
  </si>
  <si>
    <t>2023-02-26T06:53:28</t>
  </si>
  <si>
    <t>2023-02-26T18:11:45</t>
  </si>
  <si>
    <t>26/02/2023 11:50</t>
  </si>
  <si>
    <t>2023-03-03</t>
  </si>
  <si>
    <t>2023-03-03T06:47:03</t>
  </si>
  <si>
    <t>2023-03-03T18:16:17</t>
  </si>
  <si>
    <t>13:37</t>
  </si>
  <si>
    <t>03/03/2023 13:37</t>
  </si>
  <si>
    <t>2023-04-18</t>
  </si>
  <si>
    <t>2023-04-18T06:43:47</t>
  </si>
  <si>
    <t>2023-04-18T19:54:27</t>
  </si>
  <si>
    <t>18/04/2023 19:40</t>
  </si>
  <si>
    <t>2023-04-26</t>
  </si>
  <si>
    <t>2023-04-26T06:34:05</t>
  </si>
  <si>
    <t>2023-04-26T20:01:02</t>
  </si>
  <si>
    <t>26/04/2023 13:00</t>
  </si>
  <si>
    <t>2023-06-01</t>
  </si>
  <si>
    <t>2023-06-01T06:06:00</t>
  </si>
  <si>
    <t>2023-06-01T20:28:45</t>
  </si>
  <si>
    <t>01/06/2023 11:55</t>
  </si>
  <si>
    <t>2023-07-14</t>
  </si>
  <si>
    <t>2023-07-14T06:15:02</t>
  </si>
  <si>
    <t>2023-07-14T20:35:14</t>
  </si>
  <si>
    <t>14/07/2023 14:47</t>
  </si>
  <si>
    <t>2023-07-18</t>
  </si>
  <si>
    <t>2023-07-18T06:17:39</t>
  </si>
  <si>
    <t>2023-07-18T20:33:20</t>
  </si>
  <si>
    <t>18:56</t>
  </si>
  <si>
    <t>18/07/2023 18:56</t>
  </si>
  <si>
    <t>2023-07-23</t>
  </si>
  <si>
    <t>2023-07-23T06:21:08</t>
  </si>
  <si>
    <t>2023-07-23T20:30:21</t>
  </si>
  <si>
    <t>21:02</t>
  </si>
  <si>
    <t>23/07/2023 21:02</t>
  </si>
  <si>
    <t>2023-08-06</t>
  </si>
  <si>
    <t>2023-08-06T06:31:36</t>
  </si>
  <si>
    <t>2023-08-06T20:18:39</t>
  </si>
  <si>
    <t>20:19</t>
  </si>
  <si>
    <t>06/08/2023 20:19</t>
  </si>
  <si>
    <t>2023-08-17</t>
  </si>
  <si>
    <t>2023-08-17T06:40:03</t>
  </si>
  <si>
    <t>2023-08-17T20:06:34</t>
  </si>
  <si>
    <t>17/08/2023 02:05</t>
  </si>
  <si>
    <t>2023-08-23</t>
  </si>
  <si>
    <t>2023-08-23T06:44:37</t>
  </si>
  <si>
    <t>2023-08-23T19:59:08</t>
  </si>
  <si>
    <t>02:16</t>
  </si>
  <si>
    <t>23/08/2023 02:16</t>
  </si>
  <si>
    <t>2023-08-27</t>
  </si>
  <si>
    <t>2023-08-27T06:47:38</t>
  </si>
  <si>
    <t>2023-08-27T19:53:55</t>
  </si>
  <si>
    <t>27/08/2023 15:52</t>
  </si>
  <si>
    <t>2023-09-24</t>
  </si>
  <si>
    <t>2023-09-24T07:08:29</t>
  </si>
  <si>
    <t>2023-09-24T19:14:08</t>
  </si>
  <si>
    <t>22:11</t>
  </si>
  <si>
    <t>24/09/2023 22:11</t>
  </si>
  <si>
    <t>2023-10-11</t>
  </si>
  <si>
    <t>2023-10-11T07:21:50</t>
  </si>
  <si>
    <t>2023-10-11T18:50:08</t>
  </si>
  <si>
    <t>11/10/2023 12:37</t>
  </si>
  <si>
    <t>2023-11-04</t>
  </si>
  <si>
    <t>2023-11-04T06:43:20</t>
  </si>
  <si>
    <t>2023-11-04T17:22:09</t>
  </si>
  <si>
    <t>04/11/2023 08:20</t>
  </si>
  <si>
    <t>18/11/2023 13:09</t>
  </si>
  <si>
    <t>2023-12-09</t>
  </si>
  <si>
    <t>2023-12-09T07:16:20</t>
  </si>
  <si>
    <t>2023-12-09T17:06:47</t>
  </si>
  <si>
    <t>22:28</t>
  </si>
  <si>
    <t>09/12/2023 22:28</t>
  </si>
  <si>
    <t>2023-12-11</t>
  </si>
  <si>
    <t>2023-12-11T07:17:52</t>
  </si>
  <si>
    <t>2023-12-11T17:07:04</t>
  </si>
  <si>
    <t>16:29</t>
  </si>
  <si>
    <t>11/12/2023 16:29</t>
  </si>
  <si>
    <t>18/07/2023 12:59</t>
  </si>
  <si>
    <t>2023-09-22</t>
  </si>
  <si>
    <t>2023-09-22T07:06:58</t>
  </si>
  <si>
    <t>2023-09-22T19:17:03</t>
  </si>
  <si>
    <t>22/09/2023 17:30</t>
  </si>
  <si>
    <t>2023-09-25</t>
  </si>
  <si>
    <t>2023-09-25T07:09:14</t>
  </si>
  <si>
    <t>2023-09-25T19:12:41</t>
  </si>
  <si>
    <t>25/09/2023 14:52</t>
  </si>
  <si>
    <t>2023-10-02</t>
  </si>
  <si>
    <t>2023-10-02T07:14:37</t>
  </si>
  <si>
    <t>2023-10-02T19:02:37</t>
  </si>
  <si>
    <t>02/10/2023 19:43</t>
  </si>
  <si>
    <t>02/10/2023 16:10</t>
  </si>
  <si>
    <t>2023-03-11</t>
  </si>
  <si>
    <t>2023-03-11T06:36:16</t>
  </si>
  <si>
    <t>2023-03-11T18:23:16</t>
  </si>
  <si>
    <t>11/03/2023 10:25</t>
  </si>
  <si>
    <t>2023-04-03</t>
  </si>
  <si>
    <t>2023-04-03T07:03:53</t>
  </si>
  <si>
    <t>2023-04-03T19:42:15</t>
  </si>
  <si>
    <t>03/04/2023 13:20</t>
  </si>
  <si>
    <t>18/04/2023 11:30</t>
  </si>
  <si>
    <t>2023-10-01</t>
  </si>
  <si>
    <t>2023-10-01T07:13:50</t>
  </si>
  <si>
    <t>2023-10-01T19:04:03</t>
  </si>
  <si>
    <t>16:17</t>
  </si>
  <si>
    <t>01/10/2023 16:17</t>
  </si>
  <si>
    <t>2023-12-30</t>
  </si>
  <si>
    <t>2023-12-30T07:27:51</t>
  </si>
  <si>
    <t>2023-12-30T17:15:48</t>
  </si>
  <si>
    <t>30/12/2023 18:00</t>
  </si>
  <si>
    <t>2023-07-10</t>
  </si>
  <si>
    <t>2023-07-10T06:12:37</t>
  </si>
  <si>
    <t>2023-07-10T20:36:42</t>
  </si>
  <si>
    <t>10/07/2023 13:25</t>
  </si>
  <si>
    <t>06:05</t>
  </si>
  <si>
    <t>25/07/2023 06:05</t>
  </si>
  <si>
    <t>2023-08-16</t>
  </si>
  <si>
    <t>2023-08-16T06:39:17</t>
  </si>
  <si>
    <t>2023-08-16T20:07:45</t>
  </si>
  <si>
    <t>11:11</t>
  </si>
  <si>
    <t>16/08/2023 11:11</t>
  </si>
  <si>
    <t>23/08/2023 14:10</t>
  </si>
  <si>
    <t>2023-09-15</t>
  </si>
  <si>
    <t>2023-09-15T07:01:45</t>
  </si>
  <si>
    <t>2023-09-15T19:27:14</t>
  </si>
  <si>
    <t>04:04</t>
  </si>
  <si>
    <t>15/09/2023 04:04</t>
  </si>
  <si>
    <t>04:07</t>
  </si>
  <si>
    <t>15/09/2023 04:07</t>
  </si>
  <si>
    <t>2023-09-18</t>
  </si>
  <si>
    <t>2023-09-18T07:03:59</t>
  </si>
  <si>
    <t>2023-09-18T19:22:52</t>
  </si>
  <si>
    <t>01:03</t>
  </si>
  <si>
    <t>18/09/2023 01:03</t>
  </si>
  <si>
    <t>13:51</t>
  </si>
  <si>
    <t>02/10/2023 13:51</t>
  </si>
  <si>
    <t>04/11/2023 20:32</t>
  </si>
  <si>
    <t>2023-11-16</t>
  </si>
  <si>
    <t>2023-11-16T06:55:06</t>
  </si>
  <si>
    <t>2023-11-16T17:12:45</t>
  </si>
  <si>
    <t>13:22</t>
  </si>
  <si>
    <t>16/11/2023 13:22</t>
  </si>
  <si>
    <t>2023-11-20</t>
  </si>
  <si>
    <t>2023-11-20T06:59:03</t>
  </si>
  <si>
    <t>2023-11-20T17:10:31</t>
  </si>
  <si>
    <t>20/11/2023 13:38</t>
  </si>
  <si>
    <t>20/11/2023 14:49</t>
  </si>
  <si>
    <t>2023-11-25</t>
  </si>
  <si>
    <t>2023-11-25T07:03:55</t>
  </si>
  <si>
    <t>2023-11-25T17:08:24</t>
  </si>
  <si>
    <t>25/11/2023 17:45</t>
  </si>
  <si>
    <t>13/02/2023 11:29</t>
  </si>
  <si>
    <t>2023-01-09</t>
  </si>
  <si>
    <t>2023-01-09T07:28:53</t>
  </si>
  <si>
    <t>2023-01-09T17:24:08</t>
  </si>
  <si>
    <t>09/01/2023 12:14</t>
  </si>
  <si>
    <t>18/02/2023 10:48</t>
  </si>
  <si>
    <t>2023-03-01</t>
  </si>
  <si>
    <t>2023-03-01T06:49:39</t>
  </si>
  <si>
    <t>2023-03-01T18:14:29</t>
  </si>
  <si>
    <t>01/03/2023 12:34</t>
  </si>
  <si>
    <t>2023-03-02</t>
  </si>
  <si>
    <t>2023-03-02T06:48:21</t>
  </si>
  <si>
    <t>2023-03-02T18:15:23</t>
  </si>
  <si>
    <t>02/03/2023 14:20</t>
  </si>
  <si>
    <t>2023-03-05</t>
  </si>
  <si>
    <t>2023-03-05T06:44:25</t>
  </si>
  <si>
    <t>2023-03-05T18:18:03</t>
  </si>
  <si>
    <t>05/03/2023 15:00</t>
  </si>
  <si>
    <t>2023-03-20</t>
  </si>
  <si>
    <t>2023-03-20T06:23:40</t>
  </si>
  <si>
    <t>2023-03-20T18:30:49</t>
  </si>
  <si>
    <t>20/03/2023 15:27</t>
  </si>
  <si>
    <t>2023-03-25</t>
  </si>
  <si>
    <t>2023-03-25T06:16:34</t>
  </si>
  <si>
    <t>2023-03-25T18:34:56</t>
  </si>
  <si>
    <t>25/03/2023 18:59</t>
  </si>
  <si>
    <t>26/03/2023 12:30</t>
  </si>
  <si>
    <t>2023-03-28</t>
  </si>
  <si>
    <t>2023-03-28T07:12:19</t>
  </si>
  <si>
    <t>2023-03-28T19:37:23</t>
  </si>
  <si>
    <t>28/03/2023 17:31</t>
  </si>
  <si>
    <t>2023-04-01</t>
  </si>
  <si>
    <t>2023-04-01T07:06:41</t>
  </si>
  <si>
    <t>2023-04-01T19:40:37</t>
  </si>
  <si>
    <t>14:23</t>
  </si>
  <si>
    <t>01/04/2023 14:23</t>
  </si>
  <si>
    <t>2023-04-06</t>
  </si>
  <si>
    <t>2023-04-06T06:59:43</t>
  </si>
  <si>
    <t>2023-04-06T19:44:41</t>
  </si>
  <si>
    <t>09:07</t>
  </si>
  <si>
    <t>06/04/2023 09:07</t>
  </si>
  <si>
    <t>2023-04-09</t>
  </si>
  <si>
    <t>2023-04-09T06:55:37</t>
  </si>
  <si>
    <t>2023-04-09T19:47:07</t>
  </si>
  <si>
    <t>09/04/2023 14:00</t>
  </si>
  <si>
    <t>2023-07-01</t>
  </si>
  <si>
    <t>2023-07-01T06:08:03</t>
  </si>
  <si>
    <t>2023-07-01T20:38:19</t>
  </si>
  <si>
    <t>21:34</t>
  </si>
  <si>
    <t>01/07/2023 21:34</t>
  </si>
  <si>
    <t>2023-07-04</t>
  </si>
  <si>
    <t>2023-07-04T06:09:25</t>
  </si>
  <si>
    <t>2023-07-04T20:38:02</t>
  </si>
  <si>
    <t>04/07/2023 13:07</t>
  </si>
  <si>
    <t>2023-07-31</t>
  </si>
  <si>
    <t>2023-07-31T06:27:02</t>
  </si>
  <si>
    <t>2023-07-31T20:24:13</t>
  </si>
  <si>
    <t>15:46</t>
  </si>
  <si>
    <t>31/07/2023 15:46</t>
  </si>
  <si>
    <t>16/08/2023 18:43</t>
  </si>
  <si>
    <t>2023-10-25</t>
  </si>
  <si>
    <t>2023-10-25T07:33:57</t>
  </si>
  <si>
    <t>2023-10-25T18:32:35</t>
  </si>
  <si>
    <t>25/10/2023 19:50</t>
  </si>
  <si>
    <t>2023-11-19</t>
  </si>
  <si>
    <t>2023-11-19T06:58:04</t>
  </si>
  <si>
    <t>2023-11-19T17:11:02</t>
  </si>
  <si>
    <t>18:02</t>
  </si>
  <si>
    <t>19/11/2023 18:02</t>
  </si>
  <si>
    <t>2023-11-22</t>
  </si>
  <si>
    <t>2023-11-22T07:01:01</t>
  </si>
  <si>
    <t>2023-11-22T17:09:35</t>
  </si>
  <si>
    <t>22/11/2023 16:20</t>
  </si>
  <si>
    <t>2023-11-28</t>
  </si>
  <si>
    <t>2023-11-28T07:06:46</t>
  </si>
  <si>
    <t>2023-11-28T17:07:31</t>
  </si>
  <si>
    <t>28/11/2023 08:00</t>
  </si>
  <si>
    <t>2023-11-29</t>
  </si>
  <si>
    <t>2023-11-29T07:07:41</t>
  </si>
  <si>
    <t>2023-11-29T17:07:17</t>
  </si>
  <si>
    <t>10:23</t>
  </si>
  <si>
    <t>29/11/2023 10:23</t>
  </si>
  <si>
    <t>2023-12-06</t>
  </si>
  <si>
    <t>2023-12-06T07:13:53</t>
  </si>
  <si>
    <t>2023-12-06T17:06:35</t>
  </si>
  <si>
    <t>06/12/2023 20:15</t>
  </si>
  <si>
    <t>2023-12-15</t>
  </si>
  <si>
    <t>2023-12-15T07:20:43</t>
  </si>
  <si>
    <t>2023-12-15T17:08:02</t>
  </si>
  <si>
    <t>15/12/2023 15:50</t>
  </si>
  <si>
    <t>15/12/2023 18:09</t>
  </si>
  <si>
    <t>2023-12-20</t>
  </si>
  <si>
    <t>2023-12-20T07:23:45</t>
  </si>
  <si>
    <t>2023-12-20T17:09:56</t>
  </si>
  <si>
    <t>20/12/2023 12:24</t>
  </si>
  <si>
    <t>2023-12-26</t>
  </si>
  <si>
    <t>2023-12-26T07:26:33</t>
  </si>
  <si>
    <t>2023-12-26T17:13:09</t>
  </si>
  <si>
    <t>26/12/2023 16:20</t>
  </si>
  <si>
    <t>2023-11-11</t>
  </si>
  <si>
    <t>2023-11-11T06:50:10</t>
  </si>
  <si>
    <t>2023-11-11T17:16:12</t>
  </si>
  <si>
    <t>04:10</t>
  </si>
  <si>
    <t>11/11/2023 04:10</t>
  </si>
  <si>
    <t>10/07/2023 14:20</t>
  </si>
  <si>
    <t>18/04/2023 07:20</t>
  </si>
  <si>
    <t>18/07/2023 13:15</t>
  </si>
  <si>
    <t>2023-11-21</t>
  </si>
  <si>
    <t>2023-11-21T07:00:02</t>
  </si>
  <si>
    <t>2023-11-21T17:10:02</t>
  </si>
  <si>
    <t>21/11/2023 12:40</t>
  </si>
  <si>
    <t>11/03/2023 23:15</t>
  </si>
  <si>
    <t>2023-12-03</t>
  </si>
  <si>
    <t>2023-12-03T07:11:19</t>
  </si>
  <si>
    <t>2023-12-03T17:06:41</t>
  </si>
  <si>
    <t>03/12/2023 18:00</t>
  </si>
  <si>
    <t>2023-12-04</t>
  </si>
  <si>
    <t>2023-12-04T07:12:11</t>
  </si>
  <si>
    <t>2023-12-04T17:06:37</t>
  </si>
  <si>
    <t>04/12/2023 17:00</t>
  </si>
  <si>
    <t>2023-04-02</t>
  </si>
  <si>
    <t>2023-04-02T07:05:17</t>
  </si>
  <si>
    <t>2023-04-02T19:41:26</t>
  </si>
  <si>
    <t>02/04/2023 14:02</t>
  </si>
  <si>
    <t>06/12/2023 12:09</t>
  </si>
  <si>
    <t>2024-02-01</t>
  </si>
  <si>
    <t>2024-02-01T07:19:25</t>
  </si>
  <si>
    <t>2024-02-01T17:46:51</t>
  </si>
  <si>
    <t>01/02/2024 19:30</t>
  </si>
  <si>
    <t>2024-04-15</t>
  </si>
  <si>
    <t>2024-04-15T06:46:40</t>
  </si>
  <si>
    <t>2024-04-15T19:52:38</t>
  </si>
  <si>
    <t>15/04/2024 11:14</t>
  </si>
  <si>
    <t>2024-07-17</t>
  </si>
  <si>
    <t>2024-07-17T06:17:30</t>
  </si>
  <si>
    <t>2024-07-17T20:33:28</t>
  </si>
  <si>
    <t>17/07/2024 15:45</t>
  </si>
  <si>
    <t>2024-08-21</t>
  </si>
  <si>
    <t>2024-08-21T06:43:41</t>
  </si>
  <si>
    <t>2024-08-21T20:00:44</t>
  </si>
  <si>
    <t>21/08/2024 00:25</t>
  </si>
  <si>
    <t>2024-10-14</t>
  </si>
  <si>
    <t>2024-10-14T07:24:59</t>
  </si>
  <si>
    <t>2024-10-14T18:45:10</t>
  </si>
  <si>
    <t>14/10/2024 18:00</t>
  </si>
  <si>
    <t>2024-11-25</t>
  </si>
  <si>
    <t>2024-11-25T07:04:39</t>
  </si>
  <si>
    <t>2024-11-25T17:08:10</t>
  </si>
  <si>
    <t>25/11/2024 14:19</t>
  </si>
  <si>
    <t>2024-11-26</t>
  </si>
  <si>
    <t>2024-11-26T07:05:36</t>
  </si>
  <si>
    <t>2024-11-26T17:07:52</t>
  </si>
  <si>
    <t>26/11/2024 16:09</t>
  </si>
  <si>
    <t>2024-11-28</t>
  </si>
  <si>
    <t>2024-11-28T07:07:29</t>
  </si>
  <si>
    <t>2024-11-28T17:07:21</t>
  </si>
  <si>
    <t>28/11/2024 12:00</t>
  </si>
  <si>
    <t>2024-03-26</t>
  </si>
  <si>
    <t>2024-03-26T06:14:05</t>
  </si>
  <si>
    <t>2024-03-26T18:36:23</t>
  </si>
  <si>
    <t>26/03/2024 12:00</t>
  </si>
  <si>
    <t>2024-04-12</t>
  </si>
  <si>
    <t>2024-04-12T06:50:36</t>
  </si>
  <si>
    <t>2024-04-12T19:50:11</t>
  </si>
  <si>
    <t>12/04/2024 11:45</t>
  </si>
  <si>
    <t>2024-05-23</t>
  </si>
  <si>
    <t>2024-05-23T06:09:40</t>
  </si>
  <si>
    <t>2024-05-23T20:23:12</t>
  </si>
  <si>
    <t>09:27</t>
  </si>
  <si>
    <t>23/05/2024 09:27</t>
  </si>
  <si>
    <t>23/05/2024 14:53</t>
  </si>
  <si>
    <t>2024-06-20</t>
  </si>
  <si>
    <t>2024-06-20T06:04:49</t>
  </si>
  <si>
    <t>2024-06-20T20:37:27</t>
  </si>
  <si>
    <t>20/06/2024 09:27</t>
  </si>
  <si>
    <t>20/06/2024 11:41</t>
  </si>
  <si>
    <t>14:26</t>
  </si>
  <si>
    <t>20/06/2024 14:26</t>
  </si>
  <si>
    <t>2024-11-11</t>
  </si>
  <si>
    <t>2024-11-11T06:50:55</t>
  </si>
  <si>
    <t>2024-11-11T17:15:39</t>
  </si>
  <si>
    <t>11/11/2024 13:35</t>
  </si>
  <si>
    <t>2024-09-16</t>
  </si>
  <si>
    <t>2024-09-16T07:03:04</t>
  </si>
  <si>
    <t>2024-09-16T19:24:42</t>
  </si>
  <si>
    <t>00:18</t>
  </si>
  <si>
    <t>16/09/2024 00:18</t>
  </si>
  <si>
    <t>2024-04-07</t>
  </si>
  <si>
    <t>2024-04-07T06:57:19</t>
  </si>
  <si>
    <t>2024-04-07T19:46:07</t>
  </si>
  <si>
    <t>07/04/2024 16:45</t>
  </si>
  <si>
    <t>2024-08-20</t>
  </si>
  <si>
    <t>2024-08-20T06:42:56</t>
  </si>
  <si>
    <t>2024-08-20T20:01:59</t>
  </si>
  <si>
    <t>20/08/2024 16:50</t>
  </si>
  <si>
    <t>2024-03-21</t>
  </si>
  <si>
    <t>2024-03-21T06:21:11</t>
  </si>
  <si>
    <t>2024-03-21T18:32:17</t>
  </si>
  <si>
    <t>21/03/2024 15:24</t>
  </si>
  <si>
    <t>08:19</t>
  </si>
  <si>
    <t>15/04/2024 08:19</t>
  </si>
  <si>
    <t>2024-04-25</t>
  </si>
  <si>
    <t>2024-04-25T06:34:22</t>
  </si>
  <si>
    <t>2024-04-25T20:00:51</t>
  </si>
  <si>
    <t>25/04/2024 11:53</t>
  </si>
  <si>
    <t>2024-06-03</t>
  </si>
  <si>
    <t>2024-06-03T06:05:12</t>
  </si>
  <si>
    <t>2024-06-03T20:30:26</t>
  </si>
  <si>
    <t>03/06/2024 10:05</t>
  </si>
  <si>
    <t>2024-07-18</t>
  </si>
  <si>
    <t>2024-07-18T06:18:11</t>
  </si>
  <si>
    <t>2024-07-18T20:32:56</t>
  </si>
  <si>
    <t>18/07/2024 18:58</t>
  </si>
  <si>
    <t>19:41</t>
  </si>
  <si>
    <t>18/07/2024 19:41</t>
  </si>
  <si>
    <t>18/07/2024 20:00</t>
  </si>
  <si>
    <t>18/07/2024 23:05</t>
  </si>
  <si>
    <t>2024-11-08</t>
  </si>
  <si>
    <t>2024-11-08T06:47:58</t>
  </si>
  <si>
    <t>2024-11-08T17:17:59</t>
  </si>
  <si>
    <t>08/11/2024 19:04</t>
  </si>
  <si>
    <t>2024-12-11</t>
  </si>
  <si>
    <t>2024-12-11T07:18:27</t>
  </si>
  <si>
    <t>2024-12-11T17:07:13</t>
  </si>
  <si>
    <t>11/12/2024 14:44</t>
  </si>
  <si>
    <t>2024-12-12</t>
  </si>
  <si>
    <t>2024-12-12T07:19:10</t>
  </si>
  <si>
    <t>2024-12-12T17:07:26</t>
  </si>
  <si>
    <t>12/12/2024 11:11</t>
  </si>
  <si>
    <t>2024-03-24</t>
  </si>
  <si>
    <t>2024-03-24T06:16:55</t>
  </si>
  <si>
    <t>2024-03-24T18:34:45</t>
  </si>
  <si>
    <t>24/03/2024 15:39</t>
  </si>
  <si>
    <t>2024-06-26</t>
  </si>
  <si>
    <t>2024-06-26T06:06:26</t>
  </si>
  <si>
    <t>2024-06-26T20:38:18</t>
  </si>
  <si>
    <t>09:53</t>
  </si>
  <si>
    <t>26/06/2024 09:53</t>
  </si>
  <si>
    <t>2024-07-01</t>
  </si>
  <si>
    <t>2024-07-01T06:08:24</t>
  </si>
  <si>
    <t>2024-07-01T20:38:17</t>
  </si>
  <si>
    <t>01/07/2024 13:50</t>
  </si>
  <si>
    <t>2024-01-06</t>
  </si>
  <si>
    <t>2024-01-06T07:28:55</t>
  </si>
  <si>
    <t>2024-01-06T17:21:17</t>
  </si>
  <si>
    <t>06/01/2024 13:32</t>
  </si>
  <si>
    <t>2024-04-03</t>
  </si>
  <si>
    <t>2024-04-03T07:02:50</t>
  </si>
  <si>
    <t>2024-04-03T19:42:52</t>
  </si>
  <si>
    <t>03/04/2024 17:39</t>
  </si>
  <si>
    <t>07/04/2024 13:51</t>
  </si>
  <si>
    <t>2024-04-09</t>
  </si>
  <si>
    <t>2024-04-09T06:54:36</t>
  </si>
  <si>
    <t>2024-04-09T19:47:44</t>
  </si>
  <si>
    <t>09/04/2024 16:11</t>
  </si>
  <si>
    <t>2024-04-10</t>
  </si>
  <si>
    <t>2024-04-10T06:53:15</t>
  </si>
  <si>
    <t>2024-04-10T19:48:33</t>
  </si>
  <si>
    <t>10/04/2024 00:30</t>
  </si>
  <si>
    <t>2024-04-17</t>
  </si>
  <si>
    <t>2024-04-17T06:44:06</t>
  </si>
  <si>
    <t>2024-04-17T19:54:16</t>
  </si>
  <si>
    <t>17/04/2024 20:38</t>
  </si>
  <si>
    <t>2024-03-27</t>
  </si>
  <si>
    <t>2024-03-27T06:12:40</t>
  </si>
  <si>
    <t>2024-03-27T18:37:11</t>
  </si>
  <si>
    <t>27/03/2024 11:41</t>
  </si>
  <si>
    <t>12:16</t>
  </si>
  <si>
    <t>03/04/2024 12:16</t>
  </si>
  <si>
    <t>2024-06-07</t>
  </si>
  <si>
    <t>2024-06-07T06:04:25</t>
  </si>
  <si>
    <t>2024-06-07T20:32:37</t>
  </si>
  <si>
    <t>04:22</t>
  </si>
  <si>
    <t>07/06/2024 04:22</t>
  </si>
  <si>
    <t>2024-10-24</t>
  </si>
  <si>
    <t>2024-10-24T07:33:45</t>
  </si>
  <si>
    <t>2024-10-24T18:32:52</t>
  </si>
  <si>
    <t>24/10/2024 13:39</t>
  </si>
  <si>
    <t>07:21</t>
  </si>
  <si>
    <t>25/11/2024 07:21</t>
  </si>
  <si>
    <t>2024-08-17</t>
  </si>
  <si>
    <t>2024-08-17T06:40:38</t>
  </si>
  <si>
    <t>2024-08-17T20:05:40</t>
  </si>
  <si>
    <t>13:08</t>
  </si>
  <si>
    <t>17/08/2024 13:08</t>
  </si>
  <si>
    <t>2024-02-10</t>
  </si>
  <si>
    <t>2024-02-10T07:11:41</t>
  </si>
  <si>
    <t>2024-02-10T17:56:04</t>
  </si>
  <si>
    <t>10/02/2024 17:24</t>
  </si>
  <si>
    <t>2024-04-11</t>
  </si>
  <si>
    <t>2024-04-11T06:51:55</t>
  </si>
  <si>
    <t>2024-04-11T19:49:22</t>
  </si>
  <si>
    <t>11/04/2024 15:50</t>
  </si>
  <si>
    <t>01/07/2024 13:32</t>
  </si>
  <si>
    <t>2024-11-22</t>
  </si>
  <si>
    <t>2024-11-22T07:01:46</t>
  </si>
  <si>
    <t>2024-11-22T17:09:16</t>
  </si>
  <si>
    <t>22/11/2024 10:13</t>
  </si>
  <si>
    <t>2024-11-24</t>
  </si>
  <si>
    <t>2024-11-24T07:03:42</t>
  </si>
  <si>
    <t>2024-11-24T17:08:30</t>
  </si>
  <si>
    <t>12:08</t>
  </si>
  <si>
    <t>24/11/2024 12:08</t>
  </si>
  <si>
    <t>2024-05-21</t>
  </si>
  <si>
    <t>2024-05-21T06:10:49</t>
  </si>
  <si>
    <t>2024-05-21T20:21:44</t>
  </si>
  <si>
    <t>21/05/2024 19:50</t>
  </si>
  <si>
    <t>2024-07-02</t>
  </si>
  <si>
    <t>2024-07-02T06:08:51</t>
  </si>
  <si>
    <t>2024-07-02T20:38:12</t>
  </si>
  <si>
    <t>00:32</t>
  </si>
  <si>
    <t>02/07/2024 00:32</t>
  </si>
  <si>
    <t>26/11/2024 09:41</t>
  </si>
  <si>
    <t>28/11/2024 15:10</t>
  </si>
  <si>
    <t>2024-05-04</t>
  </si>
  <si>
    <t>2024-05-04T06:24:37</t>
  </si>
  <si>
    <t>2024-05-04T20:08:16</t>
  </si>
  <si>
    <t>11:08</t>
  </si>
  <si>
    <t>04/05/2024 11:08</t>
  </si>
  <si>
    <t>2024-05-08</t>
  </si>
  <si>
    <t>2024-05-08T06:20:47</t>
  </si>
  <si>
    <t>2024-05-08T20:11:33</t>
  </si>
  <si>
    <t>08/05/2024 15:32</t>
  </si>
  <si>
    <t>2024-06-04</t>
  </si>
  <si>
    <t>2024-06-04T06:04:58</t>
  </si>
  <si>
    <t>2024-06-04T20:31:00</t>
  </si>
  <si>
    <t>11:58</t>
  </si>
  <si>
    <t>04/06/2024 11:58</t>
  </si>
  <si>
    <t>2024-07-15</t>
  </si>
  <si>
    <t>2024-07-15T06:16:11</t>
  </si>
  <si>
    <t>2024-07-15T20:34:28</t>
  </si>
  <si>
    <t>16:37</t>
  </si>
  <si>
    <t>15/07/2024 16:37</t>
  </si>
  <si>
    <t>2024-08-12</t>
  </si>
  <si>
    <t>2024-08-12T06:36:48</t>
  </si>
  <si>
    <t>2024-08-12T20:11:30</t>
  </si>
  <si>
    <t>14:36</t>
  </si>
  <si>
    <t>12/08/2024 14:36</t>
  </si>
  <si>
    <t>2024-08-30</t>
  </si>
  <si>
    <t>2024-08-30T06:50:28</t>
  </si>
  <si>
    <t>2024-08-30T19:48:52</t>
  </si>
  <si>
    <t>30/08/2024 14:04</t>
  </si>
  <si>
    <t>2024-10-30</t>
  </si>
  <si>
    <t>2024-10-30T06:39:18</t>
  </si>
  <si>
    <t>2024-10-30T17:26:20</t>
  </si>
  <si>
    <t>30/10/2024 19:03</t>
  </si>
  <si>
    <t>2024-11-06</t>
  </si>
  <si>
    <t>2024-11-06T06:46:01</t>
  </si>
  <si>
    <t>2024-11-06T17:19:40</t>
  </si>
  <si>
    <t>11:01</t>
  </si>
  <si>
    <t>06/11/2024 11:01</t>
  </si>
  <si>
    <t>2024-11-19</t>
  </si>
  <si>
    <t>2024-11-19T06:58:50</t>
  </si>
  <si>
    <t>2024-11-19T17:10:39</t>
  </si>
  <si>
    <t>15:37</t>
  </si>
  <si>
    <t>19/11/2024 15:37</t>
  </si>
  <si>
    <t>2024-11-23</t>
  </si>
  <si>
    <t>2024-11-23T07:02:44</t>
  </si>
  <si>
    <t>2024-11-23T17:08:52</t>
  </si>
  <si>
    <t>23/11/2024 11:00</t>
  </si>
  <si>
    <t>2024-01-03</t>
  </si>
  <si>
    <t>2024-01-03T07:28:39</t>
  </si>
  <si>
    <t>2024-01-03T17:18:49</t>
  </si>
  <si>
    <t>03/01/2024 17:35</t>
  </si>
  <si>
    <t>18:07</t>
  </si>
  <si>
    <t>01/07/2024 18:07</t>
  </si>
  <si>
    <t>2024-02-05</t>
  </si>
  <si>
    <t>2024-02-05T07:16:13</t>
  </si>
  <si>
    <t>2024-02-05T17:50:59</t>
  </si>
  <si>
    <t>05/02/2024 17:20</t>
  </si>
  <si>
    <t>2024-03-19</t>
  </si>
  <si>
    <t>2024-03-19T06:24:01</t>
  </si>
  <si>
    <t>2024-03-19T18:30:38</t>
  </si>
  <si>
    <t>19/03/2024 14:20</t>
  </si>
  <si>
    <t>2024-04-06</t>
  </si>
  <si>
    <t>2024-04-06T06:58:41</t>
  </si>
  <si>
    <t>2024-04-06T19:45:18</t>
  </si>
  <si>
    <t>06/04/2024 15:52</t>
  </si>
  <si>
    <t>12/04/2024 14:09</t>
  </si>
  <si>
    <t>2024-05-03</t>
  </si>
  <si>
    <t>2024-05-03T06:25:38</t>
  </si>
  <si>
    <t>2024-05-03T20:07:27</t>
  </si>
  <si>
    <t>17:06</t>
  </si>
  <si>
    <t>03/05/2024 17:06</t>
  </si>
  <si>
    <t>2024-06-05</t>
  </si>
  <si>
    <t>2024-06-05T06:04:45</t>
  </si>
  <si>
    <t>2024-06-05T20:31:33</t>
  </si>
  <si>
    <t>05/06/2024 15:30</t>
  </si>
  <si>
    <t>2024-06-21</t>
  </si>
  <si>
    <t>2024-06-21T06:05:02</t>
  </si>
  <si>
    <t>2024-06-21T20:37:39</t>
  </si>
  <si>
    <t>07:16</t>
  </si>
  <si>
    <t>21/06/2024 07:16</t>
  </si>
  <si>
    <t>2024-06-23</t>
  </si>
  <si>
    <t>2024-06-23T06:05:32</t>
  </si>
  <si>
    <t>2024-06-23T20:38:00</t>
  </si>
  <si>
    <t>23/06/2024 14:18</t>
  </si>
  <si>
    <t>2024-06-25</t>
  </si>
  <si>
    <t>2024-06-25T06:06:07</t>
  </si>
  <si>
    <t>2024-06-25T20:38:14</t>
  </si>
  <si>
    <t>25/06/2024 13:14</t>
  </si>
  <si>
    <t>09:52</t>
  </si>
  <si>
    <t>15/07/2024 09:52</t>
  </si>
  <si>
    <t>17/08/2024 15:17</t>
  </si>
  <si>
    <t>2024-09-04</t>
  </si>
  <si>
    <t>2024-09-04T06:54:11</t>
  </si>
  <si>
    <t>2024-09-04T19:41:56</t>
  </si>
  <si>
    <t>04/09/2024 20:38</t>
  </si>
  <si>
    <t>2024-01-20</t>
  </si>
  <si>
    <t>2024-01-20T07:26:22</t>
  </si>
  <si>
    <t>2024-01-20T17:34:30</t>
  </si>
  <si>
    <t>18:51</t>
  </si>
  <si>
    <t>20/01/2024 18:51</t>
  </si>
  <si>
    <t>2024-02-08</t>
  </si>
  <si>
    <t>2024-02-08T07:13:34</t>
  </si>
  <si>
    <t>2024-02-08T17:54:02</t>
  </si>
  <si>
    <t>08/02/2024 16:24</t>
  </si>
  <si>
    <t>2024-02-23</t>
  </si>
  <si>
    <t>2024-02-23T06:57:28</t>
  </si>
  <si>
    <t>2024-02-23T18:08:44</t>
  </si>
  <si>
    <t>23/02/2024 09:50</t>
  </si>
  <si>
    <t>2024-02-29</t>
  </si>
  <si>
    <t>2024-02-29T06:49:58</t>
  </si>
  <si>
    <t>2024-02-29T18:14:16</t>
  </si>
  <si>
    <t>29/02/2024 17:00</t>
  </si>
  <si>
    <t>2024-04-19</t>
  </si>
  <si>
    <t>2024-04-19T06:41:35</t>
  </si>
  <si>
    <t>2024-04-19T19:55:54</t>
  </si>
  <si>
    <t>19/04/2024 21:04</t>
  </si>
  <si>
    <t>2024-07-25</t>
  </si>
  <si>
    <t>2024-07-25T06:23:08</t>
  </si>
  <si>
    <t>2024-07-25T20:28:25</t>
  </si>
  <si>
    <t>25/07/2024 11:10</t>
  </si>
  <si>
    <t>2024-09-25</t>
  </si>
  <si>
    <t>2024-09-25T07:09:50</t>
  </si>
  <si>
    <t>2024-09-25T19:11:36</t>
  </si>
  <si>
    <t>23:08</t>
  </si>
  <si>
    <t>25/09/2024 23:08</t>
  </si>
  <si>
    <t>2024-10-04</t>
  </si>
  <si>
    <t>2024-10-04T07:16:48</t>
  </si>
  <si>
    <t>2024-10-04T18:58:44</t>
  </si>
  <si>
    <t>23:44</t>
  </si>
  <si>
    <t>04/10/2024 23:44</t>
  </si>
  <si>
    <t>2024-01-05</t>
  </si>
  <si>
    <t>2024-01-05T07:28:51</t>
  </si>
  <si>
    <t>2024-01-05T17:20:27</t>
  </si>
  <si>
    <t>05/01/2024 13:00</t>
  </si>
  <si>
    <t>2024-01-19</t>
  </si>
  <si>
    <t>2024-01-19T07:26:46</t>
  </si>
  <si>
    <t>2024-01-19T17:33:29</t>
  </si>
  <si>
    <t>19/01/2024 14:50</t>
  </si>
  <si>
    <t>20/01/2024 03:40</t>
  </si>
  <si>
    <t>13:16</t>
  </si>
  <si>
    <t>27/03/2024 13:16</t>
  </si>
  <si>
    <t>2024-03-30</t>
  </si>
  <si>
    <t>2024-03-30T06:08:26</t>
  </si>
  <si>
    <t>2024-03-30T18:39:38</t>
  </si>
  <si>
    <t>30/03/2024 12:07</t>
  </si>
  <si>
    <t>2024-03-31</t>
  </si>
  <si>
    <t>2024-03-31T07:07:02</t>
  </si>
  <si>
    <t>2024-03-31T19:40:26</t>
  </si>
  <si>
    <t>16:27</t>
  </si>
  <si>
    <t>31/03/2024 16:27</t>
  </si>
  <si>
    <t>2024-08-26</t>
  </si>
  <si>
    <t>2024-08-26T06:47:28</t>
  </si>
  <si>
    <t>2024-08-26T19:54:15</t>
  </si>
  <si>
    <t>26/08/2024 11:01</t>
  </si>
  <si>
    <t>06:50</t>
  </si>
  <si>
    <t>06/04/2024 06:50</t>
  </si>
  <si>
    <t>2025-01-06</t>
  </si>
  <si>
    <t>2025-01-06T07:28:57</t>
  </si>
  <si>
    <t>2025-01-06T17:21:57</t>
  </si>
  <si>
    <t>2025-01-11</t>
  </si>
  <si>
    <t>2025-01-11T07:28:38</t>
  </si>
  <si>
    <t>2025-01-11T17:26:27</t>
  </si>
  <si>
    <t>2025-01-20</t>
  </si>
  <si>
    <t>2025-01-20T07:26:04</t>
  </si>
  <si>
    <t>2025-01-20T17:35:16</t>
  </si>
  <si>
    <t>2025-01-22</t>
  </si>
  <si>
    <t>2025-01-22T07:25:09</t>
  </si>
  <si>
    <t>2025-01-22T17:37:19</t>
  </si>
  <si>
    <t>2025-01-25</t>
  </si>
  <si>
    <t>2025-01-25T07:23:34</t>
  </si>
  <si>
    <t>2025-01-25T17:40:24</t>
  </si>
  <si>
    <t>2025-01-27</t>
  </si>
  <si>
    <t>2025-01-27T07:22:21</t>
  </si>
  <si>
    <t>2025-01-27T17:42:28</t>
  </si>
  <si>
    <t>2025-02-05</t>
  </si>
  <si>
    <t>2025-02-05T07:15:35</t>
  </si>
  <si>
    <t>2025-02-05T17:51:46</t>
  </si>
  <si>
    <t>2025-02-08</t>
  </si>
  <si>
    <t>2025-02-08T07:12:52</t>
  </si>
  <si>
    <t>2025-02-08T17:54:49</t>
  </si>
  <si>
    <t>2025-02-09</t>
  </si>
  <si>
    <t>2025-02-09T07:11:55</t>
  </si>
  <si>
    <t>2025-02-09T17:55:50</t>
  </si>
  <si>
    <t>Cloudy skies throughout the day with a chance of rain throughout the day.</t>
  </si>
  <si>
    <t>2025-02-24</t>
  </si>
  <si>
    <t>2025-02-24T06:55:20</t>
  </si>
  <si>
    <t>2025-02-24T18:10:24</t>
  </si>
  <si>
    <t>2025-03-02</t>
  </si>
  <si>
    <t>2025-03-02T06:47:42</t>
  </si>
  <si>
    <t>2025-03-02T18:15:52</t>
  </si>
  <si>
    <t>2025-03-07</t>
  </si>
  <si>
    <t>2025-03-07T06:41:03</t>
  </si>
  <si>
    <t>2025-03-07T18:20:17</t>
  </si>
  <si>
    <t>2025-03-10</t>
  </si>
  <si>
    <t>2025-03-10T06:36:57</t>
  </si>
  <si>
    <t>2025-03-10T18:22:52</t>
  </si>
  <si>
    <t>2025-03-12</t>
  </si>
  <si>
    <t>2025-03-12T06:34:11</t>
  </si>
  <si>
    <t>2025-03-12T18:24:35</t>
  </si>
  <si>
    <t>2025-03-16</t>
  </si>
  <si>
    <t>2025-03-16T06:28:36</t>
  </si>
  <si>
    <t>2025-03-16T18:27:57</t>
  </si>
  <si>
    <t>2025-03-15</t>
  </si>
  <si>
    <t>2025-03-15T06:30:00</t>
  </si>
  <si>
    <t>2025-03-15T18:27:07</t>
  </si>
  <si>
    <t>2025-03-21</t>
  </si>
  <si>
    <t>2025-03-21T06:21:32</t>
  </si>
  <si>
    <t>2025-03-21T18:32:06</t>
  </si>
  <si>
    <t>2025-03-22</t>
  </si>
  <si>
    <t>2025-03-22T06:20:07</t>
  </si>
  <si>
    <t>2025-03-22T18:32:55</t>
  </si>
  <si>
    <t>2025-03-25</t>
  </si>
  <si>
    <t>2025-03-25T06:15:51</t>
  </si>
  <si>
    <t>2025-03-25T18:35:22</t>
  </si>
  <si>
    <t>2025-03-26</t>
  </si>
  <si>
    <t>2025-03-26T06:14:26</t>
  </si>
  <si>
    <t>2025-03-26T18:36:11</t>
  </si>
  <si>
    <t>2025-03-27</t>
  </si>
  <si>
    <t>2025-03-27T06:13:01</t>
  </si>
  <si>
    <t>2025-03-27T18:37:00</t>
  </si>
  <si>
    <t>2025-03-23</t>
  </si>
  <si>
    <t>2025-03-23T06:18:42</t>
  </si>
  <si>
    <t>2025-03-23T18:33:44</t>
  </si>
  <si>
    <t>2025-04-01</t>
  </si>
  <si>
    <t>2025-04-01T07:05:58</t>
  </si>
  <si>
    <t>2025-04-01T19:41:04</t>
  </si>
  <si>
    <t>2025-03-28</t>
  </si>
  <si>
    <t>2025-03-28T06:11:36</t>
  </si>
  <si>
    <t>2025-03-28T18:37:49</t>
  </si>
  <si>
    <t>2025-04-07</t>
  </si>
  <si>
    <t>2025-04-07T06:57:40</t>
  </si>
  <si>
    <t>2025-04-07T19:45:56</t>
  </si>
  <si>
    <t>2025-04-06</t>
  </si>
  <si>
    <t>2025-04-06T06:59:02</t>
  </si>
  <si>
    <t>2025-04-06T19:45:07</t>
  </si>
  <si>
    <t>2025-04-17</t>
  </si>
  <si>
    <t>2025-04-17T06:44:25</t>
  </si>
  <si>
    <t>2025-04-17T19:54:05</t>
  </si>
  <si>
    <t>2025-04-19</t>
  </si>
  <si>
    <t>2025-04-19T06:41:54</t>
  </si>
  <si>
    <t>2025-04-19T19:55:43</t>
  </si>
  <si>
    <t>2025-04-20</t>
  </si>
  <si>
    <t>2025-04-20T06:40:39</t>
  </si>
  <si>
    <t>2025-04-20T19:56:33</t>
  </si>
  <si>
    <t>2025-03-18</t>
  </si>
  <si>
    <t>2025-03-18T06:25:47</t>
  </si>
  <si>
    <t>2025-03-18T18:29:37</t>
  </si>
  <si>
    <t>2025-04-30</t>
  </si>
  <si>
    <t>2025-04-30T06:29:03</t>
  </si>
  <si>
    <t>2025-04-30T20:04:48</t>
  </si>
  <si>
    <t>2025-05-03</t>
  </si>
  <si>
    <t>2025-05-03T06:25:53</t>
  </si>
  <si>
    <t>2025-05-03T20:07:16</t>
  </si>
  <si>
    <t>2025-05-04</t>
  </si>
  <si>
    <t>2025-05-04T06:24:53</t>
  </si>
  <si>
    <t>2025-05-04T20:08:05</t>
  </si>
  <si>
    <t>2025-06-04</t>
  </si>
  <si>
    <t>2025-06-04T06:05:02</t>
  </si>
  <si>
    <t>2025-06-04T20:30:53</t>
  </si>
  <si>
    <t>2025-06-05</t>
  </si>
  <si>
    <t>2025-06-05T06:04:49</t>
  </si>
  <si>
    <t>2025-06-05T20:31:26</t>
  </si>
  <si>
    <t>2025-06-21</t>
  </si>
  <si>
    <t>2025-06-21T06:04:59</t>
  </si>
  <si>
    <t>2025-06-21T20:37:37</t>
  </si>
  <si>
    <t>2025-06-14</t>
  </si>
  <si>
    <t>2025-06-14T06:04:05</t>
  </si>
  <si>
    <t>2025-06-14T20:35:36</t>
  </si>
  <si>
    <t>2025-06-18</t>
  </si>
  <si>
    <t>2025-06-18T06:04:27</t>
  </si>
  <si>
    <t>2025-06-18T20:36:54</t>
  </si>
  <si>
    <t>2025-06-22</t>
  </si>
  <si>
    <t>2025-06-22T06:05:13</t>
  </si>
  <si>
    <t>2025-06-22T20:37:49</t>
  </si>
  <si>
    <t>2025-06-23</t>
  </si>
  <si>
    <t>2025-06-23T06:05:28</t>
  </si>
  <si>
    <t>2025-06-23T20:37:58</t>
  </si>
  <si>
    <t>2025-06-28</t>
  </si>
  <si>
    <t>2025-06-28T06:07:05</t>
  </si>
  <si>
    <t>2025-06-28T20:38:23</t>
  </si>
  <si>
    <t>2025-06-16</t>
  </si>
  <si>
    <t>2025-06-16T06:04:13</t>
  </si>
  <si>
    <t>2025-06-16T20:36:18</t>
  </si>
  <si>
    <t>2025-07-02</t>
  </si>
  <si>
    <t>2025-07-02T06:08:45</t>
  </si>
  <si>
    <t>2025-07-02T20:38:14</t>
  </si>
  <si>
    <t>2025-07-03</t>
  </si>
  <si>
    <t>2025-07-03T06:09:13</t>
  </si>
  <si>
    <t>2025-07-03T20:38:07</t>
  </si>
  <si>
    <t>2025-06-26</t>
  </si>
  <si>
    <t>2025-06-26T06:06:22</t>
  </si>
  <si>
    <t>2025-06-26T20:38:18</t>
  </si>
  <si>
    <t>2025-06-27</t>
  </si>
  <si>
    <t>2025-06-27T06:06:43</t>
  </si>
  <si>
    <t>2025-06-27T20:38:22</t>
  </si>
  <si>
    <t>2025-07-10</t>
  </si>
  <si>
    <t>2025-07-10T06:12:57</t>
  </si>
  <si>
    <t>2025-07-10T20:36:34</t>
  </si>
  <si>
    <t>2025-07-16</t>
  </si>
  <si>
    <t>2025-07-16T06:16:41</t>
  </si>
  <si>
    <t>2025-07-16T20:34:07</t>
  </si>
  <si>
    <t>2025-07-18</t>
  </si>
  <si>
    <t>2025-07-18T06:18:02</t>
  </si>
  <si>
    <t>2025-07-18T20:33:05</t>
  </si>
  <si>
    <t>2025-07-31</t>
  </si>
  <si>
    <t>2025-07-31T06:27:27</t>
  </si>
  <si>
    <t>2025-07-31T20:23:48</t>
  </si>
  <si>
    <t>2025-07-26</t>
  </si>
  <si>
    <t>2025-07-26T06:23:43</t>
  </si>
  <si>
    <t>2025-07-26T20:27:52</t>
  </si>
  <si>
    <t>2025-07-29</t>
  </si>
  <si>
    <t>2025-07-29T06:25:56</t>
  </si>
  <si>
    <t>2025-07-29T20:25:30</t>
  </si>
  <si>
    <t>2025-08-06</t>
  </si>
  <si>
    <t>2025-08-06T06:32:01</t>
  </si>
  <si>
    <t>2025-08-06T20:18:10</t>
  </si>
  <si>
    <t>2025-08-07</t>
  </si>
  <si>
    <t>2025-08-07T06:32:47</t>
  </si>
  <si>
    <t>2025-08-07T20:17:09</t>
  </si>
  <si>
    <t>2025-08-08</t>
  </si>
  <si>
    <t>2025-08-08T06:33:33</t>
  </si>
  <si>
    <t>2025-08-08T20:16:07</t>
  </si>
  <si>
    <t>2025-08-02</t>
  </si>
  <si>
    <t>2025-08-02T06:28:58</t>
  </si>
  <si>
    <t>2025-08-02T20:22:00</t>
  </si>
  <si>
    <t>2025-08-09</t>
  </si>
  <si>
    <t>2025-08-09T06:34:20</t>
  </si>
  <si>
    <t>2025-08-09T20:15:03</t>
  </si>
  <si>
    <t>2025-08-21</t>
  </si>
  <si>
    <t>2025-08-21T06:43:31</t>
  </si>
  <si>
    <t>2025-08-21T20:01:03</t>
  </si>
  <si>
    <t>2025-08-16</t>
  </si>
  <si>
    <t>2025-08-16T06:39:42</t>
  </si>
  <si>
    <t>2025-08-16T20:07:10</t>
  </si>
  <si>
    <t>2025-09-06</t>
  </si>
  <si>
    <t>2025-09-06T06:55:30</t>
  </si>
  <si>
    <t>2025-09-06T19:39:28</t>
  </si>
  <si>
    <t>2025-09-09</t>
  </si>
  <si>
    <t>2025-09-09T06:57:44</t>
  </si>
  <si>
    <t>2025-09-09T19:35:11</t>
  </si>
  <si>
    <t>2025-09-12</t>
  </si>
  <si>
    <t>2025-09-12T06:59:57</t>
  </si>
  <si>
    <t>2025-09-12T19:30:52</t>
  </si>
  <si>
    <t>2025-09-17</t>
  </si>
  <si>
    <t>2025-09-17T07:03:39</t>
  </si>
  <si>
    <t>2025-09-17T19:23:36</t>
  </si>
  <si>
    <t>2025-09-21</t>
  </si>
  <si>
    <t>2025-09-21T07:06:38</t>
  </si>
  <si>
    <t>2025-09-21T19:17:46</t>
  </si>
  <si>
    <t>2025-09-19</t>
  </si>
  <si>
    <t>2025-09-19T07:05:09</t>
  </si>
  <si>
    <t>2025-09-19T19:20:41</t>
  </si>
  <si>
    <t>2025-09-29</t>
  </si>
  <si>
    <t>2025-09-29T07:12:43</t>
  </si>
  <si>
    <t>2025-09-29T19:06:11</t>
  </si>
  <si>
    <t>2025-09-16</t>
  </si>
  <si>
    <t>2025-09-16T07:02:55</t>
  </si>
  <si>
    <t>2025-09-16T19:25:03</t>
  </si>
  <si>
    <t>2025-10-02</t>
  </si>
  <si>
    <t>2025-10-02T07:15:03</t>
  </si>
  <si>
    <t>2025-10-02T19:01:54</t>
  </si>
  <si>
    <t>2025-08-29</t>
  </si>
  <si>
    <t>2025-08-29T06:49:33</t>
  </si>
  <si>
    <t>2025-08-29T19:50:34</t>
  </si>
  <si>
    <t>2025-07-28</t>
  </si>
  <si>
    <t>2025-07-28T06:25:12</t>
  </si>
  <si>
    <t>2025-07-28T20:26:19</t>
  </si>
  <si>
    <t>2025-10-01</t>
  </si>
  <si>
    <t>2025-10-01T07:14:16</t>
  </si>
  <si>
    <t>2025-10-01T19:03:20</t>
  </si>
  <si>
    <t>2025-10-12</t>
  </si>
  <si>
    <t>2025-10-12T07:23:07</t>
  </si>
  <si>
    <t>2025-10-12T18:48:08</t>
  </si>
  <si>
    <t>2025-06-10</t>
  </si>
  <si>
    <t>2025-06-10T06:04:08</t>
  </si>
  <si>
    <t>2025-06-10T20:33:57</t>
  </si>
  <si>
    <t>2025-08-17</t>
  </si>
  <si>
    <t>2025-08-17T06:40:28</t>
  </si>
  <si>
    <t>2025-08-17T20:05:58</t>
  </si>
  <si>
    <t>2025-09-10</t>
  </si>
  <si>
    <t>2025-09-10T06:58:28</t>
  </si>
  <si>
    <t>2025-09-10T19:33:45</t>
  </si>
  <si>
    <t>2025-10-17</t>
  </si>
  <si>
    <t>2025-10-17T07:27:21</t>
  </si>
  <si>
    <t>2025-10-17T18:41:38</t>
  </si>
  <si>
    <t>2025-10-03</t>
  </si>
  <si>
    <t>2025-10-03T07:15:50</t>
  </si>
  <si>
    <t>2025-10-03T19:00:30</t>
  </si>
  <si>
    <t>2025-10-19</t>
  </si>
  <si>
    <t>2025-10-19T07:29:05</t>
  </si>
  <si>
    <t>2025-10-19T18:39:08</t>
  </si>
  <si>
    <t>2025-10-22</t>
  </si>
  <si>
    <t>2025-10-22T07:31:44</t>
  </si>
  <si>
    <t>2025-10-22T18:35:30</t>
  </si>
  <si>
    <t>2025-10-31</t>
  </si>
  <si>
    <t>2025-10-31T06:40:01</t>
  </si>
  <si>
    <t>2025-10-31T17:25:34</t>
  </si>
  <si>
    <t>2025-11-03</t>
  </si>
  <si>
    <t>2025-11-03T06:42:53</t>
  </si>
  <si>
    <t>2025-11-03T17:22:37</t>
  </si>
  <si>
    <t>2025-11-11</t>
  </si>
  <si>
    <t>2025-11-11T06:50:41</t>
  </si>
  <si>
    <t>2025-11-11T17:15:50</t>
  </si>
  <si>
    <t>2025-09-04</t>
  </si>
  <si>
    <t>2025-09-04T06:54:01</t>
  </si>
  <si>
    <t>2025-09-04T19:42:17</t>
  </si>
  <si>
    <t>2025-11-16</t>
  </si>
  <si>
    <t>2025-11-16T06:55:38</t>
  </si>
  <si>
    <t>2025-11-16T17:12:27</t>
  </si>
  <si>
    <t>2025-11-17</t>
  </si>
  <si>
    <t>2025-11-17T06:56:38</t>
  </si>
  <si>
    <t>2025-11-17T17:11:52</t>
  </si>
  <si>
    <t>2025-11-20</t>
  </si>
  <si>
    <t>2025-11-20T06:59:35</t>
  </si>
  <si>
    <t>2025-11-20T17:10:17</t>
  </si>
  <si>
    <t>2025-11-21</t>
  </si>
  <si>
    <t>2025-11-21T07:00:34</t>
  </si>
  <si>
    <t>2025-11-21T17:09:49</t>
  </si>
  <si>
    <t>2025-11-23</t>
  </si>
  <si>
    <t>2025-11-23T07:02:30</t>
  </si>
  <si>
    <t>2025-11-23T17:08:58</t>
  </si>
  <si>
    <t>Becoming cloudy in the afternoon with rain.</t>
  </si>
  <si>
    <t>2025-11-25</t>
  </si>
  <si>
    <t>2025-11-25T07:04:26</t>
  </si>
  <si>
    <t>2025-11-25T17:08:15</t>
  </si>
  <si>
    <t>2025-11-27</t>
  </si>
  <si>
    <t>2025-11-27T07:06:20</t>
  </si>
  <si>
    <t>2025-11-27T17:07:40</t>
  </si>
  <si>
    <t>2025-11-22</t>
  </si>
  <si>
    <t>2025-11-22T07:01:32</t>
  </si>
  <si>
    <t>2025-11-22T17:09:22</t>
  </si>
  <si>
    <t>2025-12-13</t>
  </si>
  <si>
    <t>2025-12-13T07:19:43</t>
  </si>
  <si>
    <t>2025-12-13T17:07:38</t>
  </si>
  <si>
    <t>2025-11-26</t>
  </si>
  <si>
    <t>2025-11-26T07:05:23</t>
  </si>
  <si>
    <t>2025-11-26T17:07:56</t>
  </si>
  <si>
    <t>2025-12-04</t>
  </si>
  <si>
    <t>2025-12-04T07:12:39</t>
  </si>
  <si>
    <t>2025-12-04T17:06:37</t>
  </si>
  <si>
    <t>2025-12-14</t>
  </si>
  <si>
    <t>2025-12-14T07:20:24</t>
  </si>
  <si>
    <t>2025-12-14T17:07:54</t>
  </si>
  <si>
    <t>2025-12-15</t>
  </si>
  <si>
    <t>2025-12-15T07:21:04</t>
  </si>
  <si>
    <t>2025-12-15T17:08:13</t>
  </si>
  <si>
    <t>2025-12-16</t>
  </si>
  <si>
    <t>2025-12-16T07:21:43</t>
  </si>
  <si>
    <t>2025-12-16T17:08:33</t>
  </si>
  <si>
    <t>2025-12-19</t>
  </si>
  <si>
    <t>2025-12-19T07:23:30</t>
  </si>
  <si>
    <t>2025-12-19T17:09:44</t>
  </si>
  <si>
    <t>2025-10-27</t>
  </si>
  <si>
    <t>2025-10-27T06:36:17</t>
  </si>
  <si>
    <t>2025-10-27T17:29:47</t>
  </si>
  <si>
    <t>2025-07-27</t>
  </si>
  <si>
    <t>2025-07-27T06:24:27</t>
  </si>
  <si>
    <t>2025-07-27T20:27:06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</si>
  <si>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</si>
  <si>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</si>
  <si>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</si>
  <si>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</si>
  <si>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</si>
  <si>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</si>
  <si>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</si>
  <si>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</si>
  <si>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</si>
  <si>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</si>
  <si>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</si>
  <si>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</si>
  <si>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</si>
  <si>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norm_tempmax</t>
  </si>
  <si>
    <t>Class_anomaly</t>
  </si>
  <si>
    <t>class_heat</t>
  </si>
  <si>
    <t>class_low</t>
  </si>
  <si>
    <t>norm_base_humiditystart</t>
  </si>
  <si>
    <t>norm_base_humidityend</t>
  </si>
  <si>
    <t>Class_humidityanomaly</t>
  </si>
  <si>
    <t>class_highhumidity</t>
  </si>
  <si>
    <t>class_lowhumidity</t>
  </si>
  <si>
    <t>norm_base_windspeedstart</t>
  </si>
  <si>
    <t>norm_base_windspeedend</t>
  </si>
  <si>
    <t>Class_windspeedanomaly</t>
  </si>
  <si>
    <t>class_highhwindspeed</t>
  </si>
  <si>
    <t>class_lowwindspeed</t>
  </si>
  <si>
    <t>Final_effects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</si>
</sst>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1" fontId="0" fillId="0" borderId="0" xfId="0" applyNumberFormat="1"/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1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894"/>
  <sheetViews>
    <sheetView tabSelected="1" topLeftCell="AQ1" workbookViewId="0">
      <selection activeCell="BE2" sqref="BE2"/>
    </sheetView>
  </sheetViews>
  <sheetFormatPr defaultRowHeight="15" x14ac:dyDescent="0.25"/>
  <cols>
    <col min="6" max="6" width="15.28515625" bestFit="1" customWidth="1"/>
    <col min="7" max="7" width="14.140625" bestFit="1" customWidth="1"/>
    <col min="8" max="9" width="14.140625" customWidth="1"/>
    <col min="16" max="16" width="10.85546875" bestFit="1" customWidth="1"/>
    <col min="17" max="17" width="24.28515625" bestFit="1" customWidth="1"/>
    <col min="18" max="18" width="23.7109375" bestFit="1" customWidth="1"/>
    <col min="19" max="19" width="22.42578125" bestFit="1" customWidth="1"/>
    <col min="20" max="20" width="18.28515625" bestFit="1" customWidth="1"/>
    <col min="21" max="21" width="17.7109375" bestFit="1" customWidth="1"/>
    <col min="29" max="30" width="10.85546875" bestFit="1" customWidth="1"/>
    <col min="31" max="31" width="26.28515625" bestFit="1" customWidth="1"/>
    <col min="32" max="32" width="25.7109375" bestFit="1" customWidth="1"/>
    <col min="33" max="33" width="24.28515625" bestFit="1" customWidth="1"/>
    <col min="34" max="34" width="21.42578125" bestFit="1" customWidth="1"/>
    <col min="35" max="35" width="19.5703125" bestFit="1" customWidth="1"/>
    <col min="53" max="53" width="18.140625" bestFit="1" customWidth="1"/>
    <col min="56" max="56" width="17.85546875" bestFit="1" customWidth="1"/>
    <col min="57" max="57" width="12.42578125" bestFit="1" customWidth="1"/>
  </cols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s="3" t="s">
        <v>9901</v>
      </c>
      <c r="F1" s="3" t="s">
        <v>9914</v>
      </c>
      <c r="G1" s="4" t="s">
        <v>9915</v>
      </c>
      <c r="H1" s="4" t="s">
        <v>9916</v>
      </c>
      <c r="I1" s="4" t="s">
        <v>9917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s="5" t="s">
        <v>9901</v>
      </c>
      <c r="Q1" s="5" t="s">
        <v>9918</v>
      </c>
      <c r="R1" s="5" t="s">
        <v>9919</v>
      </c>
      <c r="S1" s="6" t="s">
        <v>9920</v>
      </c>
      <c r="T1" s="6" t="s">
        <v>9921</v>
      </c>
      <c r="U1" s="6" t="s">
        <v>9922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s="5" t="s">
        <v>9901</v>
      </c>
      <c r="AE1" s="5" t="s">
        <v>9923</v>
      </c>
      <c r="AF1" s="5" t="s">
        <v>9924</v>
      </c>
      <c r="AG1" s="6" t="s">
        <v>9925</v>
      </c>
      <c r="AH1" s="6" t="s">
        <v>9926</v>
      </c>
      <c r="AI1" s="6" t="s">
        <v>9927</v>
      </c>
      <c r="AJ1" t="s">
        <v>18</v>
      </c>
      <c r="AK1" t="s">
        <v>19</v>
      </c>
      <c r="AL1" t="s">
        <v>20</v>
      </c>
      <c r="AM1" t="s">
        <v>21</v>
      </c>
      <c r="AN1" t="s">
        <v>22</v>
      </c>
      <c r="AO1" t="s">
        <v>23</v>
      </c>
      <c r="AP1" t="s">
        <v>24</v>
      </c>
      <c r="AQ1" t="s">
        <v>25</v>
      </c>
      <c r="AR1" t="s">
        <v>26</v>
      </c>
      <c r="AS1" t="s">
        <v>27</v>
      </c>
      <c r="AT1" t="s">
        <v>28</v>
      </c>
      <c r="AU1" t="s">
        <v>29</v>
      </c>
      <c r="AV1" t="s">
        <v>30</v>
      </c>
      <c r="AW1" t="s">
        <v>31</v>
      </c>
      <c r="AX1" t="s">
        <v>32</v>
      </c>
      <c r="AY1" t="s">
        <v>33</v>
      </c>
      <c r="AZ1" t="s">
        <v>34</v>
      </c>
      <c r="BA1" t="s">
        <v>35</v>
      </c>
      <c r="BB1" t="s">
        <v>36</v>
      </c>
      <c r="BC1" t="s">
        <v>37</v>
      </c>
      <c r="BD1" t="s">
        <v>38</v>
      </c>
      <c r="BE1" t="s">
        <v>9928</v>
      </c>
    </row>
    <row r="2" spans="1:57" x14ac:dyDescent="0.25">
      <c r="A2" t="s">
        <v>39</v>
      </c>
      <c r="B2" t="s">
        <v>40</v>
      </c>
      <c r="C2">
        <v>71.7</v>
      </c>
      <c r="D2">
        <v>57.3</v>
      </c>
      <c r="E2" t="s">
        <v>9902</v>
      </c>
      <c r="F2">
        <v>58.832258064516132</v>
      </c>
      <c r="G2">
        <f>IF(ABS(C2-INDEX($F$2:$F$13,MONTH(B2)))&gt;1.8,1,0)</f>
        <v>1</v>
      </c>
      <c r="H2">
        <f>IF(C2&gt;=INDEX($F$2:$F$13,MONTH(B2))+1.8,1,0)</f>
        <v>0</v>
      </c>
      <c r="I2">
        <f>IF(C2&lt;=INDEX($F$2:$F$13,MONTH(B2))-1.8,1,0)</f>
        <v>1</v>
      </c>
      <c r="J2">
        <v>65.7</v>
      </c>
      <c r="K2">
        <v>71.7</v>
      </c>
      <c r="L2">
        <v>57.3</v>
      </c>
      <c r="M2">
        <v>65.7</v>
      </c>
      <c r="N2">
        <v>54.6</v>
      </c>
      <c r="O2">
        <v>68.900000000000006</v>
      </c>
      <c r="P2" t="s">
        <v>9902</v>
      </c>
      <c r="Q2">
        <v>66.951121605667055</v>
      </c>
      <c r="R2">
        <v>69.500215517241372</v>
      </c>
      <c r="S2">
        <f>IF(OR(O2&lt;INDEX($Q$2:$Q$13,MONTH(B2)),O2&gt;INDEX($R$2:$R$13,MONTH(B2))),1,0)</f>
        <v>1</v>
      </c>
      <c r="T2">
        <f>IF(O2&gt;INDEX($R$2:$R$13,MONTH(B2)),1,0)</f>
        <v>1</v>
      </c>
      <c r="U2">
        <f>IF(O2&lt;INDEX($Q$2:$Q$13,MONTH(B2)),1,0)</f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9.1999999999999993</v>
      </c>
      <c r="AD2" t="s">
        <v>9902</v>
      </c>
      <c r="AE2">
        <v>18.86655913978495</v>
      </c>
      <c r="AF2">
        <v>20.455371900826449</v>
      </c>
      <c r="AG2">
        <f>IF(OR(AC2&lt;INDEX($AE$2:$AE$13,MONTH(B2)),AC2&gt;INDEX($AF$2:$AF$13,MONTH(B2))),1,0)</f>
        <v>1</v>
      </c>
      <c r="AH2">
        <f>IF(AC2&gt;INDEX($AF$2:$AF$13,MONTH(B2)),1,0)</f>
        <v>0</v>
      </c>
      <c r="AI2">
        <f>IF(AC2&lt;INDEX($AE$2:$AE$13,MONTH(B2)),1,0)</f>
        <v>1</v>
      </c>
      <c r="AJ2">
        <v>312</v>
      </c>
      <c r="AK2">
        <v>1019.7</v>
      </c>
      <c r="AL2">
        <v>35.299999999999997</v>
      </c>
      <c r="AM2">
        <v>6.7</v>
      </c>
      <c r="AN2">
        <v>0</v>
      </c>
      <c r="AO2">
        <v>0</v>
      </c>
      <c r="AP2">
        <v>0</v>
      </c>
      <c r="AQ2">
        <v>0</v>
      </c>
      <c r="AR2" t="s">
        <v>41</v>
      </c>
      <c r="AS2" t="s">
        <v>42</v>
      </c>
      <c r="AT2">
        <v>0.61</v>
      </c>
      <c r="AU2" t="s">
        <v>43</v>
      </c>
      <c r="AV2" t="s">
        <v>44</v>
      </c>
      <c r="AW2" t="s">
        <v>45</v>
      </c>
      <c r="AX2" s="1">
        <v>0.77013888888888893</v>
      </c>
      <c r="AY2" t="s">
        <v>46</v>
      </c>
      <c r="AZ2">
        <v>46.000000003259629</v>
      </c>
      <c r="BA2">
        <v>0</v>
      </c>
      <c r="BB2">
        <v>0</v>
      </c>
      <c r="BC2">
        <v>0</v>
      </c>
      <c r="BD2">
        <v>1</v>
      </c>
      <c r="BE2">
        <f>IF((3*AH2+3*H2+2*U2+2*BA2-(2*(1-T2)+2*(1-I2)+2*(1-AI2)))&gt;=1,1,0)</f>
        <v>0</v>
      </c>
    </row>
    <row r="3" spans="1:57" x14ac:dyDescent="0.25">
      <c r="A3" t="s">
        <v>39</v>
      </c>
      <c r="B3" t="s">
        <v>47</v>
      </c>
      <c r="C3">
        <v>82.5</v>
      </c>
      <c r="D3">
        <v>73.5</v>
      </c>
      <c r="E3" t="s">
        <v>9903</v>
      </c>
      <c r="F3">
        <v>58.62290436835891</v>
      </c>
      <c r="G3">
        <f t="shared" ref="G3:G66" si="0">IF(ABS(C3-INDEX($F$2:$F$13,MONTH(B3)))&gt;1.8,1,0)</f>
        <v>1</v>
      </c>
      <c r="H3">
        <f t="shared" ref="H3:H66" si="1">IF(C3&gt;=INDEX($F$2:$F$13,MONTH(B3))+1.8,1,0)</f>
        <v>1</v>
      </c>
      <c r="I3">
        <f t="shared" ref="I3:I66" si="2">IF(C3&lt;=INDEX($F$2:$F$13,MONTH(B3))-1.8,1,0)</f>
        <v>0</v>
      </c>
      <c r="J3">
        <v>77.7</v>
      </c>
      <c r="K3">
        <v>82.9</v>
      </c>
      <c r="L3">
        <v>73.5</v>
      </c>
      <c r="M3">
        <v>78</v>
      </c>
      <c r="N3">
        <v>59.9</v>
      </c>
      <c r="O3">
        <v>54.9</v>
      </c>
      <c r="P3" t="s">
        <v>9903</v>
      </c>
      <c r="Q3">
        <v>66.951121605667055</v>
      </c>
      <c r="R3">
        <v>69.500215517241372</v>
      </c>
      <c r="S3">
        <f t="shared" ref="S3:S66" si="3">IF(OR(O3&lt;INDEX($Q$2:$Q$13,MONTH(B3)),O3&gt;INDEX($R$2:$R$13,MONTH(B3))),1,0)</f>
        <v>1</v>
      </c>
      <c r="T3">
        <f t="shared" ref="T3:T66" si="4">IF(O3&gt;INDEX($R$2:$R$13,MONTH(B3)),1,0)</f>
        <v>0</v>
      </c>
      <c r="U3">
        <f t="shared" ref="U3:U66" si="5">IF(O3&lt;INDEX($Q$2:$Q$13,MONTH(B3)),1,0)</f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28.9</v>
      </c>
      <c r="AD3" t="s">
        <v>9903</v>
      </c>
      <c r="AE3">
        <v>18.86655913978495</v>
      </c>
      <c r="AF3">
        <v>20.455371900826449</v>
      </c>
      <c r="AG3">
        <f t="shared" ref="AG3:AG66" si="6">IF(OR(AC3&lt;INDEX($AE$2:$AE$13,MONTH(B3)),AC3&gt;INDEX($AF$2:$AF$13,MONTH(B3))),1,0)</f>
        <v>1</v>
      </c>
      <c r="AH3">
        <f t="shared" ref="AH3:AH66" si="7">IF(AC3&gt;INDEX($AF$2:$AF$13,MONTH(B3)),1,0)</f>
        <v>1</v>
      </c>
      <c r="AI3">
        <f t="shared" ref="AI3:AI66" si="8">IF(AC3&lt;INDEX($AE$2:$AE$13,MONTH(B3)),1,0)</f>
        <v>0</v>
      </c>
      <c r="AJ3">
        <v>301.5</v>
      </c>
      <c r="AK3">
        <v>1009.1</v>
      </c>
      <c r="AL3">
        <v>30</v>
      </c>
      <c r="AM3">
        <v>6.6</v>
      </c>
      <c r="AN3">
        <v>0</v>
      </c>
      <c r="AO3">
        <v>0</v>
      </c>
      <c r="AP3">
        <v>0</v>
      </c>
      <c r="AQ3">
        <v>0</v>
      </c>
      <c r="AR3" t="s">
        <v>48</v>
      </c>
      <c r="AS3" t="s">
        <v>49</v>
      </c>
      <c r="AT3">
        <v>0.26</v>
      </c>
      <c r="AU3" t="s">
        <v>43</v>
      </c>
      <c r="AV3" t="s">
        <v>44</v>
      </c>
      <c r="AW3" t="s">
        <v>45</v>
      </c>
      <c r="AX3" s="1">
        <v>0.77083333333333337</v>
      </c>
      <c r="AY3" t="s">
        <v>50</v>
      </c>
      <c r="AZ3">
        <v>119.99999999301509</v>
      </c>
      <c r="BA3">
        <v>0</v>
      </c>
      <c r="BB3">
        <v>0</v>
      </c>
      <c r="BC3">
        <v>1</v>
      </c>
      <c r="BD3">
        <v>0</v>
      </c>
      <c r="BE3">
        <f t="shared" ref="BE3:BE66" si="9">IF((3*AH3+3*H3+2*U3+2*BA3-(2*(1-T3)+2*(1-I3)+2*(1-AI3)))&gt;=1,1,0)</f>
        <v>1</v>
      </c>
    </row>
    <row r="4" spans="1:57" x14ac:dyDescent="0.25">
      <c r="A4" t="s">
        <v>39</v>
      </c>
      <c r="B4" t="s">
        <v>51</v>
      </c>
      <c r="C4">
        <v>68.099999999999994</v>
      </c>
      <c r="D4">
        <v>53.7</v>
      </c>
      <c r="E4" t="s">
        <v>9904</v>
      </c>
      <c r="F4">
        <v>61.72129032258065</v>
      </c>
      <c r="G4">
        <f t="shared" si="0"/>
        <v>0</v>
      </c>
      <c r="H4">
        <f t="shared" si="1"/>
        <v>0</v>
      </c>
      <c r="I4">
        <f t="shared" si="2"/>
        <v>0</v>
      </c>
      <c r="J4">
        <v>59.9</v>
      </c>
      <c r="K4">
        <v>68.099999999999994</v>
      </c>
      <c r="L4">
        <v>53.7</v>
      </c>
      <c r="M4">
        <v>59.9</v>
      </c>
      <c r="N4">
        <v>55</v>
      </c>
      <c r="O4">
        <v>84.5</v>
      </c>
      <c r="P4" t="s">
        <v>9904</v>
      </c>
      <c r="Q4">
        <v>62.733514689880302</v>
      </c>
      <c r="R4">
        <v>66.027634408602154</v>
      </c>
      <c r="S4">
        <f t="shared" si="3"/>
        <v>1</v>
      </c>
      <c r="T4">
        <f t="shared" si="4"/>
        <v>1</v>
      </c>
      <c r="U4">
        <f t="shared" si="5"/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6.9</v>
      </c>
      <c r="AD4" t="s">
        <v>9904</v>
      </c>
      <c r="AE4">
        <v>15.744178454842221</v>
      </c>
      <c r="AF4">
        <v>18.87838709677419</v>
      </c>
      <c r="AG4">
        <f t="shared" si="6"/>
        <v>1</v>
      </c>
      <c r="AH4">
        <f t="shared" si="7"/>
        <v>0</v>
      </c>
      <c r="AI4">
        <f t="shared" si="8"/>
        <v>1</v>
      </c>
      <c r="AJ4">
        <v>179.8</v>
      </c>
      <c r="AK4">
        <v>1019.7</v>
      </c>
      <c r="AL4">
        <v>35.299999999999997</v>
      </c>
      <c r="AM4">
        <v>6.6</v>
      </c>
      <c r="AN4">
        <v>0</v>
      </c>
      <c r="AO4">
        <v>0</v>
      </c>
      <c r="AP4">
        <v>0</v>
      </c>
      <c r="AQ4">
        <v>0</v>
      </c>
      <c r="AR4" t="s">
        <v>52</v>
      </c>
      <c r="AS4" t="s">
        <v>53</v>
      </c>
      <c r="AT4">
        <v>0.66</v>
      </c>
      <c r="AU4" t="s">
        <v>43</v>
      </c>
      <c r="AV4" t="s">
        <v>44</v>
      </c>
      <c r="AW4" t="s">
        <v>45</v>
      </c>
      <c r="AX4" s="1">
        <v>0.67291666666666672</v>
      </c>
      <c r="AY4" t="s">
        <v>54</v>
      </c>
      <c r="AZ4">
        <v>1900.9999999939459</v>
      </c>
      <c r="BA4">
        <v>1</v>
      </c>
      <c r="BB4">
        <v>0</v>
      </c>
      <c r="BC4">
        <v>3</v>
      </c>
      <c r="BD4">
        <v>0</v>
      </c>
      <c r="BE4">
        <f t="shared" si="9"/>
        <v>0</v>
      </c>
    </row>
    <row r="5" spans="1:57" x14ac:dyDescent="0.25">
      <c r="A5" t="s">
        <v>39</v>
      </c>
      <c r="B5" t="s">
        <v>55</v>
      </c>
      <c r="C5">
        <v>69.900000000000006</v>
      </c>
      <c r="D5">
        <v>55.5</v>
      </c>
      <c r="E5" t="s">
        <v>9905</v>
      </c>
      <c r="F5">
        <v>67.430777777777777</v>
      </c>
      <c r="G5">
        <f t="shared" si="0"/>
        <v>1</v>
      </c>
      <c r="H5">
        <f t="shared" si="1"/>
        <v>0</v>
      </c>
      <c r="I5">
        <f t="shared" si="2"/>
        <v>1</v>
      </c>
      <c r="J5">
        <v>62</v>
      </c>
      <c r="K5">
        <v>69.900000000000006</v>
      </c>
      <c r="L5">
        <v>55.5</v>
      </c>
      <c r="M5">
        <v>62</v>
      </c>
      <c r="N5">
        <v>52.7</v>
      </c>
      <c r="O5">
        <v>72.3</v>
      </c>
      <c r="P5" t="s">
        <v>9905</v>
      </c>
      <c r="Q5">
        <v>62.733514689880302</v>
      </c>
      <c r="R5">
        <v>66.027634408602154</v>
      </c>
      <c r="S5">
        <f t="shared" si="3"/>
        <v>1</v>
      </c>
      <c r="T5">
        <f t="shared" si="4"/>
        <v>1</v>
      </c>
      <c r="U5">
        <f t="shared" si="5"/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9.1999999999999993</v>
      </c>
      <c r="AD5" t="s">
        <v>9905</v>
      </c>
      <c r="AE5">
        <v>15.744178454842221</v>
      </c>
      <c r="AF5">
        <v>18.87838709677419</v>
      </c>
      <c r="AG5">
        <f t="shared" si="6"/>
        <v>1</v>
      </c>
      <c r="AH5">
        <f t="shared" si="7"/>
        <v>0</v>
      </c>
      <c r="AI5">
        <f t="shared" si="8"/>
        <v>1</v>
      </c>
      <c r="AJ5">
        <v>141.80000000000001</v>
      </c>
      <c r="AK5">
        <v>1020.5</v>
      </c>
      <c r="AL5">
        <v>30</v>
      </c>
      <c r="AM5">
        <v>6.6</v>
      </c>
      <c r="AN5">
        <v>0</v>
      </c>
      <c r="AO5">
        <v>0</v>
      </c>
      <c r="AP5">
        <v>0</v>
      </c>
      <c r="AQ5">
        <v>0</v>
      </c>
      <c r="AR5" t="s">
        <v>56</v>
      </c>
      <c r="AS5" t="s">
        <v>57</v>
      </c>
      <c r="AT5">
        <v>0.13</v>
      </c>
      <c r="AU5" t="s">
        <v>43</v>
      </c>
      <c r="AV5" t="s">
        <v>44</v>
      </c>
      <c r="AW5" t="s">
        <v>45</v>
      </c>
      <c r="AX5" s="1">
        <v>0.75277777777777777</v>
      </c>
      <c r="AY5" t="s">
        <v>58</v>
      </c>
      <c r="AZ5">
        <v>865.9999999939464</v>
      </c>
      <c r="BA5">
        <v>1</v>
      </c>
      <c r="BB5">
        <v>0</v>
      </c>
      <c r="BC5">
        <v>10</v>
      </c>
      <c r="BD5">
        <v>0</v>
      </c>
      <c r="BE5">
        <f t="shared" si="9"/>
        <v>1</v>
      </c>
    </row>
    <row r="6" spans="1:57" x14ac:dyDescent="0.25">
      <c r="A6" t="s">
        <v>39</v>
      </c>
      <c r="B6" t="s">
        <v>59</v>
      </c>
      <c r="C6">
        <v>80.7</v>
      </c>
      <c r="D6">
        <v>75.3</v>
      </c>
      <c r="E6" t="s">
        <v>9906</v>
      </c>
      <c r="F6">
        <v>73.355059847660499</v>
      </c>
      <c r="G6">
        <f t="shared" si="0"/>
        <v>1</v>
      </c>
      <c r="H6">
        <f t="shared" si="1"/>
        <v>0</v>
      </c>
      <c r="I6">
        <f t="shared" si="2"/>
        <v>1</v>
      </c>
      <c r="J6">
        <v>78.2</v>
      </c>
      <c r="K6">
        <v>82.9</v>
      </c>
      <c r="L6">
        <v>75.3</v>
      </c>
      <c r="M6">
        <v>78.7</v>
      </c>
      <c r="N6">
        <v>66.099999999999994</v>
      </c>
      <c r="O6">
        <v>66.5</v>
      </c>
      <c r="P6" t="s">
        <v>9906</v>
      </c>
      <c r="Q6">
        <v>62.733514689880302</v>
      </c>
      <c r="R6">
        <v>66.027634408602154</v>
      </c>
      <c r="S6">
        <f t="shared" si="3"/>
        <v>1</v>
      </c>
      <c r="T6">
        <f t="shared" si="4"/>
        <v>1</v>
      </c>
      <c r="U6">
        <f t="shared" si="5"/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23</v>
      </c>
      <c r="AD6" t="s">
        <v>9906</v>
      </c>
      <c r="AE6">
        <v>15.744178454842221</v>
      </c>
      <c r="AF6">
        <v>18.87838709677419</v>
      </c>
      <c r="AG6">
        <f t="shared" si="6"/>
        <v>1</v>
      </c>
      <c r="AH6">
        <f t="shared" si="7"/>
        <v>1</v>
      </c>
      <c r="AI6">
        <f t="shared" si="8"/>
        <v>0</v>
      </c>
      <c r="AJ6">
        <v>313.89999999999998</v>
      </c>
      <c r="AK6">
        <v>1008.7</v>
      </c>
      <c r="AL6">
        <v>32.9</v>
      </c>
      <c r="AM6">
        <v>6.6</v>
      </c>
      <c r="AN6">
        <v>0</v>
      </c>
      <c r="AO6">
        <v>0</v>
      </c>
      <c r="AP6">
        <v>0</v>
      </c>
      <c r="AQ6">
        <v>0</v>
      </c>
      <c r="AR6" t="s">
        <v>60</v>
      </c>
      <c r="AS6" t="s">
        <v>61</v>
      </c>
      <c r="AT6">
        <v>0.37</v>
      </c>
      <c r="AU6" t="s">
        <v>43</v>
      </c>
      <c r="AV6" t="s">
        <v>44</v>
      </c>
      <c r="AW6" t="s">
        <v>45</v>
      </c>
      <c r="AX6" s="1">
        <v>0.90555555555555556</v>
      </c>
      <c r="AY6" t="s">
        <v>62</v>
      </c>
      <c r="AZ6">
        <v>496.00000000325957</v>
      </c>
      <c r="BA6">
        <v>1</v>
      </c>
      <c r="BB6">
        <v>0.5</v>
      </c>
      <c r="BC6">
        <v>0</v>
      </c>
      <c r="BD6">
        <v>0</v>
      </c>
      <c r="BE6">
        <f t="shared" si="9"/>
        <v>1</v>
      </c>
    </row>
    <row r="7" spans="1:57" x14ac:dyDescent="0.25">
      <c r="A7" t="s">
        <v>39</v>
      </c>
      <c r="B7" t="s">
        <v>63</v>
      </c>
      <c r="C7">
        <v>82.5</v>
      </c>
      <c r="D7">
        <v>75.3</v>
      </c>
      <c r="E7" t="s">
        <v>9907</v>
      </c>
      <c r="F7">
        <v>80.257286995515699</v>
      </c>
      <c r="G7">
        <f t="shared" si="0"/>
        <v>0</v>
      </c>
      <c r="H7">
        <f t="shared" si="1"/>
        <v>0</v>
      </c>
      <c r="I7">
        <f t="shared" si="2"/>
        <v>0</v>
      </c>
      <c r="J7">
        <v>79.599999999999994</v>
      </c>
      <c r="K7">
        <v>84.8</v>
      </c>
      <c r="L7">
        <v>75.3</v>
      </c>
      <c r="M7">
        <v>80.3</v>
      </c>
      <c r="N7">
        <v>62.9</v>
      </c>
      <c r="O7">
        <v>56.9</v>
      </c>
      <c r="P7" t="s">
        <v>9907</v>
      </c>
      <c r="Q7">
        <v>58.770378378378368</v>
      </c>
      <c r="R7">
        <v>61.720129171151783</v>
      </c>
      <c r="S7">
        <f t="shared" si="3"/>
        <v>1</v>
      </c>
      <c r="T7">
        <f t="shared" si="4"/>
        <v>0</v>
      </c>
      <c r="U7">
        <f t="shared" si="5"/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21.9</v>
      </c>
      <c r="AD7" t="s">
        <v>9907</v>
      </c>
      <c r="AE7">
        <v>15.92322222222222</v>
      </c>
      <c r="AF7">
        <v>18.38462365591398</v>
      </c>
      <c r="AG7">
        <f t="shared" si="6"/>
        <v>1</v>
      </c>
      <c r="AH7">
        <f t="shared" si="7"/>
        <v>1</v>
      </c>
      <c r="AI7">
        <f t="shared" si="8"/>
        <v>0</v>
      </c>
      <c r="AJ7">
        <v>305.10000000000002</v>
      </c>
      <c r="AK7">
        <v>1011.4</v>
      </c>
      <c r="AL7">
        <v>30</v>
      </c>
      <c r="AM7">
        <v>6.3</v>
      </c>
      <c r="AN7">
        <v>0</v>
      </c>
      <c r="AO7">
        <v>0</v>
      </c>
      <c r="AP7">
        <v>0</v>
      </c>
      <c r="AQ7">
        <v>0</v>
      </c>
      <c r="AR7" t="s">
        <v>64</v>
      </c>
      <c r="AS7" t="s">
        <v>65</v>
      </c>
      <c r="AT7">
        <v>0.68</v>
      </c>
      <c r="AU7" t="s">
        <v>43</v>
      </c>
      <c r="AV7" t="s">
        <v>44</v>
      </c>
      <c r="AW7" t="s">
        <v>45</v>
      </c>
      <c r="AX7" s="1">
        <v>0.71805555555555556</v>
      </c>
      <c r="AY7" t="s">
        <v>66</v>
      </c>
      <c r="AZ7">
        <v>1246.0000000067521</v>
      </c>
      <c r="BA7">
        <v>1</v>
      </c>
      <c r="BB7">
        <v>0</v>
      </c>
      <c r="BC7">
        <v>3</v>
      </c>
      <c r="BD7">
        <v>0</v>
      </c>
      <c r="BE7">
        <f t="shared" si="9"/>
        <v>1</v>
      </c>
    </row>
    <row r="8" spans="1:57" x14ac:dyDescent="0.25">
      <c r="A8" t="s">
        <v>39</v>
      </c>
      <c r="B8" t="s">
        <v>67</v>
      </c>
      <c r="C8">
        <v>80.7</v>
      </c>
      <c r="D8">
        <v>75.3</v>
      </c>
      <c r="E8" t="s">
        <v>9908</v>
      </c>
      <c r="F8">
        <v>83.342162162162168</v>
      </c>
      <c r="G8">
        <f t="shared" si="0"/>
        <v>1</v>
      </c>
      <c r="H8">
        <f t="shared" si="1"/>
        <v>0</v>
      </c>
      <c r="I8">
        <f t="shared" si="2"/>
        <v>1</v>
      </c>
      <c r="J8">
        <v>77</v>
      </c>
      <c r="K8">
        <v>81.5</v>
      </c>
      <c r="L8">
        <v>75.3</v>
      </c>
      <c r="M8">
        <v>77</v>
      </c>
      <c r="N8">
        <v>60.1</v>
      </c>
      <c r="O8">
        <v>56.3</v>
      </c>
      <c r="P8" t="s">
        <v>9908</v>
      </c>
      <c r="Q8">
        <v>58.770378378378368</v>
      </c>
      <c r="R8">
        <v>61.720129171151783</v>
      </c>
      <c r="S8">
        <f t="shared" si="3"/>
        <v>1</v>
      </c>
      <c r="T8">
        <f t="shared" si="4"/>
        <v>0</v>
      </c>
      <c r="U8">
        <f t="shared" si="5"/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17.2</v>
      </c>
      <c r="AD8" t="s">
        <v>9908</v>
      </c>
      <c r="AE8">
        <v>15.92322222222222</v>
      </c>
      <c r="AF8">
        <v>18.38462365591398</v>
      </c>
      <c r="AG8">
        <f t="shared" si="6"/>
        <v>0</v>
      </c>
      <c r="AH8">
        <f t="shared" si="7"/>
        <v>0</v>
      </c>
      <c r="AI8">
        <f t="shared" si="8"/>
        <v>0</v>
      </c>
      <c r="AJ8">
        <v>314.5</v>
      </c>
      <c r="AK8">
        <v>1012.6</v>
      </c>
      <c r="AL8">
        <v>30</v>
      </c>
      <c r="AM8">
        <v>6.7</v>
      </c>
      <c r="AN8">
        <v>0</v>
      </c>
      <c r="AO8">
        <v>0</v>
      </c>
      <c r="AP8">
        <v>0</v>
      </c>
      <c r="AQ8">
        <v>0</v>
      </c>
      <c r="AR8" t="s">
        <v>68</v>
      </c>
      <c r="AS8" t="s">
        <v>69</v>
      </c>
      <c r="AT8">
        <v>0.03</v>
      </c>
      <c r="AU8" t="s">
        <v>43</v>
      </c>
      <c r="AV8" t="s">
        <v>44</v>
      </c>
      <c r="AW8" t="s">
        <v>45</v>
      </c>
      <c r="AX8" s="1">
        <v>0.40972222222222221</v>
      </c>
      <c r="AY8" t="s">
        <v>70</v>
      </c>
      <c r="AZ8">
        <v>60.000000006984919</v>
      </c>
      <c r="BA8">
        <v>0</v>
      </c>
      <c r="BB8">
        <v>0</v>
      </c>
      <c r="BC8">
        <v>0.1</v>
      </c>
      <c r="BD8">
        <v>0</v>
      </c>
      <c r="BE8">
        <f t="shared" si="9"/>
        <v>0</v>
      </c>
    </row>
    <row r="9" spans="1:57" x14ac:dyDescent="0.25">
      <c r="A9" t="s">
        <v>39</v>
      </c>
      <c r="B9" t="s">
        <v>71</v>
      </c>
      <c r="C9">
        <v>84.3</v>
      </c>
      <c r="D9">
        <v>77.099999999999994</v>
      </c>
      <c r="E9" t="s">
        <v>9909</v>
      </c>
      <c r="F9">
        <v>83.30958019375673</v>
      </c>
      <c r="G9">
        <f t="shared" si="0"/>
        <v>0</v>
      </c>
      <c r="H9">
        <f t="shared" si="1"/>
        <v>0</v>
      </c>
      <c r="I9">
        <f t="shared" si="2"/>
        <v>0</v>
      </c>
      <c r="J9">
        <v>82.4</v>
      </c>
      <c r="K9">
        <v>87.6</v>
      </c>
      <c r="L9">
        <v>77.099999999999994</v>
      </c>
      <c r="M9">
        <v>83.7</v>
      </c>
      <c r="N9">
        <v>63.6</v>
      </c>
      <c r="O9">
        <v>54.1</v>
      </c>
      <c r="P9" t="s">
        <v>9909</v>
      </c>
      <c r="Q9">
        <v>58.770378378378368</v>
      </c>
      <c r="R9">
        <v>61.720129171151783</v>
      </c>
      <c r="S9">
        <f t="shared" si="3"/>
        <v>1</v>
      </c>
      <c r="T9">
        <f t="shared" si="4"/>
        <v>0</v>
      </c>
      <c r="U9">
        <f t="shared" si="5"/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18.3</v>
      </c>
      <c r="AD9" t="s">
        <v>9909</v>
      </c>
      <c r="AE9">
        <v>15.92322222222222</v>
      </c>
      <c r="AF9">
        <v>18.38462365591398</v>
      </c>
      <c r="AG9">
        <f t="shared" si="6"/>
        <v>0</v>
      </c>
      <c r="AH9">
        <f t="shared" si="7"/>
        <v>0</v>
      </c>
      <c r="AI9">
        <f t="shared" si="8"/>
        <v>0</v>
      </c>
      <c r="AJ9">
        <v>312.3</v>
      </c>
      <c r="AK9">
        <v>1008.4</v>
      </c>
      <c r="AL9">
        <v>0</v>
      </c>
      <c r="AM9">
        <v>6.2</v>
      </c>
      <c r="AN9">
        <v>0</v>
      </c>
      <c r="AO9">
        <v>0</v>
      </c>
      <c r="AP9">
        <v>0</v>
      </c>
      <c r="AQ9">
        <v>0</v>
      </c>
      <c r="AR9" t="s">
        <v>72</v>
      </c>
      <c r="AS9" t="s">
        <v>73</v>
      </c>
      <c r="AT9">
        <v>0.86</v>
      </c>
      <c r="AU9" t="s">
        <v>74</v>
      </c>
      <c r="AV9" t="s">
        <v>44</v>
      </c>
      <c r="AW9" t="s">
        <v>75</v>
      </c>
      <c r="AX9" s="1">
        <v>0.90902777777777777</v>
      </c>
      <c r="AY9" t="s">
        <v>76</v>
      </c>
      <c r="AZ9">
        <v>6880.9999999974389</v>
      </c>
      <c r="BA9">
        <v>1</v>
      </c>
      <c r="BB9">
        <v>0</v>
      </c>
      <c r="BC9">
        <v>100</v>
      </c>
      <c r="BD9">
        <v>0</v>
      </c>
      <c r="BE9">
        <f t="shared" si="9"/>
        <v>0</v>
      </c>
    </row>
    <row r="10" spans="1:57" x14ac:dyDescent="0.25">
      <c r="A10" t="s">
        <v>39</v>
      </c>
      <c r="B10" t="s">
        <v>77</v>
      </c>
      <c r="C10">
        <v>80.7</v>
      </c>
      <c r="D10">
        <v>77.099999999999994</v>
      </c>
      <c r="E10" t="s">
        <v>9910</v>
      </c>
      <c r="F10">
        <v>79.664277715565504</v>
      </c>
      <c r="G10">
        <f t="shared" si="0"/>
        <v>1</v>
      </c>
      <c r="H10">
        <f t="shared" si="1"/>
        <v>0</v>
      </c>
      <c r="I10">
        <f t="shared" si="2"/>
        <v>1</v>
      </c>
      <c r="J10">
        <v>78.5</v>
      </c>
      <c r="K10">
        <v>82.9</v>
      </c>
      <c r="L10">
        <v>77.099999999999994</v>
      </c>
      <c r="M10">
        <v>79</v>
      </c>
      <c r="N10">
        <v>65.8</v>
      </c>
      <c r="O10">
        <v>65.8</v>
      </c>
      <c r="P10" t="s">
        <v>9910</v>
      </c>
      <c r="Q10">
        <v>64.044120940649492</v>
      </c>
      <c r="R10">
        <v>68.838418708240539</v>
      </c>
      <c r="S10">
        <f t="shared" si="3"/>
        <v>1</v>
      </c>
      <c r="T10">
        <f t="shared" si="4"/>
        <v>1</v>
      </c>
      <c r="U10">
        <f t="shared" si="5"/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20.8</v>
      </c>
      <c r="AD10" t="s">
        <v>9910</v>
      </c>
      <c r="AE10">
        <v>15.754777777777781</v>
      </c>
      <c r="AF10">
        <v>17.585555555555551</v>
      </c>
      <c r="AG10">
        <f t="shared" si="6"/>
        <v>1</v>
      </c>
      <c r="AH10">
        <f t="shared" si="7"/>
        <v>1</v>
      </c>
      <c r="AI10">
        <f t="shared" si="8"/>
        <v>0</v>
      </c>
      <c r="AJ10">
        <v>328.7</v>
      </c>
      <c r="AK10">
        <v>1014.1</v>
      </c>
      <c r="AL10">
        <v>38.700000000000003</v>
      </c>
      <c r="AM10">
        <v>6.8</v>
      </c>
      <c r="AN10">
        <v>0</v>
      </c>
      <c r="AO10">
        <v>0</v>
      </c>
      <c r="AP10">
        <v>0</v>
      </c>
      <c r="AQ10">
        <v>0</v>
      </c>
      <c r="AR10" t="s">
        <v>78</v>
      </c>
      <c r="AS10" t="s">
        <v>79</v>
      </c>
      <c r="AT10">
        <v>0.04</v>
      </c>
      <c r="AU10" t="s">
        <v>43</v>
      </c>
      <c r="AV10" t="s">
        <v>80</v>
      </c>
      <c r="AW10" t="s">
        <v>45</v>
      </c>
      <c r="AX10" s="1">
        <v>0.35694444444444451</v>
      </c>
      <c r="AY10" t="s">
        <v>81</v>
      </c>
      <c r="AZ10">
        <v>236.00000000442381</v>
      </c>
      <c r="BA10">
        <v>0</v>
      </c>
      <c r="BB10">
        <v>0</v>
      </c>
      <c r="BC10">
        <v>1</v>
      </c>
      <c r="BD10">
        <v>0</v>
      </c>
      <c r="BE10">
        <f t="shared" si="9"/>
        <v>1</v>
      </c>
    </row>
    <row r="11" spans="1:57" x14ac:dyDescent="0.25">
      <c r="A11" t="s">
        <v>39</v>
      </c>
      <c r="B11" t="s">
        <v>82</v>
      </c>
      <c r="C11">
        <v>95.1</v>
      </c>
      <c r="D11">
        <v>71.7</v>
      </c>
      <c r="E11" t="s">
        <v>9911</v>
      </c>
      <c r="F11">
        <v>74.037567276641539</v>
      </c>
      <c r="G11">
        <f t="shared" si="0"/>
        <v>1</v>
      </c>
      <c r="H11">
        <f t="shared" si="1"/>
        <v>1</v>
      </c>
      <c r="I11">
        <f t="shared" si="2"/>
        <v>0</v>
      </c>
      <c r="J11">
        <v>82.4</v>
      </c>
      <c r="K11">
        <v>92.8</v>
      </c>
      <c r="L11">
        <v>71.7</v>
      </c>
      <c r="M11">
        <v>81.3</v>
      </c>
      <c r="N11">
        <v>52.6</v>
      </c>
      <c r="O11">
        <v>38.200000000000003</v>
      </c>
      <c r="P11" t="s">
        <v>9911</v>
      </c>
      <c r="Q11">
        <v>64.044120940649492</v>
      </c>
      <c r="R11">
        <v>68.838418708240539</v>
      </c>
      <c r="S11">
        <f t="shared" si="3"/>
        <v>1</v>
      </c>
      <c r="T11">
        <f t="shared" si="4"/>
        <v>0</v>
      </c>
      <c r="U11">
        <f t="shared" si="5"/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9.1999999999999993</v>
      </c>
      <c r="AD11" t="s">
        <v>9911</v>
      </c>
      <c r="AE11">
        <v>15.754777777777781</v>
      </c>
      <c r="AF11">
        <v>17.585555555555551</v>
      </c>
      <c r="AG11">
        <f t="shared" si="6"/>
        <v>1</v>
      </c>
      <c r="AH11">
        <f t="shared" si="7"/>
        <v>0</v>
      </c>
      <c r="AI11">
        <f t="shared" si="8"/>
        <v>1</v>
      </c>
      <c r="AJ11">
        <v>150</v>
      </c>
      <c r="AK11">
        <v>1008.5</v>
      </c>
      <c r="AL11">
        <v>0</v>
      </c>
      <c r="AM11">
        <v>6.2</v>
      </c>
      <c r="AN11">
        <v>0</v>
      </c>
      <c r="AO11">
        <v>0</v>
      </c>
      <c r="AP11">
        <v>0</v>
      </c>
      <c r="AQ11">
        <v>0</v>
      </c>
      <c r="AR11" t="s">
        <v>83</v>
      </c>
      <c r="AS11" t="s">
        <v>84</v>
      </c>
      <c r="AT11">
        <v>0.36</v>
      </c>
      <c r="AU11" t="s">
        <v>74</v>
      </c>
      <c r="AV11" t="s">
        <v>44</v>
      </c>
      <c r="AW11" t="s">
        <v>75</v>
      </c>
      <c r="AX11" s="1">
        <v>0.78125</v>
      </c>
      <c r="AY11" t="s">
        <v>85</v>
      </c>
      <c r="AZ11">
        <v>1155.000000003492</v>
      </c>
      <c r="BA11">
        <v>1</v>
      </c>
      <c r="BB11">
        <v>0</v>
      </c>
      <c r="BC11">
        <v>2</v>
      </c>
      <c r="BD11">
        <v>0</v>
      </c>
      <c r="BE11">
        <f t="shared" si="9"/>
        <v>1</v>
      </c>
    </row>
    <row r="12" spans="1:57" x14ac:dyDescent="0.25">
      <c r="A12" t="s">
        <v>39</v>
      </c>
      <c r="B12" t="s">
        <v>86</v>
      </c>
      <c r="C12">
        <v>82.5</v>
      </c>
      <c r="D12">
        <v>69.900000000000006</v>
      </c>
      <c r="E12" t="s">
        <v>9912</v>
      </c>
      <c r="F12">
        <v>67.335412026726061</v>
      </c>
      <c r="G12">
        <f t="shared" si="0"/>
        <v>0</v>
      </c>
      <c r="H12">
        <f t="shared" si="1"/>
        <v>0</v>
      </c>
      <c r="I12">
        <f t="shared" si="2"/>
        <v>0</v>
      </c>
      <c r="J12">
        <v>77</v>
      </c>
      <c r="K12">
        <v>84.1</v>
      </c>
      <c r="L12">
        <v>69.900000000000006</v>
      </c>
      <c r="M12">
        <v>77.400000000000006</v>
      </c>
      <c r="N12">
        <v>62.5</v>
      </c>
      <c r="O12">
        <v>62.2</v>
      </c>
      <c r="P12" t="s">
        <v>9912</v>
      </c>
      <c r="Q12">
        <v>64.044120940649492</v>
      </c>
      <c r="R12">
        <v>68.838418708240539</v>
      </c>
      <c r="S12">
        <f t="shared" si="3"/>
        <v>1</v>
      </c>
      <c r="T12">
        <f t="shared" si="4"/>
        <v>1</v>
      </c>
      <c r="U12">
        <f t="shared" si="5"/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13.9</v>
      </c>
      <c r="AD12" t="s">
        <v>9912</v>
      </c>
      <c r="AE12">
        <v>15.754777777777781</v>
      </c>
      <c r="AF12">
        <v>17.585555555555551</v>
      </c>
      <c r="AG12">
        <f t="shared" si="6"/>
        <v>1</v>
      </c>
      <c r="AH12">
        <f t="shared" si="7"/>
        <v>0</v>
      </c>
      <c r="AI12">
        <f t="shared" si="8"/>
        <v>1</v>
      </c>
      <c r="AJ12">
        <v>310.89999999999998</v>
      </c>
      <c r="AK12">
        <v>1006.9</v>
      </c>
      <c r="AL12">
        <v>0</v>
      </c>
      <c r="AM12">
        <v>6.2</v>
      </c>
      <c r="AN12">
        <v>0</v>
      </c>
      <c r="AO12">
        <v>0</v>
      </c>
      <c r="AP12">
        <v>0</v>
      </c>
      <c r="AQ12">
        <v>0</v>
      </c>
      <c r="AR12" t="s">
        <v>87</v>
      </c>
      <c r="AS12" t="s">
        <v>88</v>
      </c>
      <c r="AT12">
        <v>0.6</v>
      </c>
      <c r="AU12" t="s">
        <v>74</v>
      </c>
      <c r="AV12" t="s">
        <v>44</v>
      </c>
      <c r="AW12" t="s">
        <v>75</v>
      </c>
      <c r="AX12" s="1">
        <v>0.85347222222222219</v>
      </c>
      <c r="AY12" t="s">
        <v>89</v>
      </c>
      <c r="AZ12">
        <v>255.99999999627471</v>
      </c>
      <c r="BA12">
        <v>0</v>
      </c>
      <c r="BB12">
        <v>0</v>
      </c>
      <c r="BC12">
        <v>1</v>
      </c>
      <c r="BD12">
        <v>0</v>
      </c>
      <c r="BE12">
        <f t="shared" si="9"/>
        <v>0</v>
      </c>
    </row>
    <row r="13" spans="1:57" x14ac:dyDescent="0.25">
      <c r="A13" t="s">
        <v>39</v>
      </c>
      <c r="B13" t="s">
        <v>90</v>
      </c>
      <c r="C13">
        <v>82.5</v>
      </c>
      <c r="D13">
        <v>69.900000000000006</v>
      </c>
      <c r="E13" t="s">
        <v>9913</v>
      </c>
      <c r="F13">
        <v>61.667349137931041</v>
      </c>
      <c r="G13">
        <f t="shared" si="0"/>
        <v>0</v>
      </c>
      <c r="H13">
        <f t="shared" si="1"/>
        <v>0</v>
      </c>
      <c r="I13">
        <f t="shared" si="2"/>
        <v>0</v>
      </c>
      <c r="J13">
        <v>75.8</v>
      </c>
      <c r="K13">
        <v>83.5</v>
      </c>
      <c r="L13">
        <v>69.900000000000006</v>
      </c>
      <c r="M13">
        <v>76</v>
      </c>
      <c r="N13">
        <v>64.900000000000006</v>
      </c>
      <c r="O13">
        <v>69.5</v>
      </c>
      <c r="P13" t="s">
        <v>9913</v>
      </c>
      <c r="Q13">
        <v>66.951121605667055</v>
      </c>
      <c r="R13">
        <v>69.500215517241372</v>
      </c>
      <c r="S13">
        <f t="shared" si="3"/>
        <v>1</v>
      </c>
      <c r="T13">
        <f t="shared" si="4"/>
        <v>1</v>
      </c>
      <c r="U13">
        <f t="shared" si="5"/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23</v>
      </c>
      <c r="AD13" t="s">
        <v>9913</v>
      </c>
      <c r="AE13">
        <v>18.86655913978495</v>
      </c>
      <c r="AF13">
        <v>20.455371900826449</v>
      </c>
      <c r="AG13">
        <f t="shared" si="6"/>
        <v>1</v>
      </c>
      <c r="AH13">
        <f t="shared" si="7"/>
        <v>1</v>
      </c>
      <c r="AI13">
        <f t="shared" si="8"/>
        <v>0</v>
      </c>
      <c r="AJ13">
        <v>309.3</v>
      </c>
      <c r="AK13">
        <v>1012.4</v>
      </c>
      <c r="AL13">
        <v>33.1</v>
      </c>
      <c r="AM13">
        <v>6.7</v>
      </c>
      <c r="AN13">
        <v>0</v>
      </c>
      <c r="AO13">
        <v>0</v>
      </c>
      <c r="AP13">
        <v>0</v>
      </c>
      <c r="AQ13">
        <v>0</v>
      </c>
      <c r="AR13" t="s">
        <v>91</v>
      </c>
      <c r="AS13" t="s">
        <v>92</v>
      </c>
      <c r="AT13">
        <v>0.53</v>
      </c>
      <c r="AU13" t="s">
        <v>43</v>
      </c>
      <c r="AV13" t="s">
        <v>44</v>
      </c>
      <c r="AW13" t="s">
        <v>45</v>
      </c>
      <c r="AX13" s="1">
        <v>0.16597222222222219</v>
      </c>
      <c r="AY13" t="s">
        <v>93</v>
      </c>
      <c r="AZ13">
        <v>2940.9999999997672</v>
      </c>
      <c r="BA13">
        <v>1</v>
      </c>
      <c r="BB13">
        <v>20</v>
      </c>
      <c r="BC13">
        <v>50</v>
      </c>
      <c r="BD13">
        <v>0</v>
      </c>
      <c r="BE13">
        <f t="shared" si="9"/>
        <v>1</v>
      </c>
    </row>
    <row r="14" spans="1:57" x14ac:dyDescent="0.25">
      <c r="A14" t="s">
        <v>39</v>
      </c>
      <c r="B14" t="s">
        <v>94</v>
      </c>
      <c r="C14">
        <v>78.900000000000006</v>
      </c>
      <c r="D14">
        <v>64.5</v>
      </c>
      <c r="G14">
        <f t="shared" si="0"/>
        <v>1</v>
      </c>
      <c r="H14">
        <f t="shared" si="1"/>
        <v>1</v>
      </c>
      <c r="I14">
        <f t="shared" si="2"/>
        <v>0</v>
      </c>
      <c r="J14">
        <v>71.2</v>
      </c>
      <c r="K14">
        <v>78.900000000000006</v>
      </c>
      <c r="L14">
        <v>64.5</v>
      </c>
      <c r="M14">
        <v>71.2</v>
      </c>
      <c r="N14">
        <v>61.1</v>
      </c>
      <c r="O14">
        <v>70.8</v>
      </c>
      <c r="S14">
        <f t="shared" si="3"/>
        <v>1</v>
      </c>
      <c r="T14">
        <f t="shared" si="4"/>
        <v>1</v>
      </c>
      <c r="U14">
        <f t="shared" si="5"/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12.8</v>
      </c>
      <c r="AG14">
        <f t="shared" si="6"/>
        <v>1</v>
      </c>
      <c r="AH14">
        <f t="shared" si="7"/>
        <v>0</v>
      </c>
      <c r="AI14">
        <f t="shared" si="8"/>
        <v>1</v>
      </c>
      <c r="AJ14">
        <v>127.7</v>
      </c>
      <c r="AK14">
        <v>1012.3</v>
      </c>
      <c r="AL14">
        <v>50</v>
      </c>
      <c r="AM14">
        <v>6.8</v>
      </c>
      <c r="AN14">
        <v>0</v>
      </c>
      <c r="AO14">
        <v>0</v>
      </c>
      <c r="AP14">
        <v>0</v>
      </c>
      <c r="AQ14">
        <v>0</v>
      </c>
      <c r="AR14" t="s">
        <v>95</v>
      </c>
      <c r="AS14" t="s">
        <v>96</v>
      </c>
      <c r="AT14">
        <v>0.34</v>
      </c>
      <c r="AU14" t="s">
        <v>43</v>
      </c>
      <c r="AV14" t="s">
        <v>44</v>
      </c>
      <c r="AW14" t="s">
        <v>45</v>
      </c>
      <c r="AX14" s="1">
        <v>0.72499999999999998</v>
      </c>
      <c r="AY14" t="s">
        <v>97</v>
      </c>
      <c r="AZ14">
        <v>95.999999998603016</v>
      </c>
      <c r="BA14">
        <v>0</v>
      </c>
      <c r="BB14">
        <v>0.5</v>
      </c>
      <c r="BC14">
        <v>0</v>
      </c>
      <c r="BD14">
        <v>0</v>
      </c>
      <c r="BE14">
        <f t="shared" si="9"/>
        <v>1</v>
      </c>
    </row>
    <row r="15" spans="1:57" x14ac:dyDescent="0.25">
      <c r="A15" t="s">
        <v>39</v>
      </c>
      <c r="B15" t="s">
        <v>98</v>
      </c>
      <c r="C15">
        <v>64.5</v>
      </c>
      <c r="D15">
        <v>50.1</v>
      </c>
      <c r="G15">
        <f t="shared" si="0"/>
        <v>1</v>
      </c>
      <c r="H15">
        <f t="shared" si="1"/>
        <v>1</v>
      </c>
      <c r="I15">
        <f t="shared" si="2"/>
        <v>0</v>
      </c>
      <c r="J15">
        <v>60.5</v>
      </c>
      <c r="K15">
        <v>64.5</v>
      </c>
      <c r="L15">
        <v>50.1</v>
      </c>
      <c r="M15">
        <v>60.5</v>
      </c>
      <c r="N15">
        <v>51.5</v>
      </c>
      <c r="O15">
        <v>72.2</v>
      </c>
      <c r="S15">
        <f t="shared" si="3"/>
        <v>1</v>
      </c>
      <c r="T15">
        <f t="shared" si="4"/>
        <v>1</v>
      </c>
      <c r="U15">
        <f t="shared" si="5"/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17.2</v>
      </c>
      <c r="AG15">
        <f t="shared" si="6"/>
        <v>1</v>
      </c>
      <c r="AH15">
        <f t="shared" si="7"/>
        <v>0</v>
      </c>
      <c r="AI15">
        <f t="shared" si="8"/>
        <v>1</v>
      </c>
      <c r="AJ15">
        <v>326.2</v>
      </c>
      <c r="AK15">
        <v>1020.8</v>
      </c>
      <c r="AL15">
        <v>48.2</v>
      </c>
      <c r="AM15">
        <v>6.8</v>
      </c>
      <c r="AN15">
        <v>0</v>
      </c>
      <c r="AO15">
        <v>0</v>
      </c>
      <c r="AP15">
        <v>0</v>
      </c>
      <c r="AQ15">
        <v>0</v>
      </c>
      <c r="AR15" t="s">
        <v>99</v>
      </c>
      <c r="AS15" t="s">
        <v>100</v>
      </c>
      <c r="AT15">
        <v>0.5</v>
      </c>
      <c r="AU15" t="s">
        <v>43</v>
      </c>
      <c r="AV15" t="s">
        <v>44</v>
      </c>
      <c r="AW15" t="s">
        <v>45</v>
      </c>
      <c r="AX15" s="1">
        <v>0.99236111111111114</v>
      </c>
      <c r="AY15" t="s">
        <v>101</v>
      </c>
      <c r="AZ15">
        <v>71.000000000931323</v>
      </c>
      <c r="BA15">
        <v>0</v>
      </c>
      <c r="BB15">
        <v>0</v>
      </c>
      <c r="BC15">
        <v>1</v>
      </c>
      <c r="BD15">
        <v>0</v>
      </c>
      <c r="BE15">
        <f t="shared" si="9"/>
        <v>1</v>
      </c>
    </row>
    <row r="16" spans="1:57" x14ac:dyDescent="0.25">
      <c r="A16" t="s">
        <v>39</v>
      </c>
      <c r="B16" t="s">
        <v>102</v>
      </c>
      <c r="C16">
        <v>53.7</v>
      </c>
      <c r="D16">
        <v>46.5</v>
      </c>
      <c r="G16">
        <f t="shared" si="0"/>
        <v>1</v>
      </c>
      <c r="H16">
        <f t="shared" si="1"/>
        <v>0</v>
      </c>
      <c r="I16">
        <f t="shared" si="2"/>
        <v>1</v>
      </c>
      <c r="J16">
        <v>51.7</v>
      </c>
      <c r="K16">
        <v>53.7</v>
      </c>
      <c r="L16">
        <v>43.6</v>
      </c>
      <c r="M16">
        <v>51.4</v>
      </c>
      <c r="N16">
        <v>36.700000000000003</v>
      </c>
      <c r="O16">
        <v>57.2</v>
      </c>
      <c r="S16">
        <f t="shared" si="3"/>
        <v>1</v>
      </c>
      <c r="T16">
        <f t="shared" si="4"/>
        <v>0</v>
      </c>
      <c r="U16">
        <f t="shared" si="5"/>
        <v>1</v>
      </c>
      <c r="V16">
        <v>0.107</v>
      </c>
      <c r="W16">
        <v>100</v>
      </c>
      <c r="X16">
        <v>8.33</v>
      </c>
      <c r="Y16" t="s">
        <v>103</v>
      </c>
      <c r="Z16">
        <v>0</v>
      </c>
      <c r="AA16">
        <v>0</v>
      </c>
      <c r="AB16">
        <v>0</v>
      </c>
      <c r="AC16">
        <v>12.8</v>
      </c>
      <c r="AG16">
        <f t="shared" si="6"/>
        <v>1</v>
      </c>
      <c r="AH16">
        <f t="shared" si="7"/>
        <v>0</v>
      </c>
      <c r="AI16">
        <f t="shared" si="8"/>
        <v>1</v>
      </c>
      <c r="AJ16">
        <v>30.6</v>
      </c>
      <c r="AK16">
        <v>1021.4</v>
      </c>
      <c r="AL16">
        <v>64.400000000000006</v>
      </c>
      <c r="AM16">
        <v>6.8</v>
      </c>
      <c r="AN16">
        <v>0</v>
      </c>
      <c r="AO16">
        <v>0</v>
      </c>
      <c r="AP16">
        <v>0</v>
      </c>
      <c r="AQ16">
        <v>0</v>
      </c>
      <c r="AR16" t="s">
        <v>104</v>
      </c>
      <c r="AS16" t="s">
        <v>105</v>
      </c>
      <c r="AT16">
        <v>0.85</v>
      </c>
      <c r="AU16" t="s">
        <v>106</v>
      </c>
      <c r="AV16" t="s">
        <v>107</v>
      </c>
      <c r="AW16" t="s">
        <v>103</v>
      </c>
      <c r="AX16" s="1">
        <v>0.55833333333333335</v>
      </c>
      <c r="AY16" t="s">
        <v>108</v>
      </c>
      <c r="AZ16">
        <v>116.00000000093129</v>
      </c>
      <c r="BA16">
        <v>0</v>
      </c>
      <c r="BB16">
        <v>2</v>
      </c>
      <c r="BC16">
        <v>0</v>
      </c>
      <c r="BD16">
        <v>0</v>
      </c>
      <c r="BE16">
        <f t="shared" si="9"/>
        <v>0</v>
      </c>
    </row>
    <row r="17" spans="1:57" x14ac:dyDescent="0.25">
      <c r="A17" t="s">
        <v>39</v>
      </c>
      <c r="B17" t="s">
        <v>109</v>
      </c>
      <c r="C17">
        <v>87.9</v>
      </c>
      <c r="D17">
        <v>71.7</v>
      </c>
      <c r="G17">
        <f t="shared" si="0"/>
        <v>1</v>
      </c>
      <c r="H17">
        <f t="shared" si="1"/>
        <v>1</v>
      </c>
      <c r="I17">
        <f t="shared" si="2"/>
        <v>0</v>
      </c>
      <c r="J17">
        <v>79.900000000000006</v>
      </c>
      <c r="K17">
        <v>88.6</v>
      </c>
      <c r="L17">
        <v>71.7</v>
      </c>
      <c r="M17">
        <v>80.400000000000006</v>
      </c>
      <c r="N17">
        <v>58.6</v>
      </c>
      <c r="O17">
        <v>49.9</v>
      </c>
      <c r="S17">
        <f t="shared" si="3"/>
        <v>1</v>
      </c>
      <c r="T17">
        <f t="shared" si="4"/>
        <v>0</v>
      </c>
      <c r="U17">
        <f t="shared" si="5"/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10.3</v>
      </c>
      <c r="AG17">
        <f t="shared" si="6"/>
        <v>1</v>
      </c>
      <c r="AH17">
        <f t="shared" si="7"/>
        <v>0</v>
      </c>
      <c r="AI17">
        <f t="shared" si="8"/>
        <v>1</v>
      </c>
      <c r="AJ17">
        <v>131</v>
      </c>
      <c r="AK17">
        <v>1008.8</v>
      </c>
      <c r="AL17">
        <v>0</v>
      </c>
      <c r="AM17">
        <v>6.2</v>
      </c>
      <c r="AN17">
        <v>0</v>
      </c>
      <c r="AO17">
        <v>0</v>
      </c>
      <c r="AP17">
        <v>0</v>
      </c>
      <c r="AQ17">
        <v>0</v>
      </c>
      <c r="AR17" t="s">
        <v>110</v>
      </c>
      <c r="AS17" t="s">
        <v>111</v>
      </c>
      <c r="AT17">
        <v>0.19</v>
      </c>
      <c r="AU17" t="s">
        <v>74</v>
      </c>
      <c r="AV17" t="s">
        <v>44</v>
      </c>
      <c r="AW17" t="s">
        <v>75</v>
      </c>
      <c r="AX17" s="1">
        <v>0.46805555555555561</v>
      </c>
      <c r="AY17" t="s">
        <v>112</v>
      </c>
      <c r="AZ17">
        <v>15886.00000000326</v>
      </c>
      <c r="BA17">
        <v>1</v>
      </c>
      <c r="BB17">
        <v>2000</v>
      </c>
      <c r="BC17">
        <v>2500</v>
      </c>
      <c r="BD17">
        <v>0</v>
      </c>
      <c r="BE17">
        <f t="shared" si="9"/>
        <v>1</v>
      </c>
    </row>
    <row r="18" spans="1:57" x14ac:dyDescent="0.25">
      <c r="A18" t="s">
        <v>39</v>
      </c>
      <c r="B18" t="s">
        <v>71</v>
      </c>
      <c r="C18">
        <v>84.3</v>
      </c>
      <c r="D18">
        <v>77.099999999999994</v>
      </c>
      <c r="G18">
        <f t="shared" si="0"/>
        <v>0</v>
      </c>
      <c r="H18">
        <f t="shared" si="1"/>
        <v>0</v>
      </c>
      <c r="I18">
        <f t="shared" si="2"/>
        <v>0</v>
      </c>
      <c r="J18">
        <v>82.4</v>
      </c>
      <c r="K18">
        <v>87.6</v>
      </c>
      <c r="L18">
        <v>77.099999999999994</v>
      </c>
      <c r="M18">
        <v>83.7</v>
      </c>
      <c r="N18">
        <v>63.6</v>
      </c>
      <c r="O18">
        <v>54.1</v>
      </c>
      <c r="S18">
        <f t="shared" si="3"/>
        <v>1</v>
      </c>
      <c r="T18">
        <f t="shared" si="4"/>
        <v>0</v>
      </c>
      <c r="U18">
        <f t="shared" si="5"/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18.3</v>
      </c>
      <c r="AG18">
        <f t="shared" si="6"/>
        <v>0</v>
      </c>
      <c r="AH18">
        <f t="shared" si="7"/>
        <v>0</v>
      </c>
      <c r="AI18">
        <f t="shared" si="8"/>
        <v>0</v>
      </c>
      <c r="AJ18">
        <v>312.3</v>
      </c>
      <c r="AK18">
        <v>1008.4</v>
      </c>
      <c r="AL18">
        <v>0</v>
      </c>
      <c r="AM18">
        <v>6.2</v>
      </c>
      <c r="AN18">
        <v>0</v>
      </c>
      <c r="AO18">
        <v>0</v>
      </c>
      <c r="AP18">
        <v>0</v>
      </c>
      <c r="AQ18">
        <v>0</v>
      </c>
      <c r="AR18" t="s">
        <v>72</v>
      </c>
      <c r="AS18" t="s">
        <v>73</v>
      </c>
      <c r="AT18">
        <v>0.86</v>
      </c>
      <c r="AU18" t="s">
        <v>74</v>
      </c>
      <c r="AV18" t="s">
        <v>44</v>
      </c>
      <c r="AW18" t="s">
        <v>75</v>
      </c>
      <c r="AX18" s="1">
        <v>0.47847222222222219</v>
      </c>
      <c r="AY18" t="s">
        <v>113</v>
      </c>
      <c r="AZ18">
        <v>30.99999999627471</v>
      </c>
      <c r="BA18">
        <v>0</v>
      </c>
      <c r="BB18">
        <v>0.1</v>
      </c>
      <c r="BC18">
        <v>0</v>
      </c>
      <c r="BD18">
        <v>0</v>
      </c>
      <c r="BE18">
        <f t="shared" si="9"/>
        <v>0</v>
      </c>
    </row>
    <row r="19" spans="1:57" x14ac:dyDescent="0.25">
      <c r="A19" t="s">
        <v>39</v>
      </c>
      <c r="B19" t="s">
        <v>114</v>
      </c>
      <c r="C19">
        <v>87.9</v>
      </c>
      <c r="D19">
        <v>73.5</v>
      </c>
      <c r="G19">
        <f t="shared" si="0"/>
        <v>1</v>
      </c>
      <c r="H19">
        <f t="shared" si="1"/>
        <v>1</v>
      </c>
      <c r="I19">
        <f t="shared" si="2"/>
        <v>0</v>
      </c>
      <c r="J19">
        <v>79.400000000000006</v>
      </c>
      <c r="K19">
        <v>85.2</v>
      </c>
      <c r="L19">
        <v>73.5</v>
      </c>
      <c r="M19">
        <v>79.3</v>
      </c>
      <c r="N19">
        <v>55.2</v>
      </c>
      <c r="O19">
        <v>46.1</v>
      </c>
      <c r="S19">
        <f t="shared" si="3"/>
        <v>1</v>
      </c>
      <c r="T19">
        <f t="shared" si="4"/>
        <v>0</v>
      </c>
      <c r="U19">
        <f t="shared" si="5"/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16.100000000000001</v>
      </c>
      <c r="AG19">
        <f t="shared" si="6"/>
        <v>0</v>
      </c>
      <c r="AH19">
        <f t="shared" si="7"/>
        <v>0</v>
      </c>
      <c r="AI19">
        <f t="shared" si="8"/>
        <v>0</v>
      </c>
      <c r="AJ19">
        <v>308.3</v>
      </c>
      <c r="AK19">
        <v>1008.7</v>
      </c>
      <c r="AL19">
        <v>0</v>
      </c>
      <c r="AM19">
        <v>6.2</v>
      </c>
      <c r="AN19">
        <v>0</v>
      </c>
      <c r="AO19">
        <v>0</v>
      </c>
      <c r="AP19">
        <v>0</v>
      </c>
      <c r="AQ19">
        <v>0</v>
      </c>
      <c r="AR19" t="s">
        <v>115</v>
      </c>
      <c r="AS19" t="s">
        <v>116</v>
      </c>
      <c r="AT19">
        <v>0.82</v>
      </c>
      <c r="AU19" t="s">
        <v>74</v>
      </c>
      <c r="AV19" t="s">
        <v>44</v>
      </c>
      <c r="AW19" t="s">
        <v>75</v>
      </c>
      <c r="AX19" s="1">
        <v>0.66249999999999998</v>
      </c>
      <c r="AY19" t="s">
        <v>117</v>
      </c>
      <c r="AZ19">
        <v>1146.0000000055879</v>
      </c>
      <c r="BA19">
        <v>1</v>
      </c>
      <c r="BB19">
        <v>0</v>
      </c>
      <c r="BC19">
        <v>3</v>
      </c>
      <c r="BD19">
        <v>0</v>
      </c>
      <c r="BE19">
        <f t="shared" si="9"/>
        <v>1</v>
      </c>
    </row>
    <row r="20" spans="1:57" x14ac:dyDescent="0.25">
      <c r="A20" t="s">
        <v>39</v>
      </c>
      <c r="B20" t="s">
        <v>118</v>
      </c>
      <c r="C20">
        <v>77.099999999999994</v>
      </c>
      <c r="D20">
        <v>57.3</v>
      </c>
      <c r="G20">
        <f t="shared" si="0"/>
        <v>1</v>
      </c>
      <c r="H20">
        <f t="shared" si="1"/>
        <v>1</v>
      </c>
      <c r="I20">
        <f t="shared" si="2"/>
        <v>0</v>
      </c>
      <c r="J20">
        <v>66.599999999999994</v>
      </c>
      <c r="K20">
        <v>77.099999999999994</v>
      </c>
      <c r="L20">
        <v>57.3</v>
      </c>
      <c r="M20">
        <v>66.599999999999994</v>
      </c>
      <c r="N20">
        <v>39.6</v>
      </c>
      <c r="O20">
        <v>37.4</v>
      </c>
      <c r="S20">
        <f t="shared" si="3"/>
        <v>1</v>
      </c>
      <c r="T20">
        <f t="shared" si="4"/>
        <v>0</v>
      </c>
      <c r="U20">
        <f t="shared" si="5"/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9.1999999999999993</v>
      </c>
      <c r="AG20">
        <f t="shared" si="6"/>
        <v>1</v>
      </c>
      <c r="AH20">
        <f t="shared" si="7"/>
        <v>0</v>
      </c>
      <c r="AI20">
        <f t="shared" si="8"/>
        <v>1</v>
      </c>
      <c r="AJ20">
        <v>171.7</v>
      </c>
      <c r="AK20">
        <v>1021.8</v>
      </c>
      <c r="AL20">
        <v>0</v>
      </c>
      <c r="AM20">
        <v>6.2</v>
      </c>
      <c r="AN20">
        <v>0</v>
      </c>
      <c r="AO20">
        <v>0</v>
      </c>
      <c r="AP20">
        <v>0</v>
      </c>
      <c r="AQ20">
        <v>0</v>
      </c>
      <c r="AR20" t="s">
        <v>119</v>
      </c>
      <c r="AS20" t="s">
        <v>120</v>
      </c>
      <c r="AT20">
        <v>0.45</v>
      </c>
      <c r="AU20" t="s">
        <v>74</v>
      </c>
      <c r="AV20" t="s">
        <v>44</v>
      </c>
      <c r="AW20" t="s">
        <v>75</v>
      </c>
      <c r="AX20" s="1">
        <v>0.83263888888888893</v>
      </c>
      <c r="AY20" t="s">
        <v>121</v>
      </c>
      <c r="AZ20">
        <v>281.00000000442378</v>
      </c>
      <c r="BA20">
        <v>0</v>
      </c>
      <c r="BB20">
        <v>5</v>
      </c>
      <c r="BC20">
        <v>0</v>
      </c>
      <c r="BD20">
        <v>0</v>
      </c>
      <c r="BE20">
        <f t="shared" si="9"/>
        <v>1</v>
      </c>
    </row>
    <row r="21" spans="1:57" x14ac:dyDescent="0.25">
      <c r="A21" t="s">
        <v>39</v>
      </c>
      <c r="B21" t="s">
        <v>122</v>
      </c>
      <c r="C21">
        <v>87.9</v>
      </c>
      <c r="D21">
        <v>75.3</v>
      </c>
      <c r="G21">
        <f t="shared" si="0"/>
        <v>1</v>
      </c>
      <c r="H21">
        <f t="shared" si="1"/>
        <v>1</v>
      </c>
      <c r="I21">
        <f t="shared" si="2"/>
        <v>0</v>
      </c>
      <c r="J21">
        <v>83.5</v>
      </c>
      <c r="K21">
        <v>88.6</v>
      </c>
      <c r="L21">
        <v>75.3</v>
      </c>
      <c r="M21">
        <v>83.4</v>
      </c>
      <c r="N21">
        <v>59.4</v>
      </c>
      <c r="O21">
        <v>44.8</v>
      </c>
      <c r="S21">
        <f t="shared" si="3"/>
        <v>1</v>
      </c>
      <c r="T21">
        <f t="shared" si="4"/>
        <v>0</v>
      </c>
      <c r="U21">
        <f t="shared" si="5"/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17.2</v>
      </c>
      <c r="AG21">
        <f t="shared" si="6"/>
        <v>0</v>
      </c>
      <c r="AH21">
        <f t="shared" si="7"/>
        <v>0</v>
      </c>
      <c r="AI21">
        <f t="shared" si="8"/>
        <v>0</v>
      </c>
      <c r="AJ21">
        <v>297.2</v>
      </c>
      <c r="AK21">
        <v>1011</v>
      </c>
      <c r="AL21">
        <v>0</v>
      </c>
      <c r="AM21">
        <v>6.2</v>
      </c>
      <c r="AN21">
        <v>0</v>
      </c>
      <c r="AO21">
        <v>0</v>
      </c>
      <c r="AP21">
        <v>0</v>
      </c>
      <c r="AQ21">
        <v>0</v>
      </c>
      <c r="AR21" t="s">
        <v>123</v>
      </c>
      <c r="AS21" t="s">
        <v>124</v>
      </c>
      <c r="AT21">
        <v>0.82</v>
      </c>
      <c r="AU21" t="s">
        <v>74</v>
      </c>
      <c r="AV21" t="s">
        <v>44</v>
      </c>
      <c r="AW21" t="s">
        <v>75</v>
      </c>
      <c r="AX21" s="1">
        <v>0.47916666666666669</v>
      </c>
      <c r="AY21" t="s">
        <v>125</v>
      </c>
      <c r="AZ21">
        <v>1980</v>
      </c>
      <c r="BA21">
        <v>1</v>
      </c>
      <c r="BB21">
        <v>0</v>
      </c>
      <c r="BC21">
        <v>20</v>
      </c>
      <c r="BD21">
        <v>0</v>
      </c>
      <c r="BE21">
        <f t="shared" si="9"/>
        <v>1</v>
      </c>
    </row>
    <row r="22" spans="1:57" x14ac:dyDescent="0.25">
      <c r="A22" t="s">
        <v>39</v>
      </c>
      <c r="B22" t="s">
        <v>126</v>
      </c>
      <c r="C22">
        <v>75.3</v>
      </c>
      <c r="D22">
        <v>68.099999999999994</v>
      </c>
      <c r="G22">
        <f t="shared" si="0"/>
        <v>1</v>
      </c>
      <c r="H22">
        <f t="shared" si="1"/>
        <v>0</v>
      </c>
      <c r="I22">
        <f t="shared" si="2"/>
        <v>1</v>
      </c>
      <c r="J22">
        <v>70.599999999999994</v>
      </c>
      <c r="K22">
        <v>75.3</v>
      </c>
      <c r="L22">
        <v>68.099999999999994</v>
      </c>
      <c r="M22">
        <v>70.599999999999994</v>
      </c>
      <c r="N22">
        <v>55.8</v>
      </c>
      <c r="O22">
        <v>59.8</v>
      </c>
      <c r="S22">
        <f t="shared" si="3"/>
        <v>0</v>
      </c>
      <c r="T22">
        <f t="shared" si="4"/>
        <v>0</v>
      </c>
      <c r="U22">
        <f t="shared" si="5"/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19.5</v>
      </c>
      <c r="AG22">
        <f t="shared" si="6"/>
        <v>1</v>
      </c>
      <c r="AH22">
        <f t="shared" si="7"/>
        <v>1</v>
      </c>
      <c r="AI22">
        <f t="shared" si="8"/>
        <v>0</v>
      </c>
      <c r="AJ22">
        <v>313.60000000000002</v>
      </c>
      <c r="AK22">
        <v>1015.7</v>
      </c>
      <c r="AL22">
        <v>30</v>
      </c>
      <c r="AM22">
        <v>6.8</v>
      </c>
      <c r="AN22">
        <v>0</v>
      </c>
      <c r="AO22">
        <v>0</v>
      </c>
      <c r="AP22">
        <v>0</v>
      </c>
      <c r="AQ22">
        <v>0</v>
      </c>
      <c r="AR22" t="s">
        <v>127</v>
      </c>
      <c r="AS22" t="s">
        <v>128</v>
      </c>
      <c r="AT22">
        <v>0.06</v>
      </c>
      <c r="AU22" t="s">
        <v>43</v>
      </c>
      <c r="AV22" t="s">
        <v>44</v>
      </c>
      <c r="AW22" t="s">
        <v>45</v>
      </c>
      <c r="AX22" s="1">
        <v>0.49930555555555561</v>
      </c>
      <c r="AY22" t="s">
        <v>129</v>
      </c>
      <c r="AZ22">
        <v>134.00000000721769</v>
      </c>
      <c r="BA22">
        <v>0</v>
      </c>
      <c r="BB22">
        <v>0</v>
      </c>
      <c r="BC22">
        <v>1</v>
      </c>
      <c r="BD22">
        <v>0</v>
      </c>
      <c r="BE22">
        <f t="shared" si="9"/>
        <v>0</v>
      </c>
    </row>
    <row r="23" spans="1:57" x14ac:dyDescent="0.25">
      <c r="A23" t="s">
        <v>39</v>
      </c>
      <c r="B23" t="s">
        <v>130</v>
      </c>
      <c r="C23">
        <v>77.099999999999994</v>
      </c>
      <c r="D23">
        <v>60.9</v>
      </c>
      <c r="G23">
        <f t="shared" si="0"/>
        <v>1</v>
      </c>
      <c r="H23">
        <f t="shared" si="1"/>
        <v>0</v>
      </c>
      <c r="I23">
        <f t="shared" si="2"/>
        <v>1</v>
      </c>
      <c r="J23">
        <v>69.400000000000006</v>
      </c>
      <c r="K23">
        <v>77.099999999999994</v>
      </c>
      <c r="L23">
        <v>60.9</v>
      </c>
      <c r="M23">
        <v>69.400000000000006</v>
      </c>
      <c r="N23">
        <v>53</v>
      </c>
      <c r="O23">
        <v>56.6</v>
      </c>
      <c r="S23">
        <f t="shared" si="3"/>
        <v>1</v>
      </c>
      <c r="T23">
        <f t="shared" si="4"/>
        <v>0</v>
      </c>
      <c r="U23">
        <f t="shared" si="5"/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10.3</v>
      </c>
      <c r="AG23">
        <f t="shared" si="6"/>
        <v>1</v>
      </c>
      <c r="AH23">
        <f t="shared" si="7"/>
        <v>0</v>
      </c>
      <c r="AI23">
        <f t="shared" si="8"/>
        <v>1</v>
      </c>
      <c r="AJ23">
        <v>322.39999999999998</v>
      </c>
      <c r="AK23">
        <v>1016.2</v>
      </c>
      <c r="AL23">
        <v>0</v>
      </c>
      <c r="AM23">
        <v>6.2</v>
      </c>
      <c r="AN23">
        <v>0</v>
      </c>
      <c r="AO23">
        <v>0</v>
      </c>
      <c r="AP23">
        <v>0</v>
      </c>
      <c r="AQ23">
        <v>0</v>
      </c>
      <c r="AR23" t="s">
        <v>131</v>
      </c>
      <c r="AS23" t="s">
        <v>132</v>
      </c>
      <c r="AT23">
        <v>0.68</v>
      </c>
      <c r="AU23" t="s">
        <v>74</v>
      </c>
      <c r="AV23" t="s">
        <v>44</v>
      </c>
      <c r="AW23" t="s">
        <v>75</v>
      </c>
      <c r="AX23" s="1">
        <v>0.79166666666666663</v>
      </c>
      <c r="AY23" t="s">
        <v>133</v>
      </c>
      <c r="AZ23">
        <v>960.00000000698492</v>
      </c>
      <c r="BA23">
        <v>1</v>
      </c>
      <c r="BB23">
        <v>0.5</v>
      </c>
      <c r="BC23">
        <v>0</v>
      </c>
      <c r="BD23">
        <v>0</v>
      </c>
      <c r="BE23">
        <f t="shared" si="9"/>
        <v>1</v>
      </c>
    </row>
    <row r="24" spans="1:57" x14ac:dyDescent="0.25">
      <c r="A24" t="s">
        <v>39</v>
      </c>
      <c r="B24" t="s">
        <v>134</v>
      </c>
      <c r="C24">
        <v>78.900000000000006</v>
      </c>
      <c r="D24">
        <v>71.7</v>
      </c>
      <c r="G24">
        <f t="shared" si="0"/>
        <v>0</v>
      </c>
      <c r="H24">
        <f t="shared" si="1"/>
        <v>0</v>
      </c>
      <c r="I24">
        <f t="shared" si="2"/>
        <v>0</v>
      </c>
      <c r="J24">
        <v>74.900000000000006</v>
      </c>
      <c r="K24">
        <v>78.900000000000006</v>
      </c>
      <c r="L24">
        <v>71.7</v>
      </c>
      <c r="M24">
        <v>74.900000000000006</v>
      </c>
      <c r="N24">
        <v>53.8</v>
      </c>
      <c r="O24">
        <v>48.3</v>
      </c>
      <c r="S24">
        <f t="shared" si="3"/>
        <v>1</v>
      </c>
      <c r="T24">
        <f t="shared" si="4"/>
        <v>0</v>
      </c>
      <c r="U24">
        <f t="shared" si="5"/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20.8</v>
      </c>
      <c r="AG24">
        <f t="shared" si="6"/>
        <v>1</v>
      </c>
      <c r="AH24">
        <f t="shared" si="7"/>
        <v>1</v>
      </c>
      <c r="AI24">
        <f t="shared" si="8"/>
        <v>0</v>
      </c>
      <c r="AJ24">
        <v>307.2</v>
      </c>
      <c r="AK24">
        <v>1010.5</v>
      </c>
      <c r="AL24">
        <v>0</v>
      </c>
      <c r="AM24">
        <v>6.2</v>
      </c>
      <c r="AN24">
        <v>0</v>
      </c>
      <c r="AO24">
        <v>0</v>
      </c>
      <c r="AP24">
        <v>0</v>
      </c>
      <c r="AQ24">
        <v>0</v>
      </c>
      <c r="AR24" t="s">
        <v>135</v>
      </c>
      <c r="AS24" t="s">
        <v>136</v>
      </c>
      <c r="AT24">
        <v>0.92</v>
      </c>
      <c r="AU24" t="s">
        <v>74</v>
      </c>
      <c r="AV24" t="s">
        <v>44</v>
      </c>
      <c r="AW24" t="s">
        <v>75</v>
      </c>
      <c r="AX24" s="1">
        <v>0.86388888888888893</v>
      </c>
      <c r="AY24" t="s">
        <v>137</v>
      </c>
      <c r="AZ24">
        <v>1216.0000000032601</v>
      </c>
      <c r="BA24">
        <v>1</v>
      </c>
      <c r="BB24">
        <v>0</v>
      </c>
      <c r="BC24">
        <v>2</v>
      </c>
      <c r="BD24">
        <v>0</v>
      </c>
      <c r="BE24">
        <f t="shared" si="9"/>
        <v>1</v>
      </c>
    </row>
    <row r="25" spans="1:57" x14ac:dyDescent="0.25">
      <c r="A25" t="s">
        <v>39</v>
      </c>
      <c r="B25" t="s">
        <v>138</v>
      </c>
      <c r="C25">
        <v>73.5</v>
      </c>
      <c r="D25">
        <v>62.7</v>
      </c>
      <c r="G25">
        <f t="shared" si="0"/>
        <v>0</v>
      </c>
      <c r="H25">
        <f t="shared" si="1"/>
        <v>0</v>
      </c>
      <c r="I25">
        <f t="shared" si="2"/>
        <v>0</v>
      </c>
      <c r="J25">
        <v>68.7</v>
      </c>
      <c r="K25">
        <v>73.5</v>
      </c>
      <c r="L25">
        <v>62.7</v>
      </c>
      <c r="M25">
        <v>68.7</v>
      </c>
      <c r="N25">
        <v>58.8</v>
      </c>
      <c r="O25">
        <v>70.900000000000006</v>
      </c>
      <c r="S25">
        <f t="shared" si="3"/>
        <v>1</v>
      </c>
      <c r="T25">
        <f t="shared" si="4"/>
        <v>1</v>
      </c>
      <c r="U25">
        <f t="shared" si="5"/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15</v>
      </c>
      <c r="AG25">
        <f t="shared" si="6"/>
        <v>1</v>
      </c>
      <c r="AH25">
        <f t="shared" si="7"/>
        <v>0</v>
      </c>
      <c r="AI25">
        <f t="shared" si="8"/>
        <v>1</v>
      </c>
      <c r="AJ25">
        <v>329</v>
      </c>
      <c r="AK25">
        <v>1014.2</v>
      </c>
      <c r="AL25">
        <v>60.8</v>
      </c>
      <c r="AM25">
        <v>6.5</v>
      </c>
      <c r="AN25">
        <v>0</v>
      </c>
      <c r="AO25">
        <v>0</v>
      </c>
      <c r="AP25">
        <v>0</v>
      </c>
      <c r="AQ25">
        <v>0</v>
      </c>
      <c r="AR25" t="s">
        <v>139</v>
      </c>
      <c r="AS25" t="s">
        <v>140</v>
      </c>
      <c r="AT25">
        <v>0.8</v>
      </c>
      <c r="AU25" t="s">
        <v>43</v>
      </c>
      <c r="AV25" t="s">
        <v>44</v>
      </c>
      <c r="AW25" t="s">
        <v>45</v>
      </c>
      <c r="AX25" s="1">
        <v>0.57222222222222219</v>
      </c>
      <c r="AY25" t="s">
        <v>141</v>
      </c>
      <c r="AZ25">
        <v>35.999999991618097</v>
      </c>
      <c r="BA25">
        <v>0</v>
      </c>
      <c r="BB25">
        <v>0</v>
      </c>
      <c r="BC25">
        <v>0.5</v>
      </c>
      <c r="BD25">
        <v>0</v>
      </c>
      <c r="BE25">
        <f t="shared" si="9"/>
        <v>0</v>
      </c>
    </row>
    <row r="26" spans="1:57" x14ac:dyDescent="0.25">
      <c r="A26" t="s">
        <v>39</v>
      </c>
      <c r="B26" t="s">
        <v>142</v>
      </c>
      <c r="C26">
        <v>82.5</v>
      </c>
      <c r="D26">
        <v>71.7</v>
      </c>
      <c r="G26">
        <f t="shared" si="0"/>
        <v>0</v>
      </c>
      <c r="H26">
        <f t="shared" si="1"/>
        <v>0</v>
      </c>
      <c r="I26">
        <f t="shared" si="2"/>
        <v>0</v>
      </c>
      <c r="J26">
        <v>77.7</v>
      </c>
      <c r="K26">
        <v>85.5</v>
      </c>
      <c r="L26">
        <v>71.7</v>
      </c>
      <c r="M26">
        <v>78.8</v>
      </c>
      <c r="N26">
        <v>63.6</v>
      </c>
      <c r="O26">
        <v>62</v>
      </c>
      <c r="S26">
        <f t="shared" si="3"/>
        <v>1</v>
      </c>
      <c r="T26">
        <f t="shared" si="4"/>
        <v>1</v>
      </c>
      <c r="U26">
        <f t="shared" si="5"/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18.3</v>
      </c>
      <c r="AG26">
        <f t="shared" si="6"/>
        <v>0</v>
      </c>
      <c r="AH26">
        <f t="shared" si="7"/>
        <v>0</v>
      </c>
      <c r="AI26">
        <f t="shared" si="8"/>
        <v>0</v>
      </c>
      <c r="AJ26">
        <v>300.39999999999998</v>
      </c>
      <c r="AK26">
        <v>1010</v>
      </c>
      <c r="AL26">
        <v>36.700000000000003</v>
      </c>
      <c r="AM26">
        <v>6.5</v>
      </c>
      <c r="AN26">
        <v>0</v>
      </c>
      <c r="AO26">
        <v>0</v>
      </c>
      <c r="AP26">
        <v>0</v>
      </c>
      <c r="AQ26">
        <v>0</v>
      </c>
      <c r="AR26" t="s">
        <v>143</v>
      </c>
      <c r="AS26" t="s">
        <v>144</v>
      </c>
      <c r="AT26">
        <v>0.75</v>
      </c>
      <c r="AU26" t="s">
        <v>43</v>
      </c>
      <c r="AV26" t="s">
        <v>44</v>
      </c>
      <c r="AW26" t="s">
        <v>45</v>
      </c>
      <c r="AX26" s="1">
        <v>0.1173611111111111</v>
      </c>
      <c r="AY26" t="s">
        <v>145</v>
      </c>
      <c r="AZ26">
        <v>3371.0000000079158</v>
      </c>
      <c r="BA26">
        <v>1</v>
      </c>
      <c r="BB26">
        <v>0</v>
      </c>
      <c r="BC26">
        <v>20</v>
      </c>
      <c r="BD26">
        <v>0</v>
      </c>
      <c r="BE26">
        <f t="shared" si="9"/>
        <v>0</v>
      </c>
    </row>
    <row r="27" spans="1:57" x14ac:dyDescent="0.25">
      <c r="A27" t="s">
        <v>39</v>
      </c>
      <c r="B27" t="s">
        <v>146</v>
      </c>
      <c r="C27">
        <v>78.900000000000006</v>
      </c>
      <c r="D27">
        <v>64.5</v>
      </c>
      <c r="G27">
        <f t="shared" si="0"/>
        <v>0</v>
      </c>
      <c r="H27">
        <f t="shared" si="1"/>
        <v>0</v>
      </c>
      <c r="I27">
        <f t="shared" si="2"/>
        <v>0</v>
      </c>
      <c r="J27">
        <v>75.400000000000006</v>
      </c>
      <c r="K27">
        <v>78.900000000000006</v>
      </c>
      <c r="L27">
        <v>64.5</v>
      </c>
      <c r="M27">
        <v>75.400000000000006</v>
      </c>
      <c r="N27">
        <v>55.1</v>
      </c>
      <c r="O27">
        <v>49.8</v>
      </c>
      <c r="S27">
        <f t="shared" si="3"/>
        <v>1</v>
      </c>
      <c r="T27">
        <f t="shared" si="4"/>
        <v>0</v>
      </c>
      <c r="U27">
        <f t="shared" si="5"/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19.5</v>
      </c>
      <c r="AG27">
        <f t="shared" si="6"/>
        <v>1</v>
      </c>
      <c r="AH27">
        <f t="shared" si="7"/>
        <v>1</v>
      </c>
      <c r="AI27">
        <f t="shared" si="8"/>
        <v>0</v>
      </c>
      <c r="AJ27">
        <v>320.39999999999998</v>
      </c>
      <c r="AK27">
        <v>1015.9</v>
      </c>
      <c r="AL27">
        <v>0</v>
      </c>
      <c r="AM27">
        <v>6.2</v>
      </c>
      <c r="AN27">
        <v>0</v>
      </c>
      <c r="AO27">
        <v>0</v>
      </c>
      <c r="AP27">
        <v>0</v>
      </c>
      <c r="AQ27">
        <v>0</v>
      </c>
      <c r="AR27" t="s">
        <v>147</v>
      </c>
      <c r="AS27" t="s">
        <v>148</v>
      </c>
      <c r="AT27">
        <v>0.41</v>
      </c>
      <c r="AU27" t="s">
        <v>74</v>
      </c>
      <c r="AV27" t="s">
        <v>44</v>
      </c>
      <c r="AW27" t="s">
        <v>75</v>
      </c>
      <c r="AX27" s="1">
        <v>0.1173611111111111</v>
      </c>
      <c r="AY27" t="s">
        <v>149</v>
      </c>
      <c r="AZ27">
        <v>19271.00000000442</v>
      </c>
      <c r="BA27">
        <v>1</v>
      </c>
      <c r="BB27">
        <v>100</v>
      </c>
      <c r="BC27">
        <v>150</v>
      </c>
      <c r="BD27">
        <v>0</v>
      </c>
      <c r="BE27">
        <f t="shared" si="9"/>
        <v>1</v>
      </c>
    </row>
    <row r="28" spans="1:57" x14ac:dyDescent="0.25">
      <c r="A28" t="s">
        <v>39</v>
      </c>
      <c r="B28" t="s">
        <v>150</v>
      </c>
      <c r="C28">
        <v>73.5</v>
      </c>
      <c r="D28">
        <v>60.9</v>
      </c>
      <c r="G28">
        <f t="shared" si="0"/>
        <v>0</v>
      </c>
      <c r="H28">
        <f t="shared" si="1"/>
        <v>0</v>
      </c>
      <c r="I28">
        <f t="shared" si="2"/>
        <v>0</v>
      </c>
      <c r="J28">
        <v>68.400000000000006</v>
      </c>
      <c r="K28">
        <v>73.5</v>
      </c>
      <c r="L28">
        <v>60.9</v>
      </c>
      <c r="M28">
        <v>68.400000000000006</v>
      </c>
      <c r="N28">
        <v>58.1</v>
      </c>
      <c r="O28">
        <v>69.900000000000006</v>
      </c>
      <c r="S28">
        <f t="shared" si="3"/>
        <v>1</v>
      </c>
      <c r="T28">
        <f t="shared" si="4"/>
        <v>1</v>
      </c>
      <c r="U28">
        <f t="shared" si="5"/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10.3</v>
      </c>
      <c r="AG28">
        <f t="shared" si="6"/>
        <v>1</v>
      </c>
      <c r="AH28">
        <f t="shared" si="7"/>
        <v>0</v>
      </c>
      <c r="AI28">
        <f t="shared" si="8"/>
        <v>1</v>
      </c>
      <c r="AJ28">
        <v>73.7</v>
      </c>
      <c r="AK28">
        <v>1014.4</v>
      </c>
      <c r="AL28">
        <v>64.5</v>
      </c>
      <c r="AM28">
        <v>6.5</v>
      </c>
      <c r="AN28">
        <v>0</v>
      </c>
      <c r="AO28">
        <v>0</v>
      </c>
      <c r="AP28">
        <v>0</v>
      </c>
      <c r="AQ28">
        <v>0</v>
      </c>
      <c r="AR28" t="s">
        <v>151</v>
      </c>
      <c r="AS28" t="s">
        <v>152</v>
      </c>
      <c r="AT28">
        <v>0.63</v>
      </c>
      <c r="AU28" t="s">
        <v>43</v>
      </c>
      <c r="AV28" t="s">
        <v>44</v>
      </c>
      <c r="AW28" t="s">
        <v>45</v>
      </c>
      <c r="AX28" s="1">
        <v>0.33263888888888887</v>
      </c>
      <c r="AY28" t="s">
        <v>153</v>
      </c>
      <c r="AZ28">
        <v>40.999999997438863</v>
      </c>
      <c r="BA28">
        <v>0</v>
      </c>
      <c r="BB28">
        <v>0</v>
      </c>
      <c r="BC28">
        <v>30</v>
      </c>
      <c r="BD28">
        <v>0</v>
      </c>
      <c r="BE28">
        <f t="shared" si="9"/>
        <v>0</v>
      </c>
    </row>
    <row r="29" spans="1:57" x14ac:dyDescent="0.25">
      <c r="A29" t="s">
        <v>39</v>
      </c>
      <c r="B29" t="s">
        <v>154</v>
      </c>
      <c r="C29">
        <v>64.5</v>
      </c>
      <c r="D29">
        <v>51.9</v>
      </c>
      <c r="G29">
        <f t="shared" si="0"/>
        <v>1</v>
      </c>
      <c r="H29">
        <f t="shared" si="1"/>
        <v>1</v>
      </c>
      <c r="I29">
        <f t="shared" si="2"/>
        <v>0</v>
      </c>
      <c r="J29">
        <v>57.3</v>
      </c>
      <c r="K29">
        <v>64.5</v>
      </c>
      <c r="L29">
        <v>51.9</v>
      </c>
      <c r="M29">
        <v>57.3</v>
      </c>
      <c r="N29">
        <v>50.9</v>
      </c>
      <c r="O29">
        <v>79.5</v>
      </c>
      <c r="S29">
        <f t="shared" si="3"/>
        <v>1</v>
      </c>
      <c r="T29">
        <f t="shared" si="4"/>
        <v>1</v>
      </c>
      <c r="U29">
        <f t="shared" si="5"/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8.1</v>
      </c>
      <c r="AG29">
        <f t="shared" si="6"/>
        <v>1</v>
      </c>
      <c r="AH29">
        <f t="shared" si="7"/>
        <v>0</v>
      </c>
      <c r="AI29">
        <f t="shared" si="8"/>
        <v>1</v>
      </c>
      <c r="AJ29">
        <v>173.9</v>
      </c>
      <c r="AK29">
        <v>1023.1</v>
      </c>
      <c r="AL29">
        <v>47.5</v>
      </c>
      <c r="AM29">
        <v>6.8</v>
      </c>
      <c r="AN29">
        <v>0</v>
      </c>
      <c r="AO29">
        <v>0</v>
      </c>
      <c r="AP29">
        <v>0</v>
      </c>
      <c r="AQ29">
        <v>0</v>
      </c>
      <c r="AR29" t="s">
        <v>155</v>
      </c>
      <c r="AS29" t="s">
        <v>156</v>
      </c>
      <c r="AT29">
        <v>0.24</v>
      </c>
      <c r="AU29" t="s">
        <v>43</v>
      </c>
      <c r="AV29" t="s">
        <v>44</v>
      </c>
      <c r="AW29" t="s">
        <v>45</v>
      </c>
      <c r="AX29" s="1">
        <v>0.61458333333333337</v>
      </c>
      <c r="AY29" t="s">
        <v>157</v>
      </c>
      <c r="AZ29">
        <v>214.99999999883579</v>
      </c>
      <c r="BA29">
        <v>0</v>
      </c>
      <c r="BB29">
        <v>0</v>
      </c>
      <c r="BC29">
        <v>4</v>
      </c>
      <c r="BD29">
        <v>0</v>
      </c>
      <c r="BE29">
        <f t="shared" si="9"/>
        <v>1</v>
      </c>
    </row>
    <row r="30" spans="1:57" x14ac:dyDescent="0.25">
      <c r="A30" t="s">
        <v>39</v>
      </c>
      <c r="B30" t="s">
        <v>158</v>
      </c>
      <c r="C30">
        <v>84.3</v>
      </c>
      <c r="D30">
        <v>75.3</v>
      </c>
      <c r="G30">
        <f t="shared" si="0"/>
        <v>1</v>
      </c>
      <c r="H30">
        <f t="shared" si="1"/>
        <v>1</v>
      </c>
      <c r="I30">
        <f t="shared" si="2"/>
        <v>0</v>
      </c>
      <c r="J30">
        <v>80.400000000000006</v>
      </c>
      <c r="K30">
        <v>92.7</v>
      </c>
      <c r="L30">
        <v>75.3</v>
      </c>
      <c r="M30">
        <v>83.2</v>
      </c>
      <c r="N30">
        <v>65</v>
      </c>
      <c r="O30">
        <v>61.9</v>
      </c>
      <c r="S30">
        <f t="shared" si="3"/>
        <v>1</v>
      </c>
      <c r="T30">
        <f t="shared" si="4"/>
        <v>0</v>
      </c>
      <c r="U30">
        <f t="shared" si="5"/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13.9</v>
      </c>
      <c r="AG30">
        <f t="shared" si="6"/>
        <v>1</v>
      </c>
      <c r="AH30">
        <f t="shared" si="7"/>
        <v>0</v>
      </c>
      <c r="AI30">
        <f t="shared" si="8"/>
        <v>1</v>
      </c>
      <c r="AJ30">
        <v>298.5</v>
      </c>
      <c r="AK30">
        <v>1008</v>
      </c>
      <c r="AL30">
        <v>30</v>
      </c>
      <c r="AM30">
        <v>6.5</v>
      </c>
      <c r="AN30">
        <v>0</v>
      </c>
      <c r="AO30">
        <v>0</v>
      </c>
      <c r="AP30">
        <v>0</v>
      </c>
      <c r="AQ30">
        <v>0</v>
      </c>
      <c r="AR30" t="s">
        <v>159</v>
      </c>
      <c r="AS30" t="s">
        <v>160</v>
      </c>
      <c r="AT30">
        <v>0.13</v>
      </c>
      <c r="AU30" t="s">
        <v>43</v>
      </c>
      <c r="AV30" t="s">
        <v>44</v>
      </c>
      <c r="AW30" t="s">
        <v>45</v>
      </c>
      <c r="AX30" s="1">
        <v>0.46805555555555561</v>
      </c>
      <c r="AY30" t="s">
        <v>161</v>
      </c>
      <c r="AZ30">
        <v>181.0000000032596</v>
      </c>
      <c r="BA30">
        <v>0</v>
      </c>
      <c r="BB30">
        <v>0</v>
      </c>
      <c r="BC30">
        <v>3</v>
      </c>
      <c r="BD30">
        <v>0</v>
      </c>
      <c r="BE30">
        <f t="shared" si="9"/>
        <v>1</v>
      </c>
    </row>
    <row r="31" spans="1:57" x14ac:dyDescent="0.25">
      <c r="A31" t="s">
        <v>39</v>
      </c>
      <c r="B31" t="s">
        <v>162</v>
      </c>
      <c r="C31">
        <v>80.7</v>
      </c>
      <c r="D31">
        <v>71.7</v>
      </c>
      <c r="G31">
        <f t="shared" si="0"/>
        <v>1</v>
      </c>
      <c r="H31">
        <f t="shared" si="1"/>
        <v>0</v>
      </c>
      <c r="I31">
        <f t="shared" si="2"/>
        <v>1</v>
      </c>
      <c r="J31">
        <v>78.099999999999994</v>
      </c>
      <c r="K31">
        <v>81.900000000000006</v>
      </c>
      <c r="L31">
        <v>71.7</v>
      </c>
      <c r="M31">
        <v>78.3</v>
      </c>
      <c r="N31">
        <v>58.6</v>
      </c>
      <c r="O31">
        <v>51.9</v>
      </c>
      <c r="S31">
        <f t="shared" si="3"/>
        <v>1</v>
      </c>
      <c r="T31">
        <f t="shared" si="4"/>
        <v>0</v>
      </c>
      <c r="U31">
        <f t="shared" si="5"/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24.2</v>
      </c>
      <c r="AG31">
        <f t="shared" si="6"/>
        <v>1</v>
      </c>
      <c r="AH31">
        <f t="shared" si="7"/>
        <v>1</v>
      </c>
      <c r="AI31">
        <f t="shared" si="8"/>
        <v>0</v>
      </c>
      <c r="AJ31">
        <v>322</v>
      </c>
      <c r="AK31">
        <v>1006.9</v>
      </c>
      <c r="AL31">
        <v>30</v>
      </c>
      <c r="AM31">
        <v>6.4</v>
      </c>
      <c r="AN31">
        <v>0</v>
      </c>
      <c r="AO31">
        <v>0</v>
      </c>
      <c r="AP31">
        <v>0</v>
      </c>
      <c r="AQ31">
        <v>0</v>
      </c>
      <c r="AR31" t="s">
        <v>163</v>
      </c>
      <c r="AS31" t="s">
        <v>164</v>
      </c>
      <c r="AT31">
        <v>0.43</v>
      </c>
      <c r="AU31" t="s">
        <v>43</v>
      </c>
      <c r="AV31" t="s">
        <v>44</v>
      </c>
      <c r="AW31" t="s">
        <v>45</v>
      </c>
      <c r="AX31" s="1">
        <v>0.89861111111111114</v>
      </c>
      <c r="AY31" t="s">
        <v>165</v>
      </c>
      <c r="AZ31">
        <v>2246.0000000079158</v>
      </c>
      <c r="BA31">
        <v>1</v>
      </c>
      <c r="BB31">
        <v>0</v>
      </c>
      <c r="BC31">
        <v>6</v>
      </c>
      <c r="BD31">
        <v>0</v>
      </c>
      <c r="BE31">
        <f t="shared" si="9"/>
        <v>1</v>
      </c>
    </row>
    <row r="32" spans="1:57" x14ac:dyDescent="0.25">
      <c r="A32" t="s">
        <v>39</v>
      </c>
      <c r="B32" t="s">
        <v>166</v>
      </c>
      <c r="C32">
        <v>82.5</v>
      </c>
      <c r="D32">
        <v>69.900000000000006</v>
      </c>
      <c r="G32">
        <f t="shared" si="0"/>
        <v>0</v>
      </c>
      <c r="H32">
        <f t="shared" si="1"/>
        <v>0</v>
      </c>
      <c r="I32">
        <f t="shared" si="2"/>
        <v>0</v>
      </c>
      <c r="J32">
        <v>76.400000000000006</v>
      </c>
      <c r="K32">
        <v>81.3</v>
      </c>
      <c r="L32">
        <v>69.900000000000006</v>
      </c>
      <c r="M32">
        <v>76.3</v>
      </c>
      <c r="N32">
        <v>58.2</v>
      </c>
      <c r="O32">
        <v>54.1</v>
      </c>
      <c r="S32">
        <f t="shared" si="3"/>
        <v>1</v>
      </c>
      <c r="T32">
        <f t="shared" si="4"/>
        <v>0</v>
      </c>
      <c r="U32">
        <f t="shared" si="5"/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18.3</v>
      </c>
      <c r="AG32">
        <f t="shared" si="6"/>
        <v>0</v>
      </c>
      <c r="AH32">
        <f t="shared" si="7"/>
        <v>0</v>
      </c>
      <c r="AI32">
        <f t="shared" si="8"/>
        <v>0</v>
      </c>
      <c r="AJ32">
        <v>308.60000000000002</v>
      </c>
      <c r="AK32">
        <v>1014.2</v>
      </c>
      <c r="AL32">
        <v>0</v>
      </c>
      <c r="AM32">
        <v>6.2</v>
      </c>
      <c r="AN32">
        <v>0</v>
      </c>
      <c r="AO32">
        <v>0</v>
      </c>
      <c r="AP32">
        <v>0</v>
      </c>
      <c r="AQ32">
        <v>0</v>
      </c>
      <c r="AR32" t="s">
        <v>167</v>
      </c>
      <c r="AS32" t="s">
        <v>168</v>
      </c>
      <c r="AT32">
        <v>0.02</v>
      </c>
      <c r="AU32" t="s">
        <v>74</v>
      </c>
      <c r="AV32" t="s">
        <v>44</v>
      </c>
      <c r="AW32" t="s">
        <v>75</v>
      </c>
      <c r="AX32" s="1">
        <v>0.88472222222222219</v>
      </c>
      <c r="AY32" t="s">
        <v>169</v>
      </c>
      <c r="AZ32">
        <v>1065.9999999962749</v>
      </c>
      <c r="BA32">
        <v>1</v>
      </c>
      <c r="BB32">
        <v>0</v>
      </c>
      <c r="BC32">
        <v>2</v>
      </c>
      <c r="BD32">
        <v>0</v>
      </c>
      <c r="BE32">
        <f t="shared" si="9"/>
        <v>0</v>
      </c>
    </row>
    <row r="33" spans="1:57" x14ac:dyDescent="0.25">
      <c r="A33" t="s">
        <v>39</v>
      </c>
      <c r="B33" t="s">
        <v>170</v>
      </c>
      <c r="C33">
        <v>84.3</v>
      </c>
      <c r="D33">
        <v>66.3</v>
      </c>
      <c r="G33">
        <f t="shared" si="0"/>
        <v>1</v>
      </c>
      <c r="H33">
        <f t="shared" si="1"/>
        <v>1</v>
      </c>
      <c r="I33">
        <f t="shared" si="2"/>
        <v>0</v>
      </c>
      <c r="J33">
        <v>74.8</v>
      </c>
      <c r="K33">
        <v>83.6</v>
      </c>
      <c r="L33">
        <v>66.3</v>
      </c>
      <c r="M33">
        <v>74.8</v>
      </c>
      <c r="N33">
        <v>58.6</v>
      </c>
      <c r="O33">
        <v>59.2</v>
      </c>
      <c r="S33">
        <f t="shared" si="3"/>
        <v>1</v>
      </c>
      <c r="T33">
        <f t="shared" si="4"/>
        <v>0</v>
      </c>
      <c r="U33">
        <f t="shared" si="5"/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8.1</v>
      </c>
      <c r="AG33">
        <f t="shared" si="6"/>
        <v>1</v>
      </c>
      <c r="AH33">
        <f t="shared" si="7"/>
        <v>0</v>
      </c>
      <c r="AI33">
        <f t="shared" si="8"/>
        <v>1</v>
      </c>
      <c r="AJ33">
        <v>137.19999999999999</v>
      </c>
      <c r="AK33">
        <v>1012.9</v>
      </c>
      <c r="AL33">
        <v>30</v>
      </c>
      <c r="AM33">
        <v>6.5</v>
      </c>
      <c r="AN33">
        <v>0</v>
      </c>
      <c r="AO33">
        <v>0</v>
      </c>
      <c r="AP33">
        <v>0</v>
      </c>
      <c r="AQ33">
        <v>0</v>
      </c>
      <c r="AR33" t="s">
        <v>171</v>
      </c>
      <c r="AS33" t="s">
        <v>172</v>
      </c>
      <c r="AT33">
        <v>0.63</v>
      </c>
      <c r="AU33" t="s">
        <v>43</v>
      </c>
      <c r="AV33" t="s">
        <v>44</v>
      </c>
      <c r="AW33" t="s">
        <v>45</v>
      </c>
      <c r="AX33" s="1">
        <v>0.59375</v>
      </c>
      <c r="AY33" t="s">
        <v>173</v>
      </c>
      <c r="AZ33">
        <v>1634.999999996508</v>
      </c>
      <c r="BA33">
        <v>1</v>
      </c>
      <c r="BB33">
        <v>0</v>
      </c>
      <c r="BC33">
        <v>1</v>
      </c>
      <c r="BD33">
        <v>0</v>
      </c>
      <c r="BE33">
        <f t="shared" si="9"/>
        <v>1</v>
      </c>
    </row>
    <row r="34" spans="1:57" x14ac:dyDescent="0.25">
      <c r="A34" t="s">
        <v>39</v>
      </c>
      <c r="B34" t="s">
        <v>174</v>
      </c>
      <c r="C34">
        <v>82.5</v>
      </c>
      <c r="D34">
        <v>68.099999999999994</v>
      </c>
      <c r="G34">
        <f t="shared" si="0"/>
        <v>1</v>
      </c>
      <c r="H34">
        <f t="shared" si="1"/>
        <v>1</v>
      </c>
      <c r="I34">
        <f t="shared" si="2"/>
        <v>0</v>
      </c>
      <c r="J34">
        <v>76.7</v>
      </c>
      <c r="K34">
        <v>83.5</v>
      </c>
      <c r="L34">
        <v>68.099999999999994</v>
      </c>
      <c r="M34">
        <v>77.099999999999994</v>
      </c>
      <c r="N34">
        <v>57.9</v>
      </c>
      <c r="O34">
        <v>52.5</v>
      </c>
      <c r="S34">
        <f t="shared" si="3"/>
        <v>1</v>
      </c>
      <c r="T34">
        <f t="shared" si="4"/>
        <v>0</v>
      </c>
      <c r="U34">
        <f t="shared" si="5"/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17.2</v>
      </c>
      <c r="AG34">
        <f t="shared" si="6"/>
        <v>0</v>
      </c>
      <c r="AH34">
        <f t="shared" si="7"/>
        <v>0</v>
      </c>
      <c r="AI34">
        <f t="shared" si="8"/>
        <v>0</v>
      </c>
      <c r="AJ34">
        <v>310.60000000000002</v>
      </c>
      <c r="AK34">
        <v>1012.5</v>
      </c>
      <c r="AL34">
        <v>0</v>
      </c>
      <c r="AM34">
        <v>6.2</v>
      </c>
      <c r="AN34">
        <v>0</v>
      </c>
      <c r="AO34">
        <v>0</v>
      </c>
      <c r="AP34">
        <v>0</v>
      </c>
      <c r="AQ34">
        <v>0</v>
      </c>
      <c r="AR34" t="s">
        <v>175</v>
      </c>
      <c r="AS34" t="s">
        <v>176</v>
      </c>
      <c r="AT34">
        <v>0.45</v>
      </c>
      <c r="AU34" t="s">
        <v>74</v>
      </c>
      <c r="AV34" t="s">
        <v>44</v>
      </c>
      <c r="AW34" t="s">
        <v>75</v>
      </c>
      <c r="AX34" s="1">
        <v>0.66249999999999998</v>
      </c>
      <c r="AY34" t="s">
        <v>177</v>
      </c>
      <c r="AZ34">
        <v>3186.000000002095</v>
      </c>
      <c r="BA34">
        <v>1</v>
      </c>
      <c r="BB34">
        <v>0</v>
      </c>
      <c r="BC34">
        <v>10</v>
      </c>
      <c r="BD34">
        <v>0</v>
      </c>
      <c r="BE34">
        <f t="shared" si="9"/>
        <v>1</v>
      </c>
    </row>
    <row r="35" spans="1:57" x14ac:dyDescent="0.25">
      <c r="A35" t="s">
        <v>39</v>
      </c>
      <c r="B35" t="s">
        <v>178</v>
      </c>
      <c r="C35">
        <v>80.7</v>
      </c>
      <c r="D35">
        <v>68.099999999999994</v>
      </c>
      <c r="G35">
        <f t="shared" si="0"/>
        <v>1</v>
      </c>
      <c r="H35">
        <f t="shared" si="1"/>
        <v>0</v>
      </c>
      <c r="I35">
        <f t="shared" si="2"/>
        <v>1</v>
      </c>
      <c r="J35">
        <v>76.900000000000006</v>
      </c>
      <c r="K35">
        <v>84.1</v>
      </c>
      <c r="L35">
        <v>68.099999999999994</v>
      </c>
      <c r="M35">
        <v>77.900000000000006</v>
      </c>
      <c r="N35">
        <v>65.599999999999994</v>
      </c>
      <c r="O35">
        <v>68.599999999999994</v>
      </c>
      <c r="S35">
        <f t="shared" si="3"/>
        <v>1</v>
      </c>
      <c r="T35">
        <f t="shared" si="4"/>
        <v>1</v>
      </c>
      <c r="U35">
        <f t="shared" si="5"/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16.100000000000001</v>
      </c>
      <c r="AG35">
        <f t="shared" si="6"/>
        <v>0</v>
      </c>
      <c r="AH35">
        <f t="shared" si="7"/>
        <v>0</v>
      </c>
      <c r="AI35">
        <f t="shared" si="8"/>
        <v>0</v>
      </c>
      <c r="AJ35">
        <v>320.2</v>
      </c>
      <c r="AK35">
        <v>1009.8</v>
      </c>
      <c r="AL35">
        <v>30</v>
      </c>
      <c r="AM35">
        <v>6.5</v>
      </c>
      <c r="AN35">
        <v>0</v>
      </c>
      <c r="AO35">
        <v>0</v>
      </c>
      <c r="AP35">
        <v>0</v>
      </c>
      <c r="AQ35">
        <v>0</v>
      </c>
      <c r="AR35" t="s">
        <v>179</v>
      </c>
      <c r="AS35" t="s">
        <v>180</v>
      </c>
      <c r="AT35">
        <v>0.5</v>
      </c>
      <c r="AU35" t="s">
        <v>43</v>
      </c>
      <c r="AV35" t="s">
        <v>44</v>
      </c>
      <c r="AW35" t="s">
        <v>45</v>
      </c>
      <c r="AX35" s="1">
        <v>0.72222222222222221</v>
      </c>
      <c r="AY35" t="s">
        <v>181</v>
      </c>
      <c r="AZ35">
        <v>6000.0000000069849</v>
      </c>
      <c r="BA35">
        <v>1</v>
      </c>
      <c r="BB35">
        <v>0</v>
      </c>
      <c r="BC35">
        <v>30</v>
      </c>
      <c r="BD35">
        <v>0</v>
      </c>
      <c r="BE35">
        <f t="shared" si="9"/>
        <v>0</v>
      </c>
    </row>
    <row r="36" spans="1:57" x14ac:dyDescent="0.25">
      <c r="A36" t="s">
        <v>39</v>
      </c>
      <c r="B36" t="s">
        <v>182</v>
      </c>
      <c r="C36">
        <v>78.900000000000006</v>
      </c>
      <c r="D36">
        <v>60.9</v>
      </c>
      <c r="G36">
        <f t="shared" si="0"/>
        <v>1</v>
      </c>
      <c r="H36">
        <f t="shared" si="1"/>
        <v>1</v>
      </c>
      <c r="I36">
        <f t="shared" si="2"/>
        <v>0</v>
      </c>
      <c r="J36">
        <v>70.599999999999994</v>
      </c>
      <c r="K36">
        <v>78.900000000000006</v>
      </c>
      <c r="L36">
        <v>60.9</v>
      </c>
      <c r="M36">
        <v>70.599999999999994</v>
      </c>
      <c r="N36">
        <v>48.4</v>
      </c>
      <c r="O36">
        <v>46.8</v>
      </c>
      <c r="S36">
        <f t="shared" si="3"/>
        <v>1</v>
      </c>
      <c r="T36">
        <f t="shared" si="4"/>
        <v>0</v>
      </c>
      <c r="U36">
        <f t="shared" si="5"/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9.1999999999999993</v>
      </c>
      <c r="AG36">
        <f t="shared" si="6"/>
        <v>1</v>
      </c>
      <c r="AH36">
        <f t="shared" si="7"/>
        <v>0</v>
      </c>
      <c r="AI36">
        <f t="shared" si="8"/>
        <v>1</v>
      </c>
      <c r="AJ36">
        <v>80.400000000000006</v>
      </c>
      <c r="AK36">
        <v>1012.5</v>
      </c>
      <c r="AL36">
        <v>30</v>
      </c>
      <c r="AM36">
        <v>6.3</v>
      </c>
      <c r="AN36">
        <v>0</v>
      </c>
      <c r="AO36">
        <v>0</v>
      </c>
      <c r="AP36">
        <v>0</v>
      </c>
      <c r="AQ36">
        <v>0</v>
      </c>
      <c r="AR36" t="s">
        <v>183</v>
      </c>
      <c r="AS36" t="s">
        <v>184</v>
      </c>
      <c r="AT36">
        <v>0.6</v>
      </c>
      <c r="AU36" t="s">
        <v>43</v>
      </c>
      <c r="AV36" t="s">
        <v>44</v>
      </c>
      <c r="AW36" t="s">
        <v>45</v>
      </c>
      <c r="AX36" s="1">
        <v>0.85347222222222219</v>
      </c>
      <c r="AY36" t="s">
        <v>185</v>
      </c>
      <c r="AZ36">
        <v>380.99999999511061</v>
      </c>
      <c r="BA36">
        <v>1</v>
      </c>
      <c r="BB36">
        <v>0</v>
      </c>
      <c r="BC36">
        <v>70</v>
      </c>
      <c r="BD36">
        <v>0</v>
      </c>
      <c r="BE36">
        <f t="shared" si="9"/>
        <v>1</v>
      </c>
    </row>
    <row r="37" spans="1:57" x14ac:dyDescent="0.25">
      <c r="A37" t="s">
        <v>39</v>
      </c>
      <c r="B37" t="s">
        <v>186</v>
      </c>
      <c r="C37">
        <v>84.3</v>
      </c>
      <c r="D37">
        <v>77.099999999999994</v>
      </c>
      <c r="G37">
        <f t="shared" si="0"/>
        <v>0</v>
      </c>
      <c r="H37">
        <f t="shared" si="1"/>
        <v>0</v>
      </c>
      <c r="I37">
        <f t="shared" si="2"/>
        <v>0</v>
      </c>
      <c r="J37">
        <v>80.400000000000006</v>
      </c>
      <c r="K37">
        <v>85.2</v>
      </c>
      <c r="L37">
        <v>77.099999999999994</v>
      </c>
      <c r="M37">
        <v>80.8</v>
      </c>
      <c r="N37">
        <v>62.5</v>
      </c>
      <c r="O37">
        <v>55</v>
      </c>
      <c r="S37">
        <f t="shared" si="3"/>
        <v>1</v>
      </c>
      <c r="T37">
        <f t="shared" si="4"/>
        <v>0</v>
      </c>
      <c r="U37">
        <f t="shared" si="5"/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21.9</v>
      </c>
      <c r="AG37">
        <f t="shared" si="6"/>
        <v>1</v>
      </c>
      <c r="AH37">
        <f t="shared" si="7"/>
        <v>1</v>
      </c>
      <c r="AI37">
        <f t="shared" si="8"/>
        <v>0</v>
      </c>
      <c r="AJ37">
        <v>306.89999999999998</v>
      </c>
      <c r="AK37">
        <v>1012.1</v>
      </c>
      <c r="AL37">
        <v>34.700000000000003</v>
      </c>
      <c r="AM37">
        <v>6.7</v>
      </c>
      <c r="AN37">
        <v>0</v>
      </c>
      <c r="AO37">
        <v>0</v>
      </c>
      <c r="AP37">
        <v>0</v>
      </c>
      <c r="AQ37">
        <v>0</v>
      </c>
      <c r="AR37" t="s">
        <v>187</v>
      </c>
      <c r="AS37" t="s">
        <v>188</v>
      </c>
      <c r="AT37">
        <v>0.44</v>
      </c>
      <c r="AU37" t="s">
        <v>43</v>
      </c>
      <c r="AV37" t="s">
        <v>44</v>
      </c>
      <c r="AW37" t="s">
        <v>45</v>
      </c>
      <c r="AX37" s="1">
        <v>0.56874999999999998</v>
      </c>
      <c r="AY37" t="s">
        <v>189</v>
      </c>
      <c r="AZ37">
        <v>1881.000000002095</v>
      </c>
      <c r="BA37">
        <v>1</v>
      </c>
      <c r="BB37">
        <v>0</v>
      </c>
      <c r="BC37">
        <v>2</v>
      </c>
      <c r="BD37">
        <v>0</v>
      </c>
      <c r="BE37">
        <f t="shared" si="9"/>
        <v>1</v>
      </c>
    </row>
    <row r="38" spans="1:57" x14ac:dyDescent="0.25">
      <c r="A38" t="s">
        <v>39</v>
      </c>
      <c r="B38" t="s">
        <v>134</v>
      </c>
      <c r="C38">
        <v>78.900000000000006</v>
      </c>
      <c r="D38">
        <v>71.7</v>
      </c>
      <c r="G38">
        <f t="shared" si="0"/>
        <v>0</v>
      </c>
      <c r="H38">
        <f t="shared" si="1"/>
        <v>0</v>
      </c>
      <c r="I38">
        <f t="shared" si="2"/>
        <v>0</v>
      </c>
      <c r="J38">
        <v>74.900000000000006</v>
      </c>
      <c r="K38">
        <v>78.900000000000006</v>
      </c>
      <c r="L38">
        <v>71.7</v>
      </c>
      <c r="M38">
        <v>74.900000000000006</v>
      </c>
      <c r="N38">
        <v>53.8</v>
      </c>
      <c r="O38">
        <v>48.3</v>
      </c>
      <c r="S38">
        <f t="shared" si="3"/>
        <v>1</v>
      </c>
      <c r="T38">
        <f t="shared" si="4"/>
        <v>0</v>
      </c>
      <c r="U38">
        <f t="shared" si="5"/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20.8</v>
      </c>
      <c r="AG38">
        <f t="shared" si="6"/>
        <v>1</v>
      </c>
      <c r="AH38">
        <f t="shared" si="7"/>
        <v>1</v>
      </c>
      <c r="AI38">
        <f t="shared" si="8"/>
        <v>0</v>
      </c>
      <c r="AJ38">
        <v>307.2</v>
      </c>
      <c r="AK38">
        <v>1010.5</v>
      </c>
      <c r="AL38">
        <v>0</v>
      </c>
      <c r="AM38">
        <v>6.2</v>
      </c>
      <c r="AN38">
        <v>0</v>
      </c>
      <c r="AO38">
        <v>0</v>
      </c>
      <c r="AP38">
        <v>0</v>
      </c>
      <c r="AQ38">
        <v>0</v>
      </c>
      <c r="AR38" t="s">
        <v>135</v>
      </c>
      <c r="AS38" t="s">
        <v>136</v>
      </c>
      <c r="AT38">
        <v>0.92</v>
      </c>
      <c r="AU38" t="s">
        <v>74</v>
      </c>
      <c r="AV38" t="s">
        <v>44</v>
      </c>
      <c r="AW38" t="s">
        <v>75</v>
      </c>
      <c r="AX38" s="1">
        <v>3.4027777777777768E-2</v>
      </c>
      <c r="AY38" t="s">
        <v>190</v>
      </c>
      <c r="AZ38">
        <v>2530.9999999939459</v>
      </c>
      <c r="BA38">
        <v>1</v>
      </c>
      <c r="BB38">
        <v>0</v>
      </c>
      <c r="BC38">
        <v>6</v>
      </c>
      <c r="BD38">
        <v>0</v>
      </c>
      <c r="BE38">
        <f t="shared" si="9"/>
        <v>1</v>
      </c>
    </row>
    <row r="39" spans="1:57" x14ac:dyDescent="0.25">
      <c r="A39" t="s">
        <v>39</v>
      </c>
      <c r="B39" t="s">
        <v>191</v>
      </c>
      <c r="C39">
        <v>84.3</v>
      </c>
      <c r="D39">
        <v>69.900000000000006</v>
      </c>
      <c r="G39">
        <f t="shared" si="0"/>
        <v>0</v>
      </c>
      <c r="H39">
        <f t="shared" si="1"/>
        <v>0</v>
      </c>
      <c r="I39">
        <f t="shared" si="2"/>
        <v>0</v>
      </c>
      <c r="J39">
        <v>78.7</v>
      </c>
      <c r="K39">
        <v>84.1</v>
      </c>
      <c r="L39">
        <v>69.900000000000006</v>
      </c>
      <c r="M39">
        <v>78.900000000000006</v>
      </c>
      <c r="N39">
        <v>56.5</v>
      </c>
      <c r="O39">
        <v>46.8</v>
      </c>
      <c r="S39">
        <f t="shared" si="3"/>
        <v>1</v>
      </c>
      <c r="T39">
        <f t="shared" si="4"/>
        <v>0</v>
      </c>
      <c r="U39">
        <f t="shared" si="5"/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17.2</v>
      </c>
      <c r="AG39">
        <f t="shared" si="6"/>
        <v>0</v>
      </c>
      <c r="AH39">
        <f t="shared" si="7"/>
        <v>0</v>
      </c>
      <c r="AI39">
        <f t="shared" si="8"/>
        <v>0</v>
      </c>
      <c r="AJ39">
        <v>306.3</v>
      </c>
      <c r="AK39">
        <v>1010.1</v>
      </c>
      <c r="AL39">
        <v>0</v>
      </c>
      <c r="AM39">
        <v>6.2</v>
      </c>
      <c r="AN39">
        <v>0</v>
      </c>
      <c r="AO39">
        <v>0</v>
      </c>
      <c r="AP39">
        <v>0</v>
      </c>
      <c r="AQ39">
        <v>0</v>
      </c>
      <c r="AR39" t="s">
        <v>192</v>
      </c>
      <c r="AS39" t="s">
        <v>193</v>
      </c>
      <c r="AT39">
        <v>0.09</v>
      </c>
      <c r="AU39" t="s">
        <v>74</v>
      </c>
      <c r="AV39" t="s">
        <v>44</v>
      </c>
      <c r="AW39" t="s">
        <v>75</v>
      </c>
      <c r="AX39" s="1">
        <v>0.40902777777777782</v>
      </c>
      <c r="AY39" t="s">
        <v>194</v>
      </c>
      <c r="AZ39">
        <v>13150.99999999395</v>
      </c>
      <c r="BA39">
        <v>1</v>
      </c>
      <c r="BB39">
        <v>0</v>
      </c>
      <c r="BC39">
        <v>15000</v>
      </c>
      <c r="BD39">
        <v>0</v>
      </c>
      <c r="BE39">
        <f t="shared" si="9"/>
        <v>0</v>
      </c>
    </row>
    <row r="40" spans="1:57" x14ac:dyDescent="0.25">
      <c r="A40" t="s">
        <v>39</v>
      </c>
      <c r="B40" t="s">
        <v>195</v>
      </c>
      <c r="C40">
        <v>73.5</v>
      </c>
      <c r="D40">
        <v>60.9</v>
      </c>
      <c r="G40">
        <f t="shared" si="0"/>
        <v>0</v>
      </c>
      <c r="H40">
        <f t="shared" si="1"/>
        <v>0</v>
      </c>
      <c r="I40">
        <f t="shared" si="2"/>
        <v>0</v>
      </c>
      <c r="J40">
        <v>68.099999999999994</v>
      </c>
      <c r="K40">
        <v>73.5</v>
      </c>
      <c r="L40">
        <v>60.9</v>
      </c>
      <c r="M40">
        <v>68.099999999999994</v>
      </c>
      <c r="N40">
        <v>48</v>
      </c>
      <c r="O40">
        <v>48.9</v>
      </c>
      <c r="S40">
        <f t="shared" si="3"/>
        <v>1</v>
      </c>
      <c r="T40">
        <f t="shared" si="4"/>
        <v>0</v>
      </c>
      <c r="U40">
        <f t="shared" si="5"/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10.3</v>
      </c>
      <c r="AG40">
        <f t="shared" si="6"/>
        <v>1</v>
      </c>
      <c r="AH40">
        <f t="shared" si="7"/>
        <v>0</v>
      </c>
      <c r="AI40">
        <f t="shared" si="8"/>
        <v>1</v>
      </c>
      <c r="AJ40">
        <v>296.60000000000002</v>
      </c>
      <c r="AK40">
        <v>1020.2</v>
      </c>
      <c r="AL40">
        <v>30</v>
      </c>
      <c r="AM40">
        <v>6.2</v>
      </c>
      <c r="AN40">
        <v>0</v>
      </c>
      <c r="AO40">
        <v>0</v>
      </c>
      <c r="AP40">
        <v>0</v>
      </c>
      <c r="AQ40">
        <v>0</v>
      </c>
      <c r="AR40" t="s">
        <v>196</v>
      </c>
      <c r="AS40" t="s">
        <v>197</v>
      </c>
      <c r="AT40">
        <v>0.25</v>
      </c>
      <c r="AU40" t="s">
        <v>43</v>
      </c>
      <c r="AV40" t="s">
        <v>44</v>
      </c>
      <c r="AW40" t="s">
        <v>45</v>
      </c>
      <c r="AX40" s="1">
        <v>0.75972222222222219</v>
      </c>
      <c r="AY40" t="s">
        <v>198</v>
      </c>
      <c r="AZ40">
        <v>325.9999999939464</v>
      </c>
      <c r="BA40">
        <v>0</v>
      </c>
      <c r="BB40">
        <v>0</v>
      </c>
      <c r="BC40">
        <v>10</v>
      </c>
      <c r="BD40">
        <v>0</v>
      </c>
      <c r="BE40">
        <f t="shared" si="9"/>
        <v>0</v>
      </c>
    </row>
    <row r="41" spans="1:57" x14ac:dyDescent="0.25">
      <c r="A41" t="s">
        <v>39</v>
      </c>
      <c r="B41" t="s">
        <v>199</v>
      </c>
      <c r="C41">
        <v>77.099999999999994</v>
      </c>
      <c r="D41">
        <v>59.1</v>
      </c>
      <c r="G41">
        <f t="shared" si="0"/>
        <v>1</v>
      </c>
      <c r="H41">
        <f t="shared" si="1"/>
        <v>1</v>
      </c>
      <c r="I41">
        <f t="shared" si="2"/>
        <v>0</v>
      </c>
      <c r="J41">
        <v>66.900000000000006</v>
      </c>
      <c r="K41">
        <v>77.099999999999994</v>
      </c>
      <c r="L41">
        <v>59.1</v>
      </c>
      <c r="M41">
        <v>66.900000000000006</v>
      </c>
      <c r="N41">
        <v>49</v>
      </c>
      <c r="O41">
        <v>54.7</v>
      </c>
      <c r="S41">
        <f t="shared" si="3"/>
        <v>1</v>
      </c>
      <c r="T41">
        <f t="shared" si="4"/>
        <v>0</v>
      </c>
      <c r="U41">
        <f t="shared" si="5"/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13.9</v>
      </c>
      <c r="AG41">
        <f t="shared" si="6"/>
        <v>1</v>
      </c>
      <c r="AH41">
        <f t="shared" si="7"/>
        <v>0</v>
      </c>
      <c r="AI41">
        <f t="shared" si="8"/>
        <v>1</v>
      </c>
      <c r="AJ41">
        <v>155.1</v>
      </c>
      <c r="AK41">
        <v>1014</v>
      </c>
      <c r="AL41">
        <v>30</v>
      </c>
      <c r="AM41">
        <v>6.4</v>
      </c>
      <c r="AN41">
        <v>0</v>
      </c>
      <c r="AO41">
        <v>0</v>
      </c>
      <c r="AP41">
        <v>0</v>
      </c>
      <c r="AQ41">
        <v>0</v>
      </c>
      <c r="AR41" t="s">
        <v>200</v>
      </c>
      <c r="AS41" t="s">
        <v>201</v>
      </c>
      <c r="AT41">
        <v>0.36</v>
      </c>
      <c r="AU41" t="s">
        <v>43</v>
      </c>
      <c r="AV41" t="s">
        <v>44</v>
      </c>
      <c r="AW41" t="s">
        <v>45</v>
      </c>
      <c r="AX41" s="1">
        <v>0.50972222222222219</v>
      </c>
      <c r="AY41" t="s">
        <v>202</v>
      </c>
      <c r="AZ41">
        <v>355.99999999743892</v>
      </c>
      <c r="BA41">
        <v>0</v>
      </c>
      <c r="BB41">
        <v>0</v>
      </c>
      <c r="BC41">
        <v>10</v>
      </c>
      <c r="BD41">
        <v>0</v>
      </c>
      <c r="BE41">
        <f t="shared" si="9"/>
        <v>1</v>
      </c>
    </row>
    <row r="42" spans="1:57" x14ac:dyDescent="0.25">
      <c r="A42" t="s">
        <v>39</v>
      </c>
      <c r="B42" t="s">
        <v>118</v>
      </c>
      <c r="C42">
        <v>77.099999999999994</v>
      </c>
      <c r="D42">
        <v>57.3</v>
      </c>
      <c r="G42">
        <f t="shared" si="0"/>
        <v>1</v>
      </c>
      <c r="H42">
        <f t="shared" si="1"/>
        <v>1</v>
      </c>
      <c r="I42">
        <f t="shared" si="2"/>
        <v>0</v>
      </c>
      <c r="J42">
        <v>66.599999999999994</v>
      </c>
      <c r="K42">
        <v>77.099999999999994</v>
      </c>
      <c r="L42">
        <v>57.3</v>
      </c>
      <c r="M42">
        <v>66.599999999999994</v>
      </c>
      <c r="N42">
        <v>39.6</v>
      </c>
      <c r="O42">
        <v>37.4</v>
      </c>
      <c r="S42">
        <f t="shared" si="3"/>
        <v>1</v>
      </c>
      <c r="T42">
        <f t="shared" si="4"/>
        <v>0</v>
      </c>
      <c r="U42">
        <f t="shared" si="5"/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9.1999999999999993</v>
      </c>
      <c r="AG42">
        <f t="shared" si="6"/>
        <v>1</v>
      </c>
      <c r="AH42">
        <f t="shared" si="7"/>
        <v>0</v>
      </c>
      <c r="AI42">
        <f t="shared" si="8"/>
        <v>1</v>
      </c>
      <c r="AJ42">
        <v>171.7</v>
      </c>
      <c r="AK42">
        <v>1021.8</v>
      </c>
      <c r="AL42">
        <v>0</v>
      </c>
      <c r="AM42">
        <v>6.2</v>
      </c>
      <c r="AN42">
        <v>0</v>
      </c>
      <c r="AO42">
        <v>0</v>
      </c>
      <c r="AP42">
        <v>0</v>
      </c>
      <c r="AQ42">
        <v>0</v>
      </c>
      <c r="AR42" t="s">
        <v>119</v>
      </c>
      <c r="AS42" t="s">
        <v>120</v>
      </c>
      <c r="AT42">
        <v>0.45</v>
      </c>
      <c r="AU42" t="s">
        <v>74</v>
      </c>
      <c r="AV42" t="s">
        <v>44</v>
      </c>
      <c r="AW42" t="s">
        <v>75</v>
      </c>
      <c r="AX42" s="1">
        <v>0.84652777777777777</v>
      </c>
      <c r="AY42" t="s">
        <v>203</v>
      </c>
      <c r="AZ42">
        <v>1180.9999999939459</v>
      </c>
      <c r="BA42">
        <v>1</v>
      </c>
      <c r="BB42">
        <v>0</v>
      </c>
      <c r="BC42">
        <v>12</v>
      </c>
      <c r="BD42">
        <v>0</v>
      </c>
      <c r="BE42">
        <f t="shared" si="9"/>
        <v>1</v>
      </c>
    </row>
    <row r="43" spans="1:57" x14ac:dyDescent="0.25">
      <c r="A43" t="s">
        <v>39</v>
      </c>
      <c r="B43" t="s">
        <v>204</v>
      </c>
      <c r="C43">
        <v>64.5</v>
      </c>
      <c r="D43">
        <v>53.7</v>
      </c>
      <c r="G43">
        <f t="shared" si="0"/>
        <v>1</v>
      </c>
      <c r="H43">
        <f t="shared" si="1"/>
        <v>0</v>
      </c>
      <c r="I43">
        <f t="shared" si="2"/>
        <v>1</v>
      </c>
      <c r="J43">
        <v>55.9</v>
      </c>
      <c r="K43">
        <v>64.5</v>
      </c>
      <c r="L43">
        <v>53.7</v>
      </c>
      <c r="M43">
        <v>55.9</v>
      </c>
      <c r="N43">
        <v>50.5</v>
      </c>
      <c r="O43">
        <v>82.3</v>
      </c>
      <c r="S43">
        <f t="shared" si="3"/>
        <v>1</v>
      </c>
      <c r="T43">
        <f t="shared" si="4"/>
        <v>1</v>
      </c>
      <c r="U43">
        <f t="shared" si="5"/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8.1</v>
      </c>
      <c r="AG43">
        <f t="shared" si="6"/>
        <v>1</v>
      </c>
      <c r="AH43">
        <f t="shared" si="7"/>
        <v>0</v>
      </c>
      <c r="AI43">
        <f t="shared" si="8"/>
        <v>1</v>
      </c>
      <c r="AJ43">
        <v>175.3</v>
      </c>
      <c r="AK43">
        <v>1018</v>
      </c>
      <c r="AL43">
        <v>0</v>
      </c>
      <c r="AM43">
        <v>6.2</v>
      </c>
      <c r="AN43">
        <v>0</v>
      </c>
      <c r="AO43">
        <v>0</v>
      </c>
      <c r="AP43">
        <v>0</v>
      </c>
      <c r="AQ43">
        <v>0</v>
      </c>
      <c r="AR43" t="s">
        <v>205</v>
      </c>
      <c r="AS43" t="s">
        <v>206</v>
      </c>
      <c r="AT43">
        <v>0.75</v>
      </c>
      <c r="AU43" t="s">
        <v>74</v>
      </c>
      <c r="AV43" t="s">
        <v>44</v>
      </c>
      <c r="AW43" t="s">
        <v>75</v>
      </c>
      <c r="AX43" s="1">
        <v>0.64583333333333337</v>
      </c>
      <c r="AY43" t="s">
        <v>207</v>
      </c>
      <c r="AZ43">
        <v>159.99999999767169</v>
      </c>
      <c r="BA43">
        <v>0</v>
      </c>
      <c r="BB43">
        <v>0</v>
      </c>
      <c r="BC43">
        <v>3</v>
      </c>
      <c r="BD43">
        <v>0</v>
      </c>
      <c r="BE43">
        <f t="shared" si="9"/>
        <v>0</v>
      </c>
    </row>
    <row r="44" spans="1:57" x14ac:dyDescent="0.25">
      <c r="A44" t="s">
        <v>39</v>
      </c>
      <c r="B44" t="s">
        <v>208</v>
      </c>
      <c r="C44">
        <v>73.5</v>
      </c>
      <c r="D44">
        <v>69.900000000000006</v>
      </c>
      <c r="G44">
        <f t="shared" si="0"/>
        <v>0</v>
      </c>
      <c r="H44">
        <f t="shared" si="1"/>
        <v>0</v>
      </c>
      <c r="I44">
        <f t="shared" si="2"/>
        <v>0</v>
      </c>
      <c r="J44">
        <v>70.8</v>
      </c>
      <c r="K44">
        <v>73.5</v>
      </c>
      <c r="L44">
        <v>69.900000000000006</v>
      </c>
      <c r="M44">
        <v>70.8</v>
      </c>
      <c r="N44">
        <v>61.1</v>
      </c>
      <c r="O44">
        <v>71.5</v>
      </c>
      <c r="S44">
        <f t="shared" si="3"/>
        <v>1</v>
      </c>
      <c r="T44">
        <f t="shared" si="4"/>
        <v>1</v>
      </c>
      <c r="U44">
        <f t="shared" si="5"/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19.5</v>
      </c>
      <c r="AG44">
        <f t="shared" si="6"/>
        <v>1</v>
      </c>
      <c r="AH44">
        <f t="shared" si="7"/>
        <v>1</v>
      </c>
      <c r="AI44">
        <f t="shared" si="8"/>
        <v>0</v>
      </c>
      <c r="AJ44">
        <v>322.89999999999998</v>
      </c>
      <c r="AK44">
        <v>1015.1</v>
      </c>
      <c r="AL44">
        <v>58.7</v>
      </c>
      <c r="AM44">
        <v>6.8</v>
      </c>
      <c r="AN44">
        <v>0</v>
      </c>
      <c r="AO44">
        <v>0</v>
      </c>
      <c r="AP44">
        <v>0</v>
      </c>
      <c r="AQ44">
        <v>0</v>
      </c>
      <c r="AR44" t="s">
        <v>209</v>
      </c>
      <c r="AS44" t="s">
        <v>210</v>
      </c>
      <c r="AT44">
        <v>0.54</v>
      </c>
      <c r="AU44" t="s">
        <v>43</v>
      </c>
      <c r="AV44" t="s">
        <v>44</v>
      </c>
      <c r="AW44" t="s">
        <v>45</v>
      </c>
      <c r="AX44" s="1">
        <v>0.82222222222222219</v>
      </c>
      <c r="AY44" t="s">
        <v>211</v>
      </c>
      <c r="AZ44">
        <v>105.9999999997672</v>
      </c>
      <c r="BA44">
        <v>0</v>
      </c>
      <c r="BB44">
        <v>0</v>
      </c>
      <c r="BC44">
        <v>1</v>
      </c>
      <c r="BD44">
        <v>0</v>
      </c>
      <c r="BE44">
        <f t="shared" si="9"/>
        <v>0</v>
      </c>
    </row>
    <row r="45" spans="1:57" x14ac:dyDescent="0.25">
      <c r="A45" t="s">
        <v>39</v>
      </c>
      <c r="B45" t="s">
        <v>204</v>
      </c>
      <c r="C45">
        <v>64.5</v>
      </c>
      <c r="D45">
        <v>53.7</v>
      </c>
      <c r="G45">
        <f t="shared" si="0"/>
        <v>1</v>
      </c>
      <c r="H45">
        <f t="shared" si="1"/>
        <v>0</v>
      </c>
      <c r="I45">
        <f t="shared" si="2"/>
        <v>1</v>
      </c>
      <c r="J45">
        <v>55.9</v>
      </c>
      <c r="K45">
        <v>64.5</v>
      </c>
      <c r="L45">
        <v>53.7</v>
      </c>
      <c r="M45">
        <v>55.9</v>
      </c>
      <c r="N45">
        <v>50.5</v>
      </c>
      <c r="O45">
        <v>82.3</v>
      </c>
      <c r="S45">
        <f t="shared" si="3"/>
        <v>1</v>
      </c>
      <c r="T45">
        <f t="shared" si="4"/>
        <v>1</v>
      </c>
      <c r="U45">
        <f t="shared" si="5"/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8.1</v>
      </c>
      <c r="AG45">
        <f t="shared" si="6"/>
        <v>1</v>
      </c>
      <c r="AH45">
        <f t="shared" si="7"/>
        <v>0</v>
      </c>
      <c r="AI45">
        <f t="shared" si="8"/>
        <v>1</v>
      </c>
      <c r="AJ45">
        <v>175.3</v>
      </c>
      <c r="AK45">
        <v>1018</v>
      </c>
      <c r="AL45">
        <v>0</v>
      </c>
      <c r="AM45">
        <v>6.2</v>
      </c>
      <c r="AN45">
        <v>0</v>
      </c>
      <c r="AO45">
        <v>0</v>
      </c>
      <c r="AP45">
        <v>0</v>
      </c>
      <c r="AQ45">
        <v>0</v>
      </c>
      <c r="AR45" t="s">
        <v>205</v>
      </c>
      <c r="AS45" t="s">
        <v>206</v>
      </c>
      <c r="AT45">
        <v>0.75</v>
      </c>
      <c r="AU45" t="s">
        <v>74</v>
      </c>
      <c r="AV45" t="s">
        <v>44</v>
      </c>
      <c r="AW45" t="s">
        <v>75</v>
      </c>
      <c r="AX45" s="1">
        <v>0.58958333333333335</v>
      </c>
      <c r="AY45" t="s">
        <v>212</v>
      </c>
      <c r="AZ45">
        <v>110.9999999951106</v>
      </c>
      <c r="BA45">
        <v>0</v>
      </c>
      <c r="BB45">
        <v>0</v>
      </c>
      <c r="BC45">
        <v>2</v>
      </c>
      <c r="BD45">
        <v>0</v>
      </c>
      <c r="BE45">
        <f t="shared" si="9"/>
        <v>0</v>
      </c>
    </row>
    <row r="46" spans="1:57" x14ac:dyDescent="0.25">
      <c r="A46" t="s">
        <v>39</v>
      </c>
      <c r="B46" t="s">
        <v>213</v>
      </c>
      <c r="C46">
        <v>73.5</v>
      </c>
      <c r="D46">
        <v>62.7</v>
      </c>
      <c r="G46">
        <f t="shared" si="0"/>
        <v>0</v>
      </c>
      <c r="H46">
        <f t="shared" si="1"/>
        <v>0</v>
      </c>
      <c r="I46">
        <f t="shared" si="2"/>
        <v>0</v>
      </c>
      <c r="J46">
        <v>67.099999999999994</v>
      </c>
      <c r="K46">
        <v>73.5</v>
      </c>
      <c r="L46">
        <v>62.7</v>
      </c>
      <c r="M46">
        <v>67.099999999999994</v>
      </c>
      <c r="N46">
        <v>56.3</v>
      </c>
      <c r="O46">
        <v>69.5</v>
      </c>
      <c r="S46">
        <f t="shared" si="3"/>
        <v>1</v>
      </c>
      <c r="T46">
        <f t="shared" si="4"/>
        <v>1</v>
      </c>
      <c r="U46">
        <f t="shared" si="5"/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12.8</v>
      </c>
      <c r="AG46">
        <f t="shared" si="6"/>
        <v>1</v>
      </c>
      <c r="AH46">
        <f t="shared" si="7"/>
        <v>0</v>
      </c>
      <c r="AI46">
        <f t="shared" si="8"/>
        <v>1</v>
      </c>
      <c r="AJ46">
        <v>351.7</v>
      </c>
      <c r="AK46">
        <v>1016.1</v>
      </c>
      <c r="AL46">
        <v>60</v>
      </c>
      <c r="AM46">
        <v>6.7</v>
      </c>
      <c r="AN46">
        <v>0</v>
      </c>
      <c r="AO46">
        <v>0</v>
      </c>
      <c r="AP46">
        <v>0</v>
      </c>
      <c r="AQ46">
        <v>0</v>
      </c>
      <c r="AR46" t="s">
        <v>214</v>
      </c>
      <c r="AS46" t="s">
        <v>215</v>
      </c>
      <c r="AT46">
        <v>0.4</v>
      </c>
      <c r="AU46" t="s">
        <v>43</v>
      </c>
      <c r="AV46" t="s">
        <v>44</v>
      </c>
      <c r="AW46" t="s">
        <v>45</v>
      </c>
      <c r="AX46" s="1">
        <v>0.73541666666666672</v>
      </c>
      <c r="AY46" t="s">
        <v>216</v>
      </c>
      <c r="AZ46">
        <v>110.9999999951106</v>
      </c>
      <c r="BA46">
        <v>0</v>
      </c>
      <c r="BB46">
        <v>0</v>
      </c>
      <c r="BC46">
        <v>20</v>
      </c>
      <c r="BD46">
        <v>0</v>
      </c>
      <c r="BE46">
        <f t="shared" si="9"/>
        <v>0</v>
      </c>
    </row>
    <row r="47" spans="1:57" x14ac:dyDescent="0.25">
      <c r="A47" t="s">
        <v>39</v>
      </c>
      <c r="B47" t="s">
        <v>40</v>
      </c>
      <c r="C47">
        <v>71.7</v>
      </c>
      <c r="D47">
        <v>57.3</v>
      </c>
      <c r="G47">
        <f t="shared" si="0"/>
        <v>1</v>
      </c>
      <c r="H47">
        <f t="shared" si="1"/>
        <v>0</v>
      </c>
      <c r="I47">
        <f t="shared" si="2"/>
        <v>1</v>
      </c>
      <c r="J47">
        <v>65.7</v>
      </c>
      <c r="K47">
        <v>71.7</v>
      </c>
      <c r="L47">
        <v>57.3</v>
      </c>
      <c r="M47">
        <v>65.7</v>
      </c>
      <c r="N47">
        <v>54.6</v>
      </c>
      <c r="O47">
        <v>68.900000000000006</v>
      </c>
      <c r="S47">
        <f t="shared" si="3"/>
        <v>1</v>
      </c>
      <c r="T47">
        <f t="shared" si="4"/>
        <v>1</v>
      </c>
      <c r="U47">
        <f t="shared" si="5"/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9.1999999999999993</v>
      </c>
      <c r="AG47">
        <f t="shared" si="6"/>
        <v>1</v>
      </c>
      <c r="AH47">
        <f t="shared" si="7"/>
        <v>0</v>
      </c>
      <c r="AI47">
        <f t="shared" si="8"/>
        <v>1</v>
      </c>
      <c r="AJ47">
        <v>312</v>
      </c>
      <c r="AK47">
        <v>1019.7</v>
      </c>
      <c r="AL47">
        <v>35.299999999999997</v>
      </c>
      <c r="AM47">
        <v>6.7</v>
      </c>
      <c r="AN47">
        <v>0</v>
      </c>
      <c r="AO47">
        <v>0</v>
      </c>
      <c r="AP47">
        <v>0</v>
      </c>
      <c r="AQ47">
        <v>0</v>
      </c>
      <c r="AR47" t="s">
        <v>41</v>
      </c>
      <c r="AS47" t="s">
        <v>42</v>
      </c>
      <c r="AT47">
        <v>0.61</v>
      </c>
      <c r="AU47" t="s">
        <v>43</v>
      </c>
      <c r="AV47" t="s">
        <v>44</v>
      </c>
      <c r="AW47" t="s">
        <v>45</v>
      </c>
      <c r="AX47" s="1">
        <v>0.81527777777777777</v>
      </c>
      <c r="AY47" t="s">
        <v>217</v>
      </c>
      <c r="AZ47">
        <v>235.9999999939464</v>
      </c>
      <c r="BA47">
        <v>0</v>
      </c>
      <c r="BB47">
        <v>15</v>
      </c>
      <c r="BC47">
        <v>0</v>
      </c>
      <c r="BD47">
        <v>0</v>
      </c>
      <c r="BE47">
        <f t="shared" si="9"/>
        <v>0</v>
      </c>
    </row>
    <row r="48" spans="1:57" x14ac:dyDescent="0.25">
      <c r="A48" t="s">
        <v>39</v>
      </c>
      <c r="B48" t="s">
        <v>218</v>
      </c>
      <c r="C48">
        <v>78.900000000000006</v>
      </c>
      <c r="D48">
        <v>60.9</v>
      </c>
      <c r="G48">
        <f t="shared" si="0"/>
        <v>1</v>
      </c>
      <c r="H48">
        <f t="shared" si="1"/>
        <v>1</v>
      </c>
      <c r="I48">
        <f t="shared" si="2"/>
        <v>0</v>
      </c>
      <c r="J48">
        <v>69.099999999999994</v>
      </c>
      <c r="K48">
        <v>78.900000000000006</v>
      </c>
      <c r="L48">
        <v>60.9</v>
      </c>
      <c r="M48">
        <v>69.099999999999994</v>
      </c>
      <c r="N48">
        <v>49.7</v>
      </c>
      <c r="O48">
        <v>53.1</v>
      </c>
      <c r="S48">
        <f t="shared" si="3"/>
        <v>1</v>
      </c>
      <c r="T48">
        <f t="shared" si="4"/>
        <v>0</v>
      </c>
      <c r="U48">
        <f t="shared" si="5"/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9.1999999999999993</v>
      </c>
      <c r="AG48">
        <f t="shared" si="6"/>
        <v>1</v>
      </c>
      <c r="AH48">
        <f t="shared" si="7"/>
        <v>0</v>
      </c>
      <c r="AI48">
        <f t="shared" si="8"/>
        <v>1</v>
      </c>
      <c r="AJ48">
        <v>311.8</v>
      </c>
      <c r="AK48">
        <v>1010.5</v>
      </c>
      <c r="AL48">
        <v>30</v>
      </c>
      <c r="AM48">
        <v>6.4</v>
      </c>
      <c r="AN48">
        <v>0</v>
      </c>
      <c r="AO48">
        <v>0</v>
      </c>
      <c r="AP48">
        <v>0</v>
      </c>
      <c r="AQ48">
        <v>0</v>
      </c>
      <c r="AR48" t="s">
        <v>219</v>
      </c>
      <c r="AS48" t="s">
        <v>220</v>
      </c>
      <c r="AT48">
        <v>0.56999999999999995</v>
      </c>
      <c r="AU48" t="s">
        <v>43</v>
      </c>
      <c r="AV48" t="s">
        <v>44</v>
      </c>
      <c r="AW48" t="s">
        <v>45</v>
      </c>
      <c r="AX48" s="1">
        <v>0.70763888888888893</v>
      </c>
      <c r="AY48" t="s">
        <v>221</v>
      </c>
      <c r="AZ48">
        <v>410.99999999860302</v>
      </c>
      <c r="BA48">
        <v>1</v>
      </c>
      <c r="BB48">
        <v>0</v>
      </c>
      <c r="BC48">
        <v>10</v>
      </c>
      <c r="BD48">
        <v>0</v>
      </c>
      <c r="BE48">
        <f t="shared" si="9"/>
        <v>1</v>
      </c>
    </row>
    <row r="49" spans="1:57" x14ac:dyDescent="0.25">
      <c r="A49" t="s">
        <v>39</v>
      </c>
      <c r="B49" t="s">
        <v>222</v>
      </c>
      <c r="C49">
        <v>77.099999999999994</v>
      </c>
      <c r="D49">
        <v>64.5</v>
      </c>
      <c r="G49">
        <f t="shared" si="0"/>
        <v>1</v>
      </c>
      <c r="H49">
        <f t="shared" si="1"/>
        <v>0</v>
      </c>
      <c r="I49">
        <f t="shared" si="2"/>
        <v>1</v>
      </c>
      <c r="J49">
        <v>72.2</v>
      </c>
      <c r="K49">
        <v>77.099999999999994</v>
      </c>
      <c r="L49">
        <v>64.5</v>
      </c>
      <c r="M49">
        <v>72.2</v>
      </c>
      <c r="N49">
        <v>56.4</v>
      </c>
      <c r="O49">
        <v>58</v>
      </c>
      <c r="S49">
        <f t="shared" si="3"/>
        <v>1</v>
      </c>
      <c r="T49">
        <f t="shared" si="4"/>
        <v>0</v>
      </c>
      <c r="U49">
        <f t="shared" si="5"/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19.5</v>
      </c>
      <c r="AG49">
        <f t="shared" si="6"/>
        <v>1</v>
      </c>
      <c r="AH49">
        <f t="shared" si="7"/>
        <v>1</v>
      </c>
      <c r="AI49">
        <f t="shared" si="8"/>
        <v>0</v>
      </c>
      <c r="AJ49">
        <v>311</v>
      </c>
      <c r="AK49">
        <v>1010.4</v>
      </c>
      <c r="AL49">
        <v>33.799999999999997</v>
      </c>
      <c r="AM49">
        <v>6.6</v>
      </c>
      <c r="AN49">
        <v>0</v>
      </c>
      <c r="AO49">
        <v>0</v>
      </c>
      <c r="AP49">
        <v>0</v>
      </c>
      <c r="AQ49">
        <v>0</v>
      </c>
      <c r="AR49" t="s">
        <v>223</v>
      </c>
      <c r="AS49" t="s">
        <v>224</v>
      </c>
      <c r="AT49">
        <v>0.13</v>
      </c>
      <c r="AU49" t="s">
        <v>43</v>
      </c>
      <c r="AV49" t="s">
        <v>44</v>
      </c>
      <c r="AW49" t="s">
        <v>45</v>
      </c>
      <c r="AX49" s="1">
        <v>0.53402777777777777</v>
      </c>
      <c r="AY49" t="s">
        <v>225</v>
      </c>
      <c r="AZ49">
        <v>521.00000000093132</v>
      </c>
      <c r="BA49">
        <v>1</v>
      </c>
      <c r="BB49">
        <v>0</v>
      </c>
      <c r="BC49">
        <v>8</v>
      </c>
      <c r="BD49">
        <v>0</v>
      </c>
      <c r="BE49">
        <f t="shared" si="9"/>
        <v>1</v>
      </c>
    </row>
    <row r="50" spans="1:57" x14ac:dyDescent="0.25">
      <c r="A50" t="s">
        <v>39</v>
      </c>
      <c r="B50" t="s">
        <v>226</v>
      </c>
      <c r="C50">
        <v>82.5</v>
      </c>
      <c r="D50">
        <v>64.5</v>
      </c>
      <c r="G50">
        <f t="shared" si="0"/>
        <v>1</v>
      </c>
      <c r="H50">
        <f t="shared" si="1"/>
        <v>1</v>
      </c>
      <c r="I50">
        <f t="shared" si="2"/>
        <v>0</v>
      </c>
      <c r="J50">
        <v>74.2</v>
      </c>
      <c r="K50">
        <v>81.5</v>
      </c>
      <c r="L50">
        <v>64.5</v>
      </c>
      <c r="M50">
        <v>73.900000000000006</v>
      </c>
      <c r="N50">
        <v>48.7</v>
      </c>
      <c r="O50">
        <v>41.6</v>
      </c>
      <c r="S50">
        <f t="shared" si="3"/>
        <v>1</v>
      </c>
      <c r="T50">
        <f t="shared" si="4"/>
        <v>0</v>
      </c>
      <c r="U50">
        <f t="shared" si="5"/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8.1</v>
      </c>
      <c r="AG50">
        <f t="shared" si="6"/>
        <v>1</v>
      </c>
      <c r="AH50">
        <f t="shared" si="7"/>
        <v>0</v>
      </c>
      <c r="AI50">
        <f t="shared" si="8"/>
        <v>1</v>
      </c>
      <c r="AJ50">
        <v>169.9</v>
      </c>
      <c r="AK50">
        <v>1014.5</v>
      </c>
      <c r="AL50">
        <v>0</v>
      </c>
      <c r="AM50">
        <v>6.2</v>
      </c>
      <c r="AN50">
        <v>0</v>
      </c>
      <c r="AO50">
        <v>0</v>
      </c>
      <c r="AP50">
        <v>0</v>
      </c>
      <c r="AQ50">
        <v>0</v>
      </c>
      <c r="AR50" t="s">
        <v>227</v>
      </c>
      <c r="AS50" t="s">
        <v>228</v>
      </c>
      <c r="AT50">
        <v>0.72</v>
      </c>
      <c r="AU50" t="s">
        <v>74</v>
      </c>
      <c r="AV50" t="s">
        <v>44</v>
      </c>
      <c r="AW50" t="s">
        <v>75</v>
      </c>
      <c r="AX50" s="1">
        <v>0.76388888888888884</v>
      </c>
      <c r="AY50" t="s">
        <v>229</v>
      </c>
      <c r="AZ50">
        <v>820.00000000116415</v>
      </c>
      <c r="BA50">
        <v>1</v>
      </c>
      <c r="BB50">
        <v>0</v>
      </c>
      <c r="BC50">
        <v>3</v>
      </c>
      <c r="BD50">
        <v>0</v>
      </c>
      <c r="BE50">
        <f t="shared" si="9"/>
        <v>1</v>
      </c>
    </row>
    <row r="51" spans="1:57" x14ac:dyDescent="0.25">
      <c r="A51" t="s">
        <v>39</v>
      </c>
      <c r="B51" t="s">
        <v>230</v>
      </c>
      <c r="C51">
        <v>86.1</v>
      </c>
      <c r="D51">
        <v>68.099999999999994</v>
      </c>
      <c r="G51">
        <f t="shared" si="0"/>
        <v>1</v>
      </c>
      <c r="H51">
        <f t="shared" si="1"/>
        <v>1</v>
      </c>
      <c r="I51">
        <f t="shared" si="2"/>
        <v>0</v>
      </c>
      <c r="J51">
        <v>77.599999999999994</v>
      </c>
      <c r="K51">
        <v>83.5</v>
      </c>
      <c r="L51">
        <v>68.099999999999994</v>
      </c>
      <c r="M51">
        <v>77</v>
      </c>
      <c r="N51">
        <v>48.8</v>
      </c>
      <c r="O51">
        <v>37.4</v>
      </c>
      <c r="S51">
        <f t="shared" si="3"/>
        <v>1</v>
      </c>
      <c r="T51">
        <f t="shared" si="4"/>
        <v>0</v>
      </c>
      <c r="U51">
        <f t="shared" si="5"/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12.8</v>
      </c>
      <c r="AG51">
        <f t="shared" si="6"/>
        <v>1</v>
      </c>
      <c r="AH51">
        <f t="shared" si="7"/>
        <v>0</v>
      </c>
      <c r="AI51">
        <f t="shared" si="8"/>
        <v>1</v>
      </c>
      <c r="AJ51">
        <v>293.2</v>
      </c>
      <c r="AK51">
        <v>1011.6</v>
      </c>
      <c r="AL51">
        <v>0</v>
      </c>
      <c r="AM51">
        <v>6.2</v>
      </c>
      <c r="AN51">
        <v>0</v>
      </c>
      <c r="AO51">
        <v>0</v>
      </c>
      <c r="AP51">
        <v>0</v>
      </c>
      <c r="AQ51">
        <v>0</v>
      </c>
      <c r="AR51" t="s">
        <v>231</v>
      </c>
      <c r="AS51" t="s">
        <v>232</v>
      </c>
      <c r="AT51">
        <v>0.75</v>
      </c>
      <c r="AU51" t="s">
        <v>74</v>
      </c>
      <c r="AV51" t="s">
        <v>44</v>
      </c>
      <c r="AW51" t="s">
        <v>75</v>
      </c>
      <c r="AX51" s="1">
        <v>0.78125</v>
      </c>
      <c r="AY51" t="s">
        <v>233</v>
      </c>
      <c r="AZ51">
        <v>1335.000000003492</v>
      </c>
      <c r="BA51">
        <v>1</v>
      </c>
      <c r="BB51">
        <v>0</v>
      </c>
      <c r="BC51">
        <v>1000</v>
      </c>
      <c r="BD51">
        <v>0</v>
      </c>
      <c r="BE51">
        <f t="shared" si="9"/>
        <v>1</v>
      </c>
    </row>
    <row r="52" spans="1:57" x14ac:dyDescent="0.25">
      <c r="A52" t="s">
        <v>39</v>
      </c>
      <c r="B52" t="s">
        <v>234</v>
      </c>
      <c r="C52">
        <v>77.099999999999994</v>
      </c>
      <c r="D52">
        <v>59.1</v>
      </c>
      <c r="G52">
        <f t="shared" si="0"/>
        <v>1</v>
      </c>
      <c r="H52">
        <f t="shared" si="1"/>
        <v>1</v>
      </c>
      <c r="I52">
        <f t="shared" si="2"/>
        <v>0</v>
      </c>
      <c r="J52">
        <v>66.5</v>
      </c>
      <c r="K52">
        <v>77.099999999999994</v>
      </c>
      <c r="L52">
        <v>59.1</v>
      </c>
      <c r="M52">
        <v>66.5</v>
      </c>
      <c r="N52">
        <v>40.700000000000003</v>
      </c>
      <c r="O52">
        <v>41</v>
      </c>
      <c r="S52">
        <f t="shared" si="3"/>
        <v>1</v>
      </c>
      <c r="T52">
        <f t="shared" si="4"/>
        <v>0</v>
      </c>
      <c r="U52">
        <f t="shared" si="5"/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10.3</v>
      </c>
      <c r="AG52">
        <f t="shared" si="6"/>
        <v>1</v>
      </c>
      <c r="AH52">
        <f t="shared" si="7"/>
        <v>0</v>
      </c>
      <c r="AI52">
        <f t="shared" si="8"/>
        <v>1</v>
      </c>
      <c r="AJ52">
        <v>160.80000000000001</v>
      </c>
      <c r="AK52">
        <v>1021.6</v>
      </c>
      <c r="AL52">
        <v>76.7</v>
      </c>
      <c r="AM52">
        <v>6.3</v>
      </c>
      <c r="AN52">
        <v>0</v>
      </c>
      <c r="AO52">
        <v>0</v>
      </c>
      <c r="AP52">
        <v>0</v>
      </c>
      <c r="AQ52">
        <v>0</v>
      </c>
      <c r="AR52" t="s">
        <v>235</v>
      </c>
      <c r="AS52" t="s">
        <v>236</v>
      </c>
      <c r="AT52">
        <v>0.5</v>
      </c>
      <c r="AU52" t="s">
        <v>43</v>
      </c>
      <c r="AV52" t="s">
        <v>44</v>
      </c>
      <c r="AW52" t="s">
        <v>45</v>
      </c>
      <c r="AX52" s="1">
        <v>0.47361111111111109</v>
      </c>
      <c r="AY52" t="s">
        <v>237</v>
      </c>
      <c r="AZ52">
        <v>857.99999999930151</v>
      </c>
      <c r="BA52">
        <v>1</v>
      </c>
      <c r="BB52">
        <v>0</v>
      </c>
      <c r="BC52">
        <v>6</v>
      </c>
      <c r="BD52">
        <v>0</v>
      </c>
      <c r="BE52">
        <f t="shared" si="9"/>
        <v>1</v>
      </c>
    </row>
    <row r="53" spans="1:57" x14ac:dyDescent="0.25">
      <c r="A53" t="s">
        <v>39</v>
      </c>
      <c r="B53" t="s">
        <v>238</v>
      </c>
      <c r="C53">
        <v>80.7</v>
      </c>
      <c r="D53">
        <v>64.5</v>
      </c>
      <c r="G53">
        <f t="shared" si="0"/>
        <v>0</v>
      </c>
      <c r="H53">
        <f t="shared" si="1"/>
        <v>0</v>
      </c>
      <c r="I53">
        <f t="shared" si="2"/>
        <v>0</v>
      </c>
      <c r="J53">
        <v>73.2</v>
      </c>
      <c r="K53">
        <v>82.9</v>
      </c>
      <c r="L53">
        <v>64.5</v>
      </c>
      <c r="M53">
        <v>73.400000000000006</v>
      </c>
      <c r="N53">
        <v>59.2</v>
      </c>
      <c r="O53">
        <v>62</v>
      </c>
      <c r="S53">
        <f t="shared" si="3"/>
        <v>1</v>
      </c>
      <c r="T53">
        <f t="shared" si="4"/>
        <v>0</v>
      </c>
      <c r="U53">
        <f t="shared" si="5"/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12.8</v>
      </c>
      <c r="AG53">
        <f t="shared" si="6"/>
        <v>1</v>
      </c>
      <c r="AH53">
        <f t="shared" si="7"/>
        <v>0</v>
      </c>
      <c r="AI53">
        <f t="shared" si="8"/>
        <v>1</v>
      </c>
      <c r="AJ53">
        <v>301.39999999999998</v>
      </c>
      <c r="AK53">
        <v>1012.7</v>
      </c>
      <c r="AL53">
        <v>30</v>
      </c>
      <c r="AM53">
        <v>6.4</v>
      </c>
      <c r="AN53">
        <v>0</v>
      </c>
      <c r="AO53">
        <v>0</v>
      </c>
      <c r="AP53">
        <v>0</v>
      </c>
      <c r="AQ53">
        <v>0</v>
      </c>
      <c r="AR53" t="s">
        <v>239</v>
      </c>
      <c r="AS53" t="s">
        <v>240</v>
      </c>
      <c r="AT53">
        <v>0.56000000000000005</v>
      </c>
      <c r="AU53" t="s">
        <v>43</v>
      </c>
      <c r="AV53" t="s">
        <v>44</v>
      </c>
      <c r="AW53" t="s">
        <v>45</v>
      </c>
      <c r="AX53" s="1">
        <v>0.72222222222222221</v>
      </c>
      <c r="AY53" t="s">
        <v>241</v>
      </c>
      <c r="AZ53">
        <v>970.00000000814907</v>
      </c>
      <c r="BA53">
        <v>1</v>
      </c>
      <c r="BB53">
        <v>0</v>
      </c>
      <c r="BC53">
        <v>5</v>
      </c>
      <c r="BD53">
        <v>0</v>
      </c>
      <c r="BE53">
        <f t="shared" si="9"/>
        <v>0</v>
      </c>
    </row>
    <row r="54" spans="1:57" x14ac:dyDescent="0.25">
      <c r="A54" t="s">
        <v>39</v>
      </c>
      <c r="B54" t="s">
        <v>242</v>
      </c>
      <c r="C54">
        <v>78.900000000000006</v>
      </c>
      <c r="D54">
        <v>64.5</v>
      </c>
      <c r="G54">
        <f t="shared" si="0"/>
        <v>0</v>
      </c>
      <c r="H54">
        <f t="shared" si="1"/>
        <v>0</v>
      </c>
      <c r="I54">
        <f t="shared" si="2"/>
        <v>0</v>
      </c>
      <c r="J54">
        <v>72</v>
      </c>
      <c r="K54">
        <v>78.900000000000006</v>
      </c>
      <c r="L54">
        <v>64.5</v>
      </c>
      <c r="M54">
        <v>72</v>
      </c>
      <c r="N54">
        <v>59.2</v>
      </c>
      <c r="O54">
        <v>64.599999999999994</v>
      </c>
      <c r="S54">
        <f t="shared" si="3"/>
        <v>0</v>
      </c>
      <c r="T54">
        <f t="shared" si="4"/>
        <v>0</v>
      </c>
      <c r="U54">
        <f t="shared" si="5"/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16.100000000000001</v>
      </c>
      <c r="AG54">
        <f t="shared" si="6"/>
        <v>0</v>
      </c>
      <c r="AH54">
        <f t="shared" si="7"/>
        <v>0</v>
      </c>
      <c r="AI54">
        <f t="shared" si="8"/>
        <v>0</v>
      </c>
      <c r="AJ54">
        <v>91</v>
      </c>
      <c r="AK54">
        <v>1012.6</v>
      </c>
      <c r="AL54">
        <v>49.1</v>
      </c>
      <c r="AM54">
        <v>6.8</v>
      </c>
      <c r="AN54">
        <v>0</v>
      </c>
      <c r="AO54">
        <v>0</v>
      </c>
      <c r="AP54">
        <v>0</v>
      </c>
      <c r="AQ54">
        <v>0</v>
      </c>
      <c r="AR54" t="s">
        <v>243</v>
      </c>
      <c r="AS54" t="s">
        <v>244</v>
      </c>
      <c r="AT54">
        <v>0.32</v>
      </c>
      <c r="AU54" t="s">
        <v>43</v>
      </c>
      <c r="AV54" t="s">
        <v>44</v>
      </c>
      <c r="AW54" t="s">
        <v>45</v>
      </c>
      <c r="AX54" s="1">
        <v>0.94722222222222219</v>
      </c>
      <c r="AY54" t="s">
        <v>245</v>
      </c>
      <c r="AZ54">
        <v>1395.999999992782</v>
      </c>
      <c r="BA54">
        <v>1</v>
      </c>
      <c r="BB54">
        <v>0</v>
      </c>
      <c r="BC54">
        <v>40</v>
      </c>
      <c r="BD54">
        <v>0</v>
      </c>
      <c r="BE54">
        <f t="shared" si="9"/>
        <v>0</v>
      </c>
    </row>
    <row r="55" spans="1:57" x14ac:dyDescent="0.25">
      <c r="A55" t="s">
        <v>39</v>
      </c>
      <c r="B55" t="s">
        <v>246</v>
      </c>
      <c r="C55">
        <v>73.5</v>
      </c>
      <c r="D55">
        <v>68.099999999999994</v>
      </c>
      <c r="G55">
        <f t="shared" si="0"/>
        <v>1</v>
      </c>
      <c r="H55">
        <f t="shared" si="1"/>
        <v>0</v>
      </c>
      <c r="I55">
        <f t="shared" si="2"/>
        <v>1</v>
      </c>
      <c r="J55">
        <v>70.7</v>
      </c>
      <c r="K55">
        <v>73.5</v>
      </c>
      <c r="L55">
        <v>68.099999999999994</v>
      </c>
      <c r="M55">
        <v>70.7</v>
      </c>
      <c r="N55">
        <v>55.2</v>
      </c>
      <c r="O55">
        <v>58.1</v>
      </c>
      <c r="S55">
        <f t="shared" si="3"/>
        <v>1</v>
      </c>
      <c r="T55">
        <f t="shared" si="4"/>
        <v>0</v>
      </c>
      <c r="U55">
        <f t="shared" si="5"/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18.3</v>
      </c>
      <c r="AG55">
        <f t="shared" si="6"/>
        <v>1</v>
      </c>
      <c r="AH55">
        <f t="shared" si="7"/>
        <v>1</v>
      </c>
      <c r="AI55">
        <f t="shared" si="8"/>
        <v>0</v>
      </c>
      <c r="AJ55">
        <v>333.2</v>
      </c>
      <c r="AK55">
        <v>1017.9</v>
      </c>
      <c r="AL55">
        <v>41.8</v>
      </c>
      <c r="AM55">
        <v>6.8</v>
      </c>
      <c r="AN55">
        <v>0</v>
      </c>
      <c r="AO55">
        <v>0</v>
      </c>
      <c r="AP55">
        <v>0</v>
      </c>
      <c r="AQ55">
        <v>0</v>
      </c>
      <c r="AR55" t="s">
        <v>247</v>
      </c>
      <c r="AS55" t="s">
        <v>248</v>
      </c>
      <c r="AT55">
        <v>0.95</v>
      </c>
      <c r="AU55" t="s">
        <v>43</v>
      </c>
      <c r="AV55" t="s">
        <v>44</v>
      </c>
      <c r="AW55" t="s">
        <v>45</v>
      </c>
      <c r="AX55" s="1">
        <v>0.49305555555555558</v>
      </c>
      <c r="AY55" t="s">
        <v>249</v>
      </c>
      <c r="AZ55">
        <v>3309.9999999976721</v>
      </c>
      <c r="BA55">
        <v>1</v>
      </c>
      <c r="BB55">
        <v>0</v>
      </c>
      <c r="BC55">
        <v>200</v>
      </c>
      <c r="BD55">
        <v>0</v>
      </c>
      <c r="BE55">
        <f t="shared" si="9"/>
        <v>1</v>
      </c>
    </row>
    <row r="56" spans="1:57" x14ac:dyDescent="0.25">
      <c r="A56" t="s">
        <v>39</v>
      </c>
      <c r="B56" t="s">
        <v>250</v>
      </c>
      <c r="C56">
        <v>78.900000000000006</v>
      </c>
      <c r="D56">
        <v>64.5</v>
      </c>
      <c r="G56">
        <f t="shared" si="0"/>
        <v>0</v>
      </c>
      <c r="H56">
        <f t="shared" si="1"/>
        <v>0</v>
      </c>
      <c r="I56">
        <f t="shared" si="2"/>
        <v>0</v>
      </c>
      <c r="J56">
        <v>72.2</v>
      </c>
      <c r="K56">
        <v>78.900000000000006</v>
      </c>
      <c r="L56">
        <v>64.5</v>
      </c>
      <c r="M56">
        <v>72.2</v>
      </c>
      <c r="N56">
        <v>63.4</v>
      </c>
      <c r="O56">
        <v>74.3</v>
      </c>
      <c r="S56">
        <f t="shared" si="3"/>
        <v>1</v>
      </c>
      <c r="T56">
        <f t="shared" si="4"/>
        <v>1</v>
      </c>
      <c r="U56">
        <f t="shared" si="5"/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11.4</v>
      </c>
      <c r="AG56">
        <f t="shared" si="6"/>
        <v>1</v>
      </c>
      <c r="AH56">
        <f t="shared" si="7"/>
        <v>0</v>
      </c>
      <c r="AI56">
        <f t="shared" si="8"/>
        <v>1</v>
      </c>
      <c r="AJ56">
        <v>16.100000000000001</v>
      </c>
      <c r="AK56">
        <v>1011.9</v>
      </c>
      <c r="AL56">
        <v>44.3</v>
      </c>
      <c r="AM56">
        <v>6.4</v>
      </c>
      <c r="AN56">
        <v>0</v>
      </c>
      <c r="AO56">
        <v>0</v>
      </c>
      <c r="AP56">
        <v>0</v>
      </c>
      <c r="AQ56">
        <v>0</v>
      </c>
      <c r="AR56" t="s">
        <v>251</v>
      </c>
      <c r="AS56" t="s">
        <v>252</v>
      </c>
      <c r="AT56">
        <v>0.96</v>
      </c>
      <c r="AU56" t="s">
        <v>43</v>
      </c>
      <c r="AV56" t="s">
        <v>44</v>
      </c>
      <c r="AW56" t="s">
        <v>45</v>
      </c>
      <c r="AX56" s="1">
        <v>0.6069444444444444</v>
      </c>
      <c r="AY56" t="s">
        <v>253</v>
      </c>
      <c r="AZ56">
        <v>1525.9999999974391</v>
      </c>
      <c r="BA56">
        <v>1</v>
      </c>
      <c r="BB56">
        <v>0</v>
      </c>
      <c r="BC56">
        <v>5</v>
      </c>
      <c r="BD56">
        <v>0</v>
      </c>
      <c r="BE56">
        <f t="shared" si="9"/>
        <v>0</v>
      </c>
    </row>
    <row r="57" spans="1:57" x14ac:dyDescent="0.25">
      <c r="A57" t="s">
        <v>39</v>
      </c>
      <c r="B57" t="s">
        <v>254</v>
      </c>
      <c r="C57">
        <v>60.9</v>
      </c>
      <c r="D57">
        <v>59.1</v>
      </c>
      <c r="G57">
        <f t="shared" si="0"/>
        <v>1</v>
      </c>
      <c r="H57">
        <f t="shared" si="1"/>
        <v>0</v>
      </c>
      <c r="I57">
        <f t="shared" si="2"/>
        <v>1</v>
      </c>
      <c r="J57">
        <v>60.7</v>
      </c>
      <c r="K57">
        <v>60.9</v>
      </c>
      <c r="L57">
        <v>59.1</v>
      </c>
      <c r="M57">
        <v>60.7</v>
      </c>
      <c r="N57">
        <v>45.8</v>
      </c>
      <c r="O57">
        <v>58.1</v>
      </c>
      <c r="S57">
        <f t="shared" si="3"/>
        <v>1</v>
      </c>
      <c r="T57">
        <f t="shared" si="4"/>
        <v>0</v>
      </c>
      <c r="U57">
        <f t="shared" si="5"/>
        <v>1</v>
      </c>
      <c r="V57">
        <v>8.0000000000000002E-3</v>
      </c>
      <c r="W57">
        <v>100</v>
      </c>
      <c r="X57">
        <v>8.33</v>
      </c>
      <c r="Y57" t="s">
        <v>103</v>
      </c>
      <c r="Z57">
        <v>0</v>
      </c>
      <c r="AA57">
        <v>0</v>
      </c>
      <c r="AB57">
        <v>0</v>
      </c>
      <c r="AC57">
        <v>28.9</v>
      </c>
      <c r="AG57">
        <f t="shared" si="6"/>
        <v>1</v>
      </c>
      <c r="AH57">
        <f t="shared" si="7"/>
        <v>1</v>
      </c>
      <c r="AI57">
        <f t="shared" si="8"/>
        <v>0</v>
      </c>
      <c r="AJ57">
        <v>346.7</v>
      </c>
      <c r="AK57">
        <v>1019.2</v>
      </c>
      <c r="AL57">
        <v>82.9</v>
      </c>
      <c r="AM57">
        <v>6.8</v>
      </c>
      <c r="AN57">
        <v>0</v>
      </c>
      <c r="AO57">
        <v>0</v>
      </c>
      <c r="AP57">
        <v>0</v>
      </c>
      <c r="AQ57">
        <v>0</v>
      </c>
      <c r="AR57" t="s">
        <v>255</v>
      </c>
      <c r="AS57" t="s">
        <v>256</v>
      </c>
      <c r="AT57">
        <v>0.89</v>
      </c>
      <c r="AU57" t="s">
        <v>106</v>
      </c>
      <c r="AV57" t="s">
        <v>257</v>
      </c>
      <c r="AW57" t="s">
        <v>103</v>
      </c>
      <c r="AX57" s="1">
        <v>0.80833333333333335</v>
      </c>
      <c r="AY57" t="s">
        <v>258</v>
      </c>
      <c r="AZ57">
        <v>316.00000000325957</v>
      </c>
      <c r="BA57">
        <v>0</v>
      </c>
      <c r="BB57">
        <v>0</v>
      </c>
      <c r="BC57">
        <v>0.5</v>
      </c>
      <c r="BD57">
        <v>0</v>
      </c>
      <c r="BE57">
        <f t="shared" si="9"/>
        <v>1</v>
      </c>
    </row>
    <row r="58" spans="1:57" x14ac:dyDescent="0.25">
      <c r="A58" t="s">
        <v>39</v>
      </c>
      <c r="B58" t="s">
        <v>259</v>
      </c>
      <c r="C58">
        <v>82.5</v>
      </c>
      <c r="D58">
        <v>71.7</v>
      </c>
      <c r="G58">
        <f t="shared" si="0"/>
        <v>0</v>
      </c>
      <c r="H58">
        <f t="shared" si="1"/>
        <v>0</v>
      </c>
      <c r="I58">
        <f t="shared" si="2"/>
        <v>0</v>
      </c>
      <c r="J58">
        <v>78.3</v>
      </c>
      <c r="K58">
        <v>86.4</v>
      </c>
      <c r="L58">
        <v>71.7</v>
      </c>
      <c r="M58">
        <v>79.7</v>
      </c>
      <c r="N58">
        <v>67.400000000000006</v>
      </c>
      <c r="O58">
        <v>69.599999999999994</v>
      </c>
      <c r="S58">
        <f t="shared" si="3"/>
        <v>1</v>
      </c>
      <c r="T58">
        <f t="shared" si="4"/>
        <v>1</v>
      </c>
      <c r="U58">
        <f t="shared" si="5"/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24.2</v>
      </c>
      <c r="AG58">
        <f t="shared" si="6"/>
        <v>1</v>
      </c>
      <c r="AH58">
        <f t="shared" si="7"/>
        <v>1</v>
      </c>
      <c r="AI58">
        <f t="shared" si="8"/>
        <v>0</v>
      </c>
      <c r="AJ58">
        <v>312.89999999999998</v>
      </c>
      <c r="AK58">
        <v>1010.1</v>
      </c>
      <c r="AL58">
        <v>30</v>
      </c>
      <c r="AM58">
        <v>6.4</v>
      </c>
      <c r="AN58">
        <v>0</v>
      </c>
      <c r="AO58">
        <v>0</v>
      </c>
      <c r="AP58">
        <v>0</v>
      </c>
      <c r="AQ58">
        <v>0</v>
      </c>
      <c r="AR58" t="s">
        <v>260</v>
      </c>
      <c r="AS58" t="s">
        <v>261</v>
      </c>
      <c r="AT58">
        <v>0.34</v>
      </c>
      <c r="AU58" t="s">
        <v>43</v>
      </c>
      <c r="AV58" t="s">
        <v>44</v>
      </c>
      <c r="AW58" t="s">
        <v>45</v>
      </c>
      <c r="AX58" s="1">
        <v>0.70763888888888893</v>
      </c>
      <c r="AY58" t="s">
        <v>262</v>
      </c>
      <c r="AZ58">
        <v>2315.999999995111</v>
      </c>
      <c r="BA58">
        <v>1</v>
      </c>
      <c r="BB58">
        <v>0</v>
      </c>
      <c r="BC58">
        <v>10</v>
      </c>
      <c r="BD58">
        <v>0</v>
      </c>
      <c r="BE58">
        <f t="shared" si="9"/>
        <v>1</v>
      </c>
    </row>
    <row r="59" spans="1:57" x14ac:dyDescent="0.25">
      <c r="A59" t="s">
        <v>39</v>
      </c>
      <c r="B59" t="s">
        <v>263</v>
      </c>
      <c r="C59">
        <v>87.9</v>
      </c>
      <c r="D59">
        <v>73.5</v>
      </c>
      <c r="G59">
        <f t="shared" si="0"/>
        <v>1</v>
      </c>
      <c r="H59">
        <f t="shared" si="1"/>
        <v>1</v>
      </c>
      <c r="I59">
        <f t="shared" si="2"/>
        <v>0</v>
      </c>
      <c r="J59">
        <v>81.099999999999994</v>
      </c>
      <c r="K59">
        <v>87.9</v>
      </c>
      <c r="L59">
        <v>73.5</v>
      </c>
      <c r="M59">
        <v>82.1</v>
      </c>
      <c r="N59">
        <v>63.5</v>
      </c>
      <c r="O59">
        <v>55.6</v>
      </c>
      <c r="S59">
        <f t="shared" si="3"/>
        <v>1</v>
      </c>
      <c r="T59">
        <f t="shared" si="4"/>
        <v>0</v>
      </c>
      <c r="U59">
        <f t="shared" si="5"/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23</v>
      </c>
      <c r="AG59">
        <f t="shared" si="6"/>
        <v>1</v>
      </c>
      <c r="AH59">
        <f t="shared" si="7"/>
        <v>1</v>
      </c>
      <c r="AI59">
        <f t="shared" si="8"/>
        <v>0</v>
      </c>
      <c r="AJ59">
        <v>304.39999999999998</v>
      </c>
      <c r="AK59">
        <v>1011.2</v>
      </c>
      <c r="AL59">
        <v>0</v>
      </c>
      <c r="AM59">
        <v>6.2</v>
      </c>
      <c r="AN59">
        <v>0</v>
      </c>
      <c r="AO59">
        <v>0</v>
      </c>
      <c r="AP59">
        <v>0</v>
      </c>
      <c r="AQ59">
        <v>0</v>
      </c>
      <c r="AR59" t="s">
        <v>264</v>
      </c>
      <c r="AS59" t="s">
        <v>265</v>
      </c>
      <c r="AT59">
        <v>0.79</v>
      </c>
      <c r="AU59" t="s">
        <v>74</v>
      </c>
      <c r="AV59" t="s">
        <v>44</v>
      </c>
      <c r="AW59" t="s">
        <v>75</v>
      </c>
      <c r="AX59" s="1">
        <v>0.91666666666666663</v>
      </c>
      <c r="AY59" t="s">
        <v>266</v>
      </c>
      <c r="AZ59">
        <v>55.000000001164153</v>
      </c>
      <c r="BA59">
        <v>0</v>
      </c>
      <c r="BB59">
        <v>0</v>
      </c>
      <c r="BC59">
        <v>0.5</v>
      </c>
      <c r="BD59">
        <v>0</v>
      </c>
      <c r="BE59">
        <f t="shared" si="9"/>
        <v>1</v>
      </c>
    </row>
    <row r="60" spans="1:57" x14ac:dyDescent="0.25">
      <c r="A60" t="s">
        <v>39</v>
      </c>
      <c r="B60" t="s">
        <v>67</v>
      </c>
      <c r="C60">
        <v>80.7</v>
      </c>
      <c r="D60">
        <v>75.3</v>
      </c>
      <c r="G60">
        <f t="shared" si="0"/>
        <v>1</v>
      </c>
      <c r="H60">
        <f t="shared" si="1"/>
        <v>0</v>
      </c>
      <c r="I60">
        <f t="shared" si="2"/>
        <v>1</v>
      </c>
      <c r="J60">
        <v>77</v>
      </c>
      <c r="K60">
        <v>81.5</v>
      </c>
      <c r="L60">
        <v>75.3</v>
      </c>
      <c r="M60">
        <v>77</v>
      </c>
      <c r="N60">
        <v>60.1</v>
      </c>
      <c r="O60">
        <v>56.3</v>
      </c>
      <c r="S60">
        <f t="shared" si="3"/>
        <v>1</v>
      </c>
      <c r="T60">
        <f t="shared" si="4"/>
        <v>0</v>
      </c>
      <c r="U60">
        <f t="shared" si="5"/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17.2</v>
      </c>
      <c r="AG60">
        <f t="shared" si="6"/>
        <v>0</v>
      </c>
      <c r="AH60">
        <f t="shared" si="7"/>
        <v>0</v>
      </c>
      <c r="AI60">
        <f t="shared" si="8"/>
        <v>0</v>
      </c>
      <c r="AJ60">
        <v>314.5</v>
      </c>
      <c r="AK60">
        <v>1012.6</v>
      </c>
      <c r="AL60">
        <v>30</v>
      </c>
      <c r="AM60">
        <v>6.7</v>
      </c>
      <c r="AN60">
        <v>0</v>
      </c>
      <c r="AO60">
        <v>0</v>
      </c>
      <c r="AP60">
        <v>0</v>
      </c>
      <c r="AQ60">
        <v>0</v>
      </c>
      <c r="AR60" t="s">
        <v>68</v>
      </c>
      <c r="AS60" t="s">
        <v>69</v>
      </c>
      <c r="AT60">
        <v>0.03</v>
      </c>
      <c r="AU60" t="s">
        <v>43</v>
      </c>
      <c r="AV60" t="s">
        <v>44</v>
      </c>
      <c r="AW60" t="s">
        <v>45</v>
      </c>
      <c r="AX60" s="1">
        <v>0.42986111111111108</v>
      </c>
      <c r="AY60" t="s">
        <v>267</v>
      </c>
      <c r="AZ60">
        <v>851.00000000791624</v>
      </c>
      <c r="BA60">
        <v>1</v>
      </c>
      <c r="BB60">
        <v>0</v>
      </c>
      <c r="BC60">
        <v>45</v>
      </c>
      <c r="BD60">
        <v>0</v>
      </c>
      <c r="BE60">
        <f t="shared" si="9"/>
        <v>0</v>
      </c>
    </row>
    <row r="61" spans="1:57" x14ac:dyDescent="0.25">
      <c r="A61" t="s">
        <v>39</v>
      </c>
      <c r="B61" t="s">
        <v>268</v>
      </c>
      <c r="C61">
        <v>82.5</v>
      </c>
      <c r="D61">
        <v>71.7</v>
      </c>
      <c r="G61">
        <f t="shared" si="0"/>
        <v>0</v>
      </c>
      <c r="H61">
        <f t="shared" si="1"/>
        <v>0</v>
      </c>
      <c r="I61">
        <f t="shared" si="2"/>
        <v>0</v>
      </c>
      <c r="J61">
        <v>78.099999999999994</v>
      </c>
      <c r="K61">
        <v>85.5</v>
      </c>
      <c r="L61">
        <v>71.7</v>
      </c>
      <c r="M61">
        <v>79</v>
      </c>
      <c r="N61">
        <v>62.5</v>
      </c>
      <c r="O61">
        <v>58.8</v>
      </c>
      <c r="S61">
        <f t="shared" si="3"/>
        <v>0</v>
      </c>
      <c r="T61">
        <f t="shared" si="4"/>
        <v>0</v>
      </c>
      <c r="U61">
        <f t="shared" si="5"/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21.9</v>
      </c>
      <c r="AG61">
        <f t="shared" si="6"/>
        <v>1</v>
      </c>
      <c r="AH61">
        <f t="shared" si="7"/>
        <v>1</v>
      </c>
      <c r="AI61">
        <f t="shared" si="8"/>
        <v>0</v>
      </c>
      <c r="AJ61">
        <v>310.60000000000002</v>
      </c>
      <c r="AK61">
        <v>1009.6</v>
      </c>
      <c r="AL61">
        <v>0</v>
      </c>
      <c r="AM61">
        <v>6.2</v>
      </c>
      <c r="AN61">
        <v>0</v>
      </c>
      <c r="AO61">
        <v>0</v>
      </c>
      <c r="AP61">
        <v>0</v>
      </c>
      <c r="AQ61">
        <v>0</v>
      </c>
      <c r="AR61" t="s">
        <v>269</v>
      </c>
      <c r="AS61" t="s">
        <v>270</v>
      </c>
      <c r="AT61">
        <v>0.72</v>
      </c>
      <c r="AU61" t="s">
        <v>74</v>
      </c>
      <c r="AV61" t="s">
        <v>44</v>
      </c>
      <c r="AW61" t="s">
        <v>75</v>
      </c>
      <c r="AX61" s="1">
        <v>0.95833333333333337</v>
      </c>
      <c r="AY61" t="s">
        <v>271</v>
      </c>
      <c r="AZ61">
        <v>64.999999991850927</v>
      </c>
      <c r="BA61">
        <v>0</v>
      </c>
      <c r="BB61">
        <v>0</v>
      </c>
      <c r="BC61">
        <v>0.1</v>
      </c>
      <c r="BD61">
        <v>0</v>
      </c>
      <c r="BE61">
        <f t="shared" si="9"/>
        <v>0</v>
      </c>
    </row>
    <row r="62" spans="1:57" x14ac:dyDescent="0.25">
      <c r="A62" t="s">
        <v>39</v>
      </c>
      <c r="B62" t="s">
        <v>272</v>
      </c>
      <c r="C62">
        <v>60.9</v>
      </c>
      <c r="D62">
        <v>57.3</v>
      </c>
      <c r="G62">
        <f t="shared" si="0"/>
        <v>1</v>
      </c>
      <c r="H62">
        <f t="shared" si="1"/>
        <v>0</v>
      </c>
      <c r="I62">
        <f t="shared" si="2"/>
        <v>1</v>
      </c>
      <c r="J62">
        <v>58.1</v>
      </c>
      <c r="K62">
        <v>60.9</v>
      </c>
      <c r="L62">
        <v>57.3</v>
      </c>
      <c r="M62">
        <v>58.1</v>
      </c>
      <c r="N62">
        <v>48.9</v>
      </c>
      <c r="O62">
        <v>71.599999999999994</v>
      </c>
      <c r="S62">
        <f t="shared" si="3"/>
        <v>1</v>
      </c>
      <c r="T62">
        <f t="shared" si="4"/>
        <v>1</v>
      </c>
      <c r="U62">
        <f t="shared" si="5"/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23</v>
      </c>
      <c r="AG62">
        <f t="shared" si="6"/>
        <v>1</v>
      </c>
      <c r="AH62">
        <f t="shared" si="7"/>
        <v>1</v>
      </c>
      <c r="AI62">
        <f t="shared" si="8"/>
        <v>0</v>
      </c>
      <c r="AJ62">
        <v>328.5</v>
      </c>
      <c r="AK62">
        <v>1013.8</v>
      </c>
      <c r="AL62">
        <v>97.1</v>
      </c>
      <c r="AM62">
        <v>6.5</v>
      </c>
      <c r="AN62">
        <v>0</v>
      </c>
      <c r="AO62">
        <v>0</v>
      </c>
      <c r="AP62">
        <v>0</v>
      </c>
      <c r="AQ62">
        <v>0</v>
      </c>
      <c r="AR62" t="s">
        <v>273</v>
      </c>
      <c r="AS62" t="s">
        <v>274</v>
      </c>
      <c r="AT62">
        <v>0</v>
      </c>
      <c r="AU62" t="s">
        <v>275</v>
      </c>
      <c r="AV62" t="s">
        <v>276</v>
      </c>
      <c r="AW62" t="s">
        <v>277</v>
      </c>
      <c r="AX62" s="1">
        <v>0.85347222222222219</v>
      </c>
      <c r="AY62" t="s">
        <v>278</v>
      </c>
      <c r="AZ62">
        <v>270.99999999278231</v>
      </c>
      <c r="BA62">
        <v>0</v>
      </c>
      <c r="BB62">
        <v>0</v>
      </c>
      <c r="BC62">
        <v>15</v>
      </c>
      <c r="BD62">
        <v>0</v>
      </c>
      <c r="BE62">
        <f t="shared" si="9"/>
        <v>1</v>
      </c>
    </row>
    <row r="63" spans="1:57" x14ac:dyDescent="0.25">
      <c r="A63" t="s">
        <v>39</v>
      </c>
      <c r="B63" t="s">
        <v>279</v>
      </c>
      <c r="C63">
        <v>82.5</v>
      </c>
      <c r="D63">
        <v>68.099999999999994</v>
      </c>
      <c r="G63">
        <f t="shared" si="0"/>
        <v>1</v>
      </c>
      <c r="H63">
        <f t="shared" si="1"/>
        <v>1</v>
      </c>
      <c r="I63">
        <f t="shared" si="2"/>
        <v>0</v>
      </c>
      <c r="J63">
        <v>75.5</v>
      </c>
      <c r="K63">
        <v>83</v>
      </c>
      <c r="L63">
        <v>68.099999999999994</v>
      </c>
      <c r="M63">
        <v>75.599999999999994</v>
      </c>
      <c r="N63">
        <v>62</v>
      </c>
      <c r="O63">
        <v>63.8</v>
      </c>
      <c r="S63">
        <f t="shared" si="3"/>
        <v>1</v>
      </c>
      <c r="T63">
        <f t="shared" si="4"/>
        <v>1</v>
      </c>
      <c r="U63">
        <f t="shared" si="5"/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24.2</v>
      </c>
      <c r="AG63">
        <f t="shared" si="6"/>
        <v>1</v>
      </c>
      <c r="AH63">
        <f t="shared" si="7"/>
        <v>1</v>
      </c>
      <c r="AI63">
        <f t="shared" si="8"/>
        <v>0</v>
      </c>
      <c r="AJ63">
        <v>305.10000000000002</v>
      </c>
      <c r="AK63">
        <v>1007.6</v>
      </c>
      <c r="AL63">
        <v>30</v>
      </c>
      <c r="AM63">
        <v>6.3</v>
      </c>
      <c r="AN63">
        <v>0</v>
      </c>
      <c r="AO63">
        <v>0</v>
      </c>
      <c r="AP63">
        <v>0</v>
      </c>
      <c r="AQ63">
        <v>0</v>
      </c>
      <c r="AR63" t="s">
        <v>280</v>
      </c>
      <c r="AS63" t="s">
        <v>281</v>
      </c>
      <c r="AT63">
        <v>0.85</v>
      </c>
      <c r="AU63" t="s">
        <v>43</v>
      </c>
      <c r="AV63" t="s">
        <v>44</v>
      </c>
      <c r="AW63" t="s">
        <v>45</v>
      </c>
      <c r="AX63" s="1">
        <v>0.69722222222222219</v>
      </c>
      <c r="AY63" t="s">
        <v>282</v>
      </c>
      <c r="AZ63">
        <v>310.99999999743892</v>
      </c>
      <c r="BA63">
        <v>0</v>
      </c>
      <c r="BB63">
        <v>0</v>
      </c>
      <c r="BC63">
        <v>3</v>
      </c>
      <c r="BD63">
        <v>0</v>
      </c>
      <c r="BE63">
        <f t="shared" si="9"/>
        <v>1</v>
      </c>
    </row>
    <row r="64" spans="1:57" x14ac:dyDescent="0.25">
      <c r="A64" t="s">
        <v>39</v>
      </c>
      <c r="B64" t="s">
        <v>283</v>
      </c>
      <c r="C64">
        <v>89.7</v>
      </c>
      <c r="D64">
        <v>75.3</v>
      </c>
      <c r="G64">
        <f t="shared" si="0"/>
        <v>1</v>
      </c>
      <c r="H64">
        <f t="shared" si="1"/>
        <v>1</v>
      </c>
      <c r="I64">
        <f t="shared" si="2"/>
        <v>0</v>
      </c>
      <c r="J64">
        <v>83.9</v>
      </c>
      <c r="K64">
        <v>89.6</v>
      </c>
      <c r="L64">
        <v>75.3</v>
      </c>
      <c r="M64">
        <v>84.2</v>
      </c>
      <c r="N64">
        <v>57.8</v>
      </c>
      <c r="O64">
        <v>41.9</v>
      </c>
      <c r="S64">
        <f t="shared" si="3"/>
        <v>1</v>
      </c>
      <c r="T64">
        <f t="shared" si="4"/>
        <v>0</v>
      </c>
      <c r="U64">
        <f t="shared" si="5"/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20.8</v>
      </c>
      <c r="AG64">
        <f t="shared" si="6"/>
        <v>1</v>
      </c>
      <c r="AH64">
        <f t="shared" si="7"/>
        <v>1</v>
      </c>
      <c r="AI64">
        <f t="shared" si="8"/>
        <v>0</v>
      </c>
      <c r="AJ64">
        <v>301.5</v>
      </c>
      <c r="AK64">
        <v>1006.9</v>
      </c>
      <c r="AL64">
        <v>0</v>
      </c>
      <c r="AM64">
        <v>6.2</v>
      </c>
      <c r="AN64">
        <v>0</v>
      </c>
      <c r="AO64">
        <v>0</v>
      </c>
      <c r="AP64">
        <v>0</v>
      </c>
      <c r="AQ64">
        <v>0</v>
      </c>
      <c r="AR64" t="s">
        <v>284</v>
      </c>
      <c r="AS64" t="s">
        <v>285</v>
      </c>
      <c r="AT64">
        <v>0.19</v>
      </c>
      <c r="AU64" t="s">
        <v>74</v>
      </c>
      <c r="AV64" t="s">
        <v>44</v>
      </c>
      <c r="AW64" t="s">
        <v>75</v>
      </c>
      <c r="AX64" s="1">
        <v>0.64513888888888893</v>
      </c>
      <c r="AY64" t="s">
        <v>286</v>
      </c>
      <c r="AZ64">
        <v>226.0000000032596</v>
      </c>
      <c r="BA64">
        <v>0</v>
      </c>
      <c r="BB64">
        <v>0</v>
      </c>
      <c r="BC64">
        <v>100</v>
      </c>
      <c r="BD64">
        <v>0</v>
      </c>
      <c r="BE64">
        <f t="shared" si="9"/>
        <v>1</v>
      </c>
    </row>
    <row r="65" spans="1:57" x14ac:dyDescent="0.25">
      <c r="A65" t="s">
        <v>39</v>
      </c>
      <c r="B65" t="s">
        <v>287</v>
      </c>
      <c r="C65">
        <v>69.900000000000006</v>
      </c>
      <c r="D65">
        <v>57.3</v>
      </c>
      <c r="G65">
        <f t="shared" si="0"/>
        <v>1</v>
      </c>
      <c r="H65">
        <f t="shared" si="1"/>
        <v>1</v>
      </c>
      <c r="I65">
        <f t="shared" si="2"/>
        <v>0</v>
      </c>
      <c r="J65">
        <v>64.400000000000006</v>
      </c>
      <c r="K65">
        <v>69.900000000000006</v>
      </c>
      <c r="L65">
        <v>57.3</v>
      </c>
      <c r="M65">
        <v>64.400000000000006</v>
      </c>
      <c r="N65">
        <v>56.5</v>
      </c>
      <c r="O65">
        <v>76.099999999999994</v>
      </c>
      <c r="S65">
        <f t="shared" si="3"/>
        <v>1</v>
      </c>
      <c r="T65">
        <f t="shared" si="4"/>
        <v>1</v>
      </c>
      <c r="U65">
        <f t="shared" si="5"/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11.4</v>
      </c>
      <c r="AG65">
        <f t="shared" si="6"/>
        <v>1</v>
      </c>
      <c r="AH65">
        <f t="shared" si="7"/>
        <v>0</v>
      </c>
      <c r="AI65">
        <f t="shared" si="8"/>
        <v>1</v>
      </c>
      <c r="AJ65">
        <v>297</v>
      </c>
      <c r="AK65">
        <v>1021.6</v>
      </c>
      <c r="AL65">
        <v>33.799999999999997</v>
      </c>
      <c r="AM65">
        <v>6.6</v>
      </c>
      <c r="AN65">
        <v>0</v>
      </c>
      <c r="AO65">
        <v>0</v>
      </c>
      <c r="AP65">
        <v>0</v>
      </c>
      <c r="AQ65">
        <v>0</v>
      </c>
      <c r="AR65" t="s">
        <v>288</v>
      </c>
      <c r="AS65" t="s">
        <v>289</v>
      </c>
      <c r="AT65">
        <v>0.52</v>
      </c>
      <c r="AU65" t="s">
        <v>43</v>
      </c>
      <c r="AV65" t="s">
        <v>44</v>
      </c>
      <c r="AW65" t="s">
        <v>45</v>
      </c>
      <c r="AX65" s="1">
        <v>0.46111111111111108</v>
      </c>
      <c r="AY65" t="s">
        <v>290</v>
      </c>
      <c r="AZ65">
        <v>394.0000000060536</v>
      </c>
      <c r="BA65">
        <v>1</v>
      </c>
      <c r="BB65">
        <v>2</v>
      </c>
      <c r="BC65">
        <v>0</v>
      </c>
      <c r="BD65">
        <v>0</v>
      </c>
      <c r="BE65">
        <f t="shared" si="9"/>
        <v>1</v>
      </c>
    </row>
    <row r="66" spans="1:57" x14ac:dyDescent="0.25">
      <c r="A66" t="s">
        <v>39</v>
      </c>
      <c r="B66" t="s">
        <v>67</v>
      </c>
      <c r="C66">
        <v>80.7</v>
      </c>
      <c r="D66">
        <v>75.3</v>
      </c>
      <c r="G66">
        <f t="shared" si="0"/>
        <v>1</v>
      </c>
      <c r="H66">
        <f t="shared" si="1"/>
        <v>0</v>
      </c>
      <c r="I66">
        <f t="shared" si="2"/>
        <v>1</v>
      </c>
      <c r="J66">
        <v>77</v>
      </c>
      <c r="K66">
        <v>81.5</v>
      </c>
      <c r="L66">
        <v>75.3</v>
      </c>
      <c r="M66">
        <v>77</v>
      </c>
      <c r="N66">
        <v>60.1</v>
      </c>
      <c r="O66">
        <v>56.3</v>
      </c>
      <c r="S66">
        <f t="shared" si="3"/>
        <v>1</v>
      </c>
      <c r="T66">
        <f t="shared" si="4"/>
        <v>0</v>
      </c>
      <c r="U66">
        <f t="shared" si="5"/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17.2</v>
      </c>
      <c r="AG66">
        <f t="shared" si="6"/>
        <v>0</v>
      </c>
      <c r="AH66">
        <f t="shared" si="7"/>
        <v>0</v>
      </c>
      <c r="AI66">
        <f t="shared" si="8"/>
        <v>0</v>
      </c>
      <c r="AJ66">
        <v>314.5</v>
      </c>
      <c r="AK66">
        <v>1012.6</v>
      </c>
      <c r="AL66">
        <v>30</v>
      </c>
      <c r="AM66">
        <v>6.7</v>
      </c>
      <c r="AN66">
        <v>0</v>
      </c>
      <c r="AO66">
        <v>0</v>
      </c>
      <c r="AP66">
        <v>0</v>
      </c>
      <c r="AQ66">
        <v>0</v>
      </c>
      <c r="AR66" t="s">
        <v>68</v>
      </c>
      <c r="AS66" t="s">
        <v>69</v>
      </c>
      <c r="AT66">
        <v>0.03</v>
      </c>
      <c r="AU66" t="s">
        <v>43</v>
      </c>
      <c r="AV66" t="s">
        <v>44</v>
      </c>
      <c r="AW66" t="s">
        <v>45</v>
      </c>
      <c r="AX66" s="1">
        <v>0.51736111111111116</v>
      </c>
      <c r="AY66" t="s">
        <v>291</v>
      </c>
      <c r="AZ66">
        <v>60.000000006984919</v>
      </c>
      <c r="BA66">
        <v>0</v>
      </c>
      <c r="BB66">
        <v>0</v>
      </c>
      <c r="BC66">
        <v>0.5</v>
      </c>
      <c r="BD66">
        <v>0</v>
      </c>
      <c r="BE66">
        <f t="shared" si="9"/>
        <v>0</v>
      </c>
    </row>
    <row r="67" spans="1:57" x14ac:dyDescent="0.25">
      <c r="A67" t="s">
        <v>39</v>
      </c>
      <c r="B67" t="s">
        <v>162</v>
      </c>
      <c r="C67">
        <v>80.7</v>
      </c>
      <c r="D67">
        <v>71.7</v>
      </c>
      <c r="G67">
        <f t="shared" ref="G67:G130" si="10">IF(ABS(C67-INDEX($F$2:$F$13,MONTH(B67)))&gt;1.8,1,0)</f>
        <v>1</v>
      </c>
      <c r="H67">
        <f t="shared" ref="H67:H130" si="11">IF(C67&gt;=INDEX($F$2:$F$13,MONTH(B67))+1.8,1,0)</f>
        <v>0</v>
      </c>
      <c r="I67">
        <f t="shared" ref="I67:I130" si="12">IF(C67&lt;=INDEX($F$2:$F$13,MONTH(B67))-1.8,1,0)</f>
        <v>1</v>
      </c>
      <c r="J67">
        <v>78.099999999999994</v>
      </c>
      <c r="K67">
        <v>81.900000000000006</v>
      </c>
      <c r="L67">
        <v>71.7</v>
      </c>
      <c r="M67">
        <v>78.3</v>
      </c>
      <c r="N67">
        <v>58.6</v>
      </c>
      <c r="O67">
        <v>51.9</v>
      </c>
      <c r="S67">
        <f t="shared" ref="S67:S130" si="13">IF(OR(O67&lt;INDEX($Q$2:$Q$13,MONTH(B67)),O67&gt;INDEX($R$2:$R$13,MONTH(B67))),1,0)</f>
        <v>1</v>
      </c>
      <c r="T67">
        <f t="shared" ref="T67:T130" si="14">IF(O67&gt;INDEX($R$2:$R$13,MONTH(B67)),1,0)</f>
        <v>0</v>
      </c>
      <c r="U67">
        <f t="shared" ref="U67:U130" si="15">IF(O67&lt;INDEX($Q$2:$Q$13,MONTH(B67)),1,0)</f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24.2</v>
      </c>
      <c r="AG67">
        <f t="shared" ref="AG67:AG130" si="16">IF(OR(AC67&lt;INDEX($AE$2:$AE$13,MONTH(B67)),AC67&gt;INDEX($AF$2:$AF$13,MONTH(B67))),1,0)</f>
        <v>1</v>
      </c>
      <c r="AH67">
        <f t="shared" ref="AH67:AH130" si="17">IF(AC67&gt;INDEX($AF$2:$AF$13,MONTH(B67)),1,0)</f>
        <v>1</v>
      </c>
      <c r="AI67">
        <f t="shared" ref="AI67:AI130" si="18">IF(AC67&lt;INDEX($AE$2:$AE$13,MONTH(B67)),1,0)</f>
        <v>0</v>
      </c>
      <c r="AJ67">
        <v>322</v>
      </c>
      <c r="AK67">
        <v>1006.9</v>
      </c>
      <c r="AL67">
        <v>30</v>
      </c>
      <c r="AM67">
        <v>6.4</v>
      </c>
      <c r="AN67">
        <v>0</v>
      </c>
      <c r="AO67">
        <v>0</v>
      </c>
      <c r="AP67">
        <v>0</v>
      </c>
      <c r="AQ67">
        <v>0</v>
      </c>
      <c r="AR67" t="s">
        <v>163</v>
      </c>
      <c r="AS67" t="s">
        <v>164</v>
      </c>
      <c r="AT67">
        <v>0.43</v>
      </c>
      <c r="AU67" t="s">
        <v>43</v>
      </c>
      <c r="AV67" t="s">
        <v>44</v>
      </c>
      <c r="AW67" t="s">
        <v>45</v>
      </c>
      <c r="AX67" s="1">
        <v>0.70416666666666672</v>
      </c>
      <c r="AY67" t="s">
        <v>292</v>
      </c>
      <c r="AZ67">
        <v>65.999999995110556</v>
      </c>
      <c r="BA67">
        <v>0</v>
      </c>
      <c r="BB67">
        <v>0</v>
      </c>
      <c r="BC67">
        <v>1</v>
      </c>
      <c r="BD67">
        <v>0</v>
      </c>
      <c r="BE67">
        <f t="shared" ref="BE67:BE130" si="19">IF((3*AH67+3*H67+2*U67+2*BA67-(2*(1-T67)+2*(1-I67)+2*(1-AI67)))&gt;=1,1,0)</f>
        <v>1</v>
      </c>
    </row>
    <row r="68" spans="1:57" x14ac:dyDescent="0.25">
      <c r="A68" t="s">
        <v>39</v>
      </c>
      <c r="B68" t="s">
        <v>293</v>
      </c>
      <c r="C68">
        <v>64.5</v>
      </c>
      <c r="D68">
        <v>60.9</v>
      </c>
      <c r="G68">
        <f t="shared" si="10"/>
        <v>1</v>
      </c>
      <c r="H68">
        <f t="shared" si="11"/>
        <v>0</v>
      </c>
      <c r="I68">
        <f t="shared" si="12"/>
        <v>1</v>
      </c>
      <c r="J68">
        <v>62.2</v>
      </c>
      <c r="K68">
        <v>64.5</v>
      </c>
      <c r="L68">
        <v>60.9</v>
      </c>
      <c r="M68">
        <v>62.2</v>
      </c>
      <c r="N68">
        <v>46.3</v>
      </c>
      <c r="O68">
        <v>56.4</v>
      </c>
      <c r="S68">
        <f t="shared" si="13"/>
        <v>1</v>
      </c>
      <c r="T68">
        <f t="shared" si="14"/>
        <v>0</v>
      </c>
      <c r="U68">
        <f t="shared" si="15"/>
        <v>1</v>
      </c>
      <c r="V68">
        <v>4.0000000000000001E-3</v>
      </c>
      <c r="W68">
        <v>100</v>
      </c>
      <c r="X68">
        <v>4.17</v>
      </c>
      <c r="Y68" t="s">
        <v>103</v>
      </c>
      <c r="Z68">
        <v>0</v>
      </c>
      <c r="AA68">
        <v>0</v>
      </c>
      <c r="AB68">
        <v>0</v>
      </c>
      <c r="AC68">
        <v>25.3</v>
      </c>
      <c r="AG68">
        <f t="shared" si="16"/>
        <v>1</v>
      </c>
      <c r="AH68">
        <f t="shared" si="17"/>
        <v>1</v>
      </c>
      <c r="AI68">
        <f t="shared" si="18"/>
        <v>0</v>
      </c>
      <c r="AJ68">
        <v>351.4</v>
      </c>
      <c r="AK68">
        <v>1023.9</v>
      </c>
      <c r="AL68">
        <v>74.2</v>
      </c>
      <c r="AM68">
        <v>6.8</v>
      </c>
      <c r="AN68">
        <v>0</v>
      </c>
      <c r="AO68">
        <v>0</v>
      </c>
      <c r="AP68">
        <v>0</v>
      </c>
      <c r="AQ68">
        <v>0</v>
      </c>
      <c r="AR68" t="s">
        <v>294</v>
      </c>
      <c r="AS68" t="s">
        <v>295</v>
      </c>
      <c r="AT68">
        <v>0.82</v>
      </c>
      <c r="AU68" t="s">
        <v>106</v>
      </c>
      <c r="AV68" t="s">
        <v>296</v>
      </c>
      <c r="AW68" t="s">
        <v>103</v>
      </c>
      <c r="AX68" s="1">
        <v>0.86736111111111114</v>
      </c>
      <c r="AY68" t="s">
        <v>297</v>
      </c>
      <c r="AZ68">
        <v>281.00000000442378</v>
      </c>
      <c r="BA68">
        <v>0</v>
      </c>
      <c r="BB68">
        <v>10</v>
      </c>
      <c r="BC68">
        <v>0</v>
      </c>
      <c r="BD68">
        <v>0</v>
      </c>
      <c r="BE68">
        <f t="shared" si="19"/>
        <v>1</v>
      </c>
    </row>
    <row r="69" spans="1:57" x14ac:dyDescent="0.25">
      <c r="A69" t="s">
        <v>39</v>
      </c>
      <c r="B69" t="s">
        <v>182</v>
      </c>
      <c r="C69">
        <v>78.900000000000006</v>
      </c>
      <c r="D69">
        <v>60.9</v>
      </c>
      <c r="G69">
        <f t="shared" si="10"/>
        <v>1</v>
      </c>
      <c r="H69">
        <f t="shared" si="11"/>
        <v>1</v>
      </c>
      <c r="I69">
        <f t="shared" si="12"/>
        <v>0</v>
      </c>
      <c r="J69">
        <v>70.599999999999994</v>
      </c>
      <c r="K69">
        <v>78.900000000000006</v>
      </c>
      <c r="L69">
        <v>60.9</v>
      </c>
      <c r="M69">
        <v>70.599999999999994</v>
      </c>
      <c r="N69">
        <v>48.4</v>
      </c>
      <c r="O69">
        <v>46.8</v>
      </c>
      <c r="S69">
        <f t="shared" si="13"/>
        <v>1</v>
      </c>
      <c r="T69">
        <f t="shared" si="14"/>
        <v>0</v>
      </c>
      <c r="U69">
        <f t="shared" si="15"/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9.1999999999999993</v>
      </c>
      <c r="AG69">
        <f t="shared" si="16"/>
        <v>1</v>
      </c>
      <c r="AH69">
        <f t="shared" si="17"/>
        <v>0</v>
      </c>
      <c r="AI69">
        <f t="shared" si="18"/>
        <v>1</v>
      </c>
      <c r="AJ69">
        <v>80.400000000000006</v>
      </c>
      <c r="AK69">
        <v>1012.5</v>
      </c>
      <c r="AL69">
        <v>30</v>
      </c>
      <c r="AM69">
        <v>6.3</v>
      </c>
      <c r="AN69">
        <v>0</v>
      </c>
      <c r="AO69">
        <v>0</v>
      </c>
      <c r="AP69">
        <v>0</v>
      </c>
      <c r="AQ69">
        <v>0</v>
      </c>
      <c r="AR69" t="s">
        <v>183</v>
      </c>
      <c r="AS69" t="s">
        <v>184</v>
      </c>
      <c r="AT69">
        <v>0.6</v>
      </c>
      <c r="AU69" t="s">
        <v>43</v>
      </c>
      <c r="AV69" t="s">
        <v>44</v>
      </c>
      <c r="AW69" t="s">
        <v>45</v>
      </c>
      <c r="AX69" s="1">
        <v>0.58611111111111114</v>
      </c>
      <c r="AY69" t="s">
        <v>298</v>
      </c>
      <c r="AZ69">
        <v>176.00000000791621</v>
      </c>
      <c r="BA69">
        <v>0</v>
      </c>
      <c r="BB69">
        <v>8</v>
      </c>
      <c r="BC69">
        <v>0</v>
      </c>
      <c r="BD69">
        <v>0</v>
      </c>
      <c r="BE69">
        <f t="shared" si="19"/>
        <v>1</v>
      </c>
    </row>
    <row r="70" spans="1:57" x14ac:dyDescent="0.25">
      <c r="A70" t="s">
        <v>39</v>
      </c>
      <c r="B70" t="s">
        <v>170</v>
      </c>
      <c r="C70">
        <v>84.3</v>
      </c>
      <c r="D70">
        <v>66.3</v>
      </c>
      <c r="G70">
        <f t="shared" si="10"/>
        <v>1</v>
      </c>
      <c r="H70">
        <f t="shared" si="11"/>
        <v>1</v>
      </c>
      <c r="I70">
        <f t="shared" si="12"/>
        <v>0</v>
      </c>
      <c r="J70">
        <v>74.8</v>
      </c>
      <c r="K70">
        <v>83.6</v>
      </c>
      <c r="L70">
        <v>66.3</v>
      </c>
      <c r="M70">
        <v>74.8</v>
      </c>
      <c r="N70">
        <v>58.6</v>
      </c>
      <c r="O70">
        <v>59.2</v>
      </c>
      <c r="S70">
        <f t="shared" si="13"/>
        <v>1</v>
      </c>
      <c r="T70">
        <f t="shared" si="14"/>
        <v>0</v>
      </c>
      <c r="U70">
        <f t="shared" si="15"/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8.1</v>
      </c>
      <c r="AG70">
        <f t="shared" si="16"/>
        <v>1</v>
      </c>
      <c r="AH70">
        <f t="shared" si="17"/>
        <v>0</v>
      </c>
      <c r="AI70">
        <f t="shared" si="18"/>
        <v>1</v>
      </c>
      <c r="AJ70">
        <v>137.19999999999999</v>
      </c>
      <c r="AK70">
        <v>1012.9</v>
      </c>
      <c r="AL70">
        <v>30</v>
      </c>
      <c r="AM70">
        <v>6.5</v>
      </c>
      <c r="AN70">
        <v>0</v>
      </c>
      <c r="AO70">
        <v>0</v>
      </c>
      <c r="AP70">
        <v>0</v>
      </c>
      <c r="AQ70">
        <v>0</v>
      </c>
      <c r="AR70" t="s">
        <v>171</v>
      </c>
      <c r="AS70" t="s">
        <v>172</v>
      </c>
      <c r="AT70">
        <v>0.63</v>
      </c>
      <c r="AU70" t="s">
        <v>43</v>
      </c>
      <c r="AV70" t="s">
        <v>44</v>
      </c>
      <c r="AW70" t="s">
        <v>45</v>
      </c>
      <c r="AX70" s="1">
        <v>0.40208333333333329</v>
      </c>
      <c r="AY70" t="s">
        <v>299</v>
      </c>
      <c r="AZ70">
        <v>95.999999998603016</v>
      </c>
      <c r="BA70">
        <v>0</v>
      </c>
      <c r="BB70">
        <v>0</v>
      </c>
      <c r="BC70">
        <v>1</v>
      </c>
      <c r="BD70">
        <v>0</v>
      </c>
      <c r="BE70">
        <f t="shared" si="19"/>
        <v>1</v>
      </c>
    </row>
    <row r="71" spans="1:57" x14ac:dyDescent="0.25">
      <c r="A71" t="s">
        <v>39</v>
      </c>
      <c r="B71" t="s">
        <v>300</v>
      </c>
      <c r="C71">
        <v>73.5</v>
      </c>
      <c r="D71">
        <v>66.3</v>
      </c>
      <c r="G71">
        <f t="shared" si="10"/>
        <v>1</v>
      </c>
      <c r="H71">
        <f t="shared" si="11"/>
        <v>0</v>
      </c>
      <c r="I71">
        <f t="shared" si="12"/>
        <v>1</v>
      </c>
      <c r="J71">
        <v>70.099999999999994</v>
      </c>
      <c r="K71">
        <v>73.5</v>
      </c>
      <c r="L71">
        <v>66.3</v>
      </c>
      <c r="M71">
        <v>70.099999999999994</v>
      </c>
      <c r="N71">
        <v>50.6</v>
      </c>
      <c r="O71">
        <v>50.4</v>
      </c>
      <c r="S71">
        <f t="shared" si="13"/>
        <v>1</v>
      </c>
      <c r="T71">
        <f t="shared" si="14"/>
        <v>0</v>
      </c>
      <c r="U71">
        <f t="shared" si="15"/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23</v>
      </c>
      <c r="AG71">
        <f t="shared" si="16"/>
        <v>1</v>
      </c>
      <c r="AH71">
        <f t="shared" si="17"/>
        <v>1</v>
      </c>
      <c r="AI71">
        <f t="shared" si="18"/>
        <v>0</v>
      </c>
      <c r="AJ71">
        <v>331.6</v>
      </c>
      <c r="AK71">
        <v>1017.8</v>
      </c>
      <c r="AL71">
        <v>33.299999999999997</v>
      </c>
      <c r="AM71">
        <v>6.8</v>
      </c>
      <c r="AN71">
        <v>0</v>
      </c>
      <c r="AO71">
        <v>0</v>
      </c>
      <c r="AP71">
        <v>0</v>
      </c>
      <c r="AQ71">
        <v>0</v>
      </c>
      <c r="AR71" t="s">
        <v>301</v>
      </c>
      <c r="AS71" t="s">
        <v>302</v>
      </c>
      <c r="AT71">
        <v>0.57999999999999996</v>
      </c>
      <c r="AU71" t="s">
        <v>43</v>
      </c>
      <c r="AV71" t="s">
        <v>44</v>
      </c>
      <c r="AW71" t="s">
        <v>45</v>
      </c>
      <c r="AX71" s="1">
        <v>0.45416666666666672</v>
      </c>
      <c r="AY71" t="s">
        <v>303</v>
      </c>
      <c r="AZ71">
        <v>110.9999999951106</v>
      </c>
      <c r="BA71">
        <v>0</v>
      </c>
      <c r="BB71">
        <v>0</v>
      </c>
      <c r="BC71">
        <v>18</v>
      </c>
      <c r="BD71">
        <v>0</v>
      </c>
      <c r="BE71">
        <f t="shared" si="19"/>
        <v>1</v>
      </c>
    </row>
    <row r="72" spans="1:57" x14ac:dyDescent="0.25">
      <c r="A72" t="s">
        <v>39</v>
      </c>
      <c r="B72" t="s">
        <v>246</v>
      </c>
      <c r="C72">
        <v>73.5</v>
      </c>
      <c r="D72">
        <v>68.099999999999994</v>
      </c>
      <c r="G72">
        <f t="shared" si="10"/>
        <v>1</v>
      </c>
      <c r="H72">
        <f t="shared" si="11"/>
        <v>0</v>
      </c>
      <c r="I72">
        <f t="shared" si="12"/>
        <v>1</v>
      </c>
      <c r="J72">
        <v>70.7</v>
      </c>
      <c r="K72">
        <v>73.5</v>
      </c>
      <c r="L72">
        <v>68.099999999999994</v>
      </c>
      <c r="M72">
        <v>70.7</v>
      </c>
      <c r="N72">
        <v>55.2</v>
      </c>
      <c r="O72">
        <v>58.1</v>
      </c>
      <c r="S72">
        <f t="shared" si="13"/>
        <v>1</v>
      </c>
      <c r="T72">
        <f t="shared" si="14"/>
        <v>0</v>
      </c>
      <c r="U72">
        <f t="shared" si="15"/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18.3</v>
      </c>
      <c r="AG72">
        <f t="shared" si="16"/>
        <v>1</v>
      </c>
      <c r="AH72">
        <f t="shared" si="17"/>
        <v>1</v>
      </c>
      <c r="AI72">
        <f t="shared" si="18"/>
        <v>0</v>
      </c>
      <c r="AJ72">
        <v>333.2</v>
      </c>
      <c r="AK72">
        <v>1017.9</v>
      </c>
      <c r="AL72">
        <v>41.8</v>
      </c>
      <c r="AM72">
        <v>6.8</v>
      </c>
      <c r="AN72">
        <v>0</v>
      </c>
      <c r="AO72">
        <v>0</v>
      </c>
      <c r="AP72">
        <v>0</v>
      </c>
      <c r="AQ72">
        <v>0</v>
      </c>
      <c r="AR72" t="s">
        <v>247</v>
      </c>
      <c r="AS72" t="s">
        <v>248</v>
      </c>
      <c r="AT72">
        <v>0.95</v>
      </c>
      <c r="AU72" t="s">
        <v>43</v>
      </c>
      <c r="AV72" t="s">
        <v>44</v>
      </c>
      <c r="AW72" t="s">
        <v>45</v>
      </c>
      <c r="AX72" s="1">
        <v>0.96458333333333335</v>
      </c>
      <c r="AY72" t="s">
        <v>304</v>
      </c>
      <c r="AZ72">
        <v>110.9999999951106</v>
      </c>
      <c r="BA72">
        <v>0</v>
      </c>
      <c r="BB72">
        <v>0</v>
      </c>
      <c r="BC72">
        <v>4</v>
      </c>
      <c r="BD72">
        <v>0</v>
      </c>
      <c r="BE72">
        <f t="shared" si="19"/>
        <v>1</v>
      </c>
    </row>
    <row r="73" spans="1:57" x14ac:dyDescent="0.25">
      <c r="A73" t="s">
        <v>39</v>
      </c>
      <c r="B73" t="s">
        <v>305</v>
      </c>
      <c r="C73">
        <v>82.5</v>
      </c>
      <c r="D73">
        <v>66.3</v>
      </c>
      <c r="G73">
        <f t="shared" si="10"/>
        <v>0</v>
      </c>
      <c r="H73">
        <f t="shared" si="11"/>
        <v>0</v>
      </c>
      <c r="I73">
        <f t="shared" si="12"/>
        <v>0</v>
      </c>
      <c r="J73">
        <v>74.5</v>
      </c>
      <c r="K73">
        <v>81.5</v>
      </c>
      <c r="L73">
        <v>66.3</v>
      </c>
      <c r="M73">
        <v>74.3</v>
      </c>
      <c r="N73">
        <v>57.1</v>
      </c>
      <c r="O73">
        <v>57</v>
      </c>
      <c r="S73">
        <f t="shared" si="13"/>
        <v>1</v>
      </c>
      <c r="T73">
        <f t="shared" si="14"/>
        <v>0</v>
      </c>
      <c r="U73">
        <f t="shared" si="15"/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8.1</v>
      </c>
      <c r="AG73">
        <f t="shared" si="16"/>
        <v>1</v>
      </c>
      <c r="AH73">
        <f t="shared" si="17"/>
        <v>0</v>
      </c>
      <c r="AI73">
        <f t="shared" si="18"/>
        <v>1</v>
      </c>
      <c r="AJ73">
        <v>121.9</v>
      </c>
      <c r="AK73">
        <v>1015.6</v>
      </c>
      <c r="AL73">
        <v>0</v>
      </c>
      <c r="AM73">
        <v>6.2</v>
      </c>
      <c r="AN73">
        <v>0</v>
      </c>
      <c r="AO73">
        <v>0</v>
      </c>
      <c r="AP73">
        <v>0</v>
      </c>
      <c r="AQ73">
        <v>0</v>
      </c>
      <c r="AR73" t="s">
        <v>306</v>
      </c>
      <c r="AS73" t="s">
        <v>307</v>
      </c>
      <c r="AT73">
        <v>0.96</v>
      </c>
      <c r="AU73" t="s">
        <v>74</v>
      </c>
      <c r="AV73" t="s">
        <v>44</v>
      </c>
      <c r="AW73" t="s">
        <v>75</v>
      </c>
      <c r="AX73" s="1">
        <v>0.68125000000000002</v>
      </c>
      <c r="AY73" t="s">
        <v>308</v>
      </c>
      <c r="AZ73">
        <v>188.9999999979045</v>
      </c>
      <c r="BA73">
        <v>0</v>
      </c>
      <c r="BB73">
        <v>0</v>
      </c>
      <c r="BC73">
        <v>4</v>
      </c>
      <c r="BD73">
        <v>0</v>
      </c>
      <c r="BE73">
        <f t="shared" si="19"/>
        <v>0</v>
      </c>
    </row>
    <row r="74" spans="1:57" x14ac:dyDescent="0.25">
      <c r="A74" t="s">
        <v>39</v>
      </c>
      <c r="B74" t="s">
        <v>309</v>
      </c>
      <c r="C74">
        <v>82.5</v>
      </c>
      <c r="D74">
        <v>66.3</v>
      </c>
      <c r="G74">
        <f t="shared" si="10"/>
        <v>1</v>
      </c>
      <c r="H74">
        <f t="shared" si="11"/>
        <v>1</v>
      </c>
      <c r="I74">
        <f t="shared" si="12"/>
        <v>0</v>
      </c>
      <c r="J74">
        <v>75.099999999999994</v>
      </c>
      <c r="K74">
        <v>83</v>
      </c>
      <c r="L74">
        <v>66.3</v>
      </c>
      <c r="M74">
        <v>75.2</v>
      </c>
      <c r="N74">
        <v>58.1</v>
      </c>
      <c r="O74">
        <v>56.1</v>
      </c>
      <c r="S74">
        <f t="shared" si="13"/>
        <v>1</v>
      </c>
      <c r="T74">
        <f t="shared" si="14"/>
        <v>0</v>
      </c>
      <c r="U74">
        <f t="shared" si="15"/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12.8</v>
      </c>
      <c r="AG74">
        <f t="shared" si="16"/>
        <v>1</v>
      </c>
      <c r="AH74">
        <f t="shared" si="17"/>
        <v>0</v>
      </c>
      <c r="AI74">
        <f t="shared" si="18"/>
        <v>1</v>
      </c>
      <c r="AJ74">
        <v>286.39999999999998</v>
      </c>
      <c r="AK74">
        <v>1013.4</v>
      </c>
      <c r="AL74">
        <v>0</v>
      </c>
      <c r="AM74">
        <v>6.2</v>
      </c>
      <c r="AN74">
        <v>0</v>
      </c>
      <c r="AO74">
        <v>0</v>
      </c>
      <c r="AP74">
        <v>0</v>
      </c>
      <c r="AQ74">
        <v>0</v>
      </c>
      <c r="AR74" t="s">
        <v>310</v>
      </c>
      <c r="AS74" t="s">
        <v>311</v>
      </c>
      <c r="AT74">
        <v>0.2</v>
      </c>
      <c r="AU74" t="s">
        <v>74</v>
      </c>
      <c r="AV74" t="s">
        <v>44</v>
      </c>
      <c r="AW74" t="s">
        <v>75</v>
      </c>
      <c r="AX74" s="1">
        <v>0.45833333333333331</v>
      </c>
      <c r="AY74" t="s">
        <v>312</v>
      </c>
      <c r="AZ74">
        <v>90</v>
      </c>
      <c r="BA74">
        <v>0</v>
      </c>
      <c r="BB74">
        <v>0</v>
      </c>
      <c r="BC74">
        <v>0.5</v>
      </c>
      <c r="BD74">
        <v>0</v>
      </c>
      <c r="BE74">
        <f t="shared" si="19"/>
        <v>1</v>
      </c>
    </row>
    <row r="75" spans="1:57" x14ac:dyDescent="0.25">
      <c r="A75" t="s">
        <v>39</v>
      </c>
      <c r="B75" t="s">
        <v>313</v>
      </c>
      <c r="C75">
        <v>80.7</v>
      </c>
      <c r="D75">
        <v>75.3</v>
      </c>
      <c r="G75">
        <f t="shared" si="10"/>
        <v>1</v>
      </c>
      <c r="H75">
        <f t="shared" si="11"/>
        <v>0</v>
      </c>
      <c r="I75">
        <f t="shared" si="12"/>
        <v>1</v>
      </c>
      <c r="J75">
        <v>77.900000000000006</v>
      </c>
      <c r="K75">
        <v>81.5</v>
      </c>
      <c r="L75">
        <v>75.3</v>
      </c>
      <c r="M75">
        <v>78</v>
      </c>
      <c r="N75">
        <v>59.9</v>
      </c>
      <c r="O75">
        <v>54</v>
      </c>
      <c r="S75">
        <f t="shared" si="13"/>
        <v>1</v>
      </c>
      <c r="T75">
        <f t="shared" si="14"/>
        <v>0</v>
      </c>
      <c r="U75">
        <f t="shared" si="15"/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19.5</v>
      </c>
      <c r="AG75">
        <f t="shared" si="16"/>
        <v>1</v>
      </c>
      <c r="AH75">
        <f t="shared" si="17"/>
        <v>1</v>
      </c>
      <c r="AI75">
        <f t="shared" si="18"/>
        <v>0</v>
      </c>
      <c r="AJ75">
        <v>328.7</v>
      </c>
      <c r="AK75">
        <v>1016.3</v>
      </c>
      <c r="AL75">
        <v>30</v>
      </c>
      <c r="AM75">
        <v>6.7</v>
      </c>
      <c r="AN75">
        <v>0</v>
      </c>
      <c r="AO75">
        <v>0</v>
      </c>
      <c r="AP75">
        <v>0</v>
      </c>
      <c r="AQ75">
        <v>0</v>
      </c>
      <c r="AR75" t="s">
        <v>314</v>
      </c>
      <c r="AS75" t="s">
        <v>315</v>
      </c>
      <c r="AT75">
        <v>0.08</v>
      </c>
      <c r="AU75" t="s">
        <v>43</v>
      </c>
      <c r="AV75" t="s">
        <v>44</v>
      </c>
      <c r="AW75" t="s">
        <v>45</v>
      </c>
      <c r="AX75" s="1">
        <v>0.75</v>
      </c>
      <c r="AY75" t="s">
        <v>316</v>
      </c>
      <c r="AZ75">
        <v>104.9999999965075</v>
      </c>
      <c r="BA75">
        <v>0</v>
      </c>
      <c r="BB75">
        <v>0</v>
      </c>
      <c r="BC75">
        <v>3</v>
      </c>
      <c r="BD75">
        <v>0</v>
      </c>
      <c r="BE75">
        <f t="shared" si="19"/>
        <v>1</v>
      </c>
    </row>
    <row r="76" spans="1:57" x14ac:dyDescent="0.25">
      <c r="A76" t="s">
        <v>39</v>
      </c>
      <c r="B76" t="s">
        <v>317</v>
      </c>
      <c r="C76">
        <v>77.099999999999994</v>
      </c>
      <c r="D76">
        <v>64.5</v>
      </c>
      <c r="G76">
        <f t="shared" si="10"/>
        <v>1</v>
      </c>
      <c r="H76">
        <f t="shared" si="11"/>
        <v>1</v>
      </c>
      <c r="I76">
        <f t="shared" si="12"/>
        <v>0</v>
      </c>
      <c r="J76">
        <v>69.099999999999994</v>
      </c>
      <c r="K76">
        <v>77.099999999999994</v>
      </c>
      <c r="L76">
        <v>64.5</v>
      </c>
      <c r="M76">
        <v>69.099999999999994</v>
      </c>
      <c r="N76">
        <v>52.8</v>
      </c>
      <c r="O76">
        <v>57.5</v>
      </c>
      <c r="S76">
        <f t="shared" si="13"/>
        <v>1</v>
      </c>
      <c r="T76">
        <f t="shared" si="14"/>
        <v>0</v>
      </c>
      <c r="U76">
        <f t="shared" si="15"/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17.2</v>
      </c>
      <c r="AG76">
        <f t="shared" si="16"/>
        <v>0</v>
      </c>
      <c r="AH76">
        <f t="shared" si="17"/>
        <v>0</v>
      </c>
      <c r="AI76">
        <f t="shared" si="18"/>
        <v>0</v>
      </c>
      <c r="AJ76">
        <v>190.8</v>
      </c>
      <c r="AK76">
        <v>1017.9</v>
      </c>
      <c r="AL76">
        <v>66.7</v>
      </c>
      <c r="AM76">
        <v>6.8</v>
      </c>
      <c r="AN76">
        <v>0</v>
      </c>
      <c r="AO76">
        <v>0</v>
      </c>
      <c r="AP76">
        <v>0</v>
      </c>
      <c r="AQ76">
        <v>0</v>
      </c>
      <c r="AR76" t="s">
        <v>318</v>
      </c>
      <c r="AS76" t="s">
        <v>319</v>
      </c>
      <c r="AT76">
        <v>0.8</v>
      </c>
      <c r="AU76" t="s">
        <v>43</v>
      </c>
      <c r="AV76" t="s">
        <v>44</v>
      </c>
      <c r="AW76" t="s">
        <v>45</v>
      </c>
      <c r="AX76" s="1">
        <v>0.74305555555555558</v>
      </c>
      <c r="AY76" t="s">
        <v>320</v>
      </c>
      <c r="AZ76">
        <v>415.00000000116421</v>
      </c>
      <c r="BA76">
        <v>1</v>
      </c>
      <c r="BB76">
        <v>0</v>
      </c>
      <c r="BC76">
        <v>2</v>
      </c>
      <c r="BD76">
        <v>0</v>
      </c>
      <c r="BE76">
        <f t="shared" si="19"/>
        <v>1</v>
      </c>
    </row>
    <row r="77" spans="1:57" x14ac:dyDescent="0.25">
      <c r="A77" t="s">
        <v>39</v>
      </c>
      <c r="B77" t="s">
        <v>321</v>
      </c>
      <c r="C77">
        <v>86.1</v>
      </c>
      <c r="D77">
        <v>68.099999999999994</v>
      </c>
      <c r="G77">
        <f t="shared" si="10"/>
        <v>1</v>
      </c>
      <c r="H77">
        <f t="shared" si="11"/>
        <v>1</v>
      </c>
      <c r="I77">
        <f t="shared" si="12"/>
        <v>0</v>
      </c>
      <c r="J77">
        <v>77</v>
      </c>
      <c r="K77">
        <v>87.6</v>
      </c>
      <c r="L77">
        <v>68.099999999999994</v>
      </c>
      <c r="M77">
        <v>77.3</v>
      </c>
      <c r="N77">
        <v>55.4</v>
      </c>
      <c r="O77">
        <v>48.7</v>
      </c>
      <c r="S77">
        <f t="shared" si="13"/>
        <v>1</v>
      </c>
      <c r="T77">
        <f t="shared" si="14"/>
        <v>0</v>
      </c>
      <c r="U77">
        <f t="shared" si="15"/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8.1</v>
      </c>
      <c r="AG77">
        <f t="shared" si="16"/>
        <v>1</v>
      </c>
      <c r="AH77">
        <f t="shared" si="17"/>
        <v>0</v>
      </c>
      <c r="AI77">
        <f t="shared" si="18"/>
        <v>1</v>
      </c>
      <c r="AJ77">
        <v>151.69999999999999</v>
      </c>
      <c r="AK77">
        <v>1012.1</v>
      </c>
      <c r="AL77">
        <v>0</v>
      </c>
      <c r="AM77">
        <v>6.2</v>
      </c>
      <c r="AN77">
        <v>0</v>
      </c>
      <c r="AO77">
        <v>0</v>
      </c>
      <c r="AP77">
        <v>0</v>
      </c>
      <c r="AQ77">
        <v>0</v>
      </c>
      <c r="AR77" t="s">
        <v>322</v>
      </c>
      <c r="AS77" t="s">
        <v>323</v>
      </c>
      <c r="AT77">
        <v>0.1</v>
      </c>
      <c r="AU77" t="s">
        <v>74</v>
      </c>
      <c r="AV77" t="s">
        <v>44</v>
      </c>
      <c r="AW77" t="s">
        <v>75</v>
      </c>
      <c r="AX77" s="1">
        <v>0.95486111111111116</v>
      </c>
      <c r="AY77" t="s">
        <v>324</v>
      </c>
      <c r="AZ77">
        <v>415.00000000116421</v>
      </c>
      <c r="BA77">
        <v>1</v>
      </c>
      <c r="BB77">
        <v>0</v>
      </c>
      <c r="BC77">
        <v>20</v>
      </c>
      <c r="BD77">
        <v>0</v>
      </c>
      <c r="BE77">
        <f t="shared" si="19"/>
        <v>1</v>
      </c>
    </row>
    <row r="78" spans="1:57" x14ac:dyDescent="0.25">
      <c r="A78" t="s">
        <v>39</v>
      </c>
      <c r="B78" t="s">
        <v>325</v>
      </c>
      <c r="C78">
        <v>82.5</v>
      </c>
      <c r="D78">
        <v>71.7</v>
      </c>
      <c r="G78">
        <f t="shared" si="10"/>
        <v>0</v>
      </c>
      <c r="H78">
        <f t="shared" si="11"/>
        <v>0</v>
      </c>
      <c r="I78">
        <f t="shared" si="12"/>
        <v>0</v>
      </c>
      <c r="J78">
        <v>78.7</v>
      </c>
      <c r="K78">
        <v>87.4</v>
      </c>
      <c r="L78">
        <v>71.7</v>
      </c>
      <c r="M78">
        <v>80</v>
      </c>
      <c r="N78">
        <v>63.6</v>
      </c>
      <c r="O78">
        <v>60.5</v>
      </c>
      <c r="S78">
        <f t="shared" si="13"/>
        <v>0</v>
      </c>
      <c r="T78">
        <f t="shared" si="14"/>
        <v>0</v>
      </c>
      <c r="U78">
        <f t="shared" si="15"/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15</v>
      </c>
      <c r="AG78">
        <f t="shared" si="16"/>
        <v>1</v>
      </c>
      <c r="AH78">
        <f t="shared" si="17"/>
        <v>0</v>
      </c>
      <c r="AI78">
        <f t="shared" si="18"/>
        <v>1</v>
      </c>
      <c r="AJ78">
        <v>336.7</v>
      </c>
      <c r="AK78">
        <v>1010.7</v>
      </c>
      <c r="AL78">
        <v>0</v>
      </c>
      <c r="AM78">
        <v>6.2</v>
      </c>
      <c r="AN78">
        <v>0</v>
      </c>
      <c r="AO78">
        <v>0</v>
      </c>
      <c r="AP78">
        <v>0</v>
      </c>
      <c r="AQ78">
        <v>0</v>
      </c>
      <c r="AR78" t="s">
        <v>326</v>
      </c>
      <c r="AS78" t="s">
        <v>327</v>
      </c>
      <c r="AT78">
        <v>0.8</v>
      </c>
      <c r="AU78" t="s">
        <v>74</v>
      </c>
      <c r="AV78" t="s">
        <v>44</v>
      </c>
      <c r="AW78" t="s">
        <v>75</v>
      </c>
      <c r="AX78" s="1">
        <v>0.82916666666666672</v>
      </c>
      <c r="AY78" t="s">
        <v>328</v>
      </c>
      <c r="AZ78">
        <v>235.9999999939464</v>
      </c>
      <c r="BA78">
        <v>0</v>
      </c>
      <c r="BB78">
        <v>0</v>
      </c>
      <c r="BC78">
        <v>4</v>
      </c>
      <c r="BD78">
        <v>0</v>
      </c>
      <c r="BE78">
        <f t="shared" si="19"/>
        <v>0</v>
      </c>
    </row>
    <row r="79" spans="1:57" x14ac:dyDescent="0.25">
      <c r="A79" t="s">
        <v>39</v>
      </c>
      <c r="B79" t="s">
        <v>329</v>
      </c>
      <c r="C79">
        <v>78.900000000000006</v>
      </c>
      <c r="D79">
        <v>64.5</v>
      </c>
      <c r="G79">
        <f t="shared" si="10"/>
        <v>0</v>
      </c>
      <c r="H79">
        <f t="shared" si="11"/>
        <v>0</v>
      </c>
      <c r="I79">
        <f t="shared" si="12"/>
        <v>0</v>
      </c>
      <c r="J79">
        <v>73.3</v>
      </c>
      <c r="K79">
        <v>78.900000000000006</v>
      </c>
      <c r="L79">
        <v>64.5</v>
      </c>
      <c r="M79">
        <v>73.3</v>
      </c>
      <c r="N79">
        <v>56</v>
      </c>
      <c r="O79">
        <v>55.8</v>
      </c>
      <c r="S79">
        <f t="shared" si="13"/>
        <v>1</v>
      </c>
      <c r="T79">
        <f t="shared" si="14"/>
        <v>0</v>
      </c>
      <c r="U79">
        <f t="shared" si="15"/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12.8</v>
      </c>
      <c r="AG79">
        <f t="shared" si="16"/>
        <v>1</v>
      </c>
      <c r="AH79">
        <f t="shared" si="17"/>
        <v>0</v>
      </c>
      <c r="AI79">
        <f t="shared" si="18"/>
        <v>1</v>
      </c>
      <c r="AJ79">
        <v>334.7</v>
      </c>
      <c r="AK79">
        <v>1010.9</v>
      </c>
      <c r="AL79">
        <v>0</v>
      </c>
      <c r="AM79">
        <v>6.2</v>
      </c>
      <c r="AN79">
        <v>0</v>
      </c>
      <c r="AO79">
        <v>0</v>
      </c>
      <c r="AP79">
        <v>0</v>
      </c>
      <c r="AQ79">
        <v>0</v>
      </c>
      <c r="AR79" t="s">
        <v>330</v>
      </c>
      <c r="AS79" t="s">
        <v>331</v>
      </c>
      <c r="AT79">
        <v>0.95</v>
      </c>
      <c r="AU79" t="s">
        <v>74</v>
      </c>
      <c r="AV79" t="s">
        <v>44</v>
      </c>
      <c r="AW79" t="s">
        <v>75</v>
      </c>
      <c r="AX79" s="1">
        <v>0.6069444444444444</v>
      </c>
      <c r="AY79" t="s">
        <v>332</v>
      </c>
      <c r="AZ79">
        <v>272.99999999930151</v>
      </c>
      <c r="BA79">
        <v>0</v>
      </c>
      <c r="BB79">
        <v>2</v>
      </c>
      <c r="BC79">
        <v>0</v>
      </c>
      <c r="BD79">
        <v>0</v>
      </c>
      <c r="BE79">
        <f t="shared" si="19"/>
        <v>0</v>
      </c>
    </row>
    <row r="80" spans="1:57" x14ac:dyDescent="0.25">
      <c r="A80" t="s">
        <v>39</v>
      </c>
      <c r="B80" t="s">
        <v>333</v>
      </c>
      <c r="C80">
        <v>66.3</v>
      </c>
      <c r="D80">
        <v>62.7</v>
      </c>
      <c r="G80">
        <f t="shared" si="10"/>
        <v>1</v>
      </c>
      <c r="H80">
        <f t="shared" si="11"/>
        <v>1</v>
      </c>
      <c r="I80">
        <f t="shared" si="12"/>
        <v>0</v>
      </c>
      <c r="J80">
        <v>63.6</v>
      </c>
      <c r="K80">
        <v>66.3</v>
      </c>
      <c r="L80">
        <v>62.7</v>
      </c>
      <c r="M80">
        <v>63.6</v>
      </c>
      <c r="N80">
        <v>49.5</v>
      </c>
      <c r="O80">
        <v>60.1</v>
      </c>
      <c r="S80">
        <f t="shared" si="13"/>
        <v>1</v>
      </c>
      <c r="T80">
        <f t="shared" si="14"/>
        <v>0</v>
      </c>
      <c r="U80">
        <f t="shared" si="15"/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23</v>
      </c>
      <c r="AG80">
        <f t="shared" si="16"/>
        <v>1</v>
      </c>
      <c r="AH80">
        <f t="shared" si="17"/>
        <v>1</v>
      </c>
      <c r="AI80">
        <f t="shared" si="18"/>
        <v>0</v>
      </c>
      <c r="AJ80">
        <v>173</v>
      </c>
      <c r="AK80">
        <v>1011.5</v>
      </c>
      <c r="AL80">
        <v>85</v>
      </c>
      <c r="AM80">
        <v>6.8</v>
      </c>
      <c r="AN80">
        <v>0</v>
      </c>
      <c r="AO80">
        <v>0</v>
      </c>
      <c r="AP80">
        <v>0</v>
      </c>
      <c r="AQ80">
        <v>0</v>
      </c>
      <c r="AR80" t="s">
        <v>334</v>
      </c>
      <c r="AS80" t="s">
        <v>335</v>
      </c>
      <c r="AT80">
        <v>0.09</v>
      </c>
      <c r="AU80" t="s">
        <v>43</v>
      </c>
      <c r="AV80" t="s">
        <v>44</v>
      </c>
      <c r="AW80" t="s">
        <v>45</v>
      </c>
      <c r="AX80" s="1">
        <v>0.57222222222222219</v>
      </c>
      <c r="AY80" t="s">
        <v>336</v>
      </c>
      <c r="AZ80">
        <v>210.99999999627471</v>
      </c>
      <c r="BA80">
        <v>0</v>
      </c>
      <c r="BB80">
        <v>3</v>
      </c>
      <c r="BC80">
        <v>0</v>
      </c>
      <c r="BD80">
        <v>0</v>
      </c>
      <c r="BE80">
        <f t="shared" si="19"/>
        <v>1</v>
      </c>
    </row>
    <row r="81" spans="1:57" x14ac:dyDescent="0.25">
      <c r="A81" t="s">
        <v>39</v>
      </c>
      <c r="B81" t="s">
        <v>59</v>
      </c>
      <c r="C81">
        <v>80.7</v>
      </c>
      <c r="D81">
        <v>75.3</v>
      </c>
      <c r="G81">
        <f t="shared" si="10"/>
        <v>1</v>
      </c>
      <c r="H81">
        <f t="shared" si="11"/>
        <v>0</v>
      </c>
      <c r="I81">
        <f t="shared" si="12"/>
        <v>1</v>
      </c>
      <c r="J81">
        <v>78.2</v>
      </c>
      <c r="K81">
        <v>82.9</v>
      </c>
      <c r="L81">
        <v>75.3</v>
      </c>
      <c r="M81">
        <v>78.7</v>
      </c>
      <c r="N81">
        <v>66.099999999999994</v>
      </c>
      <c r="O81">
        <v>66.5</v>
      </c>
      <c r="S81">
        <f t="shared" si="13"/>
        <v>1</v>
      </c>
      <c r="T81">
        <f t="shared" si="14"/>
        <v>1</v>
      </c>
      <c r="U81">
        <f t="shared" si="15"/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23</v>
      </c>
      <c r="AG81">
        <f t="shared" si="16"/>
        <v>1</v>
      </c>
      <c r="AH81">
        <f t="shared" si="17"/>
        <v>1</v>
      </c>
      <c r="AI81">
        <f t="shared" si="18"/>
        <v>0</v>
      </c>
      <c r="AJ81">
        <v>313.89999999999998</v>
      </c>
      <c r="AK81">
        <v>1008.7</v>
      </c>
      <c r="AL81">
        <v>32.9</v>
      </c>
      <c r="AM81">
        <v>6.6</v>
      </c>
      <c r="AN81">
        <v>0</v>
      </c>
      <c r="AO81">
        <v>0</v>
      </c>
      <c r="AP81">
        <v>0</v>
      </c>
      <c r="AQ81">
        <v>0</v>
      </c>
      <c r="AR81" t="s">
        <v>60</v>
      </c>
      <c r="AS81" t="s">
        <v>61</v>
      </c>
      <c r="AT81">
        <v>0.37</v>
      </c>
      <c r="AU81" t="s">
        <v>43</v>
      </c>
      <c r="AV81" t="s">
        <v>44</v>
      </c>
      <c r="AW81" t="s">
        <v>45</v>
      </c>
      <c r="AX81" s="1">
        <v>0.48958333333333331</v>
      </c>
      <c r="AY81" t="s">
        <v>337</v>
      </c>
      <c r="AZ81">
        <v>405</v>
      </c>
      <c r="BA81">
        <v>1</v>
      </c>
      <c r="BB81">
        <v>10</v>
      </c>
      <c r="BC81">
        <v>0</v>
      </c>
      <c r="BD81">
        <v>0</v>
      </c>
      <c r="BE81">
        <f t="shared" si="19"/>
        <v>1</v>
      </c>
    </row>
    <row r="82" spans="1:57" x14ac:dyDescent="0.25">
      <c r="A82" t="s">
        <v>39</v>
      </c>
      <c r="B82" t="s">
        <v>338</v>
      </c>
      <c r="C82">
        <v>77.099999999999994</v>
      </c>
      <c r="D82">
        <v>66.3</v>
      </c>
      <c r="G82">
        <f t="shared" si="10"/>
        <v>1</v>
      </c>
      <c r="H82">
        <f t="shared" si="11"/>
        <v>1</v>
      </c>
      <c r="I82">
        <f t="shared" si="12"/>
        <v>0</v>
      </c>
      <c r="J82">
        <v>70.900000000000006</v>
      </c>
      <c r="K82">
        <v>77.099999999999994</v>
      </c>
      <c r="L82">
        <v>66.3</v>
      </c>
      <c r="M82">
        <v>70.900000000000006</v>
      </c>
      <c r="N82">
        <v>59.5</v>
      </c>
      <c r="O82">
        <v>67.599999999999994</v>
      </c>
      <c r="S82">
        <f t="shared" si="13"/>
        <v>1</v>
      </c>
      <c r="T82">
        <f t="shared" si="14"/>
        <v>1</v>
      </c>
      <c r="U82">
        <f t="shared" si="15"/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15</v>
      </c>
      <c r="AG82">
        <f t="shared" si="16"/>
        <v>1</v>
      </c>
      <c r="AH82">
        <f t="shared" si="17"/>
        <v>0</v>
      </c>
      <c r="AI82">
        <f t="shared" si="18"/>
        <v>1</v>
      </c>
      <c r="AJ82">
        <v>1.7</v>
      </c>
      <c r="AK82">
        <v>1011.9</v>
      </c>
      <c r="AL82">
        <v>65.599999999999994</v>
      </c>
      <c r="AM82">
        <v>6.6</v>
      </c>
      <c r="AN82">
        <v>0</v>
      </c>
      <c r="AO82">
        <v>0</v>
      </c>
      <c r="AP82">
        <v>0</v>
      </c>
      <c r="AQ82">
        <v>0</v>
      </c>
      <c r="AR82" t="s">
        <v>339</v>
      </c>
      <c r="AS82" t="s">
        <v>340</v>
      </c>
      <c r="AT82">
        <v>0.7</v>
      </c>
      <c r="AU82" t="s">
        <v>43</v>
      </c>
      <c r="AV82" t="s">
        <v>44</v>
      </c>
      <c r="AW82" t="s">
        <v>45</v>
      </c>
      <c r="AX82" s="1">
        <v>0.92013888888888884</v>
      </c>
      <c r="AY82" t="s">
        <v>341</v>
      </c>
      <c r="AZ82">
        <v>124.9999999988358</v>
      </c>
      <c r="BA82">
        <v>0</v>
      </c>
      <c r="BB82">
        <v>0</v>
      </c>
      <c r="BC82">
        <v>5</v>
      </c>
      <c r="BD82">
        <v>0</v>
      </c>
      <c r="BE82">
        <f t="shared" si="19"/>
        <v>1</v>
      </c>
    </row>
    <row r="83" spans="1:57" x14ac:dyDescent="0.25">
      <c r="A83" t="s">
        <v>39</v>
      </c>
      <c r="B83" t="s">
        <v>342</v>
      </c>
      <c r="C83">
        <v>82.5</v>
      </c>
      <c r="D83">
        <v>71.7</v>
      </c>
      <c r="G83">
        <f t="shared" si="10"/>
        <v>0</v>
      </c>
      <c r="H83">
        <f t="shared" si="11"/>
        <v>0</v>
      </c>
      <c r="I83">
        <f t="shared" si="12"/>
        <v>0</v>
      </c>
      <c r="J83">
        <v>77.3</v>
      </c>
      <c r="K83">
        <v>85.5</v>
      </c>
      <c r="L83">
        <v>71.7</v>
      </c>
      <c r="M83">
        <v>78.400000000000006</v>
      </c>
      <c r="N83">
        <v>67.2</v>
      </c>
      <c r="O83">
        <v>71.3</v>
      </c>
      <c r="S83">
        <f t="shared" si="13"/>
        <v>1</v>
      </c>
      <c r="T83">
        <f t="shared" si="14"/>
        <v>1</v>
      </c>
      <c r="U83">
        <f t="shared" si="15"/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21.9</v>
      </c>
      <c r="AG83">
        <f t="shared" si="16"/>
        <v>1</v>
      </c>
      <c r="AH83">
        <f t="shared" si="17"/>
        <v>1</v>
      </c>
      <c r="AI83">
        <f t="shared" si="18"/>
        <v>0</v>
      </c>
      <c r="AJ83">
        <v>314</v>
      </c>
      <c r="AK83">
        <v>1009.3</v>
      </c>
      <c r="AL83">
        <v>30</v>
      </c>
      <c r="AM83">
        <v>6.3</v>
      </c>
      <c r="AN83">
        <v>0</v>
      </c>
      <c r="AO83">
        <v>0</v>
      </c>
      <c r="AP83">
        <v>0</v>
      </c>
      <c r="AQ83">
        <v>0</v>
      </c>
      <c r="AR83" t="s">
        <v>343</v>
      </c>
      <c r="AS83" t="s">
        <v>344</v>
      </c>
      <c r="AT83">
        <v>0.57999999999999996</v>
      </c>
      <c r="AU83" t="s">
        <v>43</v>
      </c>
      <c r="AV83" t="s">
        <v>44</v>
      </c>
      <c r="AW83" t="s">
        <v>45</v>
      </c>
      <c r="AX83" s="1">
        <v>0.875</v>
      </c>
      <c r="AY83" t="s">
        <v>345</v>
      </c>
      <c r="AZ83">
        <v>270</v>
      </c>
      <c r="BA83">
        <v>0</v>
      </c>
      <c r="BB83">
        <v>0</v>
      </c>
      <c r="BC83">
        <v>25</v>
      </c>
      <c r="BD83">
        <v>0</v>
      </c>
      <c r="BE83">
        <f t="shared" si="19"/>
        <v>0</v>
      </c>
    </row>
    <row r="84" spans="1:57" x14ac:dyDescent="0.25">
      <c r="A84" t="s">
        <v>39</v>
      </c>
      <c r="B84" t="s">
        <v>346</v>
      </c>
      <c r="C84">
        <v>82.5</v>
      </c>
      <c r="D84">
        <v>68.099999999999994</v>
      </c>
      <c r="G84">
        <f t="shared" si="10"/>
        <v>0</v>
      </c>
      <c r="H84">
        <f t="shared" si="11"/>
        <v>0</v>
      </c>
      <c r="I84">
        <f t="shared" si="12"/>
        <v>0</v>
      </c>
      <c r="J84">
        <v>76.599999999999994</v>
      </c>
      <c r="K84">
        <v>85.5</v>
      </c>
      <c r="L84">
        <v>68.099999999999994</v>
      </c>
      <c r="M84">
        <v>77.599999999999994</v>
      </c>
      <c r="N84">
        <v>64.7</v>
      </c>
      <c r="O84">
        <v>67.599999999999994</v>
      </c>
      <c r="S84">
        <f t="shared" si="13"/>
        <v>1</v>
      </c>
      <c r="T84">
        <f t="shared" si="14"/>
        <v>1</v>
      </c>
      <c r="U84">
        <f t="shared" si="15"/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16.100000000000001</v>
      </c>
      <c r="AG84">
        <f t="shared" si="16"/>
        <v>0</v>
      </c>
      <c r="AH84">
        <f t="shared" si="17"/>
        <v>0</v>
      </c>
      <c r="AI84">
        <f t="shared" si="18"/>
        <v>0</v>
      </c>
      <c r="AJ84">
        <v>318.5</v>
      </c>
      <c r="AK84">
        <v>1010.5</v>
      </c>
      <c r="AL84">
        <v>0</v>
      </c>
      <c r="AM84">
        <v>6.2</v>
      </c>
      <c r="AN84">
        <v>0</v>
      </c>
      <c r="AO84">
        <v>0</v>
      </c>
      <c r="AP84">
        <v>0</v>
      </c>
      <c r="AQ84">
        <v>0</v>
      </c>
      <c r="AR84" t="s">
        <v>347</v>
      </c>
      <c r="AS84" t="s">
        <v>348</v>
      </c>
      <c r="AT84">
        <v>0.25</v>
      </c>
      <c r="AU84" t="s">
        <v>74</v>
      </c>
      <c r="AV84" t="s">
        <v>44</v>
      </c>
      <c r="AW84" t="s">
        <v>75</v>
      </c>
      <c r="AX84" s="1">
        <v>0.64513888888888893</v>
      </c>
      <c r="AY84" t="s">
        <v>349</v>
      </c>
      <c r="AZ84">
        <v>670.99999999743886</v>
      </c>
      <c r="BA84">
        <v>1</v>
      </c>
      <c r="BB84">
        <v>0</v>
      </c>
      <c r="BC84">
        <v>20</v>
      </c>
      <c r="BD84">
        <v>0</v>
      </c>
      <c r="BE84">
        <f t="shared" si="19"/>
        <v>0</v>
      </c>
    </row>
    <row r="85" spans="1:57" x14ac:dyDescent="0.25">
      <c r="A85" t="s">
        <v>39</v>
      </c>
      <c r="B85" t="s">
        <v>350</v>
      </c>
      <c r="C85">
        <v>71.7</v>
      </c>
      <c r="D85">
        <v>66.3</v>
      </c>
      <c r="G85">
        <f t="shared" si="10"/>
        <v>1</v>
      </c>
      <c r="H85">
        <f t="shared" si="11"/>
        <v>0</v>
      </c>
      <c r="I85">
        <f t="shared" si="12"/>
        <v>1</v>
      </c>
      <c r="J85">
        <v>69.2</v>
      </c>
      <c r="K85">
        <v>71.7</v>
      </c>
      <c r="L85">
        <v>66.3</v>
      </c>
      <c r="M85">
        <v>69.2</v>
      </c>
      <c r="N85">
        <v>54.2</v>
      </c>
      <c r="O85">
        <v>59</v>
      </c>
      <c r="S85">
        <f t="shared" si="13"/>
        <v>0</v>
      </c>
      <c r="T85">
        <f t="shared" si="14"/>
        <v>0</v>
      </c>
      <c r="U85">
        <f t="shared" si="15"/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23</v>
      </c>
      <c r="AG85">
        <f t="shared" si="16"/>
        <v>1</v>
      </c>
      <c r="AH85">
        <f t="shared" si="17"/>
        <v>1</v>
      </c>
      <c r="AI85">
        <f t="shared" si="18"/>
        <v>0</v>
      </c>
      <c r="AJ85">
        <v>329.9</v>
      </c>
      <c r="AK85">
        <v>1015.2</v>
      </c>
      <c r="AL85">
        <v>40.799999999999997</v>
      </c>
      <c r="AM85">
        <v>6.8</v>
      </c>
      <c r="AN85">
        <v>0</v>
      </c>
      <c r="AO85">
        <v>0</v>
      </c>
      <c r="AP85">
        <v>0</v>
      </c>
      <c r="AQ85">
        <v>0</v>
      </c>
      <c r="AR85" t="s">
        <v>351</v>
      </c>
      <c r="AS85" t="s">
        <v>352</v>
      </c>
      <c r="AT85">
        <v>0.03</v>
      </c>
      <c r="AU85" t="s">
        <v>43</v>
      </c>
      <c r="AV85" t="s">
        <v>44</v>
      </c>
      <c r="AW85" t="s">
        <v>45</v>
      </c>
      <c r="AX85" s="1">
        <v>0.64513888888888893</v>
      </c>
      <c r="AY85" t="s">
        <v>353</v>
      </c>
      <c r="AZ85">
        <v>50.999999998603023</v>
      </c>
      <c r="BA85">
        <v>0</v>
      </c>
      <c r="BB85">
        <v>3</v>
      </c>
      <c r="BC85">
        <v>0</v>
      </c>
      <c r="BD85">
        <v>0</v>
      </c>
      <c r="BE85">
        <f t="shared" si="19"/>
        <v>0</v>
      </c>
    </row>
    <row r="86" spans="1:57" x14ac:dyDescent="0.25">
      <c r="A86" t="s">
        <v>39</v>
      </c>
      <c r="B86" t="s">
        <v>118</v>
      </c>
      <c r="C86">
        <v>77.099999999999994</v>
      </c>
      <c r="D86">
        <v>57.3</v>
      </c>
      <c r="G86">
        <f t="shared" si="10"/>
        <v>1</v>
      </c>
      <c r="H86">
        <f t="shared" si="11"/>
        <v>1</v>
      </c>
      <c r="I86">
        <f t="shared" si="12"/>
        <v>0</v>
      </c>
      <c r="J86">
        <v>66.599999999999994</v>
      </c>
      <c r="K86">
        <v>77.099999999999994</v>
      </c>
      <c r="L86">
        <v>57.3</v>
      </c>
      <c r="M86">
        <v>66.599999999999994</v>
      </c>
      <c r="N86">
        <v>39.6</v>
      </c>
      <c r="O86">
        <v>37.4</v>
      </c>
      <c r="S86">
        <f t="shared" si="13"/>
        <v>1</v>
      </c>
      <c r="T86">
        <f t="shared" si="14"/>
        <v>0</v>
      </c>
      <c r="U86">
        <f t="shared" si="15"/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9.1999999999999993</v>
      </c>
      <c r="AG86">
        <f t="shared" si="16"/>
        <v>1</v>
      </c>
      <c r="AH86">
        <f t="shared" si="17"/>
        <v>0</v>
      </c>
      <c r="AI86">
        <f t="shared" si="18"/>
        <v>1</v>
      </c>
      <c r="AJ86">
        <v>171.7</v>
      </c>
      <c r="AK86">
        <v>1021.8</v>
      </c>
      <c r="AL86">
        <v>0</v>
      </c>
      <c r="AM86">
        <v>6.2</v>
      </c>
      <c r="AN86">
        <v>0</v>
      </c>
      <c r="AO86">
        <v>0</v>
      </c>
      <c r="AP86">
        <v>0</v>
      </c>
      <c r="AQ86">
        <v>0</v>
      </c>
      <c r="AR86" t="s">
        <v>119</v>
      </c>
      <c r="AS86" t="s">
        <v>120</v>
      </c>
      <c r="AT86">
        <v>0.45</v>
      </c>
      <c r="AU86" t="s">
        <v>74</v>
      </c>
      <c r="AV86" t="s">
        <v>44</v>
      </c>
      <c r="AW86" t="s">
        <v>75</v>
      </c>
      <c r="AX86" s="1">
        <v>0.48541666666666672</v>
      </c>
      <c r="AY86" t="s">
        <v>354</v>
      </c>
      <c r="AZ86">
        <v>80.999999991618097</v>
      </c>
      <c r="BA86">
        <v>0</v>
      </c>
      <c r="BB86">
        <v>0</v>
      </c>
      <c r="BC86">
        <v>2</v>
      </c>
      <c r="BD86">
        <v>0</v>
      </c>
      <c r="BE86">
        <f t="shared" si="19"/>
        <v>1</v>
      </c>
    </row>
    <row r="87" spans="1:57" x14ac:dyDescent="0.25">
      <c r="A87" t="s">
        <v>39</v>
      </c>
      <c r="B87" t="s">
        <v>118</v>
      </c>
      <c r="C87">
        <v>77.099999999999994</v>
      </c>
      <c r="D87">
        <v>57.3</v>
      </c>
      <c r="G87">
        <f t="shared" si="10"/>
        <v>1</v>
      </c>
      <c r="H87">
        <f t="shared" si="11"/>
        <v>1</v>
      </c>
      <c r="I87">
        <f t="shared" si="12"/>
        <v>0</v>
      </c>
      <c r="J87">
        <v>66.599999999999994</v>
      </c>
      <c r="K87">
        <v>77.099999999999994</v>
      </c>
      <c r="L87">
        <v>57.3</v>
      </c>
      <c r="M87">
        <v>66.599999999999994</v>
      </c>
      <c r="N87">
        <v>39.6</v>
      </c>
      <c r="O87">
        <v>37.4</v>
      </c>
      <c r="S87">
        <f t="shared" si="13"/>
        <v>1</v>
      </c>
      <c r="T87">
        <f t="shared" si="14"/>
        <v>0</v>
      </c>
      <c r="U87">
        <f t="shared" si="15"/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9.1999999999999993</v>
      </c>
      <c r="AG87">
        <f t="shared" si="16"/>
        <v>1</v>
      </c>
      <c r="AH87">
        <f t="shared" si="17"/>
        <v>0</v>
      </c>
      <c r="AI87">
        <f t="shared" si="18"/>
        <v>1</v>
      </c>
      <c r="AJ87">
        <v>171.7</v>
      </c>
      <c r="AK87">
        <v>1021.8</v>
      </c>
      <c r="AL87">
        <v>0</v>
      </c>
      <c r="AM87">
        <v>6.2</v>
      </c>
      <c r="AN87">
        <v>0</v>
      </c>
      <c r="AO87">
        <v>0</v>
      </c>
      <c r="AP87">
        <v>0</v>
      </c>
      <c r="AQ87">
        <v>0</v>
      </c>
      <c r="AR87" t="s">
        <v>119</v>
      </c>
      <c r="AS87" t="s">
        <v>120</v>
      </c>
      <c r="AT87">
        <v>0.45</v>
      </c>
      <c r="AU87" t="s">
        <v>74</v>
      </c>
      <c r="AV87" t="s">
        <v>44</v>
      </c>
      <c r="AW87" t="s">
        <v>75</v>
      </c>
      <c r="AX87" s="1">
        <v>0.68680555555555556</v>
      </c>
      <c r="AY87" t="s">
        <v>355</v>
      </c>
      <c r="AZ87">
        <v>221.00000000791621</v>
      </c>
      <c r="BA87">
        <v>0</v>
      </c>
      <c r="BB87">
        <v>0</v>
      </c>
      <c r="BC87">
        <v>3</v>
      </c>
      <c r="BD87">
        <v>0</v>
      </c>
      <c r="BE87">
        <f t="shared" si="19"/>
        <v>1</v>
      </c>
    </row>
    <row r="88" spans="1:57" x14ac:dyDescent="0.25">
      <c r="A88" t="s">
        <v>39</v>
      </c>
      <c r="B88" t="s">
        <v>317</v>
      </c>
      <c r="C88">
        <v>77.099999999999994</v>
      </c>
      <c r="D88">
        <v>64.5</v>
      </c>
      <c r="G88">
        <f t="shared" si="10"/>
        <v>1</v>
      </c>
      <c r="H88">
        <f t="shared" si="11"/>
        <v>1</v>
      </c>
      <c r="I88">
        <f t="shared" si="12"/>
        <v>0</v>
      </c>
      <c r="J88">
        <v>69.099999999999994</v>
      </c>
      <c r="K88">
        <v>77.099999999999994</v>
      </c>
      <c r="L88">
        <v>64.5</v>
      </c>
      <c r="M88">
        <v>69.099999999999994</v>
      </c>
      <c r="N88">
        <v>52.8</v>
      </c>
      <c r="O88">
        <v>57.5</v>
      </c>
      <c r="S88">
        <f t="shared" si="13"/>
        <v>1</v>
      </c>
      <c r="T88">
        <f t="shared" si="14"/>
        <v>0</v>
      </c>
      <c r="U88">
        <f t="shared" si="15"/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17.2</v>
      </c>
      <c r="AG88">
        <f t="shared" si="16"/>
        <v>0</v>
      </c>
      <c r="AH88">
        <f t="shared" si="17"/>
        <v>0</v>
      </c>
      <c r="AI88">
        <f t="shared" si="18"/>
        <v>0</v>
      </c>
      <c r="AJ88">
        <v>190.8</v>
      </c>
      <c r="AK88">
        <v>1017.9</v>
      </c>
      <c r="AL88">
        <v>66.7</v>
      </c>
      <c r="AM88">
        <v>6.8</v>
      </c>
      <c r="AN88">
        <v>0</v>
      </c>
      <c r="AO88">
        <v>0</v>
      </c>
      <c r="AP88">
        <v>0</v>
      </c>
      <c r="AQ88">
        <v>0</v>
      </c>
      <c r="AR88" t="s">
        <v>318</v>
      </c>
      <c r="AS88" t="s">
        <v>319</v>
      </c>
      <c r="AT88">
        <v>0.8</v>
      </c>
      <c r="AU88" t="s">
        <v>43</v>
      </c>
      <c r="AV88" t="s">
        <v>44</v>
      </c>
      <c r="AW88" t="s">
        <v>45</v>
      </c>
      <c r="AX88" s="1">
        <v>0.64166666666666672</v>
      </c>
      <c r="AY88" t="s">
        <v>356</v>
      </c>
      <c r="AZ88">
        <v>85.999999997438863</v>
      </c>
      <c r="BA88">
        <v>0</v>
      </c>
      <c r="BB88">
        <v>2</v>
      </c>
      <c r="BC88">
        <v>0</v>
      </c>
      <c r="BD88">
        <v>0</v>
      </c>
      <c r="BE88">
        <f t="shared" si="19"/>
        <v>0</v>
      </c>
    </row>
    <row r="89" spans="1:57" x14ac:dyDescent="0.25">
      <c r="A89" t="s">
        <v>39</v>
      </c>
      <c r="B89" t="s">
        <v>317</v>
      </c>
      <c r="C89">
        <v>77.099999999999994</v>
      </c>
      <c r="D89">
        <v>64.5</v>
      </c>
      <c r="G89">
        <f t="shared" si="10"/>
        <v>1</v>
      </c>
      <c r="H89">
        <f t="shared" si="11"/>
        <v>1</v>
      </c>
      <c r="I89">
        <f t="shared" si="12"/>
        <v>0</v>
      </c>
      <c r="J89">
        <v>69.099999999999994</v>
      </c>
      <c r="K89">
        <v>77.099999999999994</v>
      </c>
      <c r="L89">
        <v>64.5</v>
      </c>
      <c r="M89">
        <v>69.099999999999994</v>
      </c>
      <c r="N89">
        <v>52.8</v>
      </c>
      <c r="O89">
        <v>57.5</v>
      </c>
      <c r="S89">
        <f t="shared" si="13"/>
        <v>1</v>
      </c>
      <c r="T89">
        <f t="shared" si="14"/>
        <v>0</v>
      </c>
      <c r="U89">
        <f t="shared" si="15"/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17.2</v>
      </c>
      <c r="AG89">
        <f t="shared" si="16"/>
        <v>0</v>
      </c>
      <c r="AH89">
        <f t="shared" si="17"/>
        <v>0</v>
      </c>
      <c r="AI89">
        <f t="shared" si="18"/>
        <v>0</v>
      </c>
      <c r="AJ89">
        <v>190.8</v>
      </c>
      <c r="AK89">
        <v>1017.9</v>
      </c>
      <c r="AL89">
        <v>66.7</v>
      </c>
      <c r="AM89">
        <v>6.8</v>
      </c>
      <c r="AN89">
        <v>0</v>
      </c>
      <c r="AO89">
        <v>0</v>
      </c>
      <c r="AP89">
        <v>0</v>
      </c>
      <c r="AQ89">
        <v>0</v>
      </c>
      <c r="AR89" t="s">
        <v>318</v>
      </c>
      <c r="AS89" t="s">
        <v>319</v>
      </c>
      <c r="AT89">
        <v>0.8</v>
      </c>
      <c r="AU89" t="s">
        <v>43</v>
      </c>
      <c r="AV89" t="s">
        <v>44</v>
      </c>
      <c r="AW89" t="s">
        <v>45</v>
      </c>
      <c r="AX89" s="1">
        <v>0.80833333333333335</v>
      </c>
      <c r="AY89" t="s">
        <v>357</v>
      </c>
      <c r="AZ89">
        <v>55.999999993946403</v>
      </c>
      <c r="BA89">
        <v>0</v>
      </c>
      <c r="BB89">
        <v>0.5</v>
      </c>
      <c r="BC89">
        <v>0</v>
      </c>
      <c r="BD89">
        <v>0</v>
      </c>
      <c r="BE89">
        <f t="shared" si="19"/>
        <v>0</v>
      </c>
    </row>
    <row r="90" spans="1:57" x14ac:dyDescent="0.25">
      <c r="A90" t="s">
        <v>39</v>
      </c>
      <c r="B90" t="s">
        <v>358</v>
      </c>
      <c r="C90">
        <v>75.3</v>
      </c>
      <c r="D90">
        <v>60.9</v>
      </c>
      <c r="G90">
        <f t="shared" si="10"/>
        <v>0</v>
      </c>
      <c r="H90">
        <f t="shared" si="11"/>
        <v>0</v>
      </c>
      <c r="I90">
        <f t="shared" si="12"/>
        <v>0</v>
      </c>
      <c r="J90">
        <v>68.599999999999994</v>
      </c>
      <c r="K90">
        <v>75.3</v>
      </c>
      <c r="L90">
        <v>60.9</v>
      </c>
      <c r="M90">
        <v>68.599999999999994</v>
      </c>
      <c r="N90">
        <v>55</v>
      </c>
      <c r="O90">
        <v>63</v>
      </c>
      <c r="S90">
        <f t="shared" si="13"/>
        <v>1</v>
      </c>
      <c r="T90">
        <f t="shared" si="14"/>
        <v>0</v>
      </c>
      <c r="U90">
        <f t="shared" si="15"/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9.1999999999999993</v>
      </c>
      <c r="AG90">
        <f t="shared" si="16"/>
        <v>1</v>
      </c>
      <c r="AH90">
        <f t="shared" si="17"/>
        <v>0</v>
      </c>
      <c r="AI90">
        <f t="shared" si="18"/>
        <v>1</v>
      </c>
      <c r="AJ90">
        <v>216.6</v>
      </c>
      <c r="AK90">
        <v>1016.8</v>
      </c>
      <c r="AL90">
        <v>0</v>
      </c>
      <c r="AM90">
        <v>6.2</v>
      </c>
      <c r="AN90">
        <v>0</v>
      </c>
      <c r="AO90">
        <v>0</v>
      </c>
      <c r="AP90">
        <v>0</v>
      </c>
      <c r="AQ90">
        <v>0</v>
      </c>
      <c r="AR90" t="s">
        <v>359</v>
      </c>
      <c r="AS90" t="s">
        <v>360</v>
      </c>
      <c r="AT90">
        <v>0.15</v>
      </c>
      <c r="AU90" t="s">
        <v>74</v>
      </c>
      <c r="AV90" t="s">
        <v>44</v>
      </c>
      <c r="AW90" t="s">
        <v>75</v>
      </c>
      <c r="AX90" s="1">
        <v>0.8569444444444444</v>
      </c>
      <c r="AY90" t="s">
        <v>361</v>
      </c>
      <c r="AZ90">
        <v>1656.000000002095</v>
      </c>
      <c r="BA90">
        <v>1</v>
      </c>
      <c r="BB90">
        <v>0</v>
      </c>
      <c r="BC90">
        <v>5</v>
      </c>
      <c r="BD90">
        <v>0</v>
      </c>
      <c r="BE90">
        <f t="shared" si="19"/>
        <v>0</v>
      </c>
    </row>
    <row r="91" spans="1:57" x14ac:dyDescent="0.25">
      <c r="A91" t="s">
        <v>39</v>
      </c>
      <c r="B91" t="s">
        <v>199</v>
      </c>
      <c r="C91">
        <v>77.099999999999994</v>
      </c>
      <c r="D91">
        <v>59.1</v>
      </c>
      <c r="G91">
        <f t="shared" si="10"/>
        <v>1</v>
      </c>
      <c r="H91">
        <f t="shared" si="11"/>
        <v>1</v>
      </c>
      <c r="I91">
        <f t="shared" si="12"/>
        <v>0</v>
      </c>
      <c r="J91">
        <v>66.900000000000006</v>
      </c>
      <c r="K91">
        <v>77.099999999999994</v>
      </c>
      <c r="L91">
        <v>59.1</v>
      </c>
      <c r="M91">
        <v>66.900000000000006</v>
      </c>
      <c r="N91">
        <v>49</v>
      </c>
      <c r="O91">
        <v>54.7</v>
      </c>
      <c r="S91">
        <f t="shared" si="13"/>
        <v>1</v>
      </c>
      <c r="T91">
        <f t="shared" si="14"/>
        <v>0</v>
      </c>
      <c r="U91">
        <f t="shared" si="15"/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13.9</v>
      </c>
      <c r="AG91">
        <f t="shared" si="16"/>
        <v>1</v>
      </c>
      <c r="AH91">
        <f t="shared" si="17"/>
        <v>0</v>
      </c>
      <c r="AI91">
        <f t="shared" si="18"/>
        <v>1</v>
      </c>
      <c r="AJ91">
        <v>155.1</v>
      </c>
      <c r="AK91">
        <v>1014</v>
      </c>
      <c r="AL91">
        <v>30</v>
      </c>
      <c r="AM91">
        <v>6.4</v>
      </c>
      <c r="AN91">
        <v>0</v>
      </c>
      <c r="AO91">
        <v>0</v>
      </c>
      <c r="AP91">
        <v>0</v>
      </c>
      <c r="AQ91">
        <v>0</v>
      </c>
      <c r="AR91" t="s">
        <v>200</v>
      </c>
      <c r="AS91" t="s">
        <v>201</v>
      </c>
      <c r="AT91">
        <v>0.36</v>
      </c>
      <c r="AU91" t="s">
        <v>43</v>
      </c>
      <c r="AV91" t="s">
        <v>44</v>
      </c>
      <c r="AW91" t="s">
        <v>45</v>
      </c>
      <c r="AX91" s="1">
        <v>0.87430555555555556</v>
      </c>
      <c r="AY91" t="s">
        <v>362</v>
      </c>
      <c r="AZ91">
        <v>41.000000007916242</v>
      </c>
      <c r="BA91">
        <v>0</v>
      </c>
      <c r="BB91">
        <v>0.2</v>
      </c>
      <c r="BC91">
        <v>0</v>
      </c>
      <c r="BD91">
        <v>0</v>
      </c>
      <c r="BE91">
        <f t="shared" si="19"/>
        <v>1</v>
      </c>
    </row>
    <row r="92" spans="1:57" x14ac:dyDescent="0.25">
      <c r="A92" t="s">
        <v>39</v>
      </c>
      <c r="B92" t="s">
        <v>170</v>
      </c>
      <c r="C92">
        <v>84.3</v>
      </c>
      <c r="D92">
        <v>66.3</v>
      </c>
      <c r="G92">
        <f t="shared" si="10"/>
        <v>1</v>
      </c>
      <c r="H92">
        <f t="shared" si="11"/>
        <v>1</v>
      </c>
      <c r="I92">
        <f t="shared" si="12"/>
        <v>0</v>
      </c>
      <c r="J92">
        <v>74.8</v>
      </c>
      <c r="K92">
        <v>83.6</v>
      </c>
      <c r="L92">
        <v>66.3</v>
      </c>
      <c r="M92">
        <v>74.8</v>
      </c>
      <c r="N92">
        <v>58.6</v>
      </c>
      <c r="O92">
        <v>59.2</v>
      </c>
      <c r="S92">
        <f t="shared" si="13"/>
        <v>1</v>
      </c>
      <c r="T92">
        <f t="shared" si="14"/>
        <v>0</v>
      </c>
      <c r="U92">
        <f t="shared" si="15"/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8.1</v>
      </c>
      <c r="AG92">
        <f t="shared" si="16"/>
        <v>1</v>
      </c>
      <c r="AH92">
        <f t="shared" si="17"/>
        <v>0</v>
      </c>
      <c r="AI92">
        <f t="shared" si="18"/>
        <v>1</v>
      </c>
      <c r="AJ92">
        <v>137.19999999999999</v>
      </c>
      <c r="AK92">
        <v>1012.9</v>
      </c>
      <c r="AL92">
        <v>30</v>
      </c>
      <c r="AM92">
        <v>6.5</v>
      </c>
      <c r="AN92">
        <v>0</v>
      </c>
      <c r="AO92">
        <v>0</v>
      </c>
      <c r="AP92">
        <v>0</v>
      </c>
      <c r="AQ92">
        <v>0</v>
      </c>
      <c r="AR92" t="s">
        <v>171</v>
      </c>
      <c r="AS92" t="s">
        <v>172</v>
      </c>
      <c r="AT92">
        <v>0.63</v>
      </c>
      <c r="AU92" t="s">
        <v>43</v>
      </c>
      <c r="AV92" t="s">
        <v>44</v>
      </c>
      <c r="AW92" t="s">
        <v>45</v>
      </c>
      <c r="AX92" s="1">
        <v>0.54097222222222219</v>
      </c>
      <c r="AY92" t="s">
        <v>363</v>
      </c>
      <c r="AZ92">
        <v>155.99999999511061</v>
      </c>
      <c r="BA92">
        <v>0</v>
      </c>
      <c r="BB92">
        <v>0</v>
      </c>
      <c r="BC92">
        <v>4</v>
      </c>
      <c r="BD92">
        <v>0</v>
      </c>
      <c r="BE92">
        <f t="shared" si="19"/>
        <v>1</v>
      </c>
    </row>
    <row r="93" spans="1:57" x14ac:dyDescent="0.25">
      <c r="A93" t="s">
        <v>39</v>
      </c>
      <c r="B93" t="s">
        <v>246</v>
      </c>
      <c r="C93">
        <v>73.5</v>
      </c>
      <c r="D93">
        <v>68.099999999999994</v>
      </c>
      <c r="G93">
        <f t="shared" si="10"/>
        <v>1</v>
      </c>
      <c r="H93">
        <f t="shared" si="11"/>
        <v>0</v>
      </c>
      <c r="I93">
        <f t="shared" si="12"/>
        <v>1</v>
      </c>
      <c r="J93">
        <v>70.7</v>
      </c>
      <c r="K93">
        <v>73.5</v>
      </c>
      <c r="L93">
        <v>68.099999999999994</v>
      </c>
      <c r="M93">
        <v>70.7</v>
      </c>
      <c r="N93">
        <v>55.2</v>
      </c>
      <c r="O93">
        <v>58.1</v>
      </c>
      <c r="S93">
        <f t="shared" si="13"/>
        <v>1</v>
      </c>
      <c r="T93">
        <f t="shared" si="14"/>
        <v>0</v>
      </c>
      <c r="U93">
        <f t="shared" si="15"/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18.3</v>
      </c>
      <c r="AG93">
        <f t="shared" si="16"/>
        <v>1</v>
      </c>
      <c r="AH93">
        <f t="shared" si="17"/>
        <v>1</v>
      </c>
      <c r="AI93">
        <f t="shared" si="18"/>
        <v>0</v>
      </c>
      <c r="AJ93">
        <v>333.2</v>
      </c>
      <c r="AK93">
        <v>1017.9</v>
      </c>
      <c r="AL93">
        <v>41.8</v>
      </c>
      <c r="AM93">
        <v>6.8</v>
      </c>
      <c r="AN93">
        <v>0</v>
      </c>
      <c r="AO93">
        <v>0</v>
      </c>
      <c r="AP93">
        <v>0</v>
      </c>
      <c r="AQ93">
        <v>0</v>
      </c>
      <c r="AR93" t="s">
        <v>247</v>
      </c>
      <c r="AS93" t="s">
        <v>248</v>
      </c>
      <c r="AT93">
        <v>0.95</v>
      </c>
      <c r="AU93" t="s">
        <v>43</v>
      </c>
      <c r="AV93" t="s">
        <v>44</v>
      </c>
      <c r="AW93" t="s">
        <v>45</v>
      </c>
      <c r="AX93" s="1">
        <v>0.94374999999999998</v>
      </c>
      <c r="AY93" t="s">
        <v>364</v>
      </c>
      <c r="AZ93">
        <v>111.00000000558791</v>
      </c>
      <c r="BA93">
        <v>0</v>
      </c>
      <c r="BB93">
        <v>0</v>
      </c>
      <c r="BC93">
        <v>1</v>
      </c>
      <c r="BD93">
        <v>0</v>
      </c>
      <c r="BE93">
        <f t="shared" si="19"/>
        <v>1</v>
      </c>
    </row>
    <row r="94" spans="1:57" x14ac:dyDescent="0.25">
      <c r="A94" t="s">
        <v>39</v>
      </c>
      <c r="B94" t="s">
        <v>199</v>
      </c>
      <c r="C94">
        <v>77.099999999999994</v>
      </c>
      <c r="D94">
        <v>59.1</v>
      </c>
      <c r="G94">
        <f t="shared" si="10"/>
        <v>1</v>
      </c>
      <c r="H94">
        <f t="shared" si="11"/>
        <v>1</v>
      </c>
      <c r="I94">
        <f t="shared" si="12"/>
        <v>0</v>
      </c>
      <c r="J94">
        <v>66.900000000000006</v>
      </c>
      <c r="K94">
        <v>77.099999999999994</v>
      </c>
      <c r="L94">
        <v>59.1</v>
      </c>
      <c r="M94">
        <v>66.900000000000006</v>
      </c>
      <c r="N94">
        <v>49</v>
      </c>
      <c r="O94">
        <v>54.7</v>
      </c>
      <c r="S94">
        <f t="shared" si="13"/>
        <v>1</v>
      </c>
      <c r="T94">
        <f t="shared" si="14"/>
        <v>0</v>
      </c>
      <c r="U94">
        <f t="shared" si="15"/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13.9</v>
      </c>
      <c r="AG94">
        <f t="shared" si="16"/>
        <v>1</v>
      </c>
      <c r="AH94">
        <f t="shared" si="17"/>
        <v>0</v>
      </c>
      <c r="AI94">
        <f t="shared" si="18"/>
        <v>1</v>
      </c>
      <c r="AJ94">
        <v>155.1</v>
      </c>
      <c r="AK94">
        <v>1014</v>
      </c>
      <c r="AL94">
        <v>30</v>
      </c>
      <c r="AM94">
        <v>6.4</v>
      </c>
      <c r="AN94">
        <v>0</v>
      </c>
      <c r="AO94">
        <v>0</v>
      </c>
      <c r="AP94">
        <v>0</v>
      </c>
      <c r="AQ94">
        <v>0</v>
      </c>
      <c r="AR94" t="s">
        <v>200</v>
      </c>
      <c r="AS94" t="s">
        <v>201</v>
      </c>
      <c r="AT94">
        <v>0.36</v>
      </c>
      <c r="AU94" t="s">
        <v>43</v>
      </c>
      <c r="AV94" t="s">
        <v>44</v>
      </c>
      <c r="AW94" t="s">
        <v>45</v>
      </c>
      <c r="AX94" s="1">
        <v>0.70763888888888893</v>
      </c>
      <c r="AY94" t="s">
        <v>365</v>
      </c>
      <c r="AZ94">
        <v>220.99999999743889</v>
      </c>
      <c r="BA94">
        <v>0</v>
      </c>
      <c r="BB94">
        <v>0</v>
      </c>
      <c r="BC94">
        <v>1</v>
      </c>
      <c r="BD94">
        <v>0</v>
      </c>
      <c r="BE94">
        <f t="shared" si="19"/>
        <v>1</v>
      </c>
    </row>
    <row r="95" spans="1:57" x14ac:dyDescent="0.25">
      <c r="A95" t="s">
        <v>39</v>
      </c>
      <c r="B95" t="s">
        <v>51</v>
      </c>
      <c r="C95">
        <v>68.099999999999994</v>
      </c>
      <c r="D95">
        <v>53.7</v>
      </c>
      <c r="G95">
        <f t="shared" si="10"/>
        <v>0</v>
      </c>
      <c r="H95">
        <f t="shared" si="11"/>
        <v>0</v>
      </c>
      <c r="I95">
        <f t="shared" si="12"/>
        <v>0</v>
      </c>
      <c r="J95">
        <v>59.9</v>
      </c>
      <c r="K95">
        <v>68.099999999999994</v>
      </c>
      <c r="L95">
        <v>53.7</v>
      </c>
      <c r="M95">
        <v>59.9</v>
      </c>
      <c r="N95">
        <v>55</v>
      </c>
      <c r="O95">
        <v>84.5</v>
      </c>
      <c r="S95">
        <f t="shared" si="13"/>
        <v>1</v>
      </c>
      <c r="T95">
        <f t="shared" si="14"/>
        <v>1</v>
      </c>
      <c r="U95">
        <f t="shared" si="15"/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6.9</v>
      </c>
      <c r="AG95">
        <f t="shared" si="16"/>
        <v>1</v>
      </c>
      <c r="AH95">
        <f t="shared" si="17"/>
        <v>0</v>
      </c>
      <c r="AI95">
        <f t="shared" si="18"/>
        <v>1</v>
      </c>
      <c r="AJ95">
        <v>179.8</v>
      </c>
      <c r="AK95">
        <v>1019.7</v>
      </c>
      <c r="AL95">
        <v>35.299999999999997</v>
      </c>
      <c r="AM95">
        <v>6.6</v>
      </c>
      <c r="AN95">
        <v>0</v>
      </c>
      <c r="AO95">
        <v>0</v>
      </c>
      <c r="AP95">
        <v>0</v>
      </c>
      <c r="AQ95">
        <v>0</v>
      </c>
      <c r="AR95" t="s">
        <v>52</v>
      </c>
      <c r="AS95" t="s">
        <v>53</v>
      </c>
      <c r="AT95">
        <v>0.66</v>
      </c>
      <c r="AU95" t="s">
        <v>43</v>
      </c>
      <c r="AV95" t="s">
        <v>44</v>
      </c>
      <c r="AW95" t="s">
        <v>45</v>
      </c>
      <c r="AX95" s="1">
        <v>0.96805555555555556</v>
      </c>
      <c r="AY95" t="s">
        <v>366</v>
      </c>
      <c r="AZ95">
        <v>56.000000004423782</v>
      </c>
      <c r="BA95">
        <v>0</v>
      </c>
      <c r="BB95">
        <v>0</v>
      </c>
      <c r="BC95">
        <v>0.3</v>
      </c>
      <c r="BD95">
        <v>0</v>
      </c>
      <c r="BE95">
        <f t="shared" si="19"/>
        <v>0</v>
      </c>
    </row>
    <row r="96" spans="1:57" x14ac:dyDescent="0.25">
      <c r="A96" t="s">
        <v>39</v>
      </c>
      <c r="B96" t="s">
        <v>367</v>
      </c>
      <c r="C96">
        <v>64.5</v>
      </c>
      <c r="D96">
        <v>60.9</v>
      </c>
      <c r="G96">
        <f t="shared" si="10"/>
        <v>1</v>
      </c>
      <c r="H96">
        <f t="shared" si="11"/>
        <v>0</v>
      </c>
      <c r="I96">
        <f t="shared" si="12"/>
        <v>1</v>
      </c>
      <c r="J96">
        <v>62.1</v>
      </c>
      <c r="K96">
        <v>64.5</v>
      </c>
      <c r="L96">
        <v>60.9</v>
      </c>
      <c r="M96">
        <v>62.1</v>
      </c>
      <c r="N96">
        <v>46.5</v>
      </c>
      <c r="O96">
        <v>56.8</v>
      </c>
      <c r="S96">
        <f t="shared" si="13"/>
        <v>1</v>
      </c>
      <c r="T96">
        <f t="shared" si="14"/>
        <v>0</v>
      </c>
      <c r="U96">
        <f t="shared" si="15"/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23</v>
      </c>
      <c r="AG96">
        <f t="shared" si="16"/>
        <v>1</v>
      </c>
      <c r="AH96">
        <f t="shared" si="17"/>
        <v>1</v>
      </c>
      <c r="AI96">
        <f t="shared" si="18"/>
        <v>0</v>
      </c>
      <c r="AJ96">
        <v>325.2</v>
      </c>
      <c r="AK96">
        <v>1020.2</v>
      </c>
      <c r="AL96">
        <v>60.8</v>
      </c>
      <c r="AM96">
        <v>6.8</v>
      </c>
      <c r="AN96">
        <v>0</v>
      </c>
      <c r="AO96">
        <v>0</v>
      </c>
      <c r="AP96">
        <v>0</v>
      </c>
      <c r="AQ96">
        <v>0</v>
      </c>
      <c r="AR96" t="s">
        <v>368</v>
      </c>
      <c r="AS96" t="s">
        <v>369</v>
      </c>
      <c r="AT96">
        <v>0.93</v>
      </c>
      <c r="AU96" t="s">
        <v>43</v>
      </c>
      <c r="AV96" t="s">
        <v>44</v>
      </c>
      <c r="AW96" t="s">
        <v>45</v>
      </c>
      <c r="AX96" s="1">
        <v>0.72152777777777777</v>
      </c>
      <c r="AY96" t="s">
        <v>370</v>
      </c>
      <c r="AZ96">
        <v>50.999999998603023</v>
      </c>
      <c r="BA96">
        <v>0</v>
      </c>
      <c r="BB96">
        <v>0</v>
      </c>
      <c r="BC96">
        <v>4</v>
      </c>
      <c r="BD96">
        <v>0</v>
      </c>
      <c r="BE96">
        <f t="shared" si="19"/>
        <v>1</v>
      </c>
    </row>
    <row r="97" spans="1:57" x14ac:dyDescent="0.25">
      <c r="A97" t="s">
        <v>39</v>
      </c>
      <c r="B97" t="s">
        <v>371</v>
      </c>
      <c r="C97">
        <v>77.099999999999994</v>
      </c>
      <c r="D97">
        <v>62.7</v>
      </c>
      <c r="G97">
        <f t="shared" si="10"/>
        <v>1</v>
      </c>
      <c r="H97">
        <f t="shared" si="11"/>
        <v>1</v>
      </c>
      <c r="I97">
        <f t="shared" si="12"/>
        <v>0</v>
      </c>
      <c r="J97">
        <v>69.3</v>
      </c>
      <c r="K97">
        <v>77.099999999999994</v>
      </c>
      <c r="L97">
        <v>62.7</v>
      </c>
      <c r="M97">
        <v>69.3</v>
      </c>
      <c r="N97">
        <v>58.9</v>
      </c>
      <c r="O97">
        <v>70.599999999999994</v>
      </c>
      <c r="S97">
        <f t="shared" si="13"/>
        <v>1</v>
      </c>
      <c r="T97">
        <f t="shared" si="14"/>
        <v>1</v>
      </c>
      <c r="U97">
        <f t="shared" si="15"/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11.4</v>
      </c>
      <c r="AG97">
        <f t="shared" si="16"/>
        <v>1</v>
      </c>
      <c r="AH97">
        <f t="shared" si="17"/>
        <v>0</v>
      </c>
      <c r="AI97">
        <f t="shared" si="18"/>
        <v>1</v>
      </c>
      <c r="AJ97">
        <v>121.6</v>
      </c>
      <c r="AK97">
        <v>1018.1</v>
      </c>
      <c r="AL97">
        <v>61.4</v>
      </c>
      <c r="AM97">
        <v>6.6</v>
      </c>
      <c r="AN97">
        <v>0</v>
      </c>
      <c r="AO97">
        <v>0</v>
      </c>
      <c r="AP97">
        <v>0</v>
      </c>
      <c r="AQ97">
        <v>0</v>
      </c>
      <c r="AR97" t="s">
        <v>372</v>
      </c>
      <c r="AS97" t="s">
        <v>373</v>
      </c>
      <c r="AT97">
        <v>0.03</v>
      </c>
      <c r="AU97" t="s">
        <v>43</v>
      </c>
      <c r="AV97" t="s">
        <v>44</v>
      </c>
      <c r="AW97" t="s">
        <v>45</v>
      </c>
      <c r="AX97" s="1">
        <v>0.69374999999999998</v>
      </c>
      <c r="AY97" t="s">
        <v>374</v>
      </c>
      <c r="AZ97">
        <v>261.00000000209548</v>
      </c>
      <c r="BA97">
        <v>0</v>
      </c>
      <c r="BB97">
        <v>0</v>
      </c>
      <c r="BC97">
        <v>5</v>
      </c>
      <c r="BD97">
        <v>0</v>
      </c>
      <c r="BE97">
        <f t="shared" si="19"/>
        <v>1</v>
      </c>
    </row>
    <row r="98" spans="1:57" x14ac:dyDescent="0.25">
      <c r="A98" t="s">
        <v>39</v>
      </c>
      <c r="B98" t="s">
        <v>375</v>
      </c>
      <c r="C98">
        <v>75.3</v>
      </c>
      <c r="D98">
        <v>60.9</v>
      </c>
      <c r="G98">
        <f t="shared" si="10"/>
        <v>1</v>
      </c>
      <c r="H98">
        <f t="shared" si="11"/>
        <v>1</v>
      </c>
      <c r="I98">
        <f t="shared" si="12"/>
        <v>0</v>
      </c>
      <c r="J98">
        <v>67.599999999999994</v>
      </c>
      <c r="K98">
        <v>75.3</v>
      </c>
      <c r="L98">
        <v>60.9</v>
      </c>
      <c r="M98">
        <v>67.599999999999994</v>
      </c>
      <c r="N98">
        <v>54.5</v>
      </c>
      <c r="O98">
        <v>63.5</v>
      </c>
      <c r="S98">
        <f t="shared" si="13"/>
        <v>1</v>
      </c>
      <c r="T98">
        <f t="shared" si="14"/>
        <v>0</v>
      </c>
      <c r="U98">
        <f t="shared" si="15"/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9.1999999999999993</v>
      </c>
      <c r="AG98">
        <f t="shared" si="16"/>
        <v>1</v>
      </c>
      <c r="AH98">
        <f t="shared" si="17"/>
        <v>0</v>
      </c>
      <c r="AI98">
        <f t="shared" si="18"/>
        <v>1</v>
      </c>
      <c r="AJ98">
        <v>155.1</v>
      </c>
      <c r="AK98">
        <v>1019.9</v>
      </c>
      <c r="AL98">
        <v>0</v>
      </c>
      <c r="AM98">
        <v>6.2</v>
      </c>
      <c r="AN98">
        <v>0</v>
      </c>
      <c r="AO98">
        <v>0</v>
      </c>
      <c r="AP98">
        <v>0</v>
      </c>
      <c r="AQ98">
        <v>0</v>
      </c>
      <c r="AR98" t="s">
        <v>376</v>
      </c>
      <c r="AS98" t="s">
        <v>377</v>
      </c>
      <c r="AT98">
        <v>0.28999999999999998</v>
      </c>
      <c r="AU98" t="s">
        <v>74</v>
      </c>
      <c r="AV98" t="s">
        <v>44</v>
      </c>
      <c r="AW98" t="s">
        <v>75</v>
      </c>
      <c r="AX98" s="1">
        <v>0.56180555555555556</v>
      </c>
      <c r="AY98" t="s">
        <v>378</v>
      </c>
      <c r="AZ98">
        <v>621.00000000209548</v>
      </c>
      <c r="BA98">
        <v>1</v>
      </c>
      <c r="BB98">
        <v>0</v>
      </c>
      <c r="BC98">
        <v>25</v>
      </c>
      <c r="BD98">
        <v>0</v>
      </c>
      <c r="BE98">
        <f t="shared" si="19"/>
        <v>1</v>
      </c>
    </row>
    <row r="99" spans="1:57" x14ac:dyDescent="0.25">
      <c r="A99" t="s">
        <v>39</v>
      </c>
      <c r="B99" t="s">
        <v>379</v>
      </c>
      <c r="C99">
        <v>100.5</v>
      </c>
      <c r="D99">
        <v>75.3</v>
      </c>
      <c r="G99">
        <f t="shared" si="10"/>
        <v>1</v>
      </c>
      <c r="H99">
        <f t="shared" si="11"/>
        <v>1</v>
      </c>
      <c r="I99">
        <f t="shared" si="12"/>
        <v>0</v>
      </c>
      <c r="J99">
        <v>87.3</v>
      </c>
      <c r="K99">
        <v>96.1</v>
      </c>
      <c r="L99">
        <v>75.3</v>
      </c>
      <c r="M99">
        <v>85.7</v>
      </c>
      <c r="N99">
        <v>47.6</v>
      </c>
      <c r="O99">
        <v>27.3</v>
      </c>
      <c r="S99">
        <f t="shared" si="13"/>
        <v>1</v>
      </c>
      <c r="T99">
        <f t="shared" si="14"/>
        <v>0</v>
      </c>
      <c r="U99">
        <f t="shared" si="15"/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10.3</v>
      </c>
      <c r="AG99">
        <f t="shared" si="16"/>
        <v>1</v>
      </c>
      <c r="AH99">
        <f t="shared" si="17"/>
        <v>0</v>
      </c>
      <c r="AI99">
        <f t="shared" si="18"/>
        <v>1</v>
      </c>
      <c r="AJ99">
        <v>150.4</v>
      </c>
      <c r="AK99">
        <v>1004.6</v>
      </c>
      <c r="AL99">
        <v>0</v>
      </c>
      <c r="AM99">
        <v>6.2</v>
      </c>
      <c r="AN99">
        <v>0</v>
      </c>
      <c r="AO99">
        <v>0</v>
      </c>
      <c r="AP99">
        <v>0</v>
      </c>
      <c r="AQ99">
        <v>0</v>
      </c>
      <c r="AR99" t="s">
        <v>380</v>
      </c>
      <c r="AS99" t="s">
        <v>381</v>
      </c>
      <c r="AT99">
        <v>0.26</v>
      </c>
      <c r="AU99" t="s">
        <v>74</v>
      </c>
      <c r="AV99" t="s">
        <v>44</v>
      </c>
      <c r="AW99" t="s">
        <v>75</v>
      </c>
      <c r="AX99" s="1">
        <v>0.67638888888888893</v>
      </c>
      <c r="AY99" t="s">
        <v>382</v>
      </c>
      <c r="AZ99">
        <v>406.00000000325957</v>
      </c>
      <c r="BA99">
        <v>1</v>
      </c>
      <c r="BB99">
        <v>0</v>
      </c>
      <c r="BC99">
        <v>10</v>
      </c>
      <c r="BD99">
        <v>0</v>
      </c>
      <c r="BE99">
        <f t="shared" si="19"/>
        <v>1</v>
      </c>
    </row>
    <row r="100" spans="1:57" x14ac:dyDescent="0.25">
      <c r="A100" t="s">
        <v>39</v>
      </c>
      <c r="B100" t="s">
        <v>383</v>
      </c>
      <c r="C100">
        <v>86.1</v>
      </c>
      <c r="D100">
        <v>69.900000000000006</v>
      </c>
      <c r="G100">
        <f t="shared" si="10"/>
        <v>1</v>
      </c>
      <c r="H100">
        <f t="shared" si="11"/>
        <v>1</v>
      </c>
      <c r="I100">
        <f t="shared" si="12"/>
        <v>0</v>
      </c>
      <c r="J100">
        <v>79</v>
      </c>
      <c r="K100">
        <v>91.1</v>
      </c>
      <c r="L100">
        <v>69.900000000000006</v>
      </c>
      <c r="M100">
        <v>80.8</v>
      </c>
      <c r="N100">
        <v>65.2</v>
      </c>
      <c r="O100">
        <v>63.4</v>
      </c>
      <c r="S100">
        <f t="shared" si="13"/>
        <v>1</v>
      </c>
      <c r="T100">
        <f t="shared" si="14"/>
        <v>1</v>
      </c>
      <c r="U100">
        <f t="shared" si="15"/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8.1</v>
      </c>
      <c r="AG100">
        <f t="shared" si="16"/>
        <v>1</v>
      </c>
      <c r="AH100">
        <f t="shared" si="17"/>
        <v>0</v>
      </c>
      <c r="AI100">
        <f t="shared" si="18"/>
        <v>1</v>
      </c>
      <c r="AJ100">
        <v>35.700000000000003</v>
      </c>
      <c r="AK100">
        <v>1006.2</v>
      </c>
      <c r="AL100">
        <v>21.4</v>
      </c>
      <c r="AM100">
        <v>6</v>
      </c>
      <c r="AN100">
        <v>0</v>
      </c>
      <c r="AO100">
        <v>0</v>
      </c>
      <c r="AP100">
        <v>0</v>
      </c>
      <c r="AQ100">
        <v>0</v>
      </c>
      <c r="AR100" t="s">
        <v>384</v>
      </c>
      <c r="AS100" t="s">
        <v>385</v>
      </c>
      <c r="AT100">
        <v>0.94</v>
      </c>
      <c r="AU100" t="s">
        <v>43</v>
      </c>
      <c r="AV100" t="s">
        <v>44</v>
      </c>
      <c r="AW100" t="s">
        <v>45</v>
      </c>
      <c r="AX100" s="1">
        <v>0.5444444444444444</v>
      </c>
      <c r="AY100" t="s">
        <v>386</v>
      </c>
      <c r="AZ100">
        <v>306.00000000209548</v>
      </c>
      <c r="BA100">
        <v>0</v>
      </c>
      <c r="BB100">
        <v>0</v>
      </c>
      <c r="BC100">
        <v>30</v>
      </c>
      <c r="BD100">
        <v>0</v>
      </c>
      <c r="BE100">
        <f t="shared" si="19"/>
        <v>1</v>
      </c>
    </row>
    <row r="101" spans="1:57" x14ac:dyDescent="0.25">
      <c r="A101" t="s">
        <v>39</v>
      </c>
      <c r="B101" t="s">
        <v>387</v>
      </c>
      <c r="C101">
        <v>68.099999999999994</v>
      </c>
      <c r="D101">
        <v>53.7</v>
      </c>
      <c r="G101">
        <f t="shared" si="10"/>
        <v>0</v>
      </c>
      <c r="H101">
        <f t="shared" si="11"/>
        <v>0</v>
      </c>
      <c r="I101">
        <f t="shared" si="12"/>
        <v>0</v>
      </c>
      <c r="J101">
        <v>61.2</v>
      </c>
      <c r="K101">
        <v>68.099999999999994</v>
      </c>
      <c r="L101">
        <v>53.7</v>
      </c>
      <c r="M101">
        <v>61.2</v>
      </c>
      <c r="N101">
        <v>51.4</v>
      </c>
      <c r="O101">
        <v>70.900000000000006</v>
      </c>
      <c r="S101">
        <f t="shared" si="13"/>
        <v>1</v>
      </c>
      <c r="T101">
        <f t="shared" si="14"/>
        <v>1</v>
      </c>
      <c r="U101">
        <f t="shared" si="15"/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9.1999999999999993</v>
      </c>
      <c r="AG101">
        <f t="shared" si="16"/>
        <v>1</v>
      </c>
      <c r="AH101">
        <f t="shared" si="17"/>
        <v>0</v>
      </c>
      <c r="AI101">
        <f t="shared" si="18"/>
        <v>1</v>
      </c>
      <c r="AJ101">
        <v>330.5</v>
      </c>
      <c r="AK101">
        <v>1019.2</v>
      </c>
      <c r="AL101">
        <v>34.4</v>
      </c>
      <c r="AM101">
        <v>6.7</v>
      </c>
      <c r="AN101">
        <v>0</v>
      </c>
      <c r="AO101">
        <v>0</v>
      </c>
      <c r="AP101">
        <v>0</v>
      </c>
      <c r="AQ101">
        <v>0</v>
      </c>
      <c r="AR101" t="s">
        <v>388</v>
      </c>
      <c r="AS101" t="s">
        <v>389</v>
      </c>
      <c r="AT101">
        <v>0.59</v>
      </c>
      <c r="AU101" t="s">
        <v>43</v>
      </c>
      <c r="AV101" t="s">
        <v>44</v>
      </c>
      <c r="AW101" t="s">
        <v>45</v>
      </c>
      <c r="AX101" s="1">
        <v>0.86736111111111114</v>
      </c>
      <c r="AY101" t="s">
        <v>390</v>
      </c>
      <c r="AZ101">
        <v>60.999999999767169</v>
      </c>
      <c r="BA101">
        <v>0</v>
      </c>
      <c r="BB101">
        <v>0</v>
      </c>
      <c r="BC101">
        <v>1.5</v>
      </c>
      <c r="BD101">
        <v>0</v>
      </c>
      <c r="BE101">
        <f t="shared" si="19"/>
        <v>0</v>
      </c>
    </row>
    <row r="102" spans="1:57" x14ac:dyDescent="0.25">
      <c r="A102" t="s">
        <v>39</v>
      </c>
      <c r="B102" t="s">
        <v>391</v>
      </c>
      <c r="C102">
        <v>78.900000000000006</v>
      </c>
      <c r="D102">
        <v>66.3</v>
      </c>
      <c r="G102">
        <f t="shared" si="10"/>
        <v>1</v>
      </c>
      <c r="H102">
        <f t="shared" si="11"/>
        <v>1</v>
      </c>
      <c r="I102">
        <f t="shared" si="12"/>
        <v>0</v>
      </c>
      <c r="J102">
        <v>71.599999999999994</v>
      </c>
      <c r="K102">
        <v>78.900000000000006</v>
      </c>
      <c r="L102">
        <v>66.3</v>
      </c>
      <c r="M102">
        <v>71.599999999999994</v>
      </c>
      <c r="N102">
        <v>61.1</v>
      </c>
      <c r="O102">
        <v>69.900000000000006</v>
      </c>
      <c r="S102">
        <f t="shared" si="13"/>
        <v>1</v>
      </c>
      <c r="T102">
        <f t="shared" si="14"/>
        <v>1</v>
      </c>
      <c r="U102">
        <f t="shared" si="15"/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10.3</v>
      </c>
      <c r="AG102">
        <f t="shared" si="16"/>
        <v>1</v>
      </c>
      <c r="AH102">
        <f t="shared" si="17"/>
        <v>0</v>
      </c>
      <c r="AI102">
        <f t="shared" si="18"/>
        <v>1</v>
      </c>
      <c r="AJ102">
        <v>306.5</v>
      </c>
      <c r="AK102">
        <v>1011.5</v>
      </c>
      <c r="AL102">
        <v>54.5</v>
      </c>
      <c r="AM102">
        <v>6.8</v>
      </c>
      <c r="AN102">
        <v>0</v>
      </c>
      <c r="AO102">
        <v>0</v>
      </c>
      <c r="AP102">
        <v>0</v>
      </c>
      <c r="AQ102">
        <v>0</v>
      </c>
      <c r="AR102" t="s">
        <v>392</v>
      </c>
      <c r="AS102" t="s">
        <v>393</v>
      </c>
      <c r="AT102">
        <v>0.25</v>
      </c>
      <c r="AU102" t="s">
        <v>43</v>
      </c>
      <c r="AV102" t="s">
        <v>44</v>
      </c>
      <c r="AW102" t="s">
        <v>45</v>
      </c>
      <c r="AX102" s="1">
        <v>0.50972222222222219</v>
      </c>
      <c r="AY102" t="s">
        <v>394</v>
      </c>
      <c r="AZ102">
        <v>470.99999999511061</v>
      </c>
      <c r="BA102">
        <v>1</v>
      </c>
      <c r="BB102">
        <v>0</v>
      </c>
      <c r="BC102">
        <v>15</v>
      </c>
      <c r="BD102">
        <v>0</v>
      </c>
      <c r="BE102">
        <f t="shared" si="19"/>
        <v>1</v>
      </c>
    </row>
    <row r="103" spans="1:57" x14ac:dyDescent="0.25">
      <c r="A103" t="s">
        <v>39</v>
      </c>
      <c r="B103" t="s">
        <v>158</v>
      </c>
      <c r="C103">
        <v>84.3</v>
      </c>
      <c r="D103">
        <v>75.3</v>
      </c>
      <c r="G103">
        <f t="shared" si="10"/>
        <v>1</v>
      </c>
      <c r="H103">
        <f t="shared" si="11"/>
        <v>1</v>
      </c>
      <c r="I103">
        <f t="shared" si="12"/>
        <v>0</v>
      </c>
      <c r="J103">
        <v>80.400000000000006</v>
      </c>
      <c r="K103">
        <v>92.7</v>
      </c>
      <c r="L103">
        <v>75.3</v>
      </c>
      <c r="M103">
        <v>83.2</v>
      </c>
      <c r="N103">
        <v>65</v>
      </c>
      <c r="O103">
        <v>61.9</v>
      </c>
      <c r="S103">
        <f t="shared" si="13"/>
        <v>1</v>
      </c>
      <c r="T103">
        <f t="shared" si="14"/>
        <v>0</v>
      </c>
      <c r="U103">
        <f t="shared" si="15"/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13.9</v>
      </c>
      <c r="AG103">
        <f t="shared" si="16"/>
        <v>1</v>
      </c>
      <c r="AH103">
        <f t="shared" si="17"/>
        <v>0</v>
      </c>
      <c r="AI103">
        <f t="shared" si="18"/>
        <v>1</v>
      </c>
      <c r="AJ103">
        <v>298.5</v>
      </c>
      <c r="AK103">
        <v>1008</v>
      </c>
      <c r="AL103">
        <v>30</v>
      </c>
      <c r="AM103">
        <v>6.5</v>
      </c>
      <c r="AN103">
        <v>0</v>
      </c>
      <c r="AO103">
        <v>0</v>
      </c>
      <c r="AP103">
        <v>0</v>
      </c>
      <c r="AQ103">
        <v>0</v>
      </c>
      <c r="AR103" t="s">
        <v>159</v>
      </c>
      <c r="AS103" t="s">
        <v>160</v>
      </c>
      <c r="AT103">
        <v>0.13</v>
      </c>
      <c r="AU103" t="s">
        <v>43</v>
      </c>
      <c r="AV103" t="s">
        <v>44</v>
      </c>
      <c r="AW103" t="s">
        <v>45</v>
      </c>
      <c r="AX103" s="1">
        <v>0.44722222222222219</v>
      </c>
      <c r="AY103" t="s">
        <v>395</v>
      </c>
      <c r="AZ103">
        <v>135.99999999278231</v>
      </c>
      <c r="BA103">
        <v>0</v>
      </c>
      <c r="BB103">
        <v>0</v>
      </c>
      <c r="BC103">
        <v>2</v>
      </c>
      <c r="BD103">
        <v>0</v>
      </c>
      <c r="BE103">
        <f t="shared" si="19"/>
        <v>1</v>
      </c>
    </row>
    <row r="104" spans="1:57" x14ac:dyDescent="0.25">
      <c r="A104" t="s">
        <v>39</v>
      </c>
      <c r="B104" t="s">
        <v>182</v>
      </c>
      <c r="C104">
        <v>78.900000000000006</v>
      </c>
      <c r="D104">
        <v>60.9</v>
      </c>
      <c r="G104">
        <f t="shared" si="10"/>
        <v>1</v>
      </c>
      <c r="H104">
        <f t="shared" si="11"/>
        <v>1</v>
      </c>
      <c r="I104">
        <f t="shared" si="12"/>
        <v>0</v>
      </c>
      <c r="J104">
        <v>70.599999999999994</v>
      </c>
      <c r="K104">
        <v>78.900000000000006</v>
      </c>
      <c r="L104">
        <v>60.9</v>
      </c>
      <c r="M104">
        <v>70.599999999999994</v>
      </c>
      <c r="N104">
        <v>48.4</v>
      </c>
      <c r="O104">
        <v>46.8</v>
      </c>
      <c r="S104">
        <f t="shared" si="13"/>
        <v>1</v>
      </c>
      <c r="T104">
        <f t="shared" si="14"/>
        <v>0</v>
      </c>
      <c r="U104">
        <f t="shared" si="15"/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9.1999999999999993</v>
      </c>
      <c r="AG104">
        <f t="shared" si="16"/>
        <v>1</v>
      </c>
      <c r="AH104">
        <f t="shared" si="17"/>
        <v>0</v>
      </c>
      <c r="AI104">
        <f t="shared" si="18"/>
        <v>1</v>
      </c>
      <c r="AJ104">
        <v>80.400000000000006</v>
      </c>
      <c r="AK104">
        <v>1012.5</v>
      </c>
      <c r="AL104">
        <v>30</v>
      </c>
      <c r="AM104">
        <v>6.3</v>
      </c>
      <c r="AN104">
        <v>0</v>
      </c>
      <c r="AO104">
        <v>0</v>
      </c>
      <c r="AP104">
        <v>0</v>
      </c>
      <c r="AQ104">
        <v>0</v>
      </c>
      <c r="AR104" t="s">
        <v>183</v>
      </c>
      <c r="AS104" t="s">
        <v>184</v>
      </c>
      <c r="AT104">
        <v>0.6</v>
      </c>
      <c r="AU104" t="s">
        <v>43</v>
      </c>
      <c r="AV104" t="s">
        <v>44</v>
      </c>
      <c r="AW104" t="s">
        <v>45</v>
      </c>
      <c r="AX104" s="1">
        <v>0.82916666666666672</v>
      </c>
      <c r="AY104" t="s">
        <v>396</v>
      </c>
      <c r="AZ104">
        <v>110.9999999951106</v>
      </c>
      <c r="BA104">
        <v>0</v>
      </c>
      <c r="BB104">
        <v>1</v>
      </c>
      <c r="BC104">
        <v>0</v>
      </c>
      <c r="BD104">
        <v>0</v>
      </c>
      <c r="BE104">
        <f t="shared" si="19"/>
        <v>1</v>
      </c>
    </row>
    <row r="105" spans="1:57" x14ac:dyDescent="0.25">
      <c r="A105" t="s">
        <v>39</v>
      </c>
      <c r="B105" t="s">
        <v>118</v>
      </c>
      <c r="C105">
        <v>77.099999999999994</v>
      </c>
      <c r="D105">
        <v>57.3</v>
      </c>
      <c r="G105">
        <f t="shared" si="10"/>
        <v>1</v>
      </c>
      <c r="H105">
        <f t="shared" si="11"/>
        <v>1</v>
      </c>
      <c r="I105">
        <f t="shared" si="12"/>
        <v>0</v>
      </c>
      <c r="J105">
        <v>66.599999999999994</v>
      </c>
      <c r="K105">
        <v>77.099999999999994</v>
      </c>
      <c r="L105">
        <v>57.3</v>
      </c>
      <c r="M105">
        <v>66.599999999999994</v>
      </c>
      <c r="N105">
        <v>39.6</v>
      </c>
      <c r="O105">
        <v>37.4</v>
      </c>
      <c r="S105">
        <f t="shared" si="13"/>
        <v>1</v>
      </c>
      <c r="T105">
        <f t="shared" si="14"/>
        <v>0</v>
      </c>
      <c r="U105">
        <f t="shared" si="15"/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9.1999999999999993</v>
      </c>
      <c r="AG105">
        <f t="shared" si="16"/>
        <v>1</v>
      </c>
      <c r="AH105">
        <f t="shared" si="17"/>
        <v>0</v>
      </c>
      <c r="AI105">
        <f t="shared" si="18"/>
        <v>1</v>
      </c>
      <c r="AJ105">
        <v>171.7</v>
      </c>
      <c r="AK105">
        <v>1021.8</v>
      </c>
      <c r="AL105">
        <v>0</v>
      </c>
      <c r="AM105">
        <v>6.2</v>
      </c>
      <c r="AN105">
        <v>0</v>
      </c>
      <c r="AO105">
        <v>0</v>
      </c>
      <c r="AP105">
        <v>0</v>
      </c>
      <c r="AQ105">
        <v>0</v>
      </c>
      <c r="AR105" t="s">
        <v>119</v>
      </c>
      <c r="AS105" t="s">
        <v>120</v>
      </c>
      <c r="AT105">
        <v>0.45</v>
      </c>
      <c r="AU105" t="s">
        <v>74</v>
      </c>
      <c r="AV105" t="s">
        <v>44</v>
      </c>
      <c r="AW105" t="s">
        <v>75</v>
      </c>
      <c r="AX105" s="1">
        <v>0.59652777777777777</v>
      </c>
      <c r="AY105" t="s">
        <v>397</v>
      </c>
      <c r="AZ105">
        <v>120.9999999962747</v>
      </c>
      <c r="BA105">
        <v>0</v>
      </c>
      <c r="BB105">
        <v>0</v>
      </c>
      <c r="BC105">
        <v>2</v>
      </c>
      <c r="BD105">
        <v>0</v>
      </c>
      <c r="BE105">
        <f t="shared" si="19"/>
        <v>1</v>
      </c>
    </row>
    <row r="106" spans="1:57" x14ac:dyDescent="0.25">
      <c r="A106" t="s">
        <v>39</v>
      </c>
      <c r="B106" t="s">
        <v>234</v>
      </c>
      <c r="C106">
        <v>77.099999999999994</v>
      </c>
      <c r="D106">
        <v>59.1</v>
      </c>
      <c r="G106">
        <f t="shared" si="10"/>
        <v>1</v>
      </c>
      <c r="H106">
        <f t="shared" si="11"/>
        <v>1</v>
      </c>
      <c r="I106">
        <f t="shared" si="12"/>
        <v>0</v>
      </c>
      <c r="J106">
        <v>66.5</v>
      </c>
      <c r="K106">
        <v>77.099999999999994</v>
      </c>
      <c r="L106">
        <v>59.1</v>
      </c>
      <c r="M106">
        <v>66.5</v>
      </c>
      <c r="N106">
        <v>40.700000000000003</v>
      </c>
      <c r="O106">
        <v>41</v>
      </c>
      <c r="S106">
        <f t="shared" si="13"/>
        <v>1</v>
      </c>
      <c r="T106">
        <f t="shared" si="14"/>
        <v>0</v>
      </c>
      <c r="U106">
        <f t="shared" si="15"/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10.3</v>
      </c>
      <c r="AG106">
        <f t="shared" si="16"/>
        <v>1</v>
      </c>
      <c r="AH106">
        <f t="shared" si="17"/>
        <v>0</v>
      </c>
      <c r="AI106">
        <f t="shared" si="18"/>
        <v>1</v>
      </c>
      <c r="AJ106">
        <v>160.80000000000001</v>
      </c>
      <c r="AK106">
        <v>1021.6</v>
      </c>
      <c r="AL106">
        <v>76.7</v>
      </c>
      <c r="AM106">
        <v>6.3</v>
      </c>
      <c r="AN106">
        <v>0</v>
      </c>
      <c r="AO106">
        <v>0</v>
      </c>
      <c r="AP106">
        <v>0</v>
      </c>
      <c r="AQ106">
        <v>0</v>
      </c>
      <c r="AR106" t="s">
        <v>235</v>
      </c>
      <c r="AS106" t="s">
        <v>236</v>
      </c>
      <c r="AT106">
        <v>0.5</v>
      </c>
      <c r="AU106" t="s">
        <v>43</v>
      </c>
      <c r="AV106" t="s">
        <v>44</v>
      </c>
      <c r="AW106" t="s">
        <v>45</v>
      </c>
      <c r="AX106" s="1">
        <v>0.37430555555555561</v>
      </c>
      <c r="AY106" t="s">
        <v>398</v>
      </c>
      <c r="AZ106">
        <v>71.000000000931323</v>
      </c>
      <c r="BA106">
        <v>0</v>
      </c>
      <c r="BB106">
        <v>0</v>
      </c>
      <c r="BC106">
        <v>0.5</v>
      </c>
      <c r="BD106">
        <v>0</v>
      </c>
      <c r="BE106">
        <f t="shared" si="19"/>
        <v>1</v>
      </c>
    </row>
    <row r="107" spans="1:57" x14ac:dyDescent="0.25">
      <c r="A107" t="s">
        <v>39</v>
      </c>
      <c r="B107" t="s">
        <v>126</v>
      </c>
      <c r="C107">
        <v>75.3</v>
      </c>
      <c r="D107">
        <v>68.099999999999994</v>
      </c>
      <c r="G107">
        <f t="shared" si="10"/>
        <v>1</v>
      </c>
      <c r="H107">
        <f t="shared" si="11"/>
        <v>0</v>
      </c>
      <c r="I107">
        <f t="shared" si="12"/>
        <v>1</v>
      </c>
      <c r="J107">
        <v>70.599999999999994</v>
      </c>
      <c r="K107">
        <v>75.3</v>
      </c>
      <c r="L107">
        <v>68.099999999999994</v>
      </c>
      <c r="M107">
        <v>70.599999999999994</v>
      </c>
      <c r="N107">
        <v>55.8</v>
      </c>
      <c r="O107">
        <v>59.8</v>
      </c>
      <c r="S107">
        <f t="shared" si="13"/>
        <v>0</v>
      </c>
      <c r="T107">
        <f t="shared" si="14"/>
        <v>0</v>
      </c>
      <c r="U107">
        <f t="shared" si="15"/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19.5</v>
      </c>
      <c r="AG107">
        <f t="shared" si="16"/>
        <v>1</v>
      </c>
      <c r="AH107">
        <f t="shared" si="17"/>
        <v>1</v>
      </c>
      <c r="AI107">
        <f t="shared" si="18"/>
        <v>0</v>
      </c>
      <c r="AJ107">
        <v>313.60000000000002</v>
      </c>
      <c r="AK107">
        <v>1015.7</v>
      </c>
      <c r="AL107">
        <v>30</v>
      </c>
      <c r="AM107">
        <v>6.8</v>
      </c>
      <c r="AN107">
        <v>0</v>
      </c>
      <c r="AO107">
        <v>0</v>
      </c>
      <c r="AP107">
        <v>0</v>
      </c>
      <c r="AQ107">
        <v>0</v>
      </c>
      <c r="AR107" t="s">
        <v>127</v>
      </c>
      <c r="AS107" t="s">
        <v>128</v>
      </c>
      <c r="AT107">
        <v>0.06</v>
      </c>
      <c r="AU107" t="s">
        <v>43</v>
      </c>
      <c r="AV107" t="s">
        <v>44</v>
      </c>
      <c r="AW107" t="s">
        <v>45</v>
      </c>
      <c r="AX107" s="1">
        <v>5.486111111111111E-2</v>
      </c>
      <c r="AY107" t="s">
        <v>399</v>
      </c>
      <c r="AZ107">
        <v>405</v>
      </c>
      <c r="BA107">
        <v>1</v>
      </c>
      <c r="BB107">
        <v>1</v>
      </c>
      <c r="BC107">
        <v>0</v>
      </c>
      <c r="BD107">
        <v>0</v>
      </c>
      <c r="BE107">
        <f t="shared" si="19"/>
        <v>1</v>
      </c>
    </row>
    <row r="108" spans="1:57" x14ac:dyDescent="0.25">
      <c r="A108" t="s">
        <v>39</v>
      </c>
      <c r="B108" t="s">
        <v>400</v>
      </c>
      <c r="C108">
        <v>71.7</v>
      </c>
      <c r="D108">
        <v>60.9</v>
      </c>
      <c r="G108">
        <f t="shared" si="10"/>
        <v>1</v>
      </c>
      <c r="H108">
        <f t="shared" si="11"/>
        <v>1</v>
      </c>
      <c r="I108">
        <f t="shared" si="12"/>
        <v>0</v>
      </c>
      <c r="J108">
        <v>67.3</v>
      </c>
      <c r="K108">
        <v>71.7</v>
      </c>
      <c r="L108">
        <v>60.9</v>
      </c>
      <c r="M108">
        <v>67.3</v>
      </c>
      <c r="N108">
        <v>55.7</v>
      </c>
      <c r="O108">
        <v>68.2</v>
      </c>
      <c r="S108">
        <f t="shared" si="13"/>
        <v>0</v>
      </c>
      <c r="T108">
        <f t="shared" si="14"/>
        <v>0</v>
      </c>
      <c r="U108">
        <f t="shared" si="15"/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13.9</v>
      </c>
      <c r="AG108">
        <f t="shared" si="16"/>
        <v>1</v>
      </c>
      <c r="AH108">
        <f t="shared" si="17"/>
        <v>0</v>
      </c>
      <c r="AI108">
        <f t="shared" si="18"/>
        <v>1</v>
      </c>
      <c r="AJ108">
        <v>178.5</v>
      </c>
      <c r="AK108">
        <v>1015.6</v>
      </c>
      <c r="AL108">
        <v>70</v>
      </c>
      <c r="AM108">
        <v>6.4</v>
      </c>
      <c r="AN108">
        <v>0</v>
      </c>
      <c r="AO108">
        <v>0</v>
      </c>
      <c r="AP108">
        <v>0</v>
      </c>
      <c r="AQ108">
        <v>0</v>
      </c>
      <c r="AR108" t="s">
        <v>401</v>
      </c>
      <c r="AS108" t="s">
        <v>402</v>
      </c>
      <c r="AT108">
        <v>0.32</v>
      </c>
      <c r="AU108" t="s">
        <v>43</v>
      </c>
      <c r="AV108" t="s">
        <v>44</v>
      </c>
      <c r="AW108" t="s">
        <v>45</v>
      </c>
      <c r="AX108" s="1">
        <v>0.61041666666666672</v>
      </c>
      <c r="AY108" t="s">
        <v>403</v>
      </c>
      <c r="AZ108">
        <v>135.99999999278231</v>
      </c>
      <c r="BA108">
        <v>0</v>
      </c>
      <c r="BB108">
        <v>0</v>
      </c>
      <c r="BC108">
        <v>1</v>
      </c>
      <c r="BD108">
        <v>0</v>
      </c>
      <c r="BE108">
        <f t="shared" si="19"/>
        <v>0</v>
      </c>
    </row>
    <row r="109" spans="1:57" x14ac:dyDescent="0.25">
      <c r="A109" t="s">
        <v>39</v>
      </c>
      <c r="B109" t="s">
        <v>404</v>
      </c>
      <c r="C109">
        <v>73.5</v>
      </c>
      <c r="D109">
        <v>57.3</v>
      </c>
      <c r="G109">
        <f t="shared" si="10"/>
        <v>1</v>
      </c>
      <c r="H109">
        <f t="shared" si="11"/>
        <v>1</v>
      </c>
      <c r="I109">
        <f t="shared" si="12"/>
        <v>0</v>
      </c>
      <c r="J109">
        <v>65</v>
      </c>
      <c r="K109">
        <v>73.5</v>
      </c>
      <c r="L109">
        <v>57.3</v>
      </c>
      <c r="M109">
        <v>65</v>
      </c>
      <c r="N109">
        <v>55</v>
      </c>
      <c r="O109">
        <v>71.2</v>
      </c>
      <c r="S109">
        <f t="shared" si="13"/>
        <v>1</v>
      </c>
      <c r="T109">
        <f t="shared" si="14"/>
        <v>1</v>
      </c>
      <c r="U109">
        <f t="shared" si="15"/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13.9</v>
      </c>
      <c r="AG109">
        <f t="shared" si="16"/>
        <v>1</v>
      </c>
      <c r="AH109">
        <f t="shared" si="17"/>
        <v>0</v>
      </c>
      <c r="AI109">
        <f t="shared" si="18"/>
        <v>1</v>
      </c>
      <c r="AJ109">
        <v>150.1</v>
      </c>
      <c r="AK109">
        <v>1017.6</v>
      </c>
      <c r="AL109">
        <v>65</v>
      </c>
      <c r="AM109">
        <v>6.5</v>
      </c>
      <c r="AN109">
        <v>0</v>
      </c>
      <c r="AO109">
        <v>0</v>
      </c>
      <c r="AP109">
        <v>0</v>
      </c>
      <c r="AQ109">
        <v>0</v>
      </c>
      <c r="AR109" t="s">
        <v>405</v>
      </c>
      <c r="AS109" t="s">
        <v>406</v>
      </c>
      <c r="AT109">
        <v>0.77</v>
      </c>
      <c r="AU109" t="s">
        <v>43</v>
      </c>
      <c r="AV109" t="s">
        <v>44</v>
      </c>
      <c r="AW109" t="s">
        <v>45</v>
      </c>
      <c r="AX109" s="1">
        <v>0.59305555555555556</v>
      </c>
      <c r="AY109" t="s">
        <v>407</v>
      </c>
      <c r="AZ109">
        <v>176.00000000791621</v>
      </c>
      <c r="BA109">
        <v>0</v>
      </c>
      <c r="BB109">
        <v>10</v>
      </c>
      <c r="BC109">
        <v>0</v>
      </c>
      <c r="BD109">
        <v>0</v>
      </c>
      <c r="BE109">
        <f t="shared" si="19"/>
        <v>1</v>
      </c>
    </row>
    <row r="110" spans="1:57" x14ac:dyDescent="0.25">
      <c r="A110" t="s">
        <v>39</v>
      </c>
      <c r="B110" t="s">
        <v>408</v>
      </c>
      <c r="C110">
        <v>71.7</v>
      </c>
      <c r="D110">
        <v>57.3</v>
      </c>
      <c r="G110">
        <f t="shared" si="10"/>
        <v>1</v>
      </c>
      <c r="H110">
        <f t="shared" si="11"/>
        <v>1</v>
      </c>
      <c r="I110">
        <f t="shared" si="12"/>
        <v>0</v>
      </c>
      <c r="J110">
        <v>62.8</v>
      </c>
      <c r="K110">
        <v>71.7</v>
      </c>
      <c r="L110">
        <v>57.3</v>
      </c>
      <c r="M110">
        <v>62.8</v>
      </c>
      <c r="N110">
        <v>52.7</v>
      </c>
      <c r="O110">
        <v>70.2</v>
      </c>
      <c r="S110">
        <f t="shared" si="13"/>
        <v>1</v>
      </c>
      <c r="T110">
        <f t="shared" si="14"/>
        <v>1</v>
      </c>
      <c r="U110">
        <f t="shared" si="15"/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10.3</v>
      </c>
      <c r="AG110">
        <f t="shared" si="16"/>
        <v>1</v>
      </c>
      <c r="AH110">
        <f t="shared" si="17"/>
        <v>0</v>
      </c>
      <c r="AI110">
        <f t="shared" si="18"/>
        <v>1</v>
      </c>
      <c r="AJ110">
        <v>196.2</v>
      </c>
      <c r="AK110">
        <v>1013.9</v>
      </c>
      <c r="AL110">
        <v>59.1</v>
      </c>
      <c r="AM110">
        <v>6.8</v>
      </c>
      <c r="AN110">
        <v>0</v>
      </c>
      <c r="AO110">
        <v>0</v>
      </c>
      <c r="AP110">
        <v>0</v>
      </c>
      <c r="AQ110">
        <v>0</v>
      </c>
      <c r="AR110" t="s">
        <v>409</v>
      </c>
      <c r="AS110" t="s">
        <v>410</v>
      </c>
      <c r="AT110">
        <v>0.68</v>
      </c>
      <c r="AU110" t="s">
        <v>43</v>
      </c>
      <c r="AV110" t="s">
        <v>44</v>
      </c>
      <c r="AW110" t="s">
        <v>45</v>
      </c>
      <c r="AX110" s="1">
        <v>0.56180555555555556</v>
      </c>
      <c r="AY110" t="s">
        <v>411</v>
      </c>
      <c r="AZ110">
        <v>86.000000007916242</v>
      </c>
      <c r="BA110">
        <v>0</v>
      </c>
      <c r="BB110">
        <v>2</v>
      </c>
      <c r="BC110">
        <v>0</v>
      </c>
      <c r="BD110">
        <v>0</v>
      </c>
      <c r="BE110">
        <f t="shared" si="19"/>
        <v>1</v>
      </c>
    </row>
    <row r="111" spans="1:57" x14ac:dyDescent="0.25">
      <c r="A111" t="s">
        <v>39</v>
      </c>
      <c r="B111" t="s">
        <v>283</v>
      </c>
      <c r="C111">
        <v>89.7</v>
      </c>
      <c r="D111">
        <v>75.3</v>
      </c>
      <c r="G111">
        <f t="shared" si="10"/>
        <v>1</v>
      </c>
      <c r="H111">
        <f t="shared" si="11"/>
        <v>1</v>
      </c>
      <c r="I111">
        <f t="shared" si="12"/>
        <v>0</v>
      </c>
      <c r="J111">
        <v>83.9</v>
      </c>
      <c r="K111">
        <v>89.6</v>
      </c>
      <c r="L111">
        <v>75.3</v>
      </c>
      <c r="M111">
        <v>84.2</v>
      </c>
      <c r="N111">
        <v>57.8</v>
      </c>
      <c r="O111">
        <v>41.9</v>
      </c>
      <c r="S111">
        <f t="shared" si="13"/>
        <v>1</v>
      </c>
      <c r="T111">
        <f t="shared" si="14"/>
        <v>0</v>
      </c>
      <c r="U111">
        <f t="shared" si="15"/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20.8</v>
      </c>
      <c r="AG111">
        <f t="shared" si="16"/>
        <v>1</v>
      </c>
      <c r="AH111">
        <f t="shared" si="17"/>
        <v>1</v>
      </c>
      <c r="AI111">
        <f t="shared" si="18"/>
        <v>0</v>
      </c>
      <c r="AJ111">
        <v>301.5</v>
      </c>
      <c r="AK111">
        <v>1006.9</v>
      </c>
      <c r="AL111">
        <v>0</v>
      </c>
      <c r="AM111">
        <v>6.2</v>
      </c>
      <c r="AN111">
        <v>0</v>
      </c>
      <c r="AO111">
        <v>0</v>
      </c>
      <c r="AP111">
        <v>0</v>
      </c>
      <c r="AQ111">
        <v>0</v>
      </c>
      <c r="AR111" t="s">
        <v>284</v>
      </c>
      <c r="AS111" t="s">
        <v>285</v>
      </c>
      <c r="AT111">
        <v>0.19</v>
      </c>
      <c r="AU111" t="s">
        <v>74</v>
      </c>
      <c r="AV111" t="s">
        <v>44</v>
      </c>
      <c r="AW111" t="s">
        <v>75</v>
      </c>
      <c r="AX111" s="1">
        <v>0.77013888888888893</v>
      </c>
      <c r="AY111" t="s">
        <v>412</v>
      </c>
      <c r="AZ111">
        <v>6931.0000000032596</v>
      </c>
      <c r="BA111">
        <v>1</v>
      </c>
      <c r="BB111">
        <v>0</v>
      </c>
      <c r="BC111">
        <v>200</v>
      </c>
      <c r="BD111">
        <v>0</v>
      </c>
      <c r="BE111">
        <f t="shared" si="19"/>
        <v>1</v>
      </c>
    </row>
    <row r="112" spans="1:57" x14ac:dyDescent="0.25">
      <c r="A112" t="s">
        <v>39</v>
      </c>
      <c r="B112" t="s">
        <v>199</v>
      </c>
      <c r="C112">
        <v>77.099999999999994</v>
      </c>
      <c r="D112">
        <v>59.1</v>
      </c>
      <c r="G112">
        <f t="shared" si="10"/>
        <v>1</v>
      </c>
      <c r="H112">
        <f t="shared" si="11"/>
        <v>1</v>
      </c>
      <c r="I112">
        <f t="shared" si="12"/>
        <v>0</v>
      </c>
      <c r="J112">
        <v>66.900000000000006</v>
      </c>
      <c r="K112">
        <v>77.099999999999994</v>
      </c>
      <c r="L112">
        <v>59.1</v>
      </c>
      <c r="M112">
        <v>66.900000000000006</v>
      </c>
      <c r="N112">
        <v>49</v>
      </c>
      <c r="O112">
        <v>54.7</v>
      </c>
      <c r="S112">
        <f t="shared" si="13"/>
        <v>1</v>
      </c>
      <c r="T112">
        <f t="shared" si="14"/>
        <v>0</v>
      </c>
      <c r="U112">
        <f t="shared" si="15"/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13.9</v>
      </c>
      <c r="AG112">
        <f t="shared" si="16"/>
        <v>1</v>
      </c>
      <c r="AH112">
        <f t="shared" si="17"/>
        <v>0</v>
      </c>
      <c r="AI112">
        <f t="shared" si="18"/>
        <v>1</v>
      </c>
      <c r="AJ112">
        <v>155.1</v>
      </c>
      <c r="AK112">
        <v>1014</v>
      </c>
      <c r="AL112">
        <v>30</v>
      </c>
      <c r="AM112">
        <v>6.4</v>
      </c>
      <c r="AN112">
        <v>0</v>
      </c>
      <c r="AO112">
        <v>0</v>
      </c>
      <c r="AP112">
        <v>0</v>
      </c>
      <c r="AQ112">
        <v>0</v>
      </c>
      <c r="AR112" t="s">
        <v>200</v>
      </c>
      <c r="AS112" t="s">
        <v>201</v>
      </c>
      <c r="AT112">
        <v>0.36</v>
      </c>
      <c r="AU112" t="s">
        <v>43</v>
      </c>
      <c r="AV112" t="s">
        <v>44</v>
      </c>
      <c r="AW112" t="s">
        <v>45</v>
      </c>
      <c r="AX112" s="1">
        <v>0.97847222222222219</v>
      </c>
      <c r="AY112" t="s">
        <v>413</v>
      </c>
      <c r="AZ112">
        <v>50.999999998603023</v>
      </c>
      <c r="BA112">
        <v>0</v>
      </c>
      <c r="BB112">
        <v>1</v>
      </c>
      <c r="BC112">
        <v>0</v>
      </c>
      <c r="BD112">
        <v>0</v>
      </c>
      <c r="BE112">
        <f t="shared" si="19"/>
        <v>1</v>
      </c>
    </row>
    <row r="113" spans="1:57" x14ac:dyDescent="0.25">
      <c r="A113" t="s">
        <v>39</v>
      </c>
      <c r="B113" t="s">
        <v>118</v>
      </c>
      <c r="C113">
        <v>77.099999999999994</v>
      </c>
      <c r="D113">
        <v>57.3</v>
      </c>
      <c r="G113">
        <f t="shared" si="10"/>
        <v>1</v>
      </c>
      <c r="H113">
        <f t="shared" si="11"/>
        <v>1</v>
      </c>
      <c r="I113">
        <f t="shared" si="12"/>
        <v>0</v>
      </c>
      <c r="J113">
        <v>66.599999999999994</v>
      </c>
      <c r="K113">
        <v>77.099999999999994</v>
      </c>
      <c r="L113">
        <v>57.3</v>
      </c>
      <c r="M113">
        <v>66.599999999999994</v>
      </c>
      <c r="N113">
        <v>39.6</v>
      </c>
      <c r="O113">
        <v>37.4</v>
      </c>
      <c r="S113">
        <f t="shared" si="13"/>
        <v>1</v>
      </c>
      <c r="T113">
        <f t="shared" si="14"/>
        <v>0</v>
      </c>
      <c r="U113">
        <f t="shared" si="15"/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9.1999999999999993</v>
      </c>
      <c r="AG113">
        <f t="shared" si="16"/>
        <v>1</v>
      </c>
      <c r="AH113">
        <f t="shared" si="17"/>
        <v>0</v>
      </c>
      <c r="AI113">
        <f t="shared" si="18"/>
        <v>1</v>
      </c>
      <c r="AJ113">
        <v>171.7</v>
      </c>
      <c r="AK113">
        <v>1021.8</v>
      </c>
      <c r="AL113">
        <v>0</v>
      </c>
      <c r="AM113">
        <v>6.2</v>
      </c>
      <c r="AN113">
        <v>0</v>
      </c>
      <c r="AO113">
        <v>0</v>
      </c>
      <c r="AP113">
        <v>0</v>
      </c>
      <c r="AQ113">
        <v>0</v>
      </c>
      <c r="AR113" t="s">
        <v>119</v>
      </c>
      <c r="AS113" t="s">
        <v>120</v>
      </c>
      <c r="AT113">
        <v>0.45</v>
      </c>
      <c r="AU113" t="s">
        <v>74</v>
      </c>
      <c r="AV113" t="s">
        <v>44</v>
      </c>
      <c r="AW113" t="s">
        <v>75</v>
      </c>
      <c r="AX113" s="1">
        <v>0.62430555555555556</v>
      </c>
      <c r="AY113" t="s">
        <v>414</v>
      </c>
      <c r="AZ113">
        <v>221.00000000791621</v>
      </c>
      <c r="BA113">
        <v>0</v>
      </c>
      <c r="BB113">
        <v>0</v>
      </c>
      <c r="BC113">
        <v>4</v>
      </c>
      <c r="BD113">
        <v>0</v>
      </c>
      <c r="BE113">
        <f t="shared" si="19"/>
        <v>1</v>
      </c>
    </row>
    <row r="114" spans="1:57" x14ac:dyDescent="0.25">
      <c r="A114" t="s">
        <v>39</v>
      </c>
      <c r="B114" t="s">
        <v>293</v>
      </c>
      <c r="C114">
        <v>64.5</v>
      </c>
      <c r="D114">
        <v>60.9</v>
      </c>
      <c r="G114">
        <f t="shared" si="10"/>
        <v>1</v>
      </c>
      <c r="H114">
        <f t="shared" si="11"/>
        <v>0</v>
      </c>
      <c r="I114">
        <f t="shared" si="12"/>
        <v>1</v>
      </c>
      <c r="J114">
        <v>62.2</v>
      </c>
      <c r="K114">
        <v>64.5</v>
      </c>
      <c r="L114">
        <v>60.9</v>
      </c>
      <c r="M114">
        <v>62.2</v>
      </c>
      <c r="N114">
        <v>46.3</v>
      </c>
      <c r="O114">
        <v>56.4</v>
      </c>
      <c r="S114">
        <f t="shared" si="13"/>
        <v>1</v>
      </c>
      <c r="T114">
        <f t="shared" si="14"/>
        <v>0</v>
      </c>
      <c r="U114">
        <f t="shared" si="15"/>
        <v>1</v>
      </c>
      <c r="V114">
        <v>4.0000000000000001E-3</v>
      </c>
      <c r="W114">
        <v>100</v>
      </c>
      <c r="X114">
        <v>4.17</v>
      </c>
      <c r="Y114" t="s">
        <v>103</v>
      </c>
      <c r="Z114">
        <v>0</v>
      </c>
      <c r="AA114">
        <v>0</v>
      </c>
      <c r="AB114">
        <v>0</v>
      </c>
      <c r="AC114">
        <v>25.3</v>
      </c>
      <c r="AG114">
        <f t="shared" si="16"/>
        <v>1</v>
      </c>
      <c r="AH114">
        <f t="shared" si="17"/>
        <v>1</v>
      </c>
      <c r="AI114">
        <f t="shared" si="18"/>
        <v>0</v>
      </c>
      <c r="AJ114">
        <v>351.4</v>
      </c>
      <c r="AK114">
        <v>1023.9</v>
      </c>
      <c r="AL114">
        <v>74.2</v>
      </c>
      <c r="AM114">
        <v>6.8</v>
      </c>
      <c r="AN114">
        <v>0</v>
      </c>
      <c r="AO114">
        <v>0</v>
      </c>
      <c r="AP114">
        <v>0</v>
      </c>
      <c r="AQ114">
        <v>0</v>
      </c>
      <c r="AR114" t="s">
        <v>294</v>
      </c>
      <c r="AS114" t="s">
        <v>295</v>
      </c>
      <c r="AT114">
        <v>0.82</v>
      </c>
      <c r="AU114" t="s">
        <v>106</v>
      </c>
      <c r="AV114" t="s">
        <v>296</v>
      </c>
      <c r="AW114" t="s">
        <v>103</v>
      </c>
      <c r="AX114" s="1">
        <v>0.67291666666666672</v>
      </c>
      <c r="AY114" t="s">
        <v>415</v>
      </c>
      <c r="AZ114">
        <v>215.9999999916181</v>
      </c>
      <c r="BA114">
        <v>0</v>
      </c>
      <c r="BB114">
        <v>0</v>
      </c>
      <c r="BC114">
        <v>5</v>
      </c>
      <c r="BD114">
        <v>0</v>
      </c>
      <c r="BE114">
        <f t="shared" si="19"/>
        <v>1</v>
      </c>
    </row>
    <row r="115" spans="1:57" x14ac:dyDescent="0.25">
      <c r="A115" t="s">
        <v>39</v>
      </c>
      <c r="B115" t="s">
        <v>416</v>
      </c>
      <c r="C115">
        <v>80.7</v>
      </c>
      <c r="D115">
        <v>71.7</v>
      </c>
      <c r="G115">
        <f t="shared" si="10"/>
        <v>1</v>
      </c>
      <c r="H115">
        <f t="shared" si="11"/>
        <v>0</v>
      </c>
      <c r="I115">
        <f t="shared" si="12"/>
        <v>1</v>
      </c>
      <c r="J115">
        <v>77</v>
      </c>
      <c r="K115">
        <v>82.4</v>
      </c>
      <c r="L115">
        <v>71.7</v>
      </c>
      <c r="M115">
        <v>77.3</v>
      </c>
      <c r="N115">
        <v>62.7</v>
      </c>
      <c r="O115">
        <v>61.9</v>
      </c>
      <c r="S115">
        <f t="shared" si="13"/>
        <v>1</v>
      </c>
      <c r="T115">
        <f t="shared" si="14"/>
        <v>1</v>
      </c>
      <c r="U115">
        <f t="shared" si="15"/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31.3</v>
      </c>
      <c r="AG115">
        <f t="shared" si="16"/>
        <v>1</v>
      </c>
      <c r="AH115">
        <f t="shared" si="17"/>
        <v>1</v>
      </c>
      <c r="AI115">
        <f t="shared" si="18"/>
        <v>0</v>
      </c>
      <c r="AJ115">
        <v>311.2</v>
      </c>
      <c r="AK115">
        <v>1007.3</v>
      </c>
      <c r="AL115">
        <v>30</v>
      </c>
      <c r="AM115">
        <v>6.7</v>
      </c>
      <c r="AN115">
        <v>0</v>
      </c>
      <c r="AO115">
        <v>0</v>
      </c>
      <c r="AP115">
        <v>0</v>
      </c>
      <c r="AQ115">
        <v>0</v>
      </c>
      <c r="AR115" t="s">
        <v>417</v>
      </c>
      <c r="AS115" t="s">
        <v>418</v>
      </c>
      <c r="AT115">
        <v>0.63</v>
      </c>
      <c r="AU115" t="s">
        <v>43</v>
      </c>
      <c r="AV115" t="s">
        <v>44</v>
      </c>
      <c r="AW115" t="s">
        <v>419</v>
      </c>
      <c r="AX115" s="1">
        <v>0.42291666666666672</v>
      </c>
      <c r="AY115" t="s">
        <v>420</v>
      </c>
      <c r="AZ115">
        <v>320.99999999860302</v>
      </c>
      <c r="BA115">
        <v>0</v>
      </c>
      <c r="BB115">
        <v>0</v>
      </c>
      <c r="BC115">
        <v>5</v>
      </c>
      <c r="BD115">
        <v>0</v>
      </c>
      <c r="BE115">
        <f t="shared" si="19"/>
        <v>1</v>
      </c>
    </row>
    <row r="116" spans="1:57" x14ac:dyDescent="0.25">
      <c r="A116" t="s">
        <v>39</v>
      </c>
      <c r="B116" t="s">
        <v>421</v>
      </c>
      <c r="C116">
        <v>82.5</v>
      </c>
      <c r="D116">
        <v>69.900000000000006</v>
      </c>
      <c r="G116">
        <f t="shared" si="10"/>
        <v>1</v>
      </c>
      <c r="H116">
        <f t="shared" si="11"/>
        <v>1</v>
      </c>
      <c r="I116">
        <f t="shared" si="12"/>
        <v>0</v>
      </c>
      <c r="J116">
        <v>77</v>
      </c>
      <c r="K116">
        <v>89.7</v>
      </c>
      <c r="L116">
        <v>69.900000000000006</v>
      </c>
      <c r="M116">
        <v>78.599999999999994</v>
      </c>
      <c r="N116">
        <v>65.8</v>
      </c>
      <c r="O116">
        <v>69.2</v>
      </c>
      <c r="S116">
        <f t="shared" si="13"/>
        <v>1</v>
      </c>
      <c r="T116">
        <f t="shared" si="14"/>
        <v>1</v>
      </c>
      <c r="U116">
        <f t="shared" si="15"/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12.8</v>
      </c>
      <c r="AG116">
        <f t="shared" si="16"/>
        <v>1</v>
      </c>
      <c r="AH116">
        <f t="shared" si="17"/>
        <v>0</v>
      </c>
      <c r="AI116">
        <f t="shared" si="18"/>
        <v>1</v>
      </c>
      <c r="AJ116">
        <v>212.5</v>
      </c>
      <c r="AK116">
        <v>1007.5</v>
      </c>
      <c r="AL116">
        <v>41.1</v>
      </c>
      <c r="AM116">
        <v>6.4</v>
      </c>
      <c r="AN116">
        <v>0</v>
      </c>
      <c r="AO116">
        <v>0</v>
      </c>
      <c r="AP116">
        <v>0</v>
      </c>
      <c r="AQ116">
        <v>0</v>
      </c>
      <c r="AR116" t="s">
        <v>422</v>
      </c>
      <c r="AS116" t="s">
        <v>423</v>
      </c>
      <c r="AT116">
        <v>0.16</v>
      </c>
      <c r="AU116" t="s">
        <v>43</v>
      </c>
      <c r="AV116" t="s">
        <v>44</v>
      </c>
      <c r="AW116" t="s">
        <v>45</v>
      </c>
      <c r="AX116" s="1">
        <v>0.75</v>
      </c>
      <c r="AY116" t="s">
        <v>424</v>
      </c>
      <c r="AZ116">
        <v>149.99999999650751</v>
      </c>
      <c r="BA116">
        <v>0</v>
      </c>
      <c r="BB116">
        <v>1</v>
      </c>
      <c r="BC116">
        <v>0</v>
      </c>
      <c r="BD116">
        <v>0</v>
      </c>
      <c r="BE116">
        <f t="shared" si="19"/>
        <v>1</v>
      </c>
    </row>
    <row r="117" spans="1:57" x14ac:dyDescent="0.25">
      <c r="A117" t="s">
        <v>39</v>
      </c>
      <c r="B117" t="s">
        <v>425</v>
      </c>
      <c r="C117">
        <v>86.1</v>
      </c>
      <c r="D117">
        <v>69.900000000000006</v>
      </c>
      <c r="G117">
        <f t="shared" si="10"/>
        <v>1</v>
      </c>
      <c r="H117">
        <f t="shared" si="11"/>
        <v>1</v>
      </c>
      <c r="I117">
        <f t="shared" si="12"/>
        <v>0</v>
      </c>
      <c r="J117">
        <v>77.599999999999994</v>
      </c>
      <c r="K117">
        <v>86.2</v>
      </c>
      <c r="L117">
        <v>69.900000000000006</v>
      </c>
      <c r="M117">
        <v>77.5</v>
      </c>
      <c r="N117">
        <v>58.6</v>
      </c>
      <c r="O117">
        <v>53.3</v>
      </c>
      <c r="S117">
        <f t="shared" si="13"/>
        <v>1</v>
      </c>
      <c r="T117">
        <f t="shared" si="14"/>
        <v>0</v>
      </c>
      <c r="U117">
        <f t="shared" si="15"/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10.3</v>
      </c>
      <c r="AG117">
        <f t="shared" si="16"/>
        <v>1</v>
      </c>
      <c r="AH117">
        <f t="shared" si="17"/>
        <v>0</v>
      </c>
      <c r="AI117">
        <f t="shared" si="18"/>
        <v>1</v>
      </c>
      <c r="AJ117">
        <v>208</v>
      </c>
      <c r="AK117">
        <v>1013.8</v>
      </c>
      <c r="AL117">
        <v>30</v>
      </c>
      <c r="AM117">
        <v>6.4</v>
      </c>
      <c r="AN117">
        <v>0</v>
      </c>
      <c r="AO117">
        <v>0</v>
      </c>
      <c r="AP117">
        <v>0</v>
      </c>
      <c r="AQ117">
        <v>0</v>
      </c>
      <c r="AR117" t="s">
        <v>426</v>
      </c>
      <c r="AS117" t="s">
        <v>427</v>
      </c>
      <c r="AT117">
        <v>0.75</v>
      </c>
      <c r="AU117" t="s">
        <v>43</v>
      </c>
      <c r="AV117" t="s">
        <v>44</v>
      </c>
      <c r="AW117" t="s">
        <v>45</v>
      </c>
      <c r="AX117" s="1">
        <v>0.57222222222222219</v>
      </c>
      <c r="AY117" t="s">
        <v>428</v>
      </c>
      <c r="AZ117">
        <v>255.99999999627471</v>
      </c>
      <c r="BA117">
        <v>0</v>
      </c>
      <c r="BB117">
        <v>0</v>
      </c>
      <c r="BC117">
        <v>0.5</v>
      </c>
      <c r="BD117">
        <v>0</v>
      </c>
      <c r="BE117">
        <f t="shared" si="19"/>
        <v>1</v>
      </c>
    </row>
    <row r="118" spans="1:57" x14ac:dyDescent="0.25">
      <c r="A118" t="s">
        <v>39</v>
      </c>
      <c r="B118" t="s">
        <v>234</v>
      </c>
      <c r="C118">
        <v>77.099999999999994</v>
      </c>
      <c r="D118">
        <v>59.1</v>
      </c>
      <c r="G118">
        <f t="shared" si="10"/>
        <v>1</v>
      </c>
      <c r="H118">
        <f t="shared" si="11"/>
        <v>1</v>
      </c>
      <c r="I118">
        <f t="shared" si="12"/>
        <v>0</v>
      </c>
      <c r="J118">
        <v>66.5</v>
      </c>
      <c r="K118">
        <v>77.099999999999994</v>
      </c>
      <c r="L118">
        <v>59.1</v>
      </c>
      <c r="M118">
        <v>66.5</v>
      </c>
      <c r="N118">
        <v>40.700000000000003</v>
      </c>
      <c r="O118">
        <v>41</v>
      </c>
      <c r="S118">
        <f t="shared" si="13"/>
        <v>1</v>
      </c>
      <c r="T118">
        <f t="shared" si="14"/>
        <v>0</v>
      </c>
      <c r="U118">
        <f t="shared" si="15"/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10.3</v>
      </c>
      <c r="AG118">
        <f t="shared" si="16"/>
        <v>1</v>
      </c>
      <c r="AH118">
        <f t="shared" si="17"/>
        <v>0</v>
      </c>
      <c r="AI118">
        <f t="shared" si="18"/>
        <v>1</v>
      </c>
      <c r="AJ118">
        <v>160.80000000000001</v>
      </c>
      <c r="AK118">
        <v>1021.6</v>
      </c>
      <c r="AL118">
        <v>76.7</v>
      </c>
      <c r="AM118">
        <v>6.3</v>
      </c>
      <c r="AN118">
        <v>0</v>
      </c>
      <c r="AO118">
        <v>0</v>
      </c>
      <c r="AP118">
        <v>0</v>
      </c>
      <c r="AQ118">
        <v>0</v>
      </c>
      <c r="AR118" t="s">
        <v>235</v>
      </c>
      <c r="AS118" t="s">
        <v>236</v>
      </c>
      <c r="AT118">
        <v>0.5</v>
      </c>
      <c r="AU118" t="s">
        <v>43</v>
      </c>
      <c r="AV118" t="s">
        <v>44</v>
      </c>
      <c r="AW118" t="s">
        <v>45</v>
      </c>
      <c r="AX118" s="1">
        <v>0.45763888888888887</v>
      </c>
      <c r="AY118" t="s">
        <v>429</v>
      </c>
      <c r="AZ118">
        <v>330.99999999976723</v>
      </c>
      <c r="BA118">
        <v>0</v>
      </c>
      <c r="BB118">
        <v>0</v>
      </c>
      <c r="BC118">
        <v>15</v>
      </c>
      <c r="BD118">
        <v>0</v>
      </c>
      <c r="BE118">
        <f t="shared" si="19"/>
        <v>1</v>
      </c>
    </row>
    <row r="119" spans="1:57" x14ac:dyDescent="0.25">
      <c r="A119" t="s">
        <v>39</v>
      </c>
      <c r="B119" t="s">
        <v>430</v>
      </c>
      <c r="C119">
        <v>66.3</v>
      </c>
      <c r="D119">
        <v>55.5</v>
      </c>
      <c r="G119">
        <f t="shared" si="10"/>
        <v>0</v>
      </c>
      <c r="H119">
        <f t="shared" si="11"/>
        <v>0</v>
      </c>
      <c r="I119">
        <f t="shared" si="12"/>
        <v>0</v>
      </c>
      <c r="J119">
        <v>61.5</v>
      </c>
      <c r="K119">
        <v>66.3</v>
      </c>
      <c r="L119">
        <v>55.5</v>
      </c>
      <c r="M119">
        <v>61.5</v>
      </c>
      <c r="N119">
        <v>53.9</v>
      </c>
      <c r="O119">
        <v>76.900000000000006</v>
      </c>
      <c r="S119">
        <f t="shared" si="13"/>
        <v>1</v>
      </c>
      <c r="T119">
        <f t="shared" si="14"/>
        <v>1</v>
      </c>
      <c r="U119">
        <f t="shared" si="15"/>
        <v>0</v>
      </c>
      <c r="V119">
        <v>7.9000000000000001E-2</v>
      </c>
      <c r="W119">
        <v>100</v>
      </c>
      <c r="X119">
        <v>4.17</v>
      </c>
      <c r="Y119" t="s">
        <v>103</v>
      </c>
      <c r="Z119">
        <v>0</v>
      </c>
      <c r="AA119">
        <v>0</v>
      </c>
      <c r="AB119">
        <v>0</v>
      </c>
      <c r="AC119">
        <v>10.3</v>
      </c>
      <c r="AG119">
        <f t="shared" si="16"/>
        <v>1</v>
      </c>
      <c r="AH119">
        <f t="shared" si="17"/>
        <v>0</v>
      </c>
      <c r="AI119">
        <f t="shared" si="18"/>
        <v>1</v>
      </c>
      <c r="AJ119">
        <v>310.39999999999998</v>
      </c>
      <c r="AK119">
        <v>1017.6</v>
      </c>
      <c r="AL119">
        <v>48.3</v>
      </c>
      <c r="AM119">
        <v>6.8</v>
      </c>
      <c r="AN119">
        <v>0</v>
      </c>
      <c r="AO119">
        <v>0</v>
      </c>
      <c r="AP119">
        <v>0</v>
      </c>
      <c r="AQ119">
        <v>0</v>
      </c>
      <c r="AR119" t="s">
        <v>431</v>
      </c>
      <c r="AS119" t="s">
        <v>432</v>
      </c>
      <c r="AT119">
        <v>0.91</v>
      </c>
      <c r="AU119" t="s">
        <v>106</v>
      </c>
      <c r="AV119" t="s">
        <v>433</v>
      </c>
      <c r="AW119" t="s">
        <v>103</v>
      </c>
      <c r="AX119" s="1">
        <v>0.54097222222222219</v>
      </c>
      <c r="AY119" t="s">
        <v>434</v>
      </c>
      <c r="AZ119">
        <v>180.99999999278231</v>
      </c>
      <c r="BA119">
        <v>0</v>
      </c>
      <c r="BB119">
        <v>0</v>
      </c>
      <c r="BC119">
        <v>2</v>
      </c>
      <c r="BD119">
        <v>0</v>
      </c>
      <c r="BE119">
        <f t="shared" si="19"/>
        <v>0</v>
      </c>
    </row>
    <row r="120" spans="1:57" x14ac:dyDescent="0.25">
      <c r="A120" t="s">
        <v>39</v>
      </c>
      <c r="B120" t="s">
        <v>435</v>
      </c>
      <c r="C120">
        <v>66.3</v>
      </c>
      <c r="D120">
        <v>50.1</v>
      </c>
      <c r="G120">
        <f t="shared" si="10"/>
        <v>1</v>
      </c>
      <c r="H120">
        <f t="shared" si="11"/>
        <v>1</v>
      </c>
      <c r="I120">
        <f t="shared" si="12"/>
        <v>0</v>
      </c>
      <c r="J120">
        <v>57.9</v>
      </c>
      <c r="K120">
        <v>66.3</v>
      </c>
      <c r="L120">
        <v>50.1</v>
      </c>
      <c r="M120">
        <v>57.9</v>
      </c>
      <c r="N120">
        <v>46</v>
      </c>
      <c r="O120">
        <v>66.099999999999994</v>
      </c>
      <c r="S120">
        <f t="shared" si="13"/>
        <v>1</v>
      </c>
      <c r="T120">
        <f t="shared" si="14"/>
        <v>0</v>
      </c>
      <c r="U120">
        <f t="shared" si="15"/>
        <v>1</v>
      </c>
      <c r="V120">
        <v>0.161</v>
      </c>
      <c r="W120">
        <v>100</v>
      </c>
      <c r="X120">
        <v>4.17</v>
      </c>
      <c r="Y120" t="s">
        <v>103</v>
      </c>
      <c r="Z120">
        <v>0</v>
      </c>
      <c r="AA120">
        <v>0</v>
      </c>
      <c r="AB120">
        <v>0</v>
      </c>
      <c r="AC120">
        <v>13.9</v>
      </c>
      <c r="AG120">
        <f t="shared" si="16"/>
        <v>1</v>
      </c>
      <c r="AH120">
        <f t="shared" si="17"/>
        <v>0</v>
      </c>
      <c r="AI120">
        <f t="shared" si="18"/>
        <v>1</v>
      </c>
      <c r="AJ120">
        <v>244.3</v>
      </c>
      <c r="AK120">
        <v>1018.6</v>
      </c>
      <c r="AL120">
        <v>33.299999999999997</v>
      </c>
      <c r="AM120">
        <v>6.8</v>
      </c>
      <c r="AN120">
        <v>0</v>
      </c>
      <c r="AO120">
        <v>0</v>
      </c>
      <c r="AP120">
        <v>0</v>
      </c>
      <c r="AQ120">
        <v>0</v>
      </c>
      <c r="AR120" t="s">
        <v>436</v>
      </c>
      <c r="AS120" t="s">
        <v>437</v>
      </c>
      <c r="AT120">
        <v>0.75</v>
      </c>
      <c r="AU120" t="s">
        <v>106</v>
      </c>
      <c r="AV120" t="s">
        <v>438</v>
      </c>
      <c r="AW120" t="s">
        <v>103</v>
      </c>
      <c r="AX120" s="1">
        <v>0.69097222222222221</v>
      </c>
      <c r="AY120" t="s">
        <v>439</v>
      </c>
      <c r="AZ120">
        <v>85.000000004656613</v>
      </c>
      <c r="BA120">
        <v>0</v>
      </c>
      <c r="BB120">
        <v>0</v>
      </c>
      <c r="BC120">
        <v>8</v>
      </c>
      <c r="BD120">
        <v>0</v>
      </c>
      <c r="BE120">
        <f t="shared" si="19"/>
        <v>1</v>
      </c>
    </row>
    <row r="121" spans="1:57" x14ac:dyDescent="0.25">
      <c r="A121" t="s">
        <v>39</v>
      </c>
      <c r="B121" t="s">
        <v>309</v>
      </c>
      <c r="C121">
        <v>82.5</v>
      </c>
      <c r="D121">
        <v>66.3</v>
      </c>
      <c r="G121">
        <f t="shared" si="10"/>
        <v>1</v>
      </c>
      <c r="H121">
        <f t="shared" si="11"/>
        <v>1</v>
      </c>
      <c r="I121">
        <f t="shared" si="12"/>
        <v>0</v>
      </c>
      <c r="J121">
        <v>75.099999999999994</v>
      </c>
      <c r="K121">
        <v>83</v>
      </c>
      <c r="L121">
        <v>66.3</v>
      </c>
      <c r="M121">
        <v>75.2</v>
      </c>
      <c r="N121">
        <v>58.1</v>
      </c>
      <c r="O121">
        <v>56.1</v>
      </c>
      <c r="S121">
        <f t="shared" si="13"/>
        <v>1</v>
      </c>
      <c r="T121">
        <f t="shared" si="14"/>
        <v>0</v>
      </c>
      <c r="U121">
        <f t="shared" si="15"/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12.8</v>
      </c>
      <c r="AG121">
        <f t="shared" si="16"/>
        <v>1</v>
      </c>
      <c r="AH121">
        <f t="shared" si="17"/>
        <v>0</v>
      </c>
      <c r="AI121">
        <f t="shared" si="18"/>
        <v>1</v>
      </c>
      <c r="AJ121">
        <v>286.39999999999998</v>
      </c>
      <c r="AK121">
        <v>1013.4</v>
      </c>
      <c r="AL121">
        <v>0</v>
      </c>
      <c r="AM121">
        <v>6.2</v>
      </c>
      <c r="AN121">
        <v>0</v>
      </c>
      <c r="AO121">
        <v>0</v>
      </c>
      <c r="AP121">
        <v>0</v>
      </c>
      <c r="AQ121">
        <v>0</v>
      </c>
      <c r="AR121" t="s">
        <v>310</v>
      </c>
      <c r="AS121" t="s">
        <v>311</v>
      </c>
      <c r="AT121">
        <v>0.2</v>
      </c>
      <c r="AU121" t="s">
        <v>74</v>
      </c>
      <c r="AV121" t="s">
        <v>44</v>
      </c>
      <c r="AW121" t="s">
        <v>75</v>
      </c>
      <c r="AX121" s="1">
        <v>0.48194444444444451</v>
      </c>
      <c r="AY121" t="s">
        <v>440</v>
      </c>
      <c r="AZ121">
        <v>326.00000000442378</v>
      </c>
      <c r="BA121">
        <v>0</v>
      </c>
      <c r="BB121">
        <v>1</v>
      </c>
      <c r="BC121">
        <v>0</v>
      </c>
      <c r="BD121">
        <v>0</v>
      </c>
      <c r="BE121">
        <f t="shared" si="19"/>
        <v>1</v>
      </c>
    </row>
    <row r="122" spans="1:57" x14ac:dyDescent="0.25">
      <c r="A122" t="s">
        <v>39</v>
      </c>
      <c r="B122" t="s">
        <v>379</v>
      </c>
      <c r="C122">
        <v>100.5</v>
      </c>
      <c r="D122">
        <v>75.3</v>
      </c>
      <c r="G122">
        <f t="shared" si="10"/>
        <v>1</v>
      </c>
      <c r="H122">
        <f t="shared" si="11"/>
        <v>1</v>
      </c>
      <c r="I122">
        <f t="shared" si="12"/>
        <v>0</v>
      </c>
      <c r="J122">
        <v>87.3</v>
      </c>
      <c r="K122">
        <v>96.1</v>
      </c>
      <c r="L122">
        <v>75.3</v>
      </c>
      <c r="M122">
        <v>85.7</v>
      </c>
      <c r="N122">
        <v>47.6</v>
      </c>
      <c r="O122">
        <v>27.3</v>
      </c>
      <c r="S122">
        <f t="shared" si="13"/>
        <v>1</v>
      </c>
      <c r="T122">
        <f t="shared" si="14"/>
        <v>0</v>
      </c>
      <c r="U122">
        <f t="shared" si="15"/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10.3</v>
      </c>
      <c r="AG122">
        <f t="shared" si="16"/>
        <v>1</v>
      </c>
      <c r="AH122">
        <f t="shared" si="17"/>
        <v>0</v>
      </c>
      <c r="AI122">
        <f t="shared" si="18"/>
        <v>1</v>
      </c>
      <c r="AJ122">
        <v>150.4</v>
      </c>
      <c r="AK122">
        <v>1004.6</v>
      </c>
      <c r="AL122">
        <v>0</v>
      </c>
      <c r="AM122">
        <v>6.2</v>
      </c>
      <c r="AN122">
        <v>0</v>
      </c>
      <c r="AO122">
        <v>0</v>
      </c>
      <c r="AP122">
        <v>0</v>
      </c>
      <c r="AQ122">
        <v>0</v>
      </c>
      <c r="AR122" t="s">
        <v>380</v>
      </c>
      <c r="AS122" t="s">
        <v>381</v>
      </c>
      <c r="AT122">
        <v>0.26</v>
      </c>
      <c r="AU122" t="s">
        <v>74</v>
      </c>
      <c r="AV122" t="s">
        <v>44</v>
      </c>
      <c r="AW122" t="s">
        <v>75</v>
      </c>
      <c r="AX122" s="1">
        <v>0.92708333333333337</v>
      </c>
      <c r="AY122" t="s">
        <v>441</v>
      </c>
      <c r="AZ122">
        <v>585</v>
      </c>
      <c r="BA122">
        <v>1</v>
      </c>
      <c r="BB122">
        <v>0</v>
      </c>
      <c r="BC122">
        <v>10</v>
      </c>
      <c r="BD122">
        <v>0</v>
      </c>
      <c r="BE122">
        <f t="shared" si="19"/>
        <v>1</v>
      </c>
    </row>
    <row r="123" spans="1:57" x14ac:dyDescent="0.25">
      <c r="A123" t="s">
        <v>39</v>
      </c>
      <c r="B123" t="s">
        <v>150</v>
      </c>
      <c r="C123">
        <v>73.5</v>
      </c>
      <c r="D123">
        <v>60.9</v>
      </c>
      <c r="G123">
        <f t="shared" si="10"/>
        <v>0</v>
      </c>
      <c r="H123">
        <f t="shared" si="11"/>
        <v>0</v>
      </c>
      <c r="I123">
        <f t="shared" si="12"/>
        <v>0</v>
      </c>
      <c r="J123">
        <v>68.400000000000006</v>
      </c>
      <c r="K123">
        <v>73.5</v>
      </c>
      <c r="L123">
        <v>60.9</v>
      </c>
      <c r="M123">
        <v>68.400000000000006</v>
      </c>
      <c r="N123">
        <v>58.1</v>
      </c>
      <c r="O123">
        <v>69.900000000000006</v>
      </c>
      <c r="S123">
        <f t="shared" si="13"/>
        <v>1</v>
      </c>
      <c r="T123">
        <f t="shared" si="14"/>
        <v>1</v>
      </c>
      <c r="U123">
        <f t="shared" si="15"/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10.3</v>
      </c>
      <c r="AG123">
        <f t="shared" si="16"/>
        <v>1</v>
      </c>
      <c r="AH123">
        <f t="shared" si="17"/>
        <v>0</v>
      </c>
      <c r="AI123">
        <f t="shared" si="18"/>
        <v>1</v>
      </c>
      <c r="AJ123">
        <v>73.7</v>
      </c>
      <c r="AK123">
        <v>1014.4</v>
      </c>
      <c r="AL123">
        <v>64.5</v>
      </c>
      <c r="AM123">
        <v>6.5</v>
      </c>
      <c r="AN123">
        <v>0</v>
      </c>
      <c r="AO123">
        <v>0</v>
      </c>
      <c r="AP123">
        <v>0</v>
      </c>
      <c r="AQ123">
        <v>0</v>
      </c>
      <c r="AR123" t="s">
        <v>151</v>
      </c>
      <c r="AS123" t="s">
        <v>152</v>
      </c>
      <c r="AT123">
        <v>0.63</v>
      </c>
      <c r="AU123" t="s">
        <v>43</v>
      </c>
      <c r="AV123" t="s">
        <v>44</v>
      </c>
      <c r="AW123" t="s">
        <v>45</v>
      </c>
      <c r="AX123" s="1">
        <v>0.1388888888888889</v>
      </c>
      <c r="AY123" t="s">
        <v>442</v>
      </c>
      <c r="AZ123">
        <v>1779.9999999976719</v>
      </c>
      <c r="BA123">
        <v>1</v>
      </c>
      <c r="BB123">
        <v>0</v>
      </c>
      <c r="BC123">
        <v>70</v>
      </c>
      <c r="BD123">
        <v>0</v>
      </c>
      <c r="BE123">
        <f t="shared" si="19"/>
        <v>0</v>
      </c>
    </row>
    <row r="124" spans="1:57" x14ac:dyDescent="0.25">
      <c r="A124" t="s">
        <v>39</v>
      </c>
      <c r="B124" t="s">
        <v>178</v>
      </c>
      <c r="C124">
        <v>80.7</v>
      </c>
      <c r="D124">
        <v>68.099999999999994</v>
      </c>
      <c r="G124">
        <f t="shared" si="10"/>
        <v>1</v>
      </c>
      <c r="H124">
        <f t="shared" si="11"/>
        <v>0</v>
      </c>
      <c r="I124">
        <f t="shared" si="12"/>
        <v>1</v>
      </c>
      <c r="J124">
        <v>76.900000000000006</v>
      </c>
      <c r="K124">
        <v>84.1</v>
      </c>
      <c r="L124">
        <v>68.099999999999994</v>
      </c>
      <c r="M124">
        <v>77.900000000000006</v>
      </c>
      <c r="N124">
        <v>65.599999999999994</v>
      </c>
      <c r="O124">
        <v>68.599999999999994</v>
      </c>
      <c r="S124">
        <f t="shared" si="13"/>
        <v>1</v>
      </c>
      <c r="T124">
        <f t="shared" si="14"/>
        <v>1</v>
      </c>
      <c r="U124">
        <f t="shared" si="15"/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16.100000000000001</v>
      </c>
      <c r="AG124">
        <f t="shared" si="16"/>
        <v>0</v>
      </c>
      <c r="AH124">
        <f t="shared" si="17"/>
        <v>0</v>
      </c>
      <c r="AI124">
        <f t="shared" si="18"/>
        <v>0</v>
      </c>
      <c r="AJ124">
        <v>320.2</v>
      </c>
      <c r="AK124">
        <v>1009.8</v>
      </c>
      <c r="AL124">
        <v>30</v>
      </c>
      <c r="AM124">
        <v>6.5</v>
      </c>
      <c r="AN124">
        <v>0</v>
      </c>
      <c r="AO124">
        <v>0</v>
      </c>
      <c r="AP124">
        <v>0</v>
      </c>
      <c r="AQ124">
        <v>0</v>
      </c>
      <c r="AR124" t="s">
        <v>179</v>
      </c>
      <c r="AS124" t="s">
        <v>180</v>
      </c>
      <c r="AT124">
        <v>0.5</v>
      </c>
      <c r="AU124" t="s">
        <v>43</v>
      </c>
      <c r="AV124" t="s">
        <v>44</v>
      </c>
      <c r="AW124" t="s">
        <v>45</v>
      </c>
      <c r="AX124" s="1">
        <v>0.49930555555555561</v>
      </c>
      <c r="AY124" t="s">
        <v>443</v>
      </c>
      <c r="AZ124">
        <v>330.99999999976723</v>
      </c>
      <c r="BA124">
        <v>0</v>
      </c>
      <c r="BB124">
        <v>0</v>
      </c>
      <c r="BC124">
        <v>5</v>
      </c>
      <c r="BD124">
        <v>0</v>
      </c>
      <c r="BE124">
        <f t="shared" si="19"/>
        <v>0</v>
      </c>
    </row>
    <row r="125" spans="1:57" x14ac:dyDescent="0.25">
      <c r="A125" t="s">
        <v>39</v>
      </c>
      <c r="B125" t="s">
        <v>444</v>
      </c>
      <c r="C125">
        <v>55.5</v>
      </c>
      <c r="D125">
        <v>48.3</v>
      </c>
      <c r="G125">
        <f t="shared" si="10"/>
        <v>1</v>
      </c>
      <c r="H125">
        <f t="shared" si="11"/>
        <v>0</v>
      </c>
      <c r="I125">
        <f t="shared" si="12"/>
        <v>1</v>
      </c>
      <c r="J125">
        <v>53.1</v>
      </c>
      <c r="K125">
        <v>55.5</v>
      </c>
      <c r="L125">
        <v>46.4</v>
      </c>
      <c r="M125">
        <v>53</v>
      </c>
      <c r="N125">
        <v>38</v>
      </c>
      <c r="O125">
        <v>57</v>
      </c>
      <c r="S125">
        <f t="shared" si="13"/>
        <v>1</v>
      </c>
      <c r="T125">
        <f t="shared" si="14"/>
        <v>0</v>
      </c>
      <c r="U125">
        <f t="shared" si="15"/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17.2</v>
      </c>
      <c r="AG125">
        <f t="shared" si="16"/>
        <v>1</v>
      </c>
      <c r="AH125">
        <f t="shared" si="17"/>
        <v>0</v>
      </c>
      <c r="AI125">
        <f t="shared" si="18"/>
        <v>1</v>
      </c>
      <c r="AJ125">
        <v>341.9</v>
      </c>
      <c r="AK125">
        <v>1023.1</v>
      </c>
      <c r="AL125">
        <v>84.8</v>
      </c>
      <c r="AM125">
        <v>6.8</v>
      </c>
      <c r="AN125">
        <v>0</v>
      </c>
      <c r="AO125">
        <v>0</v>
      </c>
      <c r="AP125">
        <v>0</v>
      </c>
      <c r="AQ125">
        <v>0</v>
      </c>
      <c r="AR125" t="s">
        <v>445</v>
      </c>
      <c r="AS125" t="s">
        <v>446</v>
      </c>
      <c r="AT125">
        <v>0.86</v>
      </c>
      <c r="AU125" t="s">
        <v>43</v>
      </c>
      <c r="AV125" t="s">
        <v>44</v>
      </c>
      <c r="AW125" t="s">
        <v>45</v>
      </c>
      <c r="AX125" s="1">
        <v>0.69374999999999998</v>
      </c>
      <c r="AY125" t="s">
        <v>447</v>
      </c>
      <c r="AZ125">
        <v>81.000000002095476</v>
      </c>
      <c r="BA125">
        <v>0</v>
      </c>
      <c r="BB125">
        <v>0</v>
      </c>
      <c r="BC125">
        <v>0.5</v>
      </c>
      <c r="BD125">
        <v>0</v>
      </c>
      <c r="BE125">
        <f t="shared" si="19"/>
        <v>0</v>
      </c>
    </row>
    <row r="126" spans="1:57" x14ac:dyDescent="0.25">
      <c r="A126" t="s">
        <v>39</v>
      </c>
      <c r="B126" t="s">
        <v>448</v>
      </c>
      <c r="C126">
        <v>89.7</v>
      </c>
      <c r="D126">
        <v>78.900000000000006</v>
      </c>
      <c r="G126">
        <f t="shared" si="10"/>
        <v>1</v>
      </c>
      <c r="H126">
        <f t="shared" si="11"/>
        <v>1</v>
      </c>
      <c r="I126">
        <f t="shared" si="12"/>
        <v>0</v>
      </c>
      <c r="J126">
        <v>83.9</v>
      </c>
      <c r="K126">
        <v>89</v>
      </c>
      <c r="L126">
        <v>78.900000000000006</v>
      </c>
      <c r="M126">
        <v>84.5</v>
      </c>
      <c r="N126">
        <v>62</v>
      </c>
      <c r="O126">
        <v>48.4</v>
      </c>
      <c r="S126">
        <f t="shared" si="13"/>
        <v>1</v>
      </c>
      <c r="T126">
        <f t="shared" si="14"/>
        <v>0</v>
      </c>
      <c r="U126">
        <f t="shared" si="15"/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21.9</v>
      </c>
      <c r="AG126">
        <f t="shared" si="16"/>
        <v>1</v>
      </c>
      <c r="AH126">
        <f t="shared" si="17"/>
        <v>1</v>
      </c>
      <c r="AI126">
        <f t="shared" si="18"/>
        <v>0</v>
      </c>
      <c r="AJ126">
        <v>306</v>
      </c>
      <c r="AK126">
        <v>1009.3</v>
      </c>
      <c r="AL126">
        <v>0</v>
      </c>
      <c r="AM126">
        <v>6.2</v>
      </c>
      <c r="AN126">
        <v>0</v>
      </c>
      <c r="AO126">
        <v>0</v>
      </c>
      <c r="AP126">
        <v>0</v>
      </c>
      <c r="AQ126">
        <v>0</v>
      </c>
      <c r="AR126" t="s">
        <v>449</v>
      </c>
      <c r="AS126" t="s">
        <v>450</v>
      </c>
      <c r="AT126">
        <v>0.69</v>
      </c>
      <c r="AU126" t="s">
        <v>74</v>
      </c>
      <c r="AV126" t="s">
        <v>44</v>
      </c>
      <c r="AW126" t="s">
        <v>75</v>
      </c>
      <c r="AX126" s="1">
        <v>0.66597222222222219</v>
      </c>
      <c r="AY126" t="s">
        <v>451</v>
      </c>
      <c r="AZ126">
        <v>3150.9999999927818</v>
      </c>
      <c r="BA126">
        <v>1</v>
      </c>
      <c r="BB126">
        <v>0</v>
      </c>
      <c r="BC126">
        <v>20</v>
      </c>
      <c r="BD126">
        <v>0</v>
      </c>
      <c r="BE126">
        <f t="shared" si="19"/>
        <v>1</v>
      </c>
    </row>
    <row r="127" spans="1:57" x14ac:dyDescent="0.25">
      <c r="A127" t="s">
        <v>39</v>
      </c>
      <c r="B127" t="s">
        <v>452</v>
      </c>
      <c r="C127">
        <v>86.1</v>
      </c>
      <c r="D127">
        <v>80.7</v>
      </c>
      <c r="G127">
        <f t="shared" si="10"/>
        <v>1</v>
      </c>
      <c r="H127">
        <f t="shared" si="11"/>
        <v>1</v>
      </c>
      <c r="I127">
        <f t="shared" si="12"/>
        <v>0</v>
      </c>
      <c r="J127">
        <v>83.3</v>
      </c>
      <c r="K127">
        <v>89.8</v>
      </c>
      <c r="L127">
        <v>83.4</v>
      </c>
      <c r="M127">
        <v>85.8</v>
      </c>
      <c r="N127">
        <v>66.3</v>
      </c>
      <c r="O127">
        <v>57</v>
      </c>
      <c r="S127">
        <f t="shared" si="13"/>
        <v>1</v>
      </c>
      <c r="T127">
        <f t="shared" si="14"/>
        <v>0</v>
      </c>
      <c r="U127">
        <f t="shared" si="15"/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23</v>
      </c>
      <c r="AG127">
        <f t="shared" si="16"/>
        <v>1</v>
      </c>
      <c r="AH127">
        <f t="shared" si="17"/>
        <v>1</v>
      </c>
      <c r="AI127">
        <f t="shared" si="18"/>
        <v>0</v>
      </c>
      <c r="AJ127">
        <v>299.39999999999998</v>
      </c>
      <c r="AK127">
        <v>1009.4</v>
      </c>
      <c r="AL127">
        <v>30</v>
      </c>
      <c r="AM127">
        <v>6.5</v>
      </c>
      <c r="AN127">
        <v>0</v>
      </c>
      <c r="AO127">
        <v>0</v>
      </c>
      <c r="AP127">
        <v>0</v>
      </c>
      <c r="AQ127">
        <v>0</v>
      </c>
      <c r="AR127" t="s">
        <v>453</v>
      </c>
      <c r="AS127" t="s">
        <v>454</v>
      </c>
      <c r="AT127">
        <v>0.37</v>
      </c>
      <c r="AU127" t="s">
        <v>43</v>
      </c>
      <c r="AV127" t="s">
        <v>44</v>
      </c>
      <c r="AW127" t="s">
        <v>45</v>
      </c>
      <c r="AX127" s="1">
        <v>0.74930555555555556</v>
      </c>
      <c r="AY127" t="s">
        <v>455</v>
      </c>
      <c r="AZ127">
        <v>171.0000000020955</v>
      </c>
      <c r="BA127">
        <v>0</v>
      </c>
      <c r="BB127">
        <v>0.1</v>
      </c>
      <c r="BC127">
        <v>0</v>
      </c>
      <c r="BD127">
        <v>0</v>
      </c>
      <c r="BE127">
        <f t="shared" si="19"/>
        <v>1</v>
      </c>
    </row>
    <row r="128" spans="1:57" x14ac:dyDescent="0.25">
      <c r="A128" t="s">
        <v>39</v>
      </c>
      <c r="B128" t="s">
        <v>456</v>
      </c>
      <c r="C128">
        <v>62.7</v>
      </c>
      <c r="D128">
        <v>48.3</v>
      </c>
      <c r="G128">
        <f t="shared" si="10"/>
        <v>0</v>
      </c>
      <c r="H128">
        <f t="shared" si="11"/>
        <v>0</v>
      </c>
      <c r="I128">
        <f t="shared" si="12"/>
        <v>0</v>
      </c>
      <c r="J128">
        <v>56</v>
      </c>
      <c r="K128">
        <v>62.7</v>
      </c>
      <c r="L128">
        <v>45.2</v>
      </c>
      <c r="M128">
        <v>55.5</v>
      </c>
      <c r="N128">
        <v>50.1</v>
      </c>
      <c r="O128">
        <v>81</v>
      </c>
      <c r="S128">
        <f t="shared" si="13"/>
        <v>1</v>
      </c>
      <c r="T128">
        <f t="shared" si="14"/>
        <v>1</v>
      </c>
      <c r="U128">
        <f t="shared" si="15"/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9.1999999999999993</v>
      </c>
      <c r="AG128">
        <f t="shared" si="16"/>
        <v>1</v>
      </c>
      <c r="AH128">
        <f t="shared" si="17"/>
        <v>0</v>
      </c>
      <c r="AI128">
        <f t="shared" si="18"/>
        <v>1</v>
      </c>
      <c r="AJ128">
        <v>88.2</v>
      </c>
      <c r="AK128">
        <v>1019.1</v>
      </c>
      <c r="AL128">
        <v>30</v>
      </c>
      <c r="AM128">
        <v>6.6</v>
      </c>
      <c r="AN128">
        <v>0</v>
      </c>
      <c r="AO128">
        <v>0</v>
      </c>
      <c r="AP128">
        <v>0</v>
      </c>
      <c r="AQ128">
        <v>0</v>
      </c>
      <c r="AR128" t="s">
        <v>457</v>
      </c>
      <c r="AS128" t="s">
        <v>458</v>
      </c>
      <c r="AT128">
        <v>0.75</v>
      </c>
      <c r="AU128" t="s">
        <v>43</v>
      </c>
      <c r="AV128" t="s">
        <v>44</v>
      </c>
      <c r="AW128" t="s">
        <v>45</v>
      </c>
      <c r="AX128" s="1">
        <v>0.90902777777777777</v>
      </c>
      <c r="AY128" t="s">
        <v>459</v>
      </c>
      <c r="AZ128">
        <v>360.99999999278231</v>
      </c>
      <c r="BA128">
        <v>1</v>
      </c>
      <c r="BB128">
        <v>10</v>
      </c>
      <c r="BC128">
        <v>0</v>
      </c>
      <c r="BD128">
        <v>0</v>
      </c>
      <c r="BE128">
        <f t="shared" si="19"/>
        <v>0</v>
      </c>
    </row>
    <row r="129" spans="1:57" x14ac:dyDescent="0.25">
      <c r="A129" t="s">
        <v>39</v>
      </c>
      <c r="B129" t="s">
        <v>460</v>
      </c>
      <c r="C129">
        <v>60.9</v>
      </c>
      <c r="D129">
        <v>48.3</v>
      </c>
      <c r="G129">
        <f t="shared" si="10"/>
        <v>1</v>
      </c>
      <c r="H129">
        <f t="shared" si="11"/>
        <v>1</v>
      </c>
      <c r="I129">
        <f t="shared" si="12"/>
        <v>0</v>
      </c>
      <c r="J129">
        <v>54.4</v>
      </c>
      <c r="K129">
        <v>60.9</v>
      </c>
      <c r="L129">
        <v>46.4</v>
      </c>
      <c r="M129">
        <v>54.1</v>
      </c>
      <c r="N129">
        <v>48.8</v>
      </c>
      <c r="O129">
        <v>82</v>
      </c>
      <c r="S129">
        <f t="shared" si="13"/>
        <v>1</v>
      </c>
      <c r="T129">
        <f t="shared" si="14"/>
        <v>1</v>
      </c>
      <c r="U129">
        <f t="shared" si="15"/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9.1999999999999993</v>
      </c>
      <c r="AG129">
        <f t="shared" si="16"/>
        <v>1</v>
      </c>
      <c r="AH129">
        <f t="shared" si="17"/>
        <v>0</v>
      </c>
      <c r="AI129">
        <f t="shared" si="18"/>
        <v>1</v>
      </c>
      <c r="AJ129">
        <v>277</v>
      </c>
      <c r="AK129">
        <v>1023.7</v>
      </c>
      <c r="AL129">
        <v>30.8</v>
      </c>
      <c r="AM129">
        <v>6.8</v>
      </c>
      <c r="AN129">
        <v>0</v>
      </c>
      <c r="AO129">
        <v>0</v>
      </c>
      <c r="AP129">
        <v>0</v>
      </c>
      <c r="AQ129">
        <v>0</v>
      </c>
      <c r="AR129" t="s">
        <v>461</v>
      </c>
      <c r="AS129" t="s">
        <v>462</v>
      </c>
      <c r="AT129">
        <v>0.47</v>
      </c>
      <c r="AU129" t="s">
        <v>43</v>
      </c>
      <c r="AV129" t="s">
        <v>44</v>
      </c>
      <c r="AW129" t="s">
        <v>45</v>
      </c>
      <c r="AX129" s="1">
        <v>0.87083333333333335</v>
      </c>
      <c r="AY129" t="s">
        <v>463</v>
      </c>
      <c r="AZ129">
        <v>55.999999993946403</v>
      </c>
      <c r="BA129">
        <v>0</v>
      </c>
      <c r="BB129">
        <v>0</v>
      </c>
      <c r="BC129">
        <v>2</v>
      </c>
      <c r="BD129">
        <v>0</v>
      </c>
      <c r="BE129">
        <f t="shared" si="19"/>
        <v>1</v>
      </c>
    </row>
    <row r="130" spans="1:57" x14ac:dyDescent="0.25">
      <c r="A130" t="s">
        <v>39</v>
      </c>
      <c r="B130" t="s">
        <v>464</v>
      </c>
      <c r="C130">
        <v>84.3</v>
      </c>
      <c r="D130">
        <v>68.099999999999994</v>
      </c>
      <c r="G130">
        <f t="shared" si="10"/>
        <v>0</v>
      </c>
      <c r="H130">
        <f t="shared" si="11"/>
        <v>0</v>
      </c>
      <c r="I130">
        <f t="shared" si="12"/>
        <v>0</v>
      </c>
      <c r="J130">
        <v>78.400000000000006</v>
      </c>
      <c r="K130">
        <v>87.6</v>
      </c>
      <c r="L130">
        <v>68.099999999999994</v>
      </c>
      <c r="M130">
        <v>79.7</v>
      </c>
      <c r="N130">
        <v>65.7</v>
      </c>
      <c r="O130">
        <v>66.900000000000006</v>
      </c>
      <c r="S130">
        <f t="shared" si="13"/>
        <v>1</v>
      </c>
      <c r="T130">
        <f t="shared" si="14"/>
        <v>1</v>
      </c>
      <c r="U130">
        <f t="shared" si="15"/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16.100000000000001</v>
      </c>
      <c r="AG130">
        <f t="shared" si="16"/>
        <v>0</v>
      </c>
      <c r="AH130">
        <f t="shared" si="17"/>
        <v>0</v>
      </c>
      <c r="AI130">
        <f t="shared" si="18"/>
        <v>0</v>
      </c>
      <c r="AJ130">
        <v>318.3</v>
      </c>
      <c r="AK130">
        <v>1010</v>
      </c>
      <c r="AL130">
        <v>30</v>
      </c>
      <c r="AM130">
        <v>6.2</v>
      </c>
      <c r="AN130">
        <v>0</v>
      </c>
      <c r="AO130">
        <v>0</v>
      </c>
      <c r="AP130">
        <v>0</v>
      </c>
      <c r="AQ130">
        <v>0</v>
      </c>
      <c r="AR130" t="s">
        <v>465</v>
      </c>
      <c r="AS130" t="s">
        <v>466</v>
      </c>
      <c r="AT130">
        <v>0.16</v>
      </c>
      <c r="AU130" t="s">
        <v>43</v>
      </c>
      <c r="AV130" t="s">
        <v>44</v>
      </c>
      <c r="AW130" t="s">
        <v>45</v>
      </c>
      <c r="AX130" s="1">
        <v>0.44722222222222219</v>
      </c>
      <c r="AY130" t="s">
        <v>467</v>
      </c>
      <c r="AZ130">
        <v>165.99999999627471</v>
      </c>
      <c r="BA130">
        <v>0</v>
      </c>
      <c r="BB130">
        <v>0</v>
      </c>
      <c r="BC130">
        <v>2</v>
      </c>
      <c r="BD130">
        <v>0</v>
      </c>
      <c r="BE130">
        <f t="shared" si="19"/>
        <v>0</v>
      </c>
    </row>
    <row r="131" spans="1:57" x14ac:dyDescent="0.25">
      <c r="A131" t="s">
        <v>39</v>
      </c>
      <c r="B131" t="s">
        <v>468</v>
      </c>
      <c r="C131">
        <v>73.5</v>
      </c>
      <c r="D131">
        <v>57.3</v>
      </c>
      <c r="G131">
        <f t="shared" ref="G131:G194" si="20">IF(ABS(C131-INDEX($F$2:$F$13,MONTH(B131)))&gt;1.8,1,0)</f>
        <v>1</v>
      </c>
      <c r="H131">
        <f t="shared" ref="H131:H194" si="21">IF(C131&gt;=INDEX($F$2:$F$13,MONTH(B131))+1.8,1,0)</f>
        <v>1</v>
      </c>
      <c r="I131">
        <f t="shared" ref="I131:I194" si="22">IF(C131&lt;=INDEX($F$2:$F$13,MONTH(B131))-1.8,1,0)</f>
        <v>0</v>
      </c>
      <c r="J131">
        <v>66.900000000000006</v>
      </c>
      <c r="K131">
        <v>73.5</v>
      </c>
      <c r="L131">
        <v>57.3</v>
      </c>
      <c r="M131">
        <v>66.900000000000006</v>
      </c>
      <c r="N131">
        <v>50.3</v>
      </c>
      <c r="O131">
        <v>56.7</v>
      </c>
      <c r="S131">
        <f t="shared" ref="S131:S194" si="23">IF(OR(O131&lt;INDEX($Q$2:$Q$13,MONTH(B131)),O131&gt;INDEX($R$2:$R$13,MONTH(B131))),1,0)</f>
        <v>1</v>
      </c>
      <c r="T131">
        <f t="shared" ref="T131:T194" si="24">IF(O131&gt;INDEX($R$2:$R$13,MONTH(B131)),1,0)</f>
        <v>0</v>
      </c>
      <c r="U131">
        <f t="shared" ref="U131:U194" si="25">IF(O131&lt;INDEX($Q$2:$Q$13,MONTH(B131)),1,0)</f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17.2</v>
      </c>
      <c r="AG131">
        <f t="shared" ref="AG131:AG194" si="26">IF(OR(AC131&lt;INDEX($AE$2:$AE$13,MONTH(B131)),AC131&gt;INDEX($AF$2:$AF$13,MONTH(B131))),1,0)</f>
        <v>0</v>
      </c>
      <c r="AH131">
        <f t="shared" ref="AH131:AH194" si="27">IF(AC131&gt;INDEX($AF$2:$AF$13,MONTH(B131)),1,0)</f>
        <v>0</v>
      </c>
      <c r="AI131">
        <f t="shared" ref="AI131:AI194" si="28">IF(AC131&lt;INDEX($AE$2:$AE$13,MONTH(B131)),1,0)</f>
        <v>0</v>
      </c>
      <c r="AJ131">
        <v>288.8</v>
      </c>
      <c r="AK131">
        <v>1007.1</v>
      </c>
      <c r="AL131">
        <v>39.1</v>
      </c>
      <c r="AM131">
        <v>6.5</v>
      </c>
      <c r="AN131">
        <v>0</v>
      </c>
      <c r="AO131">
        <v>0</v>
      </c>
      <c r="AP131">
        <v>0</v>
      </c>
      <c r="AQ131">
        <v>0</v>
      </c>
      <c r="AR131" t="s">
        <v>469</v>
      </c>
      <c r="AS131" t="s">
        <v>470</v>
      </c>
      <c r="AT131">
        <v>0.95</v>
      </c>
      <c r="AU131" t="s">
        <v>43</v>
      </c>
      <c r="AV131" t="s">
        <v>44</v>
      </c>
      <c r="AW131" t="s">
        <v>45</v>
      </c>
      <c r="AX131" s="1">
        <v>0.6069444444444444</v>
      </c>
      <c r="AY131" t="s">
        <v>471</v>
      </c>
      <c r="AZ131">
        <v>146.00000000442381</v>
      </c>
      <c r="BA131">
        <v>0</v>
      </c>
      <c r="BB131">
        <v>0</v>
      </c>
      <c r="BC131">
        <v>2.5</v>
      </c>
      <c r="BD131">
        <v>0</v>
      </c>
      <c r="BE131">
        <f t="shared" ref="BE131:BE194" si="29">IF((3*AH131+3*H131+2*U131+2*BA131-(2*(1-T131)+2*(1-I131)+2*(1-AI131)))&gt;=1,1,0)</f>
        <v>0</v>
      </c>
    </row>
    <row r="132" spans="1:57" x14ac:dyDescent="0.25">
      <c r="A132" t="s">
        <v>39</v>
      </c>
      <c r="B132" t="s">
        <v>472</v>
      </c>
      <c r="C132">
        <v>73.5</v>
      </c>
      <c r="D132">
        <v>57.3</v>
      </c>
      <c r="G132">
        <f t="shared" si="20"/>
        <v>1</v>
      </c>
      <c r="H132">
        <f t="shared" si="21"/>
        <v>1</v>
      </c>
      <c r="I132">
        <f t="shared" si="22"/>
        <v>0</v>
      </c>
      <c r="J132">
        <v>63.8</v>
      </c>
      <c r="K132">
        <v>73.5</v>
      </c>
      <c r="L132">
        <v>57.3</v>
      </c>
      <c r="M132">
        <v>63.8</v>
      </c>
      <c r="N132">
        <v>36.6</v>
      </c>
      <c r="O132">
        <v>38.200000000000003</v>
      </c>
      <c r="S132">
        <f t="shared" si="23"/>
        <v>1</v>
      </c>
      <c r="T132">
        <f t="shared" si="24"/>
        <v>0</v>
      </c>
      <c r="U132">
        <f t="shared" si="25"/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21.9</v>
      </c>
      <c r="AG132">
        <f t="shared" si="26"/>
        <v>1</v>
      </c>
      <c r="AH132">
        <f t="shared" si="27"/>
        <v>1</v>
      </c>
      <c r="AI132">
        <f t="shared" si="28"/>
        <v>0</v>
      </c>
      <c r="AJ132">
        <v>186.8</v>
      </c>
      <c r="AK132">
        <v>1010.7</v>
      </c>
      <c r="AL132">
        <v>35.5</v>
      </c>
      <c r="AM132">
        <v>6.5</v>
      </c>
      <c r="AN132">
        <v>0</v>
      </c>
      <c r="AO132">
        <v>0</v>
      </c>
      <c r="AP132">
        <v>0</v>
      </c>
      <c r="AQ132">
        <v>0</v>
      </c>
      <c r="AR132" t="s">
        <v>473</v>
      </c>
      <c r="AS132" t="s">
        <v>474</v>
      </c>
      <c r="AT132">
        <v>7.0000000000000007E-2</v>
      </c>
      <c r="AU132" t="s">
        <v>43</v>
      </c>
      <c r="AV132" t="s">
        <v>44</v>
      </c>
      <c r="AW132" t="s">
        <v>45</v>
      </c>
      <c r="AX132" s="1">
        <v>0.68680555555555556</v>
      </c>
      <c r="AY132" t="s">
        <v>475</v>
      </c>
      <c r="AZ132">
        <v>146.00000000442381</v>
      </c>
      <c r="BA132">
        <v>0</v>
      </c>
      <c r="BB132">
        <v>0</v>
      </c>
      <c r="BC132">
        <v>2</v>
      </c>
      <c r="BD132">
        <v>0</v>
      </c>
      <c r="BE132">
        <f t="shared" si="29"/>
        <v>1</v>
      </c>
    </row>
    <row r="133" spans="1:57" x14ac:dyDescent="0.25">
      <c r="A133" t="s">
        <v>39</v>
      </c>
      <c r="B133" t="s">
        <v>476</v>
      </c>
      <c r="C133">
        <v>77.099999999999994</v>
      </c>
      <c r="D133">
        <v>66.3</v>
      </c>
      <c r="G133">
        <f t="shared" si="20"/>
        <v>1</v>
      </c>
      <c r="H133">
        <f t="shared" si="21"/>
        <v>1</v>
      </c>
      <c r="I133">
        <f t="shared" si="22"/>
        <v>0</v>
      </c>
      <c r="J133">
        <v>72.3</v>
      </c>
      <c r="K133">
        <v>77.099999999999994</v>
      </c>
      <c r="L133">
        <v>66.3</v>
      </c>
      <c r="M133">
        <v>72.3</v>
      </c>
      <c r="N133">
        <v>59.2</v>
      </c>
      <c r="O133">
        <v>64.3</v>
      </c>
      <c r="S133">
        <f t="shared" si="23"/>
        <v>0</v>
      </c>
      <c r="T133">
        <f t="shared" si="24"/>
        <v>0</v>
      </c>
      <c r="U133">
        <f t="shared" si="25"/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15</v>
      </c>
      <c r="AG133">
        <f t="shared" si="26"/>
        <v>1</v>
      </c>
      <c r="AH133">
        <f t="shared" si="27"/>
        <v>0</v>
      </c>
      <c r="AI133">
        <f t="shared" si="28"/>
        <v>1</v>
      </c>
      <c r="AJ133">
        <v>306.39999999999998</v>
      </c>
      <c r="AK133">
        <v>1018.6</v>
      </c>
      <c r="AL133">
        <v>48</v>
      </c>
      <c r="AM133">
        <v>6.7</v>
      </c>
      <c r="AN133">
        <v>0</v>
      </c>
      <c r="AO133">
        <v>0</v>
      </c>
      <c r="AP133">
        <v>0</v>
      </c>
      <c r="AQ133">
        <v>0</v>
      </c>
      <c r="AR133" t="s">
        <v>477</v>
      </c>
      <c r="AS133" t="s">
        <v>478</v>
      </c>
      <c r="AT133">
        <v>0.5</v>
      </c>
      <c r="AU133" t="s">
        <v>43</v>
      </c>
      <c r="AV133" t="s">
        <v>44</v>
      </c>
      <c r="AW133" t="s">
        <v>45</v>
      </c>
      <c r="AX133" s="1">
        <v>0.67986111111111114</v>
      </c>
      <c r="AY133" t="s">
        <v>479</v>
      </c>
      <c r="AZ133">
        <v>431.00000000093132</v>
      </c>
      <c r="BA133">
        <v>1</v>
      </c>
      <c r="BB133">
        <v>1</v>
      </c>
      <c r="BC133">
        <v>0</v>
      </c>
      <c r="BD133">
        <v>0</v>
      </c>
      <c r="BE133">
        <f t="shared" si="29"/>
        <v>1</v>
      </c>
    </row>
    <row r="134" spans="1:57" x14ac:dyDescent="0.25">
      <c r="A134" t="s">
        <v>39</v>
      </c>
      <c r="B134" t="s">
        <v>480</v>
      </c>
      <c r="C134">
        <v>69.900000000000006</v>
      </c>
      <c r="D134">
        <v>57.3</v>
      </c>
      <c r="G134">
        <f t="shared" si="20"/>
        <v>1</v>
      </c>
      <c r="H134">
        <f t="shared" si="21"/>
        <v>1</v>
      </c>
      <c r="I134">
        <f t="shared" si="22"/>
        <v>0</v>
      </c>
      <c r="J134">
        <v>64.900000000000006</v>
      </c>
      <c r="K134">
        <v>69.900000000000006</v>
      </c>
      <c r="L134">
        <v>57.3</v>
      </c>
      <c r="M134">
        <v>64.900000000000006</v>
      </c>
      <c r="N134">
        <v>42.6</v>
      </c>
      <c r="O134">
        <v>46.2</v>
      </c>
      <c r="S134">
        <f t="shared" si="23"/>
        <v>1</v>
      </c>
      <c r="T134">
        <f t="shared" si="24"/>
        <v>0</v>
      </c>
      <c r="U134">
        <f t="shared" si="25"/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34.4</v>
      </c>
      <c r="AG134">
        <f t="shared" si="26"/>
        <v>1</v>
      </c>
      <c r="AH134">
        <f t="shared" si="27"/>
        <v>1</v>
      </c>
      <c r="AI134">
        <f t="shared" si="28"/>
        <v>0</v>
      </c>
      <c r="AJ134">
        <v>190.1</v>
      </c>
      <c r="AK134">
        <v>1005.3</v>
      </c>
      <c r="AL134">
        <v>85.5</v>
      </c>
      <c r="AM134">
        <v>6.6</v>
      </c>
      <c r="AN134">
        <v>0</v>
      </c>
      <c r="AO134">
        <v>0</v>
      </c>
      <c r="AP134">
        <v>0</v>
      </c>
      <c r="AQ134">
        <v>0</v>
      </c>
      <c r="AR134" t="s">
        <v>481</v>
      </c>
      <c r="AS134" t="s">
        <v>482</v>
      </c>
      <c r="AT134">
        <v>0.11</v>
      </c>
      <c r="AU134" t="s">
        <v>43</v>
      </c>
      <c r="AV134" t="s">
        <v>44</v>
      </c>
      <c r="AW134" t="s">
        <v>419</v>
      </c>
      <c r="AX134" s="1">
        <v>0.53055555555555556</v>
      </c>
      <c r="AY134" t="s">
        <v>483</v>
      </c>
      <c r="AZ134">
        <v>36.000000002095483</v>
      </c>
      <c r="BA134">
        <v>0</v>
      </c>
      <c r="BB134">
        <v>0</v>
      </c>
      <c r="BC134">
        <v>50</v>
      </c>
      <c r="BD134">
        <v>0</v>
      </c>
      <c r="BE134">
        <f t="shared" si="29"/>
        <v>1</v>
      </c>
    </row>
    <row r="135" spans="1:57" x14ac:dyDescent="0.25">
      <c r="A135" t="s">
        <v>39</v>
      </c>
      <c r="B135" t="s">
        <v>484</v>
      </c>
      <c r="C135">
        <v>62.7</v>
      </c>
      <c r="D135">
        <v>53.7</v>
      </c>
      <c r="G135">
        <f t="shared" si="20"/>
        <v>0</v>
      </c>
      <c r="H135">
        <f t="shared" si="21"/>
        <v>0</v>
      </c>
      <c r="I135">
        <f t="shared" si="22"/>
        <v>0</v>
      </c>
      <c r="J135">
        <v>57.8</v>
      </c>
      <c r="K135">
        <v>62.7</v>
      </c>
      <c r="L135">
        <v>53.7</v>
      </c>
      <c r="M135">
        <v>57.8</v>
      </c>
      <c r="N135">
        <v>47.5</v>
      </c>
      <c r="O135">
        <v>68.8</v>
      </c>
      <c r="S135">
        <f t="shared" si="23"/>
        <v>1</v>
      </c>
      <c r="T135">
        <f t="shared" si="24"/>
        <v>1</v>
      </c>
      <c r="U135">
        <f t="shared" si="25"/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17.2</v>
      </c>
      <c r="AG135">
        <f t="shared" si="26"/>
        <v>0</v>
      </c>
      <c r="AH135">
        <f t="shared" si="27"/>
        <v>0</v>
      </c>
      <c r="AI135">
        <f t="shared" si="28"/>
        <v>0</v>
      </c>
      <c r="AJ135">
        <v>292.39999999999998</v>
      </c>
      <c r="AK135">
        <v>1013.7</v>
      </c>
      <c r="AL135">
        <v>32.700000000000003</v>
      </c>
      <c r="AM135">
        <v>6.8</v>
      </c>
      <c r="AN135">
        <v>0</v>
      </c>
      <c r="AO135">
        <v>0</v>
      </c>
      <c r="AP135">
        <v>0</v>
      </c>
      <c r="AQ135">
        <v>0</v>
      </c>
      <c r="AR135" t="s">
        <v>485</v>
      </c>
      <c r="AS135" t="s">
        <v>486</v>
      </c>
      <c r="AT135">
        <v>0.69</v>
      </c>
      <c r="AU135" t="s">
        <v>43</v>
      </c>
      <c r="AV135" t="s">
        <v>44</v>
      </c>
      <c r="AW135" t="s">
        <v>45</v>
      </c>
      <c r="AX135" s="1">
        <v>0.50972222222222219</v>
      </c>
      <c r="AY135" t="s">
        <v>487</v>
      </c>
      <c r="AZ135">
        <v>105.9999999997672</v>
      </c>
      <c r="BA135">
        <v>0</v>
      </c>
      <c r="BB135">
        <v>0</v>
      </c>
      <c r="BC135">
        <v>2</v>
      </c>
      <c r="BD135">
        <v>0</v>
      </c>
      <c r="BE135">
        <f t="shared" si="29"/>
        <v>0</v>
      </c>
    </row>
    <row r="136" spans="1:57" x14ac:dyDescent="0.25">
      <c r="A136" t="s">
        <v>39</v>
      </c>
      <c r="B136" t="s">
        <v>488</v>
      </c>
      <c r="C136">
        <v>80.7</v>
      </c>
      <c r="D136">
        <v>69.900000000000006</v>
      </c>
      <c r="G136">
        <f t="shared" si="20"/>
        <v>0</v>
      </c>
      <c r="H136">
        <f t="shared" si="21"/>
        <v>0</v>
      </c>
      <c r="I136">
        <f t="shared" si="22"/>
        <v>0</v>
      </c>
      <c r="J136">
        <v>76.2</v>
      </c>
      <c r="K136">
        <v>81.5</v>
      </c>
      <c r="L136">
        <v>69.900000000000006</v>
      </c>
      <c r="M136">
        <v>76.2</v>
      </c>
      <c r="N136">
        <v>53.7</v>
      </c>
      <c r="O136">
        <v>46.1</v>
      </c>
      <c r="S136">
        <f t="shared" si="23"/>
        <v>1</v>
      </c>
      <c r="T136">
        <f t="shared" si="24"/>
        <v>0</v>
      </c>
      <c r="U136">
        <f t="shared" si="25"/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12.8</v>
      </c>
      <c r="AG136">
        <f t="shared" si="26"/>
        <v>1</v>
      </c>
      <c r="AH136">
        <f t="shared" si="27"/>
        <v>0</v>
      </c>
      <c r="AI136">
        <f t="shared" si="28"/>
        <v>1</v>
      </c>
      <c r="AJ136">
        <v>349.3</v>
      </c>
      <c r="AK136">
        <v>1011.6</v>
      </c>
      <c r="AL136">
        <v>30</v>
      </c>
      <c r="AM136">
        <v>6.3</v>
      </c>
      <c r="AN136">
        <v>0</v>
      </c>
      <c r="AO136">
        <v>0</v>
      </c>
      <c r="AP136">
        <v>0</v>
      </c>
      <c r="AQ136">
        <v>0</v>
      </c>
      <c r="AR136" t="s">
        <v>489</v>
      </c>
      <c r="AS136" t="s">
        <v>490</v>
      </c>
      <c r="AT136">
        <v>0.37</v>
      </c>
      <c r="AU136" t="s">
        <v>43</v>
      </c>
      <c r="AV136" t="s">
        <v>44</v>
      </c>
      <c r="AW136" t="s">
        <v>45</v>
      </c>
      <c r="AX136" s="1">
        <v>0.64583333333333337</v>
      </c>
      <c r="AY136" t="s">
        <v>491</v>
      </c>
      <c r="AZ136">
        <v>4109.9999999965084</v>
      </c>
      <c r="BA136">
        <v>1</v>
      </c>
      <c r="BB136">
        <v>0</v>
      </c>
      <c r="BC136">
        <v>5</v>
      </c>
      <c r="BD136">
        <v>0</v>
      </c>
      <c r="BE136">
        <f t="shared" si="29"/>
        <v>0</v>
      </c>
    </row>
    <row r="137" spans="1:57" x14ac:dyDescent="0.25">
      <c r="A137" t="s">
        <v>39</v>
      </c>
      <c r="B137" t="s">
        <v>492</v>
      </c>
      <c r="C137">
        <v>73.5</v>
      </c>
      <c r="D137">
        <v>69.900000000000006</v>
      </c>
      <c r="G137">
        <f t="shared" si="20"/>
        <v>0</v>
      </c>
      <c r="H137">
        <f t="shared" si="21"/>
        <v>0</v>
      </c>
      <c r="I137">
        <f t="shared" si="22"/>
        <v>0</v>
      </c>
      <c r="J137">
        <v>70.8</v>
      </c>
      <c r="K137">
        <v>73.5</v>
      </c>
      <c r="L137">
        <v>69.900000000000006</v>
      </c>
      <c r="M137">
        <v>70.8</v>
      </c>
      <c r="N137">
        <v>57.8</v>
      </c>
      <c r="O137">
        <v>63.6</v>
      </c>
      <c r="S137">
        <f t="shared" si="23"/>
        <v>1</v>
      </c>
      <c r="T137">
        <f t="shared" si="24"/>
        <v>0</v>
      </c>
      <c r="U137">
        <f t="shared" si="25"/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18.3</v>
      </c>
      <c r="AG137">
        <f t="shared" si="26"/>
        <v>1</v>
      </c>
      <c r="AH137">
        <f t="shared" si="27"/>
        <v>1</v>
      </c>
      <c r="AI137">
        <f t="shared" si="28"/>
        <v>0</v>
      </c>
      <c r="AJ137">
        <v>314.89999999999998</v>
      </c>
      <c r="AK137">
        <v>1014.9</v>
      </c>
      <c r="AL137">
        <v>60</v>
      </c>
      <c r="AM137">
        <v>6.8</v>
      </c>
      <c r="AN137">
        <v>0</v>
      </c>
      <c r="AO137">
        <v>0</v>
      </c>
      <c r="AP137">
        <v>0</v>
      </c>
      <c r="AQ137">
        <v>0</v>
      </c>
      <c r="AR137" t="s">
        <v>493</v>
      </c>
      <c r="AS137" t="s">
        <v>494</v>
      </c>
      <c r="AT137">
        <v>0.91</v>
      </c>
      <c r="AU137" t="s">
        <v>43</v>
      </c>
      <c r="AV137" t="s">
        <v>44</v>
      </c>
      <c r="AW137" t="s">
        <v>45</v>
      </c>
      <c r="AX137" s="1">
        <v>0.62083333333333335</v>
      </c>
      <c r="AY137" t="s">
        <v>495</v>
      </c>
      <c r="AZ137">
        <v>195.9999999997672</v>
      </c>
      <c r="BA137">
        <v>0</v>
      </c>
      <c r="BB137">
        <v>0</v>
      </c>
      <c r="BC137">
        <v>2</v>
      </c>
      <c r="BD137">
        <v>0</v>
      </c>
      <c r="BE137">
        <f t="shared" si="29"/>
        <v>0</v>
      </c>
    </row>
    <row r="138" spans="1:57" x14ac:dyDescent="0.25">
      <c r="A138" t="s">
        <v>39</v>
      </c>
      <c r="B138" t="s">
        <v>496</v>
      </c>
      <c r="C138">
        <v>84.3</v>
      </c>
      <c r="D138">
        <v>78.900000000000006</v>
      </c>
      <c r="G138">
        <f t="shared" si="20"/>
        <v>0</v>
      </c>
      <c r="H138">
        <f t="shared" si="21"/>
        <v>0</v>
      </c>
      <c r="I138">
        <f t="shared" si="22"/>
        <v>0</v>
      </c>
      <c r="J138">
        <v>81.8</v>
      </c>
      <c r="K138">
        <v>89.8</v>
      </c>
      <c r="L138">
        <v>78.900000000000006</v>
      </c>
      <c r="M138">
        <v>84.7</v>
      </c>
      <c r="N138">
        <v>68.7</v>
      </c>
      <c r="O138">
        <v>64.7</v>
      </c>
      <c r="S138">
        <f t="shared" si="23"/>
        <v>1</v>
      </c>
      <c r="T138">
        <f t="shared" si="24"/>
        <v>1</v>
      </c>
      <c r="U138">
        <f t="shared" si="25"/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19.5</v>
      </c>
      <c r="AG138">
        <f t="shared" si="26"/>
        <v>1</v>
      </c>
      <c r="AH138">
        <f t="shared" si="27"/>
        <v>1</v>
      </c>
      <c r="AI138">
        <f t="shared" si="28"/>
        <v>0</v>
      </c>
      <c r="AJ138">
        <v>304.39999999999998</v>
      </c>
      <c r="AK138">
        <v>1008.5</v>
      </c>
      <c r="AL138">
        <v>35.799999999999997</v>
      </c>
      <c r="AM138">
        <v>6.8</v>
      </c>
      <c r="AN138">
        <v>0</v>
      </c>
      <c r="AO138">
        <v>0</v>
      </c>
      <c r="AP138">
        <v>0</v>
      </c>
      <c r="AQ138">
        <v>0</v>
      </c>
      <c r="AR138" t="s">
        <v>497</v>
      </c>
      <c r="AS138" t="s">
        <v>498</v>
      </c>
      <c r="AT138">
        <v>0.44</v>
      </c>
      <c r="AU138" t="s">
        <v>43</v>
      </c>
      <c r="AV138" t="s">
        <v>44</v>
      </c>
      <c r="AW138" t="s">
        <v>45</v>
      </c>
      <c r="AX138" s="1">
        <v>0.79097222222222219</v>
      </c>
      <c r="AY138" t="s">
        <v>499</v>
      </c>
      <c r="AZ138">
        <v>870.99999999976717</v>
      </c>
      <c r="BA138">
        <v>1</v>
      </c>
      <c r="BB138">
        <v>0</v>
      </c>
      <c r="BC138">
        <v>1</v>
      </c>
      <c r="BD138">
        <v>0</v>
      </c>
      <c r="BE138">
        <f t="shared" si="29"/>
        <v>1</v>
      </c>
    </row>
    <row r="139" spans="1:57" x14ac:dyDescent="0.25">
      <c r="A139" t="s">
        <v>39</v>
      </c>
      <c r="B139" t="s">
        <v>500</v>
      </c>
      <c r="C139">
        <v>84.3</v>
      </c>
      <c r="D139">
        <v>71.7</v>
      </c>
      <c r="G139">
        <f t="shared" si="20"/>
        <v>0</v>
      </c>
      <c r="H139">
        <f t="shared" si="21"/>
        <v>0</v>
      </c>
      <c r="I139">
        <f t="shared" si="22"/>
        <v>0</v>
      </c>
      <c r="J139">
        <v>78.599999999999994</v>
      </c>
      <c r="K139">
        <v>89.8</v>
      </c>
      <c r="L139">
        <v>71.7</v>
      </c>
      <c r="M139">
        <v>80.5</v>
      </c>
      <c r="N139">
        <v>69.3</v>
      </c>
      <c r="O139">
        <v>73.7</v>
      </c>
      <c r="S139">
        <f t="shared" si="23"/>
        <v>1</v>
      </c>
      <c r="T139">
        <f t="shared" si="24"/>
        <v>1</v>
      </c>
      <c r="U139">
        <f t="shared" si="25"/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15</v>
      </c>
      <c r="AG139">
        <f t="shared" si="26"/>
        <v>1</v>
      </c>
      <c r="AH139">
        <f t="shared" si="27"/>
        <v>0</v>
      </c>
      <c r="AI139">
        <f t="shared" si="28"/>
        <v>1</v>
      </c>
      <c r="AJ139">
        <v>298</v>
      </c>
      <c r="AK139">
        <v>1010.3</v>
      </c>
      <c r="AL139">
        <v>33.1</v>
      </c>
      <c r="AM139">
        <v>6.6</v>
      </c>
      <c r="AN139">
        <v>0</v>
      </c>
      <c r="AO139">
        <v>0</v>
      </c>
      <c r="AP139">
        <v>0</v>
      </c>
      <c r="AQ139">
        <v>0</v>
      </c>
      <c r="AR139" t="s">
        <v>501</v>
      </c>
      <c r="AS139" t="s">
        <v>502</v>
      </c>
      <c r="AT139">
        <v>0.18</v>
      </c>
      <c r="AU139" t="s">
        <v>43</v>
      </c>
      <c r="AV139" t="s">
        <v>44</v>
      </c>
      <c r="AW139" t="s">
        <v>45</v>
      </c>
      <c r="AX139" s="1">
        <v>0.48888888888888887</v>
      </c>
      <c r="AY139" t="s">
        <v>503</v>
      </c>
      <c r="AZ139">
        <v>701.00000000093132</v>
      </c>
      <c r="BA139">
        <v>1</v>
      </c>
      <c r="BB139">
        <v>0.5</v>
      </c>
      <c r="BC139">
        <v>0</v>
      </c>
      <c r="BD139">
        <v>0</v>
      </c>
      <c r="BE139">
        <f t="shared" si="29"/>
        <v>0</v>
      </c>
    </row>
    <row r="140" spans="1:57" x14ac:dyDescent="0.25">
      <c r="A140" t="s">
        <v>39</v>
      </c>
      <c r="B140" t="s">
        <v>504</v>
      </c>
      <c r="C140">
        <v>86.1</v>
      </c>
      <c r="D140">
        <v>77.099999999999994</v>
      </c>
      <c r="G140">
        <f t="shared" si="20"/>
        <v>1</v>
      </c>
      <c r="H140">
        <f t="shared" si="21"/>
        <v>1</v>
      </c>
      <c r="I140">
        <f t="shared" si="22"/>
        <v>0</v>
      </c>
      <c r="J140">
        <v>80.400000000000006</v>
      </c>
      <c r="K140">
        <v>85.2</v>
      </c>
      <c r="L140">
        <v>77.099999999999994</v>
      </c>
      <c r="M140">
        <v>80.7</v>
      </c>
      <c r="N140">
        <v>61.3</v>
      </c>
      <c r="O140">
        <v>53</v>
      </c>
      <c r="S140">
        <f t="shared" si="23"/>
        <v>1</v>
      </c>
      <c r="T140">
        <f t="shared" si="24"/>
        <v>0</v>
      </c>
      <c r="U140">
        <f t="shared" si="25"/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23</v>
      </c>
      <c r="AG140">
        <f t="shared" si="26"/>
        <v>1</v>
      </c>
      <c r="AH140">
        <f t="shared" si="27"/>
        <v>1</v>
      </c>
      <c r="AI140">
        <f t="shared" si="28"/>
        <v>0</v>
      </c>
      <c r="AJ140">
        <v>309.39999999999998</v>
      </c>
      <c r="AK140">
        <v>1012</v>
      </c>
      <c r="AL140">
        <v>30</v>
      </c>
      <c r="AM140">
        <v>6.2</v>
      </c>
      <c r="AN140">
        <v>0</v>
      </c>
      <c r="AO140">
        <v>0</v>
      </c>
      <c r="AP140">
        <v>0</v>
      </c>
      <c r="AQ140">
        <v>0</v>
      </c>
      <c r="AR140" t="s">
        <v>505</v>
      </c>
      <c r="AS140" t="s">
        <v>506</v>
      </c>
      <c r="AT140">
        <v>0.59</v>
      </c>
      <c r="AU140" t="s">
        <v>43</v>
      </c>
      <c r="AV140" t="s">
        <v>44</v>
      </c>
      <c r="AW140" t="s">
        <v>45</v>
      </c>
      <c r="AX140" s="1">
        <v>0.63124999999999998</v>
      </c>
      <c r="AY140" t="s">
        <v>507</v>
      </c>
      <c r="AZ140">
        <v>1856.000000004424</v>
      </c>
      <c r="BA140">
        <v>1</v>
      </c>
      <c r="BB140">
        <v>0</v>
      </c>
      <c r="BC140">
        <v>5</v>
      </c>
      <c r="BD140">
        <v>0</v>
      </c>
      <c r="BE140">
        <f t="shared" si="29"/>
        <v>1</v>
      </c>
    </row>
    <row r="141" spans="1:57" x14ac:dyDescent="0.25">
      <c r="A141" t="s">
        <v>39</v>
      </c>
      <c r="B141" t="s">
        <v>508</v>
      </c>
      <c r="C141">
        <v>73.5</v>
      </c>
      <c r="D141">
        <v>59.1</v>
      </c>
      <c r="G141">
        <f t="shared" si="20"/>
        <v>1</v>
      </c>
      <c r="H141">
        <f t="shared" si="21"/>
        <v>1</v>
      </c>
      <c r="I141">
        <f t="shared" si="22"/>
        <v>0</v>
      </c>
      <c r="J141">
        <v>65</v>
      </c>
      <c r="K141">
        <v>73.5</v>
      </c>
      <c r="L141">
        <v>59.1</v>
      </c>
      <c r="M141">
        <v>65</v>
      </c>
      <c r="N141">
        <v>56</v>
      </c>
      <c r="O141">
        <v>74</v>
      </c>
      <c r="S141">
        <f t="shared" si="23"/>
        <v>1</v>
      </c>
      <c r="T141">
        <f t="shared" si="24"/>
        <v>1</v>
      </c>
      <c r="U141">
        <f t="shared" si="25"/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8.1</v>
      </c>
      <c r="AG141">
        <f t="shared" si="26"/>
        <v>1</v>
      </c>
      <c r="AH141">
        <f t="shared" si="27"/>
        <v>0</v>
      </c>
      <c r="AI141">
        <f t="shared" si="28"/>
        <v>1</v>
      </c>
      <c r="AJ141">
        <v>161.80000000000001</v>
      </c>
      <c r="AK141">
        <v>1024.2</v>
      </c>
      <c r="AL141">
        <v>32.5</v>
      </c>
      <c r="AM141">
        <v>6.4</v>
      </c>
      <c r="AN141">
        <v>0</v>
      </c>
      <c r="AO141">
        <v>0</v>
      </c>
      <c r="AP141">
        <v>0</v>
      </c>
      <c r="AQ141">
        <v>0</v>
      </c>
      <c r="AR141" t="s">
        <v>509</v>
      </c>
      <c r="AS141" t="s">
        <v>510</v>
      </c>
      <c r="AT141">
        <v>0.86</v>
      </c>
      <c r="AU141" t="s">
        <v>43</v>
      </c>
      <c r="AV141" t="s">
        <v>44</v>
      </c>
      <c r="AW141" t="s">
        <v>45</v>
      </c>
      <c r="AX141" s="1">
        <v>0.41666666666666669</v>
      </c>
      <c r="AY141" t="s">
        <v>511</v>
      </c>
      <c r="AZ141">
        <v>330.00000000698492</v>
      </c>
      <c r="BA141">
        <v>0</v>
      </c>
      <c r="BB141">
        <v>0</v>
      </c>
      <c r="BC141">
        <v>10</v>
      </c>
      <c r="BD141">
        <v>0</v>
      </c>
      <c r="BE141">
        <f t="shared" si="29"/>
        <v>1</v>
      </c>
    </row>
    <row r="142" spans="1:57" x14ac:dyDescent="0.25">
      <c r="A142" t="s">
        <v>39</v>
      </c>
      <c r="B142" t="s">
        <v>512</v>
      </c>
      <c r="C142">
        <v>80.7</v>
      </c>
      <c r="D142">
        <v>66.3</v>
      </c>
      <c r="G142">
        <f t="shared" si="20"/>
        <v>0</v>
      </c>
      <c r="H142">
        <f t="shared" si="21"/>
        <v>0</v>
      </c>
      <c r="I142">
        <f t="shared" si="22"/>
        <v>0</v>
      </c>
      <c r="J142">
        <v>73.900000000000006</v>
      </c>
      <c r="K142">
        <v>82.4</v>
      </c>
      <c r="L142">
        <v>66.3</v>
      </c>
      <c r="M142">
        <v>74.099999999999994</v>
      </c>
      <c r="N142">
        <v>60.6</v>
      </c>
      <c r="O142">
        <v>63.5</v>
      </c>
      <c r="S142">
        <f t="shared" si="23"/>
        <v>1</v>
      </c>
      <c r="T142">
        <f t="shared" si="24"/>
        <v>0</v>
      </c>
      <c r="U142">
        <f t="shared" si="25"/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10.3</v>
      </c>
      <c r="AG142">
        <f t="shared" si="26"/>
        <v>1</v>
      </c>
      <c r="AH142">
        <f t="shared" si="27"/>
        <v>0</v>
      </c>
      <c r="AI142">
        <f t="shared" si="28"/>
        <v>1</v>
      </c>
      <c r="AJ142">
        <v>113.1</v>
      </c>
      <c r="AK142">
        <v>1012.9</v>
      </c>
      <c r="AL142">
        <v>32.5</v>
      </c>
      <c r="AM142">
        <v>6.8</v>
      </c>
      <c r="AN142">
        <v>0</v>
      </c>
      <c r="AO142">
        <v>0</v>
      </c>
      <c r="AP142">
        <v>0</v>
      </c>
      <c r="AQ142">
        <v>0</v>
      </c>
      <c r="AR142" t="s">
        <v>513</v>
      </c>
      <c r="AS142" t="s">
        <v>514</v>
      </c>
      <c r="AT142">
        <v>0.72</v>
      </c>
      <c r="AU142" t="s">
        <v>43</v>
      </c>
      <c r="AV142" t="s">
        <v>44</v>
      </c>
      <c r="AW142" t="s">
        <v>45</v>
      </c>
      <c r="AX142" s="1">
        <v>0.64513888888888893</v>
      </c>
      <c r="AY142" t="s">
        <v>515</v>
      </c>
      <c r="AZ142">
        <v>936.00000000209548</v>
      </c>
      <c r="BA142">
        <v>1</v>
      </c>
      <c r="BB142">
        <v>0</v>
      </c>
      <c r="BC142">
        <v>3</v>
      </c>
      <c r="BD142">
        <v>0</v>
      </c>
      <c r="BE142">
        <f t="shared" si="29"/>
        <v>0</v>
      </c>
    </row>
    <row r="143" spans="1:57" x14ac:dyDescent="0.25">
      <c r="A143" t="s">
        <v>39</v>
      </c>
      <c r="B143" t="s">
        <v>516</v>
      </c>
      <c r="C143">
        <v>87.9</v>
      </c>
      <c r="D143">
        <v>73.5</v>
      </c>
      <c r="G143">
        <f t="shared" si="20"/>
        <v>1</v>
      </c>
      <c r="H143">
        <f t="shared" si="21"/>
        <v>1</v>
      </c>
      <c r="I143">
        <f t="shared" si="22"/>
        <v>0</v>
      </c>
      <c r="J143">
        <v>81</v>
      </c>
      <c r="K143">
        <v>88.6</v>
      </c>
      <c r="L143">
        <v>73.5</v>
      </c>
      <c r="M143">
        <v>82.1</v>
      </c>
      <c r="N143">
        <v>63.8</v>
      </c>
      <c r="O143">
        <v>56.7</v>
      </c>
      <c r="S143">
        <f t="shared" si="23"/>
        <v>1</v>
      </c>
      <c r="T143">
        <f t="shared" si="24"/>
        <v>0</v>
      </c>
      <c r="U143">
        <f t="shared" si="25"/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19.5</v>
      </c>
      <c r="AG143">
        <f t="shared" si="26"/>
        <v>1</v>
      </c>
      <c r="AH143">
        <f t="shared" si="27"/>
        <v>1</v>
      </c>
      <c r="AI143">
        <f t="shared" si="28"/>
        <v>0</v>
      </c>
      <c r="AJ143">
        <v>301.2</v>
      </c>
      <c r="AK143">
        <v>1009.7</v>
      </c>
      <c r="AL143">
        <v>0</v>
      </c>
      <c r="AM143">
        <v>6.2</v>
      </c>
      <c r="AN143">
        <v>0</v>
      </c>
      <c r="AO143">
        <v>0</v>
      </c>
      <c r="AP143">
        <v>0</v>
      </c>
      <c r="AQ143">
        <v>0</v>
      </c>
      <c r="AR143" t="s">
        <v>517</v>
      </c>
      <c r="AS143" t="s">
        <v>518</v>
      </c>
      <c r="AT143">
        <v>0.66</v>
      </c>
      <c r="AU143" t="s">
        <v>74</v>
      </c>
      <c r="AV143" t="s">
        <v>44</v>
      </c>
      <c r="AW143" t="s">
        <v>75</v>
      </c>
      <c r="AX143" s="1">
        <v>0.40555555555555561</v>
      </c>
      <c r="AY143" t="s">
        <v>519</v>
      </c>
      <c r="AZ143">
        <v>1641.0000000055879</v>
      </c>
      <c r="BA143">
        <v>1</v>
      </c>
      <c r="BB143">
        <v>0</v>
      </c>
      <c r="BC143">
        <v>10</v>
      </c>
      <c r="BD143">
        <v>0</v>
      </c>
      <c r="BE143">
        <f t="shared" si="29"/>
        <v>1</v>
      </c>
    </row>
    <row r="144" spans="1:57" x14ac:dyDescent="0.25">
      <c r="A144" t="s">
        <v>39</v>
      </c>
      <c r="B144" t="s">
        <v>520</v>
      </c>
      <c r="C144">
        <v>89.7</v>
      </c>
      <c r="D144">
        <v>80.7</v>
      </c>
      <c r="G144">
        <f t="shared" si="20"/>
        <v>1</v>
      </c>
      <c r="H144">
        <f t="shared" si="21"/>
        <v>1</v>
      </c>
      <c r="I144">
        <f t="shared" si="22"/>
        <v>0</v>
      </c>
      <c r="J144">
        <v>85.1</v>
      </c>
      <c r="K144">
        <v>92.4</v>
      </c>
      <c r="L144">
        <v>82.4</v>
      </c>
      <c r="M144">
        <v>87</v>
      </c>
      <c r="N144">
        <v>65</v>
      </c>
      <c r="O144">
        <v>51.2</v>
      </c>
      <c r="S144">
        <f t="shared" si="23"/>
        <v>1</v>
      </c>
      <c r="T144">
        <f t="shared" si="24"/>
        <v>0</v>
      </c>
      <c r="U144">
        <f t="shared" si="25"/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19.5</v>
      </c>
      <c r="AG144">
        <f t="shared" si="26"/>
        <v>1</v>
      </c>
      <c r="AH144">
        <f t="shared" si="27"/>
        <v>1</v>
      </c>
      <c r="AI144">
        <f t="shared" si="28"/>
        <v>0</v>
      </c>
      <c r="AJ144">
        <v>309</v>
      </c>
      <c r="AK144">
        <v>1009.9</v>
      </c>
      <c r="AL144">
        <v>0</v>
      </c>
      <c r="AM144">
        <v>6.2</v>
      </c>
      <c r="AN144">
        <v>0</v>
      </c>
      <c r="AO144">
        <v>0</v>
      </c>
      <c r="AP144">
        <v>0</v>
      </c>
      <c r="AQ144">
        <v>0</v>
      </c>
      <c r="AR144" t="s">
        <v>521</v>
      </c>
      <c r="AS144" t="s">
        <v>522</v>
      </c>
      <c r="AT144">
        <v>0.3</v>
      </c>
      <c r="AU144" t="s">
        <v>74</v>
      </c>
      <c r="AV144" t="s">
        <v>44</v>
      </c>
      <c r="AW144" t="s">
        <v>75</v>
      </c>
      <c r="AX144" s="1">
        <v>0.375</v>
      </c>
      <c r="AY144" t="s">
        <v>523</v>
      </c>
      <c r="AZ144">
        <v>180</v>
      </c>
      <c r="BA144">
        <v>0</v>
      </c>
      <c r="BB144">
        <v>0</v>
      </c>
      <c r="BC144">
        <v>0.1</v>
      </c>
      <c r="BD144">
        <v>0</v>
      </c>
      <c r="BE144">
        <f t="shared" si="29"/>
        <v>1</v>
      </c>
    </row>
    <row r="145" spans="1:57" x14ac:dyDescent="0.25">
      <c r="A145" t="s">
        <v>39</v>
      </c>
      <c r="B145" t="s">
        <v>524</v>
      </c>
      <c r="C145">
        <v>60.9</v>
      </c>
      <c r="D145">
        <v>50.1</v>
      </c>
      <c r="G145">
        <f t="shared" si="20"/>
        <v>1</v>
      </c>
      <c r="H145">
        <f t="shared" si="21"/>
        <v>1</v>
      </c>
      <c r="I145">
        <f t="shared" si="22"/>
        <v>0</v>
      </c>
      <c r="J145">
        <v>55.7</v>
      </c>
      <c r="K145">
        <v>60.9</v>
      </c>
      <c r="L145">
        <v>50.1</v>
      </c>
      <c r="M145">
        <v>55.7</v>
      </c>
      <c r="N145">
        <v>46.4</v>
      </c>
      <c r="O145">
        <v>72.2</v>
      </c>
      <c r="S145">
        <f t="shared" si="23"/>
        <v>1</v>
      </c>
      <c r="T145">
        <f t="shared" si="24"/>
        <v>1</v>
      </c>
      <c r="U145">
        <f t="shared" si="25"/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16.100000000000001</v>
      </c>
      <c r="AG145">
        <f t="shared" si="26"/>
        <v>1</v>
      </c>
      <c r="AH145">
        <f t="shared" si="27"/>
        <v>0</v>
      </c>
      <c r="AI145">
        <f t="shared" si="28"/>
        <v>1</v>
      </c>
      <c r="AJ145">
        <v>308.3</v>
      </c>
      <c r="AK145">
        <v>1009.3</v>
      </c>
      <c r="AL145">
        <v>75.2</v>
      </c>
      <c r="AM145">
        <v>6.8</v>
      </c>
      <c r="AN145">
        <v>0</v>
      </c>
      <c r="AO145">
        <v>0</v>
      </c>
      <c r="AP145">
        <v>0</v>
      </c>
      <c r="AQ145">
        <v>0</v>
      </c>
      <c r="AR145" t="s">
        <v>525</v>
      </c>
      <c r="AS145" t="s">
        <v>526</v>
      </c>
      <c r="AT145">
        <v>0.14000000000000001</v>
      </c>
      <c r="AU145" t="s">
        <v>43</v>
      </c>
      <c r="AV145" t="s">
        <v>44</v>
      </c>
      <c r="AW145" t="s">
        <v>45</v>
      </c>
      <c r="AX145" s="1">
        <v>0.77361111111111114</v>
      </c>
      <c r="AY145" t="s">
        <v>527</v>
      </c>
      <c r="AZ145">
        <v>806.00000000791624</v>
      </c>
      <c r="BA145">
        <v>1</v>
      </c>
      <c r="BB145">
        <v>0</v>
      </c>
      <c r="BC145">
        <v>30</v>
      </c>
      <c r="BD145">
        <v>0</v>
      </c>
      <c r="BE145">
        <f t="shared" si="29"/>
        <v>1</v>
      </c>
    </row>
    <row r="146" spans="1:57" x14ac:dyDescent="0.25">
      <c r="A146" t="s">
        <v>39</v>
      </c>
      <c r="B146" t="s">
        <v>528</v>
      </c>
      <c r="C146">
        <v>80.7</v>
      </c>
      <c r="D146">
        <v>78.900000000000006</v>
      </c>
      <c r="G146">
        <f t="shared" si="20"/>
        <v>1</v>
      </c>
      <c r="H146">
        <f t="shared" si="21"/>
        <v>0</v>
      </c>
      <c r="I146">
        <f t="shared" si="22"/>
        <v>1</v>
      </c>
      <c r="J146">
        <v>80.599999999999994</v>
      </c>
      <c r="K146">
        <v>84.7</v>
      </c>
      <c r="L146">
        <v>78.900000000000006</v>
      </c>
      <c r="M146">
        <v>83.2</v>
      </c>
      <c r="N146">
        <v>68.400000000000006</v>
      </c>
      <c r="O146">
        <v>66.8</v>
      </c>
      <c r="S146">
        <f t="shared" si="23"/>
        <v>1</v>
      </c>
      <c r="T146">
        <f t="shared" si="24"/>
        <v>1</v>
      </c>
      <c r="U146">
        <f t="shared" si="25"/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17.2</v>
      </c>
      <c r="AG146">
        <f t="shared" si="26"/>
        <v>0</v>
      </c>
      <c r="AH146">
        <f t="shared" si="27"/>
        <v>0</v>
      </c>
      <c r="AI146">
        <f t="shared" si="28"/>
        <v>0</v>
      </c>
      <c r="AJ146">
        <v>300.5</v>
      </c>
      <c r="AK146">
        <v>1008.5</v>
      </c>
      <c r="AL146">
        <v>40</v>
      </c>
      <c r="AM146">
        <v>6.8</v>
      </c>
      <c r="AN146">
        <v>0</v>
      </c>
      <c r="AO146">
        <v>0</v>
      </c>
      <c r="AP146">
        <v>0</v>
      </c>
      <c r="AQ146">
        <v>0</v>
      </c>
      <c r="AR146" t="s">
        <v>529</v>
      </c>
      <c r="AS146" t="s">
        <v>530</v>
      </c>
      <c r="AT146">
        <v>0.4</v>
      </c>
      <c r="AU146" t="s">
        <v>43</v>
      </c>
      <c r="AV146" t="s">
        <v>44</v>
      </c>
      <c r="AW146" t="s">
        <v>45</v>
      </c>
      <c r="AX146" s="1">
        <v>0.5756944444444444</v>
      </c>
      <c r="AY146" t="s">
        <v>531</v>
      </c>
      <c r="AZ146">
        <v>330.99999999976723</v>
      </c>
      <c r="BA146">
        <v>0</v>
      </c>
      <c r="BB146">
        <v>0</v>
      </c>
      <c r="BC146">
        <v>0.1</v>
      </c>
      <c r="BD146">
        <v>0</v>
      </c>
      <c r="BE146">
        <f t="shared" si="29"/>
        <v>0</v>
      </c>
    </row>
    <row r="147" spans="1:57" x14ac:dyDescent="0.25">
      <c r="A147" t="s">
        <v>39</v>
      </c>
      <c r="B147" t="s">
        <v>532</v>
      </c>
      <c r="C147">
        <v>84.3</v>
      </c>
      <c r="D147">
        <v>77.099999999999994</v>
      </c>
      <c r="G147">
        <f t="shared" si="20"/>
        <v>0</v>
      </c>
      <c r="H147">
        <f t="shared" si="21"/>
        <v>0</v>
      </c>
      <c r="I147">
        <f t="shared" si="22"/>
        <v>0</v>
      </c>
      <c r="J147">
        <v>80.599999999999994</v>
      </c>
      <c r="K147">
        <v>85.8</v>
      </c>
      <c r="L147">
        <v>77.099999999999994</v>
      </c>
      <c r="M147">
        <v>81.400000000000006</v>
      </c>
      <c r="N147">
        <v>63.9</v>
      </c>
      <c r="O147">
        <v>57.3</v>
      </c>
      <c r="S147">
        <f t="shared" si="23"/>
        <v>1</v>
      </c>
      <c r="T147">
        <f t="shared" si="24"/>
        <v>0</v>
      </c>
      <c r="U147">
        <f t="shared" si="25"/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24.2</v>
      </c>
      <c r="AG147">
        <f t="shared" si="26"/>
        <v>1</v>
      </c>
      <c r="AH147">
        <f t="shared" si="27"/>
        <v>1</v>
      </c>
      <c r="AI147">
        <f t="shared" si="28"/>
        <v>0</v>
      </c>
      <c r="AJ147">
        <v>291.7</v>
      </c>
      <c r="AK147">
        <v>1010.2</v>
      </c>
      <c r="AL147">
        <v>30</v>
      </c>
      <c r="AM147">
        <v>6.7</v>
      </c>
      <c r="AN147">
        <v>0</v>
      </c>
      <c r="AO147">
        <v>0</v>
      </c>
      <c r="AP147">
        <v>0</v>
      </c>
      <c r="AQ147">
        <v>0</v>
      </c>
      <c r="AR147" t="s">
        <v>533</v>
      </c>
      <c r="AS147" t="s">
        <v>534</v>
      </c>
      <c r="AT147">
        <v>0.97</v>
      </c>
      <c r="AU147" t="s">
        <v>43</v>
      </c>
      <c r="AV147" t="s">
        <v>44</v>
      </c>
      <c r="AW147" t="s">
        <v>45</v>
      </c>
      <c r="AX147" s="1">
        <v>0.17986111111111111</v>
      </c>
      <c r="AY147" t="s">
        <v>535</v>
      </c>
      <c r="AZ147">
        <v>521.00000000093132</v>
      </c>
      <c r="BA147">
        <v>1</v>
      </c>
      <c r="BB147">
        <v>0</v>
      </c>
      <c r="BC147">
        <v>9</v>
      </c>
      <c r="BD147">
        <v>0</v>
      </c>
      <c r="BE147">
        <f t="shared" si="29"/>
        <v>1</v>
      </c>
    </row>
    <row r="148" spans="1:57" x14ac:dyDescent="0.25">
      <c r="A148" t="s">
        <v>39</v>
      </c>
      <c r="B148" t="s">
        <v>536</v>
      </c>
      <c r="C148">
        <v>64.5</v>
      </c>
      <c r="D148">
        <v>48.3</v>
      </c>
      <c r="G148">
        <f t="shared" si="20"/>
        <v>1</v>
      </c>
      <c r="H148">
        <f t="shared" si="21"/>
        <v>1</v>
      </c>
      <c r="I148">
        <f t="shared" si="22"/>
        <v>0</v>
      </c>
      <c r="J148">
        <v>56.4</v>
      </c>
      <c r="K148">
        <v>64.5</v>
      </c>
      <c r="L148">
        <v>48.3</v>
      </c>
      <c r="M148">
        <v>56.4</v>
      </c>
      <c r="N148">
        <v>46.9</v>
      </c>
      <c r="O148">
        <v>71</v>
      </c>
      <c r="S148">
        <f t="shared" si="23"/>
        <v>1</v>
      </c>
      <c r="T148">
        <f t="shared" si="24"/>
        <v>1</v>
      </c>
      <c r="U148">
        <f t="shared" si="25"/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8.1</v>
      </c>
      <c r="AG148">
        <f t="shared" si="26"/>
        <v>1</v>
      </c>
      <c r="AH148">
        <f t="shared" si="27"/>
        <v>0</v>
      </c>
      <c r="AI148">
        <f t="shared" si="28"/>
        <v>1</v>
      </c>
      <c r="AJ148">
        <v>84.8</v>
      </c>
      <c r="AK148">
        <v>1018.1</v>
      </c>
      <c r="AL148">
        <v>59.5</v>
      </c>
      <c r="AM148">
        <v>6.7</v>
      </c>
      <c r="AN148">
        <v>0</v>
      </c>
      <c r="AO148">
        <v>0</v>
      </c>
      <c r="AP148">
        <v>0</v>
      </c>
      <c r="AQ148">
        <v>0</v>
      </c>
      <c r="AR148" t="s">
        <v>537</v>
      </c>
      <c r="AS148" t="s">
        <v>538</v>
      </c>
      <c r="AT148">
        <v>0.75</v>
      </c>
      <c r="AU148" t="s">
        <v>43</v>
      </c>
      <c r="AV148" t="s">
        <v>44</v>
      </c>
      <c r="AW148" t="s">
        <v>45</v>
      </c>
      <c r="AX148" s="1">
        <v>0.67638888888888893</v>
      </c>
      <c r="AY148" t="s">
        <v>539</v>
      </c>
      <c r="AZ148">
        <v>60.999999999767169</v>
      </c>
      <c r="BA148">
        <v>0</v>
      </c>
      <c r="BB148">
        <v>0.5</v>
      </c>
      <c r="BC148">
        <v>0</v>
      </c>
      <c r="BD148">
        <v>0</v>
      </c>
      <c r="BE148">
        <f t="shared" si="29"/>
        <v>1</v>
      </c>
    </row>
    <row r="149" spans="1:57" x14ac:dyDescent="0.25">
      <c r="A149" t="s">
        <v>39</v>
      </c>
      <c r="B149" t="s">
        <v>468</v>
      </c>
      <c r="C149">
        <v>73.5</v>
      </c>
      <c r="D149">
        <v>57.3</v>
      </c>
      <c r="G149">
        <f t="shared" si="20"/>
        <v>1</v>
      </c>
      <c r="H149">
        <f t="shared" si="21"/>
        <v>1</v>
      </c>
      <c r="I149">
        <f t="shared" si="22"/>
        <v>0</v>
      </c>
      <c r="J149">
        <v>66.900000000000006</v>
      </c>
      <c r="K149">
        <v>73.5</v>
      </c>
      <c r="L149">
        <v>57.3</v>
      </c>
      <c r="M149">
        <v>66.900000000000006</v>
      </c>
      <c r="N149">
        <v>50.3</v>
      </c>
      <c r="O149">
        <v>56.7</v>
      </c>
      <c r="S149">
        <f t="shared" si="23"/>
        <v>1</v>
      </c>
      <c r="T149">
        <f t="shared" si="24"/>
        <v>0</v>
      </c>
      <c r="U149">
        <f t="shared" si="25"/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17.2</v>
      </c>
      <c r="AG149">
        <f t="shared" si="26"/>
        <v>0</v>
      </c>
      <c r="AH149">
        <f t="shared" si="27"/>
        <v>0</v>
      </c>
      <c r="AI149">
        <f t="shared" si="28"/>
        <v>0</v>
      </c>
      <c r="AJ149">
        <v>288.8</v>
      </c>
      <c r="AK149">
        <v>1007.1</v>
      </c>
      <c r="AL149">
        <v>39.1</v>
      </c>
      <c r="AM149">
        <v>6.5</v>
      </c>
      <c r="AN149">
        <v>0</v>
      </c>
      <c r="AO149">
        <v>0</v>
      </c>
      <c r="AP149">
        <v>0</v>
      </c>
      <c r="AQ149">
        <v>0</v>
      </c>
      <c r="AR149" t="s">
        <v>469</v>
      </c>
      <c r="AS149" t="s">
        <v>470</v>
      </c>
      <c r="AT149">
        <v>0.95</v>
      </c>
      <c r="AU149" t="s">
        <v>43</v>
      </c>
      <c r="AV149" t="s">
        <v>44</v>
      </c>
      <c r="AW149" t="s">
        <v>45</v>
      </c>
      <c r="AX149" s="1">
        <v>0.31527777777777782</v>
      </c>
      <c r="AY149" t="s">
        <v>540</v>
      </c>
      <c r="AZ149">
        <v>2525.999999998603</v>
      </c>
      <c r="BA149">
        <v>1</v>
      </c>
      <c r="BB149">
        <v>20</v>
      </c>
      <c r="BC149">
        <v>0</v>
      </c>
      <c r="BD149">
        <v>0</v>
      </c>
      <c r="BE149">
        <f t="shared" si="29"/>
        <v>1</v>
      </c>
    </row>
    <row r="150" spans="1:57" x14ac:dyDescent="0.25">
      <c r="A150" t="s">
        <v>39</v>
      </c>
      <c r="B150" t="s">
        <v>541</v>
      </c>
      <c r="C150">
        <v>73.5</v>
      </c>
      <c r="D150">
        <v>62.7</v>
      </c>
      <c r="G150">
        <f t="shared" si="20"/>
        <v>0</v>
      </c>
      <c r="H150">
        <f t="shared" si="21"/>
        <v>0</v>
      </c>
      <c r="I150">
        <f t="shared" si="22"/>
        <v>0</v>
      </c>
      <c r="J150">
        <v>67</v>
      </c>
      <c r="K150">
        <v>73.5</v>
      </c>
      <c r="L150">
        <v>62.7</v>
      </c>
      <c r="M150">
        <v>67</v>
      </c>
      <c r="N150">
        <v>54.1</v>
      </c>
      <c r="O150">
        <v>63.7</v>
      </c>
      <c r="S150">
        <f t="shared" si="23"/>
        <v>1</v>
      </c>
      <c r="T150">
        <f t="shared" si="24"/>
        <v>0</v>
      </c>
      <c r="U150">
        <f t="shared" si="25"/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10.3</v>
      </c>
      <c r="AG150">
        <f t="shared" si="26"/>
        <v>1</v>
      </c>
      <c r="AH150">
        <f t="shared" si="27"/>
        <v>0</v>
      </c>
      <c r="AI150">
        <f t="shared" si="28"/>
        <v>1</v>
      </c>
      <c r="AJ150">
        <v>270.3</v>
      </c>
      <c r="AK150">
        <v>1017.9</v>
      </c>
      <c r="AL150">
        <v>46.5</v>
      </c>
      <c r="AM150">
        <v>6.6</v>
      </c>
      <c r="AN150">
        <v>0</v>
      </c>
      <c r="AO150">
        <v>0</v>
      </c>
      <c r="AP150">
        <v>0</v>
      </c>
      <c r="AQ150">
        <v>0</v>
      </c>
      <c r="AR150" t="s">
        <v>542</v>
      </c>
      <c r="AS150" t="s">
        <v>543</v>
      </c>
      <c r="AT150">
        <v>0.15</v>
      </c>
      <c r="AU150" t="s">
        <v>43</v>
      </c>
      <c r="AV150" t="s">
        <v>44</v>
      </c>
      <c r="AW150" t="s">
        <v>45</v>
      </c>
      <c r="AX150" s="1">
        <v>0.72222222222222221</v>
      </c>
      <c r="AY150" t="s">
        <v>544</v>
      </c>
      <c r="AZ150">
        <v>445.00000000465661</v>
      </c>
      <c r="BA150">
        <v>1</v>
      </c>
      <c r="BB150">
        <v>1.5</v>
      </c>
      <c r="BC150">
        <v>0</v>
      </c>
      <c r="BD150">
        <v>0</v>
      </c>
      <c r="BE150">
        <f t="shared" si="29"/>
        <v>0</v>
      </c>
    </row>
    <row r="151" spans="1:57" x14ac:dyDescent="0.25">
      <c r="A151" t="s">
        <v>39</v>
      </c>
      <c r="B151" t="s">
        <v>545</v>
      </c>
      <c r="C151">
        <v>75.3</v>
      </c>
      <c r="D151">
        <v>55.5</v>
      </c>
      <c r="G151">
        <f t="shared" si="20"/>
        <v>1</v>
      </c>
      <c r="H151">
        <f t="shared" si="21"/>
        <v>1</v>
      </c>
      <c r="I151">
        <f t="shared" si="22"/>
        <v>0</v>
      </c>
      <c r="J151">
        <v>66</v>
      </c>
      <c r="K151">
        <v>75.3</v>
      </c>
      <c r="L151">
        <v>55.5</v>
      </c>
      <c r="M151">
        <v>66</v>
      </c>
      <c r="N151">
        <v>47.7</v>
      </c>
      <c r="O151">
        <v>52.3</v>
      </c>
      <c r="S151">
        <f t="shared" si="23"/>
        <v>1</v>
      </c>
      <c r="T151">
        <f t="shared" si="24"/>
        <v>0</v>
      </c>
      <c r="U151">
        <f t="shared" si="25"/>
        <v>1</v>
      </c>
      <c r="V151">
        <v>2.87</v>
      </c>
      <c r="W151">
        <v>100</v>
      </c>
      <c r="X151">
        <v>4.17</v>
      </c>
      <c r="Y151" t="s">
        <v>103</v>
      </c>
      <c r="Z151">
        <v>0</v>
      </c>
      <c r="AA151">
        <v>0</v>
      </c>
      <c r="AB151">
        <v>0</v>
      </c>
      <c r="AC151">
        <v>9.1999999999999993</v>
      </c>
      <c r="AG151">
        <f t="shared" si="26"/>
        <v>1</v>
      </c>
      <c r="AH151">
        <f t="shared" si="27"/>
        <v>0</v>
      </c>
      <c r="AI151">
        <f t="shared" si="28"/>
        <v>1</v>
      </c>
      <c r="AJ151">
        <v>126.1</v>
      </c>
      <c r="AK151">
        <v>1011.7</v>
      </c>
      <c r="AL151">
        <v>30</v>
      </c>
      <c r="AM151">
        <v>6.3</v>
      </c>
      <c r="AN151">
        <v>0</v>
      </c>
      <c r="AO151">
        <v>0</v>
      </c>
      <c r="AP151">
        <v>0</v>
      </c>
      <c r="AQ151">
        <v>0</v>
      </c>
      <c r="AR151" t="s">
        <v>546</v>
      </c>
      <c r="AS151" t="s">
        <v>547</v>
      </c>
      <c r="AT151">
        <v>0</v>
      </c>
      <c r="AU151" t="s">
        <v>106</v>
      </c>
      <c r="AV151" t="s">
        <v>296</v>
      </c>
      <c r="AW151" t="s">
        <v>103</v>
      </c>
      <c r="AX151" s="1">
        <v>0.83958333333333335</v>
      </c>
      <c r="AY151" t="s">
        <v>548</v>
      </c>
      <c r="AZ151">
        <v>200.99999999511061</v>
      </c>
      <c r="BA151">
        <v>0</v>
      </c>
      <c r="BB151">
        <v>0</v>
      </c>
      <c r="BC151">
        <v>5</v>
      </c>
      <c r="BD151">
        <v>0</v>
      </c>
      <c r="BE151">
        <f t="shared" si="29"/>
        <v>1</v>
      </c>
    </row>
    <row r="152" spans="1:57" x14ac:dyDescent="0.25">
      <c r="A152" t="s">
        <v>39</v>
      </c>
      <c r="B152" t="s">
        <v>549</v>
      </c>
      <c r="C152">
        <v>87.9</v>
      </c>
      <c r="D152">
        <v>78.900000000000006</v>
      </c>
      <c r="G152">
        <f t="shared" si="20"/>
        <v>1</v>
      </c>
      <c r="H152">
        <f t="shared" si="21"/>
        <v>1</v>
      </c>
      <c r="I152">
        <f t="shared" si="22"/>
        <v>0</v>
      </c>
      <c r="J152">
        <v>83.6</v>
      </c>
      <c r="K152">
        <v>89.5</v>
      </c>
      <c r="L152">
        <v>78.900000000000006</v>
      </c>
      <c r="M152">
        <v>84.9</v>
      </c>
      <c r="N152">
        <v>65</v>
      </c>
      <c r="O152">
        <v>54.3</v>
      </c>
      <c r="S152">
        <f t="shared" si="23"/>
        <v>1</v>
      </c>
      <c r="T152">
        <f t="shared" si="24"/>
        <v>0</v>
      </c>
      <c r="U152">
        <f t="shared" si="25"/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20.8</v>
      </c>
      <c r="AG152">
        <f t="shared" si="26"/>
        <v>1</v>
      </c>
      <c r="AH152">
        <f t="shared" si="27"/>
        <v>1</v>
      </c>
      <c r="AI152">
        <f t="shared" si="28"/>
        <v>0</v>
      </c>
      <c r="AJ152">
        <v>302.5</v>
      </c>
      <c r="AK152">
        <v>1005.5</v>
      </c>
      <c r="AL152">
        <v>0</v>
      </c>
      <c r="AM152">
        <v>6.2</v>
      </c>
      <c r="AN152">
        <v>0</v>
      </c>
      <c r="AO152">
        <v>0</v>
      </c>
      <c r="AP152">
        <v>0</v>
      </c>
      <c r="AQ152">
        <v>0</v>
      </c>
      <c r="AR152" t="s">
        <v>550</v>
      </c>
      <c r="AS152" t="s">
        <v>551</v>
      </c>
      <c r="AT152">
        <v>0.95</v>
      </c>
      <c r="AU152" t="s">
        <v>74</v>
      </c>
      <c r="AV152" t="s">
        <v>44</v>
      </c>
      <c r="AW152" t="s">
        <v>75</v>
      </c>
      <c r="AX152" s="1">
        <v>0.35416666666666669</v>
      </c>
      <c r="AY152" t="s">
        <v>552</v>
      </c>
      <c r="AZ152">
        <v>120.0000000034925</v>
      </c>
      <c r="BA152">
        <v>0</v>
      </c>
      <c r="BB152">
        <v>0</v>
      </c>
      <c r="BC152">
        <v>0.1</v>
      </c>
      <c r="BD152">
        <v>0</v>
      </c>
      <c r="BE152">
        <f t="shared" si="29"/>
        <v>1</v>
      </c>
    </row>
    <row r="153" spans="1:57" x14ac:dyDescent="0.25">
      <c r="A153" t="s">
        <v>39</v>
      </c>
      <c r="B153" t="s">
        <v>553</v>
      </c>
      <c r="C153">
        <v>84.3</v>
      </c>
      <c r="D153">
        <v>77.099999999999994</v>
      </c>
      <c r="G153">
        <f t="shared" si="20"/>
        <v>0</v>
      </c>
      <c r="H153">
        <f t="shared" si="21"/>
        <v>0</v>
      </c>
      <c r="I153">
        <f t="shared" si="22"/>
        <v>0</v>
      </c>
      <c r="J153">
        <v>80.900000000000006</v>
      </c>
      <c r="K153">
        <v>88.6</v>
      </c>
      <c r="L153">
        <v>77.099999999999994</v>
      </c>
      <c r="M153">
        <v>83.2</v>
      </c>
      <c r="N153">
        <v>68.400000000000006</v>
      </c>
      <c r="O153">
        <v>66.099999999999994</v>
      </c>
      <c r="S153">
        <f t="shared" si="23"/>
        <v>1</v>
      </c>
      <c r="T153">
        <f t="shared" si="24"/>
        <v>1</v>
      </c>
      <c r="U153">
        <f t="shared" si="25"/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23</v>
      </c>
      <c r="AG153">
        <f t="shared" si="26"/>
        <v>1</v>
      </c>
      <c r="AH153">
        <f t="shared" si="27"/>
        <v>1</v>
      </c>
      <c r="AI153">
        <f t="shared" si="28"/>
        <v>0</v>
      </c>
      <c r="AJ153">
        <v>310.39999999999998</v>
      </c>
      <c r="AK153">
        <v>1010.5</v>
      </c>
      <c r="AL153">
        <v>33.299999999999997</v>
      </c>
      <c r="AM153">
        <v>6.8</v>
      </c>
      <c r="AN153">
        <v>0</v>
      </c>
      <c r="AO153">
        <v>0</v>
      </c>
      <c r="AP153">
        <v>0</v>
      </c>
      <c r="AQ153">
        <v>0</v>
      </c>
      <c r="AR153" t="s">
        <v>554</v>
      </c>
      <c r="AS153" t="s">
        <v>555</v>
      </c>
      <c r="AT153">
        <v>0.47</v>
      </c>
      <c r="AU153" t="s">
        <v>43</v>
      </c>
      <c r="AV153" t="s">
        <v>44</v>
      </c>
      <c r="AW153" t="s">
        <v>45</v>
      </c>
      <c r="AX153" s="1">
        <v>0.90555555555555556</v>
      </c>
      <c r="AY153" t="s">
        <v>556</v>
      </c>
      <c r="AZ153">
        <v>105.9999999997672</v>
      </c>
      <c r="BA153">
        <v>0</v>
      </c>
      <c r="BB153">
        <v>1</v>
      </c>
      <c r="BC153">
        <v>0</v>
      </c>
      <c r="BD153">
        <v>0</v>
      </c>
      <c r="BE153">
        <f t="shared" si="29"/>
        <v>0</v>
      </c>
    </row>
    <row r="154" spans="1:57" x14ac:dyDescent="0.25">
      <c r="A154" t="s">
        <v>39</v>
      </c>
      <c r="B154" t="s">
        <v>557</v>
      </c>
      <c r="C154">
        <v>77.099999999999994</v>
      </c>
      <c r="D154">
        <v>68.099999999999994</v>
      </c>
      <c r="G154">
        <f t="shared" si="20"/>
        <v>1</v>
      </c>
      <c r="H154">
        <f t="shared" si="21"/>
        <v>1</v>
      </c>
      <c r="I154">
        <f t="shared" si="22"/>
        <v>0</v>
      </c>
      <c r="J154">
        <v>72.2</v>
      </c>
      <c r="K154">
        <v>77.099999999999994</v>
      </c>
      <c r="L154">
        <v>68.099999999999994</v>
      </c>
      <c r="M154">
        <v>72.2</v>
      </c>
      <c r="N154">
        <v>60.6</v>
      </c>
      <c r="O154">
        <v>67.400000000000006</v>
      </c>
      <c r="S154">
        <f t="shared" si="23"/>
        <v>0</v>
      </c>
      <c r="T154">
        <f t="shared" si="24"/>
        <v>0</v>
      </c>
      <c r="U154">
        <f t="shared" si="25"/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11.4</v>
      </c>
      <c r="AG154">
        <f t="shared" si="26"/>
        <v>1</v>
      </c>
      <c r="AH154">
        <f t="shared" si="27"/>
        <v>0</v>
      </c>
      <c r="AI154">
        <f t="shared" si="28"/>
        <v>1</v>
      </c>
      <c r="AJ154">
        <v>303.60000000000002</v>
      </c>
      <c r="AK154">
        <v>1017.5</v>
      </c>
      <c r="AL154">
        <v>39</v>
      </c>
      <c r="AM154">
        <v>6.8</v>
      </c>
      <c r="AN154">
        <v>0</v>
      </c>
      <c r="AO154">
        <v>0</v>
      </c>
      <c r="AP154">
        <v>0</v>
      </c>
      <c r="AQ154">
        <v>0</v>
      </c>
      <c r="AR154" t="s">
        <v>558</v>
      </c>
      <c r="AS154" t="s">
        <v>559</v>
      </c>
      <c r="AT154">
        <v>0.53</v>
      </c>
      <c r="AU154" t="s">
        <v>43</v>
      </c>
      <c r="AV154" t="s">
        <v>44</v>
      </c>
      <c r="AW154" t="s">
        <v>45</v>
      </c>
      <c r="AX154" s="1">
        <v>0.65902777777777777</v>
      </c>
      <c r="AY154" t="s">
        <v>560</v>
      </c>
      <c r="AZ154">
        <v>65.999999995110556</v>
      </c>
      <c r="BA154">
        <v>0</v>
      </c>
      <c r="BB154">
        <v>0.5</v>
      </c>
      <c r="BC154">
        <v>0</v>
      </c>
      <c r="BD154">
        <v>0</v>
      </c>
      <c r="BE154">
        <f t="shared" si="29"/>
        <v>0</v>
      </c>
    </row>
    <row r="155" spans="1:57" x14ac:dyDescent="0.25">
      <c r="A155" t="s">
        <v>39</v>
      </c>
      <c r="B155" t="s">
        <v>561</v>
      </c>
      <c r="C155">
        <v>78.900000000000006</v>
      </c>
      <c r="D155">
        <v>66.3</v>
      </c>
      <c r="G155">
        <f t="shared" si="20"/>
        <v>1</v>
      </c>
      <c r="H155">
        <f t="shared" si="21"/>
        <v>1</v>
      </c>
      <c r="I155">
        <f t="shared" si="22"/>
        <v>0</v>
      </c>
      <c r="J155">
        <v>72.599999999999994</v>
      </c>
      <c r="K155">
        <v>78.900000000000006</v>
      </c>
      <c r="L155">
        <v>66.3</v>
      </c>
      <c r="M155">
        <v>72.599999999999994</v>
      </c>
      <c r="N155">
        <v>66.2</v>
      </c>
      <c r="O155">
        <v>80.599999999999994</v>
      </c>
      <c r="S155">
        <f t="shared" si="23"/>
        <v>1</v>
      </c>
      <c r="T155">
        <f t="shared" si="24"/>
        <v>1</v>
      </c>
      <c r="U155">
        <f t="shared" si="25"/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11.4</v>
      </c>
      <c r="AG155">
        <f t="shared" si="26"/>
        <v>1</v>
      </c>
      <c r="AH155">
        <f t="shared" si="27"/>
        <v>0</v>
      </c>
      <c r="AI155">
        <f t="shared" si="28"/>
        <v>1</v>
      </c>
      <c r="AJ155">
        <v>292.60000000000002</v>
      </c>
      <c r="AK155">
        <v>1014.3</v>
      </c>
      <c r="AL155">
        <v>34.5</v>
      </c>
      <c r="AM155">
        <v>6.8</v>
      </c>
      <c r="AN155">
        <v>0</v>
      </c>
      <c r="AO155">
        <v>0</v>
      </c>
      <c r="AP155">
        <v>0</v>
      </c>
      <c r="AQ155">
        <v>0</v>
      </c>
      <c r="AR155" t="s">
        <v>562</v>
      </c>
      <c r="AS155" t="s">
        <v>563</v>
      </c>
      <c r="AT155">
        <v>0.67</v>
      </c>
      <c r="AU155" t="s">
        <v>43</v>
      </c>
      <c r="AV155" t="s">
        <v>44</v>
      </c>
      <c r="AW155" t="s">
        <v>45</v>
      </c>
      <c r="AX155" s="1">
        <v>0.62430555555555556</v>
      </c>
      <c r="AY155" t="s">
        <v>564</v>
      </c>
      <c r="AZ155">
        <v>146.00000000442381</v>
      </c>
      <c r="BA155">
        <v>0</v>
      </c>
      <c r="BB155">
        <v>0</v>
      </c>
      <c r="BC155">
        <v>1</v>
      </c>
      <c r="BD155">
        <v>0</v>
      </c>
      <c r="BE155">
        <f t="shared" si="29"/>
        <v>1</v>
      </c>
    </row>
    <row r="156" spans="1:57" x14ac:dyDescent="0.25">
      <c r="A156" t="s">
        <v>39</v>
      </c>
      <c r="B156" t="s">
        <v>565</v>
      </c>
      <c r="C156">
        <v>86.1</v>
      </c>
      <c r="D156">
        <v>75.3</v>
      </c>
      <c r="G156">
        <f t="shared" si="20"/>
        <v>1</v>
      </c>
      <c r="H156">
        <f t="shared" si="21"/>
        <v>1</v>
      </c>
      <c r="I156">
        <f t="shared" si="22"/>
        <v>0</v>
      </c>
      <c r="J156">
        <v>80.8</v>
      </c>
      <c r="K156">
        <v>90.8</v>
      </c>
      <c r="L156">
        <v>75.3</v>
      </c>
      <c r="M156">
        <v>82.3</v>
      </c>
      <c r="N156">
        <v>62.6</v>
      </c>
      <c r="O156">
        <v>54.2</v>
      </c>
      <c r="S156">
        <f t="shared" si="23"/>
        <v>1</v>
      </c>
      <c r="T156">
        <f t="shared" si="24"/>
        <v>0</v>
      </c>
      <c r="U156">
        <f t="shared" si="25"/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13.9</v>
      </c>
      <c r="AG156">
        <f t="shared" si="26"/>
        <v>1</v>
      </c>
      <c r="AH156">
        <f t="shared" si="27"/>
        <v>0</v>
      </c>
      <c r="AI156">
        <f t="shared" si="28"/>
        <v>1</v>
      </c>
      <c r="AJ156">
        <v>294.10000000000002</v>
      </c>
      <c r="AK156">
        <v>1012.5</v>
      </c>
      <c r="AL156">
        <v>0</v>
      </c>
      <c r="AM156">
        <v>6.2</v>
      </c>
      <c r="AN156">
        <v>0</v>
      </c>
      <c r="AO156">
        <v>0</v>
      </c>
      <c r="AP156">
        <v>0</v>
      </c>
      <c r="AQ156">
        <v>0</v>
      </c>
      <c r="AR156" t="s">
        <v>566</v>
      </c>
      <c r="AS156" t="s">
        <v>567</v>
      </c>
      <c r="AT156">
        <v>0.5</v>
      </c>
      <c r="AU156" t="s">
        <v>74</v>
      </c>
      <c r="AV156" t="s">
        <v>44</v>
      </c>
      <c r="AW156" t="s">
        <v>75</v>
      </c>
      <c r="AX156" s="1">
        <v>0.55486111111111114</v>
      </c>
      <c r="AY156" t="s">
        <v>568</v>
      </c>
      <c r="AZ156">
        <v>381.00000000558788</v>
      </c>
      <c r="BA156">
        <v>1</v>
      </c>
      <c r="BB156">
        <v>0</v>
      </c>
      <c r="BC156">
        <v>1.5</v>
      </c>
      <c r="BD156">
        <v>0</v>
      </c>
      <c r="BE156">
        <f t="shared" si="29"/>
        <v>1</v>
      </c>
    </row>
    <row r="157" spans="1:57" x14ac:dyDescent="0.25">
      <c r="A157" t="s">
        <v>39</v>
      </c>
      <c r="B157" t="s">
        <v>452</v>
      </c>
      <c r="C157">
        <v>86.1</v>
      </c>
      <c r="D157">
        <v>80.7</v>
      </c>
      <c r="G157">
        <f t="shared" si="20"/>
        <v>1</v>
      </c>
      <c r="H157">
        <f t="shared" si="21"/>
        <v>1</v>
      </c>
      <c r="I157">
        <f t="shared" si="22"/>
        <v>0</v>
      </c>
      <c r="J157">
        <v>83.3</v>
      </c>
      <c r="K157">
        <v>89.8</v>
      </c>
      <c r="L157">
        <v>83.4</v>
      </c>
      <c r="M157">
        <v>85.8</v>
      </c>
      <c r="N157">
        <v>66.3</v>
      </c>
      <c r="O157">
        <v>57</v>
      </c>
      <c r="S157">
        <f t="shared" si="23"/>
        <v>1</v>
      </c>
      <c r="T157">
        <f t="shared" si="24"/>
        <v>0</v>
      </c>
      <c r="U157">
        <f t="shared" si="25"/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23</v>
      </c>
      <c r="AG157">
        <f t="shared" si="26"/>
        <v>1</v>
      </c>
      <c r="AH157">
        <f t="shared" si="27"/>
        <v>1</v>
      </c>
      <c r="AI157">
        <f t="shared" si="28"/>
        <v>0</v>
      </c>
      <c r="AJ157">
        <v>299.39999999999998</v>
      </c>
      <c r="AK157">
        <v>1009.4</v>
      </c>
      <c r="AL157">
        <v>30</v>
      </c>
      <c r="AM157">
        <v>6.5</v>
      </c>
      <c r="AN157">
        <v>0</v>
      </c>
      <c r="AO157">
        <v>0</v>
      </c>
      <c r="AP157">
        <v>0</v>
      </c>
      <c r="AQ157">
        <v>0</v>
      </c>
      <c r="AR157" t="s">
        <v>453</v>
      </c>
      <c r="AS157" t="s">
        <v>454</v>
      </c>
      <c r="AT157">
        <v>0.37</v>
      </c>
      <c r="AU157" t="s">
        <v>43</v>
      </c>
      <c r="AV157" t="s">
        <v>44</v>
      </c>
      <c r="AW157" t="s">
        <v>45</v>
      </c>
      <c r="AX157" s="1">
        <v>0.55555555555555558</v>
      </c>
      <c r="AY157" t="s">
        <v>569</v>
      </c>
      <c r="AZ157">
        <v>339.99999999767169</v>
      </c>
      <c r="BA157">
        <v>0</v>
      </c>
      <c r="BB157">
        <v>0</v>
      </c>
      <c r="BC157">
        <v>2</v>
      </c>
      <c r="BD157">
        <v>0</v>
      </c>
      <c r="BE157">
        <f t="shared" si="29"/>
        <v>1</v>
      </c>
    </row>
    <row r="158" spans="1:57" x14ac:dyDescent="0.25">
      <c r="A158" t="s">
        <v>39</v>
      </c>
      <c r="B158" t="s">
        <v>570</v>
      </c>
      <c r="C158">
        <v>69.900000000000006</v>
      </c>
      <c r="D158">
        <v>51.9</v>
      </c>
      <c r="G158">
        <f t="shared" si="20"/>
        <v>1</v>
      </c>
      <c r="H158">
        <f t="shared" si="21"/>
        <v>1</v>
      </c>
      <c r="I158">
        <f t="shared" si="22"/>
        <v>0</v>
      </c>
      <c r="J158">
        <v>61.4</v>
      </c>
      <c r="K158">
        <v>69.900000000000006</v>
      </c>
      <c r="L158">
        <v>51.9</v>
      </c>
      <c r="M158">
        <v>61.4</v>
      </c>
      <c r="N158">
        <v>47.4</v>
      </c>
      <c r="O158">
        <v>61.9</v>
      </c>
      <c r="S158">
        <f t="shared" si="23"/>
        <v>1</v>
      </c>
      <c r="T158">
        <f t="shared" si="24"/>
        <v>0</v>
      </c>
      <c r="U158">
        <f t="shared" si="25"/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13.9</v>
      </c>
      <c r="AG158">
        <f t="shared" si="26"/>
        <v>1</v>
      </c>
      <c r="AH158">
        <f t="shared" si="27"/>
        <v>0</v>
      </c>
      <c r="AI158">
        <f t="shared" si="28"/>
        <v>1</v>
      </c>
      <c r="AJ158">
        <v>279.8</v>
      </c>
      <c r="AK158">
        <v>1013</v>
      </c>
      <c r="AL158">
        <v>50</v>
      </c>
      <c r="AM158">
        <v>6.3</v>
      </c>
      <c r="AN158">
        <v>0</v>
      </c>
      <c r="AO158">
        <v>0</v>
      </c>
      <c r="AP158">
        <v>0</v>
      </c>
      <c r="AQ158">
        <v>0</v>
      </c>
      <c r="AR158" t="s">
        <v>571</v>
      </c>
      <c r="AS158" t="s">
        <v>572</v>
      </c>
      <c r="AT158">
        <v>0.88</v>
      </c>
      <c r="AU158" t="s">
        <v>43</v>
      </c>
      <c r="AV158" t="s">
        <v>44</v>
      </c>
      <c r="AW158" t="s">
        <v>45</v>
      </c>
      <c r="AX158" s="1">
        <v>0.55486111111111114</v>
      </c>
      <c r="AY158" t="s">
        <v>573</v>
      </c>
      <c r="AZ158">
        <v>1841.000000007916</v>
      </c>
      <c r="BA158">
        <v>1</v>
      </c>
      <c r="BB158">
        <v>0</v>
      </c>
      <c r="BC158">
        <v>200</v>
      </c>
      <c r="BD158">
        <v>0</v>
      </c>
      <c r="BE158">
        <f t="shared" si="29"/>
        <v>1</v>
      </c>
    </row>
    <row r="159" spans="1:57" x14ac:dyDescent="0.25">
      <c r="A159" t="s">
        <v>39</v>
      </c>
      <c r="B159" t="s">
        <v>456</v>
      </c>
      <c r="C159">
        <v>62.7</v>
      </c>
      <c r="D159">
        <v>48.3</v>
      </c>
      <c r="G159">
        <f t="shared" si="20"/>
        <v>0</v>
      </c>
      <c r="H159">
        <f t="shared" si="21"/>
        <v>0</v>
      </c>
      <c r="I159">
        <f t="shared" si="22"/>
        <v>0</v>
      </c>
      <c r="J159">
        <v>56</v>
      </c>
      <c r="K159">
        <v>62.7</v>
      </c>
      <c r="L159">
        <v>45.2</v>
      </c>
      <c r="M159">
        <v>55.5</v>
      </c>
      <c r="N159">
        <v>50.1</v>
      </c>
      <c r="O159">
        <v>81</v>
      </c>
      <c r="S159">
        <f t="shared" si="23"/>
        <v>1</v>
      </c>
      <c r="T159">
        <f t="shared" si="24"/>
        <v>1</v>
      </c>
      <c r="U159">
        <f t="shared" si="25"/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9.1999999999999993</v>
      </c>
      <c r="AG159">
        <f t="shared" si="26"/>
        <v>1</v>
      </c>
      <c r="AH159">
        <f t="shared" si="27"/>
        <v>0</v>
      </c>
      <c r="AI159">
        <f t="shared" si="28"/>
        <v>1</v>
      </c>
      <c r="AJ159">
        <v>88.2</v>
      </c>
      <c r="AK159">
        <v>1019.1</v>
      </c>
      <c r="AL159">
        <v>30</v>
      </c>
      <c r="AM159">
        <v>6.6</v>
      </c>
      <c r="AN159">
        <v>0</v>
      </c>
      <c r="AO159">
        <v>0</v>
      </c>
      <c r="AP159">
        <v>0</v>
      </c>
      <c r="AQ159">
        <v>0</v>
      </c>
      <c r="AR159" t="s">
        <v>457</v>
      </c>
      <c r="AS159" t="s">
        <v>458</v>
      </c>
      <c r="AT159">
        <v>0.75</v>
      </c>
      <c r="AU159" t="s">
        <v>43</v>
      </c>
      <c r="AV159" t="s">
        <v>44</v>
      </c>
      <c r="AW159" t="s">
        <v>45</v>
      </c>
      <c r="AX159" s="1">
        <v>0.77013888888888893</v>
      </c>
      <c r="AY159" t="s">
        <v>574</v>
      </c>
      <c r="AZ159">
        <v>1470.9999999962749</v>
      </c>
      <c r="BA159">
        <v>1</v>
      </c>
      <c r="BB159">
        <v>0</v>
      </c>
      <c r="BC159">
        <v>20</v>
      </c>
      <c r="BD159">
        <v>0</v>
      </c>
      <c r="BE159">
        <f t="shared" si="29"/>
        <v>0</v>
      </c>
    </row>
    <row r="160" spans="1:57" x14ac:dyDescent="0.25">
      <c r="A160" t="s">
        <v>39</v>
      </c>
      <c r="B160" t="s">
        <v>575</v>
      </c>
      <c r="C160">
        <v>73.5</v>
      </c>
      <c r="D160">
        <v>62.7</v>
      </c>
      <c r="G160">
        <f t="shared" si="20"/>
        <v>0</v>
      </c>
      <c r="H160">
        <f t="shared" si="21"/>
        <v>0</v>
      </c>
      <c r="I160">
        <f t="shared" si="22"/>
        <v>0</v>
      </c>
      <c r="J160">
        <v>68.900000000000006</v>
      </c>
      <c r="K160">
        <v>73.5</v>
      </c>
      <c r="L160">
        <v>62.7</v>
      </c>
      <c r="M160">
        <v>68.900000000000006</v>
      </c>
      <c r="N160">
        <v>57.3</v>
      </c>
      <c r="O160">
        <v>68.8</v>
      </c>
      <c r="S160">
        <f t="shared" si="23"/>
        <v>0</v>
      </c>
      <c r="T160">
        <f t="shared" si="24"/>
        <v>0</v>
      </c>
      <c r="U160">
        <f t="shared" si="25"/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12.8</v>
      </c>
      <c r="AG160">
        <f t="shared" si="26"/>
        <v>1</v>
      </c>
      <c r="AH160">
        <f t="shared" si="27"/>
        <v>0</v>
      </c>
      <c r="AI160">
        <f t="shared" si="28"/>
        <v>1</v>
      </c>
      <c r="AJ160">
        <v>316.8</v>
      </c>
      <c r="AK160">
        <v>1017.3</v>
      </c>
      <c r="AL160">
        <v>30.9</v>
      </c>
      <c r="AM160">
        <v>6.8</v>
      </c>
      <c r="AN160">
        <v>0</v>
      </c>
      <c r="AO160">
        <v>0</v>
      </c>
      <c r="AP160">
        <v>0</v>
      </c>
      <c r="AQ160">
        <v>0</v>
      </c>
      <c r="AR160" t="s">
        <v>576</v>
      </c>
      <c r="AS160" t="s">
        <v>577</v>
      </c>
      <c r="AT160">
        <v>0.25</v>
      </c>
      <c r="AU160" t="s">
        <v>43</v>
      </c>
      <c r="AV160" t="s">
        <v>44</v>
      </c>
      <c r="AW160" t="s">
        <v>45</v>
      </c>
      <c r="AX160" s="1">
        <v>0.70416666666666672</v>
      </c>
      <c r="AY160" t="s">
        <v>578</v>
      </c>
      <c r="AZ160">
        <v>455.99999999860302</v>
      </c>
      <c r="BA160">
        <v>1</v>
      </c>
      <c r="BB160">
        <v>3</v>
      </c>
      <c r="BC160">
        <v>0</v>
      </c>
      <c r="BD160">
        <v>0</v>
      </c>
      <c r="BE160">
        <f t="shared" si="29"/>
        <v>0</v>
      </c>
    </row>
    <row r="161" spans="1:57" x14ac:dyDescent="0.25">
      <c r="A161" t="s">
        <v>39</v>
      </c>
      <c r="B161" t="s">
        <v>579</v>
      </c>
      <c r="C161">
        <v>59.1</v>
      </c>
      <c r="D161">
        <v>53.7</v>
      </c>
      <c r="G161">
        <f t="shared" si="20"/>
        <v>1</v>
      </c>
      <c r="H161">
        <f t="shared" si="21"/>
        <v>0</v>
      </c>
      <c r="I161">
        <f t="shared" si="22"/>
        <v>1</v>
      </c>
      <c r="J161">
        <v>56.9</v>
      </c>
      <c r="K161">
        <v>59.1</v>
      </c>
      <c r="L161">
        <v>53.7</v>
      </c>
      <c r="M161">
        <v>56.9</v>
      </c>
      <c r="N161">
        <v>41</v>
      </c>
      <c r="O161">
        <v>55.5</v>
      </c>
      <c r="S161">
        <f t="shared" si="23"/>
        <v>1</v>
      </c>
      <c r="T161">
        <f t="shared" si="24"/>
        <v>0</v>
      </c>
      <c r="U161">
        <f t="shared" si="25"/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21.9</v>
      </c>
      <c r="AG161">
        <f t="shared" si="26"/>
        <v>1</v>
      </c>
      <c r="AH161">
        <f t="shared" si="27"/>
        <v>1</v>
      </c>
      <c r="AI161">
        <f t="shared" si="28"/>
        <v>0</v>
      </c>
      <c r="AJ161">
        <v>325.3</v>
      </c>
      <c r="AK161">
        <v>1016.6</v>
      </c>
      <c r="AL161">
        <v>75</v>
      </c>
      <c r="AM161">
        <v>6.8</v>
      </c>
      <c r="AN161">
        <v>0</v>
      </c>
      <c r="AO161">
        <v>0</v>
      </c>
      <c r="AP161">
        <v>0</v>
      </c>
      <c r="AQ161">
        <v>0</v>
      </c>
      <c r="AR161" t="s">
        <v>580</v>
      </c>
      <c r="AS161" t="s">
        <v>581</v>
      </c>
      <c r="AT161">
        <v>0.37</v>
      </c>
      <c r="AU161" t="s">
        <v>43</v>
      </c>
      <c r="AV161" t="s">
        <v>44</v>
      </c>
      <c r="AW161" t="s">
        <v>45</v>
      </c>
      <c r="AX161" s="1">
        <v>0.56874999999999998</v>
      </c>
      <c r="AY161" t="s">
        <v>582</v>
      </c>
      <c r="AZ161">
        <v>240.9999999997672</v>
      </c>
      <c r="BA161">
        <v>0</v>
      </c>
      <c r="BB161">
        <v>0</v>
      </c>
      <c r="BC161">
        <v>1</v>
      </c>
      <c r="BD161">
        <v>0</v>
      </c>
      <c r="BE161">
        <f t="shared" si="29"/>
        <v>1</v>
      </c>
    </row>
    <row r="162" spans="1:57" x14ac:dyDescent="0.25">
      <c r="A162" t="s">
        <v>39</v>
      </c>
      <c r="B162" t="s">
        <v>583</v>
      </c>
      <c r="C162">
        <v>87.9</v>
      </c>
      <c r="D162">
        <v>73.5</v>
      </c>
      <c r="G162">
        <f t="shared" si="20"/>
        <v>1</v>
      </c>
      <c r="H162">
        <f t="shared" si="21"/>
        <v>1</v>
      </c>
      <c r="I162">
        <f t="shared" si="22"/>
        <v>0</v>
      </c>
      <c r="J162">
        <v>82.7</v>
      </c>
      <c r="K162">
        <v>90.8</v>
      </c>
      <c r="L162">
        <v>73.5</v>
      </c>
      <c r="M162">
        <v>84.1</v>
      </c>
      <c r="N162">
        <v>63.9</v>
      </c>
      <c r="O162">
        <v>53.8</v>
      </c>
      <c r="S162">
        <f t="shared" si="23"/>
        <v>1</v>
      </c>
      <c r="T162">
        <f t="shared" si="24"/>
        <v>0</v>
      </c>
      <c r="U162">
        <f t="shared" si="25"/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18.3</v>
      </c>
      <c r="AG162">
        <f t="shared" si="26"/>
        <v>0</v>
      </c>
      <c r="AH162">
        <f t="shared" si="27"/>
        <v>0</v>
      </c>
      <c r="AI162">
        <f t="shared" si="28"/>
        <v>0</v>
      </c>
      <c r="AJ162">
        <v>307</v>
      </c>
      <c r="AK162">
        <v>1009.8</v>
      </c>
      <c r="AL162">
        <v>0</v>
      </c>
      <c r="AM162">
        <v>6.2</v>
      </c>
      <c r="AN162">
        <v>0</v>
      </c>
      <c r="AO162">
        <v>0</v>
      </c>
      <c r="AP162">
        <v>0</v>
      </c>
      <c r="AQ162">
        <v>0</v>
      </c>
      <c r="AR162" t="s">
        <v>584</v>
      </c>
      <c r="AS162" t="s">
        <v>585</v>
      </c>
      <c r="AT162">
        <v>0.19</v>
      </c>
      <c r="AU162" t="s">
        <v>74</v>
      </c>
      <c r="AV162" t="s">
        <v>44</v>
      </c>
      <c r="AW162" t="s">
        <v>75</v>
      </c>
      <c r="AX162" s="1">
        <v>0.625</v>
      </c>
      <c r="AY162" t="s">
        <v>586</v>
      </c>
      <c r="AZ162">
        <v>1859.999999996508</v>
      </c>
      <c r="BA162">
        <v>1</v>
      </c>
      <c r="BB162">
        <v>0</v>
      </c>
      <c r="BC162">
        <v>13</v>
      </c>
      <c r="BD162">
        <v>0</v>
      </c>
      <c r="BE162">
        <f t="shared" si="29"/>
        <v>1</v>
      </c>
    </row>
    <row r="163" spans="1:57" x14ac:dyDescent="0.25">
      <c r="A163" t="s">
        <v>39</v>
      </c>
      <c r="B163" t="s">
        <v>587</v>
      </c>
      <c r="C163">
        <v>77.099999999999994</v>
      </c>
      <c r="D163">
        <v>59.1</v>
      </c>
      <c r="G163">
        <f t="shared" si="20"/>
        <v>1</v>
      </c>
      <c r="H163">
        <f t="shared" si="21"/>
        <v>1</v>
      </c>
      <c r="I163">
        <f t="shared" si="22"/>
        <v>0</v>
      </c>
      <c r="J163">
        <v>69.2</v>
      </c>
      <c r="K163">
        <v>77.099999999999994</v>
      </c>
      <c r="L163">
        <v>59.1</v>
      </c>
      <c r="M163">
        <v>69.2</v>
      </c>
      <c r="N163">
        <v>46.9</v>
      </c>
      <c r="O163">
        <v>51</v>
      </c>
      <c r="S163">
        <f t="shared" si="23"/>
        <v>1</v>
      </c>
      <c r="T163">
        <f t="shared" si="24"/>
        <v>0</v>
      </c>
      <c r="U163">
        <f t="shared" si="25"/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20.8</v>
      </c>
      <c r="AG163">
        <f t="shared" si="26"/>
        <v>1</v>
      </c>
      <c r="AH163">
        <f t="shared" si="27"/>
        <v>1</v>
      </c>
      <c r="AI163">
        <f t="shared" si="28"/>
        <v>0</v>
      </c>
      <c r="AJ163">
        <v>259.2</v>
      </c>
      <c r="AK163">
        <v>1010.2</v>
      </c>
      <c r="AL163">
        <v>0</v>
      </c>
      <c r="AM163">
        <v>6.2</v>
      </c>
      <c r="AN163">
        <v>0</v>
      </c>
      <c r="AO163">
        <v>0</v>
      </c>
      <c r="AP163">
        <v>0</v>
      </c>
      <c r="AQ163">
        <v>0</v>
      </c>
      <c r="AR163" t="s">
        <v>588</v>
      </c>
      <c r="AS163" t="s">
        <v>589</v>
      </c>
      <c r="AT163">
        <v>0.12</v>
      </c>
      <c r="AU163" t="s">
        <v>74</v>
      </c>
      <c r="AV163" t="s">
        <v>44</v>
      </c>
      <c r="AW163" t="s">
        <v>75</v>
      </c>
      <c r="AX163" s="1">
        <v>0.55208333333333337</v>
      </c>
      <c r="AY163" t="s">
        <v>590</v>
      </c>
      <c r="AZ163">
        <v>59.99999999650754</v>
      </c>
      <c r="BA163">
        <v>0</v>
      </c>
      <c r="BB163">
        <v>0</v>
      </c>
      <c r="BC163">
        <v>0.1</v>
      </c>
      <c r="BD163">
        <v>0</v>
      </c>
      <c r="BE163">
        <f t="shared" si="29"/>
        <v>1</v>
      </c>
    </row>
    <row r="164" spans="1:57" x14ac:dyDescent="0.25">
      <c r="A164" t="s">
        <v>39</v>
      </c>
      <c r="B164" t="s">
        <v>591</v>
      </c>
      <c r="C164">
        <v>84.3</v>
      </c>
      <c r="D164">
        <v>60.9</v>
      </c>
      <c r="G164">
        <f t="shared" si="20"/>
        <v>1</v>
      </c>
      <c r="H164">
        <f t="shared" si="21"/>
        <v>1</v>
      </c>
      <c r="I164">
        <f t="shared" si="22"/>
        <v>0</v>
      </c>
      <c r="J164">
        <v>72.2</v>
      </c>
      <c r="K164">
        <v>82.1</v>
      </c>
      <c r="L164">
        <v>60.9</v>
      </c>
      <c r="M164">
        <v>71.8</v>
      </c>
      <c r="N164">
        <v>43.1</v>
      </c>
      <c r="O164">
        <v>35.799999999999997</v>
      </c>
      <c r="S164">
        <f t="shared" si="23"/>
        <v>1</v>
      </c>
      <c r="T164">
        <f t="shared" si="24"/>
        <v>0</v>
      </c>
      <c r="U164">
        <f t="shared" si="25"/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20.8</v>
      </c>
      <c r="AG164">
        <f t="shared" si="26"/>
        <v>1</v>
      </c>
      <c r="AH164">
        <f t="shared" si="27"/>
        <v>1</v>
      </c>
      <c r="AI164">
        <f t="shared" si="28"/>
        <v>0</v>
      </c>
      <c r="AJ164">
        <v>180.6</v>
      </c>
      <c r="AK164">
        <v>1011.4</v>
      </c>
      <c r="AL164">
        <v>0</v>
      </c>
      <c r="AM164">
        <v>6.2</v>
      </c>
      <c r="AN164">
        <v>0</v>
      </c>
      <c r="AO164">
        <v>0</v>
      </c>
      <c r="AP164">
        <v>0</v>
      </c>
      <c r="AQ164">
        <v>0</v>
      </c>
      <c r="AR164" t="s">
        <v>592</v>
      </c>
      <c r="AS164" t="s">
        <v>593</v>
      </c>
      <c r="AT164">
        <v>0.89</v>
      </c>
      <c r="AU164" t="s">
        <v>74</v>
      </c>
      <c r="AV164" t="s">
        <v>44</v>
      </c>
      <c r="AW164" t="s">
        <v>75</v>
      </c>
      <c r="AX164" s="1">
        <v>0.59722222222222221</v>
      </c>
      <c r="AY164" t="s">
        <v>594</v>
      </c>
      <c r="AZ164">
        <v>130.00000000465661</v>
      </c>
      <c r="BA164">
        <v>0</v>
      </c>
      <c r="BB164">
        <v>0</v>
      </c>
      <c r="BC164">
        <v>3</v>
      </c>
      <c r="BD164">
        <v>0</v>
      </c>
      <c r="BE164">
        <f t="shared" si="29"/>
        <v>1</v>
      </c>
    </row>
    <row r="165" spans="1:57" x14ac:dyDescent="0.25">
      <c r="A165" t="s">
        <v>39</v>
      </c>
      <c r="B165" t="s">
        <v>595</v>
      </c>
      <c r="C165">
        <v>59.1</v>
      </c>
      <c r="D165">
        <v>50.1</v>
      </c>
      <c r="G165">
        <f t="shared" si="20"/>
        <v>1</v>
      </c>
      <c r="H165">
        <f t="shared" si="21"/>
        <v>0</v>
      </c>
      <c r="I165">
        <f t="shared" si="22"/>
        <v>1</v>
      </c>
      <c r="J165">
        <v>53.9</v>
      </c>
      <c r="K165">
        <v>59.1</v>
      </c>
      <c r="L165">
        <v>50.1</v>
      </c>
      <c r="M165">
        <v>53.9</v>
      </c>
      <c r="N165">
        <v>35.5</v>
      </c>
      <c r="O165">
        <v>50.5</v>
      </c>
      <c r="S165">
        <f t="shared" si="23"/>
        <v>1</v>
      </c>
      <c r="T165">
        <f t="shared" si="24"/>
        <v>0</v>
      </c>
      <c r="U165">
        <f t="shared" si="25"/>
        <v>1</v>
      </c>
      <c r="V165">
        <v>4.2999999999999997E-2</v>
      </c>
      <c r="W165">
        <v>100</v>
      </c>
      <c r="X165">
        <v>8.33</v>
      </c>
      <c r="Y165" t="s">
        <v>103</v>
      </c>
      <c r="Z165">
        <v>0</v>
      </c>
      <c r="AA165">
        <v>0</v>
      </c>
      <c r="AB165">
        <v>0</v>
      </c>
      <c r="AC165">
        <v>25.3</v>
      </c>
      <c r="AG165">
        <f t="shared" si="26"/>
        <v>1</v>
      </c>
      <c r="AH165">
        <f t="shared" si="27"/>
        <v>1</v>
      </c>
      <c r="AI165">
        <f t="shared" si="28"/>
        <v>0</v>
      </c>
      <c r="AJ165">
        <v>290.3</v>
      </c>
      <c r="AK165">
        <v>1012.6</v>
      </c>
      <c r="AL165">
        <v>57</v>
      </c>
      <c r="AM165">
        <v>6.8</v>
      </c>
      <c r="AN165">
        <v>0</v>
      </c>
      <c r="AO165">
        <v>0</v>
      </c>
      <c r="AP165">
        <v>0</v>
      </c>
      <c r="AQ165">
        <v>0</v>
      </c>
      <c r="AR165" t="s">
        <v>596</v>
      </c>
      <c r="AS165" t="s">
        <v>597</v>
      </c>
      <c r="AT165">
        <v>0.33</v>
      </c>
      <c r="AU165" t="s">
        <v>106</v>
      </c>
      <c r="AV165" t="s">
        <v>257</v>
      </c>
      <c r="AW165" t="s">
        <v>103</v>
      </c>
      <c r="AX165" s="1">
        <v>0.62777777777777777</v>
      </c>
      <c r="AY165" t="s">
        <v>598</v>
      </c>
      <c r="AZ165">
        <v>140.99999999860299</v>
      </c>
      <c r="BA165">
        <v>0</v>
      </c>
      <c r="BB165">
        <v>0</v>
      </c>
      <c r="BC165">
        <v>2</v>
      </c>
      <c r="BD165">
        <v>0</v>
      </c>
      <c r="BE165">
        <f t="shared" si="29"/>
        <v>1</v>
      </c>
    </row>
    <row r="166" spans="1:57" x14ac:dyDescent="0.25">
      <c r="A166" t="s">
        <v>39</v>
      </c>
      <c r="B166" t="s">
        <v>599</v>
      </c>
      <c r="C166">
        <v>59.1</v>
      </c>
      <c r="D166">
        <v>51.9</v>
      </c>
      <c r="G166">
        <f t="shared" si="20"/>
        <v>1</v>
      </c>
      <c r="H166">
        <f t="shared" si="21"/>
        <v>0</v>
      </c>
      <c r="I166">
        <f t="shared" si="22"/>
        <v>1</v>
      </c>
      <c r="J166">
        <v>54.5</v>
      </c>
      <c r="K166">
        <v>59.1</v>
      </c>
      <c r="L166">
        <v>51.9</v>
      </c>
      <c r="M166">
        <v>54.5</v>
      </c>
      <c r="N166">
        <v>37.9</v>
      </c>
      <c r="O166">
        <v>53.8</v>
      </c>
      <c r="S166">
        <f t="shared" si="23"/>
        <v>1</v>
      </c>
      <c r="T166">
        <f t="shared" si="24"/>
        <v>0</v>
      </c>
      <c r="U166">
        <f t="shared" si="25"/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21.9</v>
      </c>
      <c r="AG166">
        <f t="shared" si="26"/>
        <v>1</v>
      </c>
      <c r="AH166">
        <f t="shared" si="27"/>
        <v>1</v>
      </c>
      <c r="AI166">
        <f t="shared" si="28"/>
        <v>0</v>
      </c>
      <c r="AJ166">
        <v>325</v>
      </c>
      <c r="AK166">
        <v>1025.4000000000001</v>
      </c>
      <c r="AL166">
        <v>60</v>
      </c>
      <c r="AM166">
        <v>6.8</v>
      </c>
      <c r="AN166">
        <v>0</v>
      </c>
      <c r="AO166">
        <v>0</v>
      </c>
      <c r="AP166">
        <v>0</v>
      </c>
      <c r="AQ166">
        <v>0</v>
      </c>
      <c r="AR166" t="s">
        <v>600</v>
      </c>
      <c r="AS166" t="s">
        <v>601</v>
      </c>
      <c r="AT166">
        <v>0.1</v>
      </c>
      <c r="AU166" t="s">
        <v>43</v>
      </c>
      <c r="AV166" t="s">
        <v>44</v>
      </c>
      <c r="AW166" t="s">
        <v>45</v>
      </c>
      <c r="AX166" s="1">
        <v>0.47499999999999998</v>
      </c>
      <c r="AY166" t="s">
        <v>602</v>
      </c>
      <c r="AZ166">
        <v>156.00000000558791</v>
      </c>
      <c r="BA166">
        <v>0</v>
      </c>
      <c r="BB166">
        <v>0.1</v>
      </c>
      <c r="BC166">
        <v>0</v>
      </c>
      <c r="BD166">
        <v>0</v>
      </c>
      <c r="BE166">
        <f t="shared" si="29"/>
        <v>1</v>
      </c>
    </row>
    <row r="167" spans="1:57" x14ac:dyDescent="0.25">
      <c r="A167" t="s">
        <v>39</v>
      </c>
      <c r="B167" t="s">
        <v>595</v>
      </c>
      <c r="C167">
        <v>59.1</v>
      </c>
      <c r="D167">
        <v>50.1</v>
      </c>
      <c r="G167">
        <f t="shared" si="20"/>
        <v>1</v>
      </c>
      <c r="H167">
        <f t="shared" si="21"/>
        <v>0</v>
      </c>
      <c r="I167">
        <f t="shared" si="22"/>
        <v>1</v>
      </c>
      <c r="J167">
        <v>53.9</v>
      </c>
      <c r="K167">
        <v>59.1</v>
      </c>
      <c r="L167">
        <v>50.1</v>
      </c>
      <c r="M167">
        <v>53.9</v>
      </c>
      <c r="N167">
        <v>35.5</v>
      </c>
      <c r="O167">
        <v>50.5</v>
      </c>
      <c r="S167">
        <f t="shared" si="23"/>
        <v>1</v>
      </c>
      <c r="T167">
        <f t="shared" si="24"/>
        <v>0</v>
      </c>
      <c r="U167">
        <f t="shared" si="25"/>
        <v>1</v>
      </c>
      <c r="V167">
        <v>4.2999999999999997E-2</v>
      </c>
      <c r="W167">
        <v>100</v>
      </c>
      <c r="X167">
        <v>8.33</v>
      </c>
      <c r="Y167" t="s">
        <v>103</v>
      </c>
      <c r="Z167">
        <v>0</v>
      </c>
      <c r="AA167">
        <v>0</v>
      </c>
      <c r="AB167">
        <v>0</v>
      </c>
      <c r="AC167">
        <v>25.3</v>
      </c>
      <c r="AG167">
        <f t="shared" si="26"/>
        <v>1</v>
      </c>
      <c r="AH167">
        <f t="shared" si="27"/>
        <v>1</v>
      </c>
      <c r="AI167">
        <f t="shared" si="28"/>
        <v>0</v>
      </c>
      <c r="AJ167">
        <v>290.3</v>
      </c>
      <c r="AK167">
        <v>1012.6</v>
      </c>
      <c r="AL167">
        <v>57</v>
      </c>
      <c r="AM167">
        <v>6.8</v>
      </c>
      <c r="AN167">
        <v>0</v>
      </c>
      <c r="AO167">
        <v>0</v>
      </c>
      <c r="AP167">
        <v>0</v>
      </c>
      <c r="AQ167">
        <v>0</v>
      </c>
      <c r="AR167" t="s">
        <v>596</v>
      </c>
      <c r="AS167" t="s">
        <v>597</v>
      </c>
      <c r="AT167">
        <v>0.33</v>
      </c>
      <c r="AU167" t="s">
        <v>106</v>
      </c>
      <c r="AV167" t="s">
        <v>257</v>
      </c>
      <c r="AW167" t="s">
        <v>103</v>
      </c>
      <c r="AX167" s="1">
        <v>0.58333333333333337</v>
      </c>
      <c r="AY167" t="s">
        <v>603</v>
      </c>
      <c r="AZ167">
        <v>1139.999999996508</v>
      </c>
      <c r="BA167">
        <v>1</v>
      </c>
      <c r="BB167">
        <v>0</v>
      </c>
      <c r="BC167">
        <v>10</v>
      </c>
      <c r="BD167">
        <v>0</v>
      </c>
      <c r="BE167">
        <f t="shared" si="29"/>
        <v>1</v>
      </c>
    </row>
    <row r="168" spans="1:57" x14ac:dyDescent="0.25">
      <c r="A168" t="s">
        <v>39</v>
      </c>
      <c r="B168" t="s">
        <v>604</v>
      </c>
      <c r="C168">
        <v>75.3</v>
      </c>
      <c r="D168">
        <v>69.900000000000006</v>
      </c>
      <c r="G168">
        <f t="shared" si="20"/>
        <v>0</v>
      </c>
      <c r="H168">
        <f t="shared" si="21"/>
        <v>0</v>
      </c>
      <c r="I168">
        <f t="shared" si="22"/>
        <v>0</v>
      </c>
      <c r="J168">
        <v>72.599999999999994</v>
      </c>
      <c r="K168">
        <v>75.3</v>
      </c>
      <c r="L168">
        <v>69.900000000000006</v>
      </c>
      <c r="M168">
        <v>72.599999999999994</v>
      </c>
      <c r="N168">
        <v>61.4</v>
      </c>
      <c r="O168">
        <v>68.099999999999994</v>
      </c>
      <c r="S168">
        <f t="shared" si="23"/>
        <v>0</v>
      </c>
      <c r="T168">
        <f t="shared" si="24"/>
        <v>0</v>
      </c>
      <c r="U168">
        <f t="shared" si="25"/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20.8</v>
      </c>
      <c r="AG168">
        <f t="shared" si="26"/>
        <v>1</v>
      </c>
      <c r="AH168">
        <f t="shared" si="27"/>
        <v>1</v>
      </c>
      <c r="AI168">
        <f t="shared" si="28"/>
        <v>0</v>
      </c>
      <c r="AJ168">
        <v>312.39999999999998</v>
      </c>
      <c r="AK168">
        <v>1015.2</v>
      </c>
      <c r="AL168">
        <v>51.7</v>
      </c>
      <c r="AM168">
        <v>6.8</v>
      </c>
      <c r="AN168">
        <v>0</v>
      </c>
      <c r="AO168">
        <v>0</v>
      </c>
      <c r="AP168">
        <v>0</v>
      </c>
      <c r="AQ168">
        <v>0</v>
      </c>
      <c r="AR168" t="s">
        <v>605</v>
      </c>
      <c r="AS168" t="s">
        <v>606</v>
      </c>
      <c r="AT168">
        <v>0.88</v>
      </c>
      <c r="AU168" t="s">
        <v>43</v>
      </c>
      <c r="AV168" t="s">
        <v>44</v>
      </c>
      <c r="AW168" t="s">
        <v>45</v>
      </c>
      <c r="AX168" s="1">
        <v>0.62430555555555556</v>
      </c>
      <c r="AY168" t="s">
        <v>607</v>
      </c>
      <c r="AZ168">
        <v>4560.9999999997672</v>
      </c>
      <c r="BA168">
        <v>1</v>
      </c>
      <c r="BB168">
        <v>0</v>
      </c>
      <c r="BC168">
        <v>100</v>
      </c>
      <c r="BD168">
        <v>0</v>
      </c>
      <c r="BE168">
        <f t="shared" si="29"/>
        <v>0</v>
      </c>
    </row>
    <row r="169" spans="1:57" x14ac:dyDescent="0.25">
      <c r="A169" t="s">
        <v>39</v>
      </c>
      <c r="B169" t="s">
        <v>608</v>
      </c>
      <c r="C169">
        <v>78.900000000000006</v>
      </c>
      <c r="D169">
        <v>73.5</v>
      </c>
      <c r="G169">
        <f t="shared" si="20"/>
        <v>1</v>
      </c>
      <c r="H169">
        <f t="shared" si="21"/>
        <v>1</v>
      </c>
      <c r="I169">
        <f t="shared" si="22"/>
        <v>0</v>
      </c>
      <c r="J169">
        <v>75.2</v>
      </c>
      <c r="K169">
        <v>78.900000000000006</v>
      </c>
      <c r="L169">
        <v>73.5</v>
      </c>
      <c r="M169">
        <v>75.2</v>
      </c>
      <c r="N169">
        <v>61.6</v>
      </c>
      <c r="O169">
        <v>63</v>
      </c>
      <c r="S169">
        <f t="shared" si="23"/>
        <v>1</v>
      </c>
      <c r="T169">
        <f t="shared" si="24"/>
        <v>0</v>
      </c>
      <c r="U169">
        <f t="shared" si="25"/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20.8</v>
      </c>
      <c r="AG169">
        <f t="shared" si="26"/>
        <v>1</v>
      </c>
      <c r="AH169">
        <f t="shared" si="27"/>
        <v>1</v>
      </c>
      <c r="AI169">
        <f t="shared" si="28"/>
        <v>0</v>
      </c>
      <c r="AJ169">
        <v>301.39999999999998</v>
      </c>
      <c r="AK169">
        <v>1015.8</v>
      </c>
      <c r="AL169">
        <v>36.700000000000003</v>
      </c>
      <c r="AM169">
        <v>6.8</v>
      </c>
      <c r="AN169">
        <v>0</v>
      </c>
      <c r="AO169">
        <v>0</v>
      </c>
      <c r="AP169">
        <v>0</v>
      </c>
      <c r="AQ169">
        <v>0</v>
      </c>
      <c r="AR169" t="s">
        <v>609</v>
      </c>
      <c r="AS169" t="s">
        <v>610</v>
      </c>
      <c r="AT169">
        <v>0.84</v>
      </c>
      <c r="AU169" t="s">
        <v>43</v>
      </c>
      <c r="AV169" t="s">
        <v>44</v>
      </c>
      <c r="AW169" t="s">
        <v>45</v>
      </c>
      <c r="AX169" s="1">
        <v>0.67708333333333337</v>
      </c>
      <c r="AY169" t="s">
        <v>611</v>
      </c>
      <c r="AZ169">
        <v>1755</v>
      </c>
      <c r="BA169">
        <v>1</v>
      </c>
      <c r="BB169">
        <v>0</v>
      </c>
      <c r="BC169">
        <v>10</v>
      </c>
      <c r="BD169">
        <v>0</v>
      </c>
      <c r="BE169">
        <f t="shared" si="29"/>
        <v>1</v>
      </c>
    </row>
    <row r="170" spans="1:57" x14ac:dyDescent="0.25">
      <c r="A170" t="s">
        <v>39</v>
      </c>
      <c r="B170" t="s">
        <v>612</v>
      </c>
      <c r="C170">
        <v>73.5</v>
      </c>
      <c r="D170">
        <v>66.3</v>
      </c>
      <c r="G170">
        <f t="shared" si="20"/>
        <v>1</v>
      </c>
      <c r="H170">
        <f t="shared" si="21"/>
        <v>1</v>
      </c>
      <c r="I170">
        <f t="shared" si="22"/>
        <v>0</v>
      </c>
      <c r="J170">
        <v>69.5</v>
      </c>
      <c r="K170">
        <v>73.5</v>
      </c>
      <c r="L170">
        <v>66.3</v>
      </c>
      <c r="M170">
        <v>69.5</v>
      </c>
      <c r="N170">
        <v>49.1</v>
      </c>
      <c r="O170">
        <v>49.8</v>
      </c>
      <c r="S170">
        <f t="shared" si="23"/>
        <v>1</v>
      </c>
      <c r="T170">
        <f t="shared" si="24"/>
        <v>0</v>
      </c>
      <c r="U170">
        <f t="shared" si="25"/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33.299999999999997</v>
      </c>
      <c r="AG170">
        <f t="shared" si="26"/>
        <v>1</v>
      </c>
      <c r="AH170">
        <f t="shared" si="27"/>
        <v>1</v>
      </c>
      <c r="AI170">
        <f t="shared" si="28"/>
        <v>0</v>
      </c>
      <c r="AJ170">
        <v>281.5</v>
      </c>
      <c r="AK170">
        <v>1007.9</v>
      </c>
      <c r="AL170">
        <v>100</v>
      </c>
      <c r="AM170">
        <v>5.2</v>
      </c>
      <c r="AN170">
        <v>0</v>
      </c>
      <c r="AO170">
        <v>0</v>
      </c>
      <c r="AP170">
        <v>0</v>
      </c>
      <c r="AQ170">
        <v>0</v>
      </c>
      <c r="AR170" t="s">
        <v>613</v>
      </c>
      <c r="AS170" t="s">
        <v>614</v>
      </c>
      <c r="AT170">
        <v>0.83</v>
      </c>
      <c r="AU170" t="s">
        <v>275</v>
      </c>
      <c r="AV170" t="s">
        <v>276</v>
      </c>
      <c r="AW170" t="s">
        <v>419</v>
      </c>
      <c r="AX170" s="1">
        <v>0.67638888888888893</v>
      </c>
      <c r="AY170" t="s">
        <v>615</v>
      </c>
      <c r="AZ170">
        <v>330.99999999976723</v>
      </c>
      <c r="BA170">
        <v>0</v>
      </c>
      <c r="BB170">
        <v>0</v>
      </c>
      <c r="BC170">
        <v>2</v>
      </c>
      <c r="BD170">
        <v>0</v>
      </c>
      <c r="BE170">
        <f t="shared" si="29"/>
        <v>1</v>
      </c>
    </row>
    <row r="171" spans="1:57" x14ac:dyDescent="0.25">
      <c r="A171" t="s">
        <v>39</v>
      </c>
      <c r="B171" t="s">
        <v>616</v>
      </c>
      <c r="C171">
        <v>84.3</v>
      </c>
      <c r="D171">
        <v>73.5</v>
      </c>
      <c r="G171">
        <f t="shared" si="20"/>
        <v>0</v>
      </c>
      <c r="H171">
        <f t="shared" si="21"/>
        <v>0</v>
      </c>
      <c r="I171">
        <f t="shared" si="22"/>
        <v>0</v>
      </c>
      <c r="J171">
        <v>79.8</v>
      </c>
      <c r="K171">
        <v>89.8</v>
      </c>
      <c r="L171">
        <v>73.5</v>
      </c>
      <c r="M171">
        <v>81.099999999999994</v>
      </c>
      <c r="N171">
        <v>65.900000000000006</v>
      </c>
      <c r="O171">
        <v>62.9</v>
      </c>
      <c r="S171">
        <f t="shared" si="23"/>
        <v>1</v>
      </c>
      <c r="T171">
        <f t="shared" si="24"/>
        <v>1</v>
      </c>
      <c r="U171">
        <f t="shared" si="25"/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16.100000000000001</v>
      </c>
      <c r="AG171">
        <f t="shared" si="26"/>
        <v>0</v>
      </c>
      <c r="AH171">
        <f t="shared" si="27"/>
        <v>0</v>
      </c>
      <c r="AI171">
        <f t="shared" si="28"/>
        <v>0</v>
      </c>
      <c r="AJ171">
        <v>295.60000000000002</v>
      </c>
      <c r="AK171">
        <v>1008.2</v>
      </c>
      <c r="AL171">
        <v>0</v>
      </c>
      <c r="AM171">
        <v>6.2</v>
      </c>
      <c r="AN171">
        <v>0</v>
      </c>
      <c r="AO171">
        <v>0</v>
      </c>
      <c r="AP171">
        <v>0</v>
      </c>
      <c r="AQ171">
        <v>0</v>
      </c>
      <c r="AR171" t="s">
        <v>617</v>
      </c>
      <c r="AS171" t="s">
        <v>618</v>
      </c>
      <c r="AT171">
        <v>0.35</v>
      </c>
      <c r="AU171" t="s">
        <v>74</v>
      </c>
      <c r="AV171" t="s">
        <v>44</v>
      </c>
      <c r="AW171" t="s">
        <v>75</v>
      </c>
      <c r="AX171" s="1">
        <v>0.6694444444444444</v>
      </c>
      <c r="AY171" t="s">
        <v>619</v>
      </c>
      <c r="AZ171">
        <v>3131.0000000009309</v>
      </c>
      <c r="BA171">
        <v>1</v>
      </c>
      <c r="BB171">
        <v>0</v>
      </c>
      <c r="BC171">
        <v>4</v>
      </c>
      <c r="BD171">
        <v>0</v>
      </c>
      <c r="BE171">
        <f t="shared" si="29"/>
        <v>0</v>
      </c>
    </row>
    <row r="172" spans="1:57" x14ac:dyDescent="0.25">
      <c r="A172" t="s">
        <v>39</v>
      </c>
      <c r="B172" t="s">
        <v>620</v>
      </c>
      <c r="C172">
        <v>82.5</v>
      </c>
      <c r="D172">
        <v>68.099999999999994</v>
      </c>
      <c r="G172">
        <f t="shared" si="20"/>
        <v>1</v>
      </c>
      <c r="H172">
        <f t="shared" si="21"/>
        <v>1</v>
      </c>
      <c r="I172">
        <f t="shared" si="22"/>
        <v>0</v>
      </c>
      <c r="J172">
        <v>75.099999999999994</v>
      </c>
      <c r="K172">
        <v>81.5</v>
      </c>
      <c r="L172">
        <v>68.099999999999994</v>
      </c>
      <c r="M172">
        <v>75.099999999999994</v>
      </c>
      <c r="N172">
        <v>57.1</v>
      </c>
      <c r="O172">
        <v>55.3</v>
      </c>
      <c r="S172">
        <f t="shared" si="23"/>
        <v>1</v>
      </c>
      <c r="T172">
        <f t="shared" si="24"/>
        <v>0</v>
      </c>
      <c r="U172">
        <f t="shared" si="25"/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16.100000000000001</v>
      </c>
      <c r="AG172">
        <f t="shared" si="26"/>
        <v>0</v>
      </c>
      <c r="AH172">
        <f t="shared" si="27"/>
        <v>0</v>
      </c>
      <c r="AI172">
        <f t="shared" si="28"/>
        <v>0</v>
      </c>
      <c r="AJ172">
        <v>321.7</v>
      </c>
      <c r="AK172">
        <v>1009.5</v>
      </c>
      <c r="AL172">
        <v>0</v>
      </c>
      <c r="AM172">
        <v>6.2</v>
      </c>
      <c r="AN172">
        <v>0</v>
      </c>
      <c r="AO172">
        <v>0</v>
      </c>
      <c r="AP172">
        <v>0</v>
      </c>
      <c r="AQ172">
        <v>0</v>
      </c>
      <c r="AR172" t="s">
        <v>621</v>
      </c>
      <c r="AS172" t="s">
        <v>622</v>
      </c>
      <c r="AT172">
        <v>0.74</v>
      </c>
      <c r="AU172" t="s">
        <v>74</v>
      </c>
      <c r="AV172" t="s">
        <v>44</v>
      </c>
      <c r="AW172" t="s">
        <v>75</v>
      </c>
      <c r="AX172" s="1">
        <v>0.58611111111111114</v>
      </c>
      <c r="AY172" t="s">
        <v>623</v>
      </c>
      <c r="AZ172">
        <v>386.00000000093132</v>
      </c>
      <c r="BA172">
        <v>1</v>
      </c>
      <c r="BB172">
        <v>0</v>
      </c>
      <c r="BC172">
        <v>0.6</v>
      </c>
      <c r="BD172">
        <v>0</v>
      </c>
      <c r="BE172">
        <f t="shared" si="29"/>
        <v>1</v>
      </c>
    </row>
    <row r="173" spans="1:57" x14ac:dyDescent="0.25">
      <c r="A173" t="s">
        <v>39</v>
      </c>
      <c r="B173" t="s">
        <v>624</v>
      </c>
      <c r="C173">
        <v>64.5</v>
      </c>
      <c r="D173">
        <v>50.1</v>
      </c>
      <c r="G173">
        <f t="shared" si="20"/>
        <v>1</v>
      </c>
      <c r="H173">
        <f t="shared" si="21"/>
        <v>0</v>
      </c>
      <c r="I173">
        <f t="shared" si="22"/>
        <v>1</v>
      </c>
      <c r="J173">
        <v>57.1</v>
      </c>
      <c r="K173">
        <v>64.5</v>
      </c>
      <c r="L173">
        <v>50.1</v>
      </c>
      <c r="M173">
        <v>57.1</v>
      </c>
      <c r="N173">
        <v>47.8</v>
      </c>
      <c r="O173">
        <v>72.099999999999994</v>
      </c>
      <c r="S173">
        <f t="shared" si="23"/>
        <v>1</v>
      </c>
      <c r="T173">
        <f t="shared" si="24"/>
        <v>1</v>
      </c>
      <c r="U173">
        <f t="shared" si="25"/>
        <v>0</v>
      </c>
      <c r="V173">
        <v>0.46899999999999997</v>
      </c>
      <c r="W173">
        <v>100</v>
      </c>
      <c r="X173">
        <v>4.17</v>
      </c>
      <c r="Y173" t="s">
        <v>103</v>
      </c>
      <c r="Z173">
        <v>0</v>
      </c>
      <c r="AA173">
        <v>0</v>
      </c>
      <c r="AB173">
        <v>0</v>
      </c>
      <c r="AC173">
        <v>20.8</v>
      </c>
      <c r="AG173">
        <f t="shared" si="26"/>
        <v>1</v>
      </c>
      <c r="AH173">
        <f t="shared" si="27"/>
        <v>1</v>
      </c>
      <c r="AI173">
        <f t="shared" si="28"/>
        <v>0</v>
      </c>
      <c r="AJ173">
        <v>285</v>
      </c>
      <c r="AK173">
        <v>1009.6</v>
      </c>
      <c r="AL173">
        <v>50.8</v>
      </c>
      <c r="AM173">
        <v>6.7</v>
      </c>
      <c r="AN173">
        <v>0</v>
      </c>
      <c r="AO173">
        <v>0</v>
      </c>
      <c r="AP173">
        <v>0</v>
      </c>
      <c r="AQ173">
        <v>0</v>
      </c>
      <c r="AR173" t="s">
        <v>625</v>
      </c>
      <c r="AS173" t="s">
        <v>626</v>
      </c>
      <c r="AT173">
        <v>0.56999999999999995</v>
      </c>
      <c r="AU173" t="s">
        <v>106</v>
      </c>
      <c r="AV173" t="s">
        <v>627</v>
      </c>
      <c r="AW173" t="s">
        <v>103</v>
      </c>
      <c r="AX173" s="1">
        <v>0.75972222222222219</v>
      </c>
      <c r="AY173" t="s">
        <v>628</v>
      </c>
      <c r="AZ173">
        <v>405.99999999278231</v>
      </c>
      <c r="BA173">
        <v>1</v>
      </c>
      <c r="BB173">
        <v>0</v>
      </c>
      <c r="BC173">
        <v>1</v>
      </c>
      <c r="BD173">
        <v>0</v>
      </c>
      <c r="BE173">
        <f t="shared" si="29"/>
        <v>1</v>
      </c>
    </row>
    <row r="174" spans="1:57" x14ac:dyDescent="0.25">
      <c r="A174" t="s">
        <v>39</v>
      </c>
      <c r="B174" t="s">
        <v>629</v>
      </c>
      <c r="C174">
        <v>69.900000000000006</v>
      </c>
      <c r="D174">
        <v>60.9</v>
      </c>
      <c r="G174">
        <f t="shared" si="20"/>
        <v>1</v>
      </c>
      <c r="H174">
        <f t="shared" si="21"/>
        <v>0</v>
      </c>
      <c r="I174">
        <f t="shared" si="22"/>
        <v>1</v>
      </c>
      <c r="J174">
        <v>67.099999999999994</v>
      </c>
      <c r="K174">
        <v>69.900000000000006</v>
      </c>
      <c r="L174">
        <v>60.9</v>
      </c>
      <c r="M174">
        <v>67.099999999999994</v>
      </c>
      <c r="N174">
        <v>52.7</v>
      </c>
      <c r="O174">
        <v>61</v>
      </c>
      <c r="S174">
        <f t="shared" si="23"/>
        <v>1</v>
      </c>
      <c r="T174">
        <f t="shared" si="24"/>
        <v>0</v>
      </c>
      <c r="U174">
        <f t="shared" si="25"/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24.2</v>
      </c>
      <c r="AG174">
        <f t="shared" si="26"/>
        <v>1</v>
      </c>
      <c r="AH174">
        <f t="shared" si="27"/>
        <v>1</v>
      </c>
      <c r="AI174">
        <f t="shared" si="28"/>
        <v>0</v>
      </c>
      <c r="AJ174">
        <v>277.5</v>
      </c>
      <c r="AK174">
        <v>1006</v>
      </c>
      <c r="AL174">
        <v>46.4</v>
      </c>
      <c r="AM174">
        <v>6.8</v>
      </c>
      <c r="AN174">
        <v>0</v>
      </c>
      <c r="AO174">
        <v>0</v>
      </c>
      <c r="AP174">
        <v>0</v>
      </c>
      <c r="AQ174">
        <v>0</v>
      </c>
      <c r="AR174" t="s">
        <v>630</v>
      </c>
      <c r="AS174" t="s">
        <v>631</v>
      </c>
      <c r="AT174">
        <v>0.46</v>
      </c>
      <c r="AU174" t="s">
        <v>43</v>
      </c>
      <c r="AV174" t="s">
        <v>44</v>
      </c>
      <c r="AW174" t="s">
        <v>45</v>
      </c>
      <c r="AX174" s="1">
        <v>0.84722222222222221</v>
      </c>
      <c r="AY174" t="s">
        <v>632</v>
      </c>
      <c r="AZ174">
        <v>180</v>
      </c>
      <c r="BA174">
        <v>0</v>
      </c>
      <c r="BB174">
        <v>0</v>
      </c>
      <c r="BC174">
        <v>0.2</v>
      </c>
      <c r="BD174">
        <v>0</v>
      </c>
      <c r="BE174">
        <f t="shared" si="29"/>
        <v>1</v>
      </c>
    </row>
    <row r="175" spans="1:57" x14ac:dyDescent="0.25">
      <c r="A175" t="s">
        <v>39</v>
      </c>
      <c r="B175" t="s">
        <v>492</v>
      </c>
      <c r="C175">
        <v>73.5</v>
      </c>
      <c r="D175">
        <v>69.900000000000006</v>
      </c>
      <c r="G175">
        <f t="shared" si="20"/>
        <v>0</v>
      </c>
      <c r="H175">
        <f t="shared" si="21"/>
        <v>0</v>
      </c>
      <c r="I175">
        <f t="shared" si="22"/>
        <v>0</v>
      </c>
      <c r="J175">
        <v>70.8</v>
      </c>
      <c r="K175">
        <v>73.5</v>
      </c>
      <c r="L175">
        <v>69.900000000000006</v>
      </c>
      <c r="M175">
        <v>70.8</v>
      </c>
      <c r="N175">
        <v>57.8</v>
      </c>
      <c r="O175">
        <v>63.6</v>
      </c>
      <c r="S175">
        <f t="shared" si="23"/>
        <v>1</v>
      </c>
      <c r="T175">
        <f t="shared" si="24"/>
        <v>0</v>
      </c>
      <c r="U175">
        <f t="shared" si="25"/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18.3</v>
      </c>
      <c r="AG175">
        <f t="shared" si="26"/>
        <v>1</v>
      </c>
      <c r="AH175">
        <f t="shared" si="27"/>
        <v>1</v>
      </c>
      <c r="AI175">
        <f t="shared" si="28"/>
        <v>0</v>
      </c>
      <c r="AJ175">
        <v>314.89999999999998</v>
      </c>
      <c r="AK175">
        <v>1014.9</v>
      </c>
      <c r="AL175">
        <v>60</v>
      </c>
      <c r="AM175">
        <v>6.8</v>
      </c>
      <c r="AN175">
        <v>0</v>
      </c>
      <c r="AO175">
        <v>0</v>
      </c>
      <c r="AP175">
        <v>0</v>
      </c>
      <c r="AQ175">
        <v>0</v>
      </c>
      <c r="AR175" t="s">
        <v>493</v>
      </c>
      <c r="AS175" t="s">
        <v>494</v>
      </c>
      <c r="AT175">
        <v>0.91</v>
      </c>
      <c r="AU175" t="s">
        <v>43</v>
      </c>
      <c r="AV175" t="s">
        <v>44</v>
      </c>
      <c r="AW175" t="s">
        <v>45</v>
      </c>
      <c r="AX175" s="1">
        <v>0.36458333333333331</v>
      </c>
      <c r="AY175" t="s">
        <v>633</v>
      </c>
      <c r="AZ175">
        <v>239.99999999650751</v>
      </c>
      <c r="BA175">
        <v>0</v>
      </c>
      <c r="BB175">
        <v>0</v>
      </c>
      <c r="BC175">
        <v>1</v>
      </c>
      <c r="BD175">
        <v>0</v>
      </c>
      <c r="BE175">
        <f t="shared" si="29"/>
        <v>0</v>
      </c>
    </row>
    <row r="176" spans="1:57" x14ac:dyDescent="0.25">
      <c r="A176" t="s">
        <v>39</v>
      </c>
      <c r="B176" t="s">
        <v>570</v>
      </c>
      <c r="C176">
        <v>69.900000000000006</v>
      </c>
      <c r="D176">
        <v>51.9</v>
      </c>
      <c r="G176">
        <f t="shared" si="20"/>
        <v>1</v>
      </c>
      <c r="H176">
        <f t="shared" si="21"/>
        <v>1</v>
      </c>
      <c r="I176">
        <f t="shared" si="22"/>
        <v>0</v>
      </c>
      <c r="J176">
        <v>61.4</v>
      </c>
      <c r="K176">
        <v>69.900000000000006</v>
      </c>
      <c r="L176">
        <v>51.9</v>
      </c>
      <c r="M176">
        <v>61.4</v>
      </c>
      <c r="N176">
        <v>47.4</v>
      </c>
      <c r="O176">
        <v>61.9</v>
      </c>
      <c r="S176">
        <f t="shared" si="23"/>
        <v>1</v>
      </c>
      <c r="T176">
        <f t="shared" si="24"/>
        <v>0</v>
      </c>
      <c r="U176">
        <f t="shared" si="25"/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13.9</v>
      </c>
      <c r="AG176">
        <f t="shared" si="26"/>
        <v>1</v>
      </c>
      <c r="AH176">
        <f t="shared" si="27"/>
        <v>0</v>
      </c>
      <c r="AI176">
        <f t="shared" si="28"/>
        <v>1</v>
      </c>
      <c r="AJ176">
        <v>279.8</v>
      </c>
      <c r="AK176">
        <v>1013</v>
      </c>
      <c r="AL176">
        <v>50</v>
      </c>
      <c r="AM176">
        <v>6.3</v>
      </c>
      <c r="AN176">
        <v>0</v>
      </c>
      <c r="AO176">
        <v>0</v>
      </c>
      <c r="AP176">
        <v>0</v>
      </c>
      <c r="AQ176">
        <v>0</v>
      </c>
      <c r="AR176" t="s">
        <v>571</v>
      </c>
      <c r="AS176" t="s">
        <v>572</v>
      </c>
      <c r="AT176">
        <v>0.88</v>
      </c>
      <c r="AU176" t="s">
        <v>43</v>
      </c>
      <c r="AV176" t="s">
        <v>44</v>
      </c>
      <c r="AW176" t="s">
        <v>45</v>
      </c>
      <c r="AX176" s="1">
        <v>0.54097222222222219</v>
      </c>
      <c r="AY176" t="s">
        <v>634</v>
      </c>
      <c r="AZ176">
        <v>320.99999999860302</v>
      </c>
      <c r="BA176">
        <v>0</v>
      </c>
      <c r="BB176">
        <v>0</v>
      </c>
      <c r="BC176">
        <v>3</v>
      </c>
      <c r="BD176">
        <v>0</v>
      </c>
      <c r="BE176">
        <f t="shared" si="29"/>
        <v>1</v>
      </c>
    </row>
    <row r="177" spans="1:57" x14ac:dyDescent="0.25">
      <c r="A177" t="s">
        <v>39</v>
      </c>
      <c r="B177" t="s">
        <v>608</v>
      </c>
      <c r="C177">
        <v>78.900000000000006</v>
      </c>
      <c r="D177">
        <v>73.5</v>
      </c>
      <c r="G177">
        <f t="shared" si="20"/>
        <v>1</v>
      </c>
      <c r="H177">
        <f t="shared" si="21"/>
        <v>1</v>
      </c>
      <c r="I177">
        <f t="shared" si="22"/>
        <v>0</v>
      </c>
      <c r="J177">
        <v>75.2</v>
      </c>
      <c r="K177">
        <v>78.900000000000006</v>
      </c>
      <c r="L177">
        <v>73.5</v>
      </c>
      <c r="M177">
        <v>75.2</v>
      </c>
      <c r="N177">
        <v>61.6</v>
      </c>
      <c r="O177">
        <v>63</v>
      </c>
      <c r="S177">
        <f t="shared" si="23"/>
        <v>1</v>
      </c>
      <c r="T177">
        <f t="shared" si="24"/>
        <v>0</v>
      </c>
      <c r="U177">
        <f t="shared" si="25"/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20.8</v>
      </c>
      <c r="AG177">
        <f t="shared" si="26"/>
        <v>1</v>
      </c>
      <c r="AH177">
        <f t="shared" si="27"/>
        <v>1</v>
      </c>
      <c r="AI177">
        <f t="shared" si="28"/>
        <v>0</v>
      </c>
      <c r="AJ177">
        <v>301.39999999999998</v>
      </c>
      <c r="AK177">
        <v>1015.8</v>
      </c>
      <c r="AL177">
        <v>36.700000000000003</v>
      </c>
      <c r="AM177">
        <v>6.8</v>
      </c>
      <c r="AN177">
        <v>0</v>
      </c>
      <c r="AO177">
        <v>0</v>
      </c>
      <c r="AP177">
        <v>0</v>
      </c>
      <c r="AQ177">
        <v>0</v>
      </c>
      <c r="AR177" t="s">
        <v>609</v>
      </c>
      <c r="AS177" t="s">
        <v>610</v>
      </c>
      <c r="AT177">
        <v>0.84</v>
      </c>
      <c r="AU177" t="s">
        <v>43</v>
      </c>
      <c r="AV177" t="s">
        <v>44</v>
      </c>
      <c r="AW177" t="s">
        <v>45</v>
      </c>
      <c r="AX177" s="1">
        <v>0.15555555555555561</v>
      </c>
      <c r="AY177" t="s">
        <v>635</v>
      </c>
      <c r="AZ177">
        <v>7575.9999999997672</v>
      </c>
      <c r="BA177">
        <v>1</v>
      </c>
      <c r="BB177">
        <v>0</v>
      </c>
      <c r="BC177">
        <v>9000</v>
      </c>
      <c r="BD177">
        <v>0</v>
      </c>
      <c r="BE177">
        <f t="shared" si="29"/>
        <v>1</v>
      </c>
    </row>
    <row r="178" spans="1:57" x14ac:dyDescent="0.25">
      <c r="A178" t="s">
        <v>39</v>
      </c>
      <c r="B178" t="s">
        <v>604</v>
      </c>
      <c r="C178">
        <v>75.3</v>
      </c>
      <c r="D178">
        <v>69.900000000000006</v>
      </c>
      <c r="G178">
        <f t="shared" si="20"/>
        <v>0</v>
      </c>
      <c r="H178">
        <f t="shared" si="21"/>
        <v>0</v>
      </c>
      <c r="I178">
        <f t="shared" si="22"/>
        <v>0</v>
      </c>
      <c r="J178">
        <v>72.599999999999994</v>
      </c>
      <c r="K178">
        <v>75.3</v>
      </c>
      <c r="L178">
        <v>69.900000000000006</v>
      </c>
      <c r="M178">
        <v>72.599999999999994</v>
      </c>
      <c r="N178">
        <v>61.4</v>
      </c>
      <c r="O178">
        <v>68.099999999999994</v>
      </c>
      <c r="S178">
        <f t="shared" si="23"/>
        <v>0</v>
      </c>
      <c r="T178">
        <f t="shared" si="24"/>
        <v>0</v>
      </c>
      <c r="U178">
        <f t="shared" si="25"/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20.8</v>
      </c>
      <c r="AG178">
        <f t="shared" si="26"/>
        <v>1</v>
      </c>
      <c r="AH178">
        <f t="shared" si="27"/>
        <v>1</v>
      </c>
      <c r="AI178">
        <f t="shared" si="28"/>
        <v>0</v>
      </c>
      <c r="AJ178">
        <v>312.39999999999998</v>
      </c>
      <c r="AK178">
        <v>1015.2</v>
      </c>
      <c r="AL178">
        <v>51.7</v>
      </c>
      <c r="AM178">
        <v>6.8</v>
      </c>
      <c r="AN178">
        <v>0</v>
      </c>
      <c r="AO178">
        <v>0</v>
      </c>
      <c r="AP178">
        <v>0</v>
      </c>
      <c r="AQ178">
        <v>0</v>
      </c>
      <c r="AR178" t="s">
        <v>605</v>
      </c>
      <c r="AS178" t="s">
        <v>606</v>
      </c>
      <c r="AT178">
        <v>0.88</v>
      </c>
      <c r="AU178" t="s">
        <v>43</v>
      </c>
      <c r="AV178" t="s">
        <v>44</v>
      </c>
      <c r="AW178" t="s">
        <v>45</v>
      </c>
      <c r="AX178" s="1">
        <v>0.89513888888888893</v>
      </c>
      <c r="AY178" t="s">
        <v>636</v>
      </c>
      <c r="AZ178">
        <v>2341.0000000032601</v>
      </c>
      <c r="BA178">
        <v>1</v>
      </c>
      <c r="BB178">
        <v>0</v>
      </c>
      <c r="BC178">
        <v>500</v>
      </c>
      <c r="BD178">
        <v>0</v>
      </c>
      <c r="BE178">
        <f t="shared" si="29"/>
        <v>0</v>
      </c>
    </row>
    <row r="179" spans="1:57" x14ac:dyDescent="0.25">
      <c r="A179" t="s">
        <v>39</v>
      </c>
      <c r="B179" t="s">
        <v>637</v>
      </c>
      <c r="C179">
        <v>82.5</v>
      </c>
      <c r="D179">
        <v>64.5</v>
      </c>
      <c r="G179">
        <f t="shared" si="20"/>
        <v>1</v>
      </c>
      <c r="H179">
        <f t="shared" si="21"/>
        <v>1</v>
      </c>
      <c r="I179">
        <f t="shared" si="22"/>
        <v>0</v>
      </c>
      <c r="J179">
        <v>74.599999999999994</v>
      </c>
      <c r="K179">
        <v>81.5</v>
      </c>
      <c r="L179">
        <v>64.5</v>
      </c>
      <c r="M179">
        <v>74.3</v>
      </c>
      <c r="N179">
        <v>48.5</v>
      </c>
      <c r="O179">
        <v>40.4</v>
      </c>
      <c r="S179">
        <f t="shared" si="23"/>
        <v>1</v>
      </c>
      <c r="T179">
        <f t="shared" si="24"/>
        <v>0</v>
      </c>
      <c r="U179">
        <f t="shared" si="25"/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9.1999999999999993</v>
      </c>
      <c r="AG179">
        <f t="shared" si="26"/>
        <v>1</v>
      </c>
      <c r="AH179">
        <f t="shared" si="27"/>
        <v>0</v>
      </c>
      <c r="AI179">
        <f t="shared" si="28"/>
        <v>1</v>
      </c>
      <c r="AJ179">
        <v>150.19999999999999</v>
      </c>
      <c r="AK179">
        <v>1010.4</v>
      </c>
      <c r="AL179">
        <v>0</v>
      </c>
      <c r="AM179">
        <v>6.2</v>
      </c>
      <c r="AN179">
        <v>0</v>
      </c>
      <c r="AO179">
        <v>0</v>
      </c>
      <c r="AP179">
        <v>0</v>
      </c>
      <c r="AQ179">
        <v>0</v>
      </c>
      <c r="AR179" t="s">
        <v>638</v>
      </c>
      <c r="AS179" t="s">
        <v>639</v>
      </c>
      <c r="AT179">
        <v>0.7</v>
      </c>
      <c r="AU179" t="s">
        <v>74</v>
      </c>
      <c r="AV179" t="s">
        <v>44</v>
      </c>
      <c r="AW179" t="s">
        <v>75</v>
      </c>
      <c r="AX179" s="1">
        <v>0.58263888888888893</v>
      </c>
      <c r="AY179" t="s">
        <v>640</v>
      </c>
      <c r="AZ179">
        <v>195.9999999997672</v>
      </c>
      <c r="BA179">
        <v>0</v>
      </c>
      <c r="BB179">
        <v>0</v>
      </c>
      <c r="BC179">
        <v>16</v>
      </c>
      <c r="BD179">
        <v>0</v>
      </c>
      <c r="BE179">
        <f t="shared" si="29"/>
        <v>1</v>
      </c>
    </row>
    <row r="180" spans="1:57" x14ac:dyDescent="0.25">
      <c r="A180" t="s">
        <v>39</v>
      </c>
      <c r="B180" t="s">
        <v>629</v>
      </c>
      <c r="C180">
        <v>69.900000000000006</v>
      </c>
      <c r="D180">
        <v>60.9</v>
      </c>
      <c r="G180">
        <f t="shared" si="20"/>
        <v>1</v>
      </c>
      <c r="H180">
        <f t="shared" si="21"/>
        <v>0</v>
      </c>
      <c r="I180">
        <f t="shared" si="22"/>
        <v>1</v>
      </c>
      <c r="J180">
        <v>67.099999999999994</v>
      </c>
      <c r="K180">
        <v>69.900000000000006</v>
      </c>
      <c r="L180">
        <v>60.9</v>
      </c>
      <c r="M180">
        <v>67.099999999999994</v>
      </c>
      <c r="N180">
        <v>52.7</v>
      </c>
      <c r="O180">
        <v>61</v>
      </c>
      <c r="S180">
        <f t="shared" si="23"/>
        <v>1</v>
      </c>
      <c r="T180">
        <f t="shared" si="24"/>
        <v>0</v>
      </c>
      <c r="U180">
        <f t="shared" si="25"/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24.2</v>
      </c>
      <c r="AG180">
        <f t="shared" si="26"/>
        <v>1</v>
      </c>
      <c r="AH180">
        <f t="shared" si="27"/>
        <v>1</v>
      </c>
      <c r="AI180">
        <f t="shared" si="28"/>
        <v>0</v>
      </c>
      <c r="AJ180">
        <v>277.5</v>
      </c>
      <c r="AK180">
        <v>1006</v>
      </c>
      <c r="AL180">
        <v>46.4</v>
      </c>
      <c r="AM180">
        <v>6.8</v>
      </c>
      <c r="AN180">
        <v>0</v>
      </c>
      <c r="AO180">
        <v>0</v>
      </c>
      <c r="AP180">
        <v>0</v>
      </c>
      <c r="AQ180">
        <v>0</v>
      </c>
      <c r="AR180" t="s">
        <v>630</v>
      </c>
      <c r="AS180" t="s">
        <v>631</v>
      </c>
      <c r="AT180">
        <v>0.46</v>
      </c>
      <c r="AU180" t="s">
        <v>43</v>
      </c>
      <c r="AV180" t="s">
        <v>44</v>
      </c>
      <c r="AW180" t="s">
        <v>45</v>
      </c>
      <c r="AX180" s="1">
        <v>0.84166666666666667</v>
      </c>
      <c r="AY180" t="s">
        <v>641</v>
      </c>
      <c r="AZ180">
        <v>207.9999999969732</v>
      </c>
      <c r="BA180">
        <v>0</v>
      </c>
      <c r="BB180">
        <v>0</v>
      </c>
      <c r="BC180">
        <v>0.1</v>
      </c>
      <c r="BD180">
        <v>0</v>
      </c>
      <c r="BE180">
        <f t="shared" si="29"/>
        <v>1</v>
      </c>
    </row>
    <row r="181" spans="1:57" x14ac:dyDescent="0.25">
      <c r="A181" t="s">
        <v>39</v>
      </c>
      <c r="B181" t="s">
        <v>642</v>
      </c>
      <c r="C181">
        <v>60.9</v>
      </c>
      <c r="D181">
        <v>46.5</v>
      </c>
      <c r="G181">
        <f t="shared" si="20"/>
        <v>1</v>
      </c>
      <c r="H181">
        <f t="shared" si="21"/>
        <v>1</v>
      </c>
      <c r="I181">
        <f t="shared" si="22"/>
        <v>0</v>
      </c>
      <c r="J181">
        <v>54.3</v>
      </c>
      <c r="K181">
        <v>60.9</v>
      </c>
      <c r="L181">
        <v>43</v>
      </c>
      <c r="M181">
        <v>54</v>
      </c>
      <c r="N181">
        <v>47</v>
      </c>
      <c r="O181">
        <v>76.599999999999994</v>
      </c>
      <c r="S181">
        <f t="shared" si="23"/>
        <v>1</v>
      </c>
      <c r="T181">
        <f t="shared" si="24"/>
        <v>1</v>
      </c>
      <c r="U181">
        <f t="shared" si="25"/>
        <v>0</v>
      </c>
      <c r="V181">
        <v>0.11799999999999999</v>
      </c>
      <c r="W181">
        <v>100</v>
      </c>
      <c r="X181">
        <v>4.17</v>
      </c>
      <c r="Y181" t="s">
        <v>103</v>
      </c>
      <c r="Z181">
        <v>0</v>
      </c>
      <c r="AA181">
        <v>0</v>
      </c>
      <c r="AB181">
        <v>0</v>
      </c>
      <c r="AC181">
        <v>11.4</v>
      </c>
      <c r="AG181">
        <f t="shared" si="26"/>
        <v>1</v>
      </c>
      <c r="AH181">
        <f t="shared" si="27"/>
        <v>0</v>
      </c>
      <c r="AI181">
        <f t="shared" si="28"/>
        <v>1</v>
      </c>
      <c r="AJ181">
        <v>260.2</v>
      </c>
      <c r="AK181">
        <v>1021.7</v>
      </c>
      <c r="AL181">
        <v>81.7</v>
      </c>
      <c r="AM181">
        <v>6.6</v>
      </c>
      <c r="AN181">
        <v>0</v>
      </c>
      <c r="AO181">
        <v>0</v>
      </c>
      <c r="AP181">
        <v>0</v>
      </c>
      <c r="AQ181">
        <v>0</v>
      </c>
      <c r="AR181" t="s">
        <v>643</v>
      </c>
      <c r="AS181" t="s">
        <v>644</v>
      </c>
      <c r="AT181">
        <v>0</v>
      </c>
      <c r="AU181" t="s">
        <v>106</v>
      </c>
      <c r="AV181" t="s">
        <v>438</v>
      </c>
      <c r="AW181" t="s">
        <v>103</v>
      </c>
      <c r="AX181" s="1">
        <v>0.69722222222222219</v>
      </c>
      <c r="AY181" t="s">
        <v>645</v>
      </c>
      <c r="AZ181">
        <v>90.99999999278225</v>
      </c>
      <c r="BA181">
        <v>0</v>
      </c>
      <c r="BB181">
        <v>0</v>
      </c>
      <c r="BC181">
        <v>0.5</v>
      </c>
      <c r="BD181">
        <v>0</v>
      </c>
      <c r="BE181">
        <f t="shared" si="29"/>
        <v>1</v>
      </c>
    </row>
    <row r="182" spans="1:57" x14ac:dyDescent="0.25">
      <c r="A182" t="s">
        <v>39</v>
      </c>
      <c r="B182" t="s">
        <v>646</v>
      </c>
      <c r="C182">
        <v>71.7</v>
      </c>
      <c r="D182">
        <v>57.3</v>
      </c>
      <c r="G182">
        <f t="shared" si="20"/>
        <v>1</v>
      </c>
      <c r="H182">
        <f t="shared" si="21"/>
        <v>1</v>
      </c>
      <c r="I182">
        <f t="shared" si="22"/>
        <v>0</v>
      </c>
      <c r="J182">
        <v>63.5</v>
      </c>
      <c r="K182">
        <v>71.7</v>
      </c>
      <c r="L182">
        <v>57.3</v>
      </c>
      <c r="M182">
        <v>63.5</v>
      </c>
      <c r="N182">
        <v>53.8</v>
      </c>
      <c r="O182">
        <v>72.7</v>
      </c>
      <c r="S182">
        <f t="shared" si="23"/>
        <v>1</v>
      </c>
      <c r="T182">
        <f t="shared" si="24"/>
        <v>1</v>
      </c>
      <c r="U182">
        <f t="shared" si="25"/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9.1999999999999993</v>
      </c>
      <c r="AG182">
        <f t="shared" si="26"/>
        <v>1</v>
      </c>
      <c r="AH182">
        <f t="shared" si="27"/>
        <v>0</v>
      </c>
      <c r="AI182">
        <f t="shared" si="28"/>
        <v>1</v>
      </c>
      <c r="AJ182">
        <v>155.30000000000001</v>
      </c>
      <c r="AK182">
        <v>1021.4</v>
      </c>
      <c r="AL182">
        <v>70</v>
      </c>
      <c r="AM182">
        <v>6.3</v>
      </c>
      <c r="AN182">
        <v>0</v>
      </c>
      <c r="AO182">
        <v>0</v>
      </c>
      <c r="AP182">
        <v>0</v>
      </c>
      <c r="AQ182">
        <v>0</v>
      </c>
      <c r="AR182" t="s">
        <v>647</v>
      </c>
      <c r="AS182" t="s">
        <v>648</v>
      </c>
      <c r="AT182">
        <v>0.9</v>
      </c>
      <c r="AU182" t="s">
        <v>43</v>
      </c>
      <c r="AV182" t="s">
        <v>44</v>
      </c>
      <c r="AW182" t="s">
        <v>45</v>
      </c>
      <c r="AX182" s="1">
        <v>0.46805555555555561</v>
      </c>
      <c r="AY182" t="s">
        <v>649</v>
      </c>
      <c r="AZ182">
        <v>136.0000000032596</v>
      </c>
      <c r="BA182">
        <v>0</v>
      </c>
      <c r="BB182">
        <v>0</v>
      </c>
      <c r="BC182">
        <v>0.3</v>
      </c>
      <c r="BD182">
        <v>0</v>
      </c>
      <c r="BE182">
        <f t="shared" si="29"/>
        <v>1</v>
      </c>
    </row>
    <row r="183" spans="1:57" x14ac:dyDescent="0.25">
      <c r="A183" t="s">
        <v>39</v>
      </c>
      <c r="B183" t="s">
        <v>650</v>
      </c>
      <c r="C183">
        <v>71.7</v>
      </c>
      <c r="D183">
        <v>55.5</v>
      </c>
      <c r="G183">
        <f t="shared" si="20"/>
        <v>1</v>
      </c>
      <c r="H183">
        <f t="shared" si="21"/>
        <v>1</v>
      </c>
      <c r="I183">
        <f t="shared" si="22"/>
        <v>0</v>
      </c>
      <c r="J183">
        <v>64.599999999999994</v>
      </c>
      <c r="K183">
        <v>71.7</v>
      </c>
      <c r="L183">
        <v>55.5</v>
      </c>
      <c r="M183">
        <v>64.599999999999994</v>
      </c>
      <c r="N183">
        <v>49.4</v>
      </c>
      <c r="O183">
        <v>59.2</v>
      </c>
      <c r="S183">
        <f t="shared" si="23"/>
        <v>1</v>
      </c>
      <c r="T183">
        <f t="shared" si="24"/>
        <v>0</v>
      </c>
      <c r="U183">
        <f t="shared" si="25"/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9.1999999999999993</v>
      </c>
      <c r="AG183">
        <f t="shared" si="26"/>
        <v>1</v>
      </c>
      <c r="AH183">
        <f t="shared" si="27"/>
        <v>0</v>
      </c>
      <c r="AI183">
        <f t="shared" si="28"/>
        <v>1</v>
      </c>
      <c r="AJ183">
        <v>218.3</v>
      </c>
      <c r="AK183">
        <v>1008.8</v>
      </c>
      <c r="AL183">
        <v>0</v>
      </c>
      <c r="AM183">
        <v>6.2</v>
      </c>
      <c r="AN183">
        <v>0</v>
      </c>
      <c r="AO183">
        <v>0</v>
      </c>
      <c r="AP183">
        <v>0</v>
      </c>
      <c r="AQ183">
        <v>0</v>
      </c>
      <c r="AR183" t="s">
        <v>651</v>
      </c>
      <c r="AS183" t="s">
        <v>652</v>
      </c>
      <c r="AT183">
        <v>0.91</v>
      </c>
      <c r="AU183" t="s">
        <v>74</v>
      </c>
      <c r="AV183" t="s">
        <v>44</v>
      </c>
      <c r="AW183" t="s">
        <v>75</v>
      </c>
      <c r="AX183" s="1">
        <v>0.58611111111111114</v>
      </c>
      <c r="AY183" t="s">
        <v>653</v>
      </c>
      <c r="AZ183">
        <v>311.00000000791619</v>
      </c>
      <c r="BA183">
        <v>0</v>
      </c>
      <c r="BB183">
        <v>0</v>
      </c>
      <c r="BC183">
        <v>2.5</v>
      </c>
      <c r="BD183">
        <v>0</v>
      </c>
      <c r="BE183">
        <f t="shared" si="29"/>
        <v>1</v>
      </c>
    </row>
    <row r="184" spans="1:57" x14ac:dyDescent="0.25">
      <c r="A184" t="s">
        <v>39</v>
      </c>
      <c r="B184" t="s">
        <v>654</v>
      </c>
      <c r="C184">
        <v>69.900000000000006</v>
      </c>
      <c r="D184">
        <v>59.1</v>
      </c>
      <c r="G184">
        <f t="shared" si="20"/>
        <v>1</v>
      </c>
      <c r="H184">
        <f t="shared" si="21"/>
        <v>1</v>
      </c>
      <c r="I184">
        <f t="shared" si="22"/>
        <v>0</v>
      </c>
      <c r="J184">
        <v>64.400000000000006</v>
      </c>
      <c r="K184">
        <v>69.900000000000006</v>
      </c>
      <c r="L184">
        <v>59.1</v>
      </c>
      <c r="M184">
        <v>64.400000000000006</v>
      </c>
      <c r="N184">
        <v>53.2</v>
      </c>
      <c r="O184">
        <v>67.5</v>
      </c>
      <c r="S184">
        <f t="shared" si="23"/>
        <v>0</v>
      </c>
      <c r="T184">
        <f t="shared" si="24"/>
        <v>0</v>
      </c>
      <c r="U184">
        <f t="shared" si="25"/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10.3</v>
      </c>
      <c r="AG184">
        <f t="shared" si="26"/>
        <v>1</v>
      </c>
      <c r="AH184">
        <f t="shared" si="27"/>
        <v>0</v>
      </c>
      <c r="AI184">
        <f t="shared" si="28"/>
        <v>1</v>
      </c>
      <c r="AJ184">
        <v>206.9</v>
      </c>
      <c r="AK184">
        <v>1020.4</v>
      </c>
      <c r="AL184">
        <v>61.7</v>
      </c>
      <c r="AM184">
        <v>6.8</v>
      </c>
      <c r="AN184">
        <v>0</v>
      </c>
      <c r="AO184">
        <v>0</v>
      </c>
      <c r="AP184">
        <v>0</v>
      </c>
      <c r="AQ184">
        <v>0</v>
      </c>
      <c r="AR184" t="s">
        <v>655</v>
      </c>
      <c r="AS184" t="s">
        <v>656</v>
      </c>
      <c r="AT184">
        <v>0.5</v>
      </c>
      <c r="AU184" t="s">
        <v>43</v>
      </c>
      <c r="AV184" t="s">
        <v>44</v>
      </c>
      <c r="AW184" t="s">
        <v>45</v>
      </c>
      <c r="AX184" s="1">
        <v>0.67013888888888884</v>
      </c>
      <c r="AY184" t="s">
        <v>657</v>
      </c>
      <c r="AZ184">
        <v>204.99999999767169</v>
      </c>
      <c r="BA184">
        <v>0</v>
      </c>
      <c r="BB184">
        <v>0</v>
      </c>
      <c r="BC184">
        <v>0.5</v>
      </c>
      <c r="BD184">
        <v>0</v>
      </c>
      <c r="BE184">
        <f t="shared" si="29"/>
        <v>0</v>
      </c>
    </row>
    <row r="185" spans="1:57" x14ac:dyDescent="0.25">
      <c r="A185" t="s">
        <v>39</v>
      </c>
      <c r="B185" t="s">
        <v>658</v>
      </c>
      <c r="C185">
        <v>82.5</v>
      </c>
      <c r="D185">
        <v>77.099999999999994</v>
      </c>
      <c r="G185">
        <f t="shared" si="20"/>
        <v>0</v>
      </c>
      <c r="H185">
        <f t="shared" si="21"/>
        <v>0</v>
      </c>
      <c r="I185">
        <f t="shared" si="22"/>
        <v>0</v>
      </c>
      <c r="J185">
        <v>79</v>
      </c>
      <c r="K185">
        <v>85.5</v>
      </c>
      <c r="L185">
        <v>77.099999999999994</v>
      </c>
      <c r="M185">
        <v>79.900000000000006</v>
      </c>
      <c r="N185">
        <v>66.400000000000006</v>
      </c>
      <c r="O185">
        <v>65.599999999999994</v>
      </c>
      <c r="S185">
        <f t="shared" si="23"/>
        <v>1</v>
      </c>
      <c r="T185">
        <f t="shared" si="24"/>
        <v>1</v>
      </c>
      <c r="U185">
        <f t="shared" si="25"/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17.2</v>
      </c>
      <c r="AG185">
        <f t="shared" si="26"/>
        <v>0</v>
      </c>
      <c r="AH185">
        <f t="shared" si="27"/>
        <v>0</v>
      </c>
      <c r="AI185">
        <f t="shared" si="28"/>
        <v>0</v>
      </c>
      <c r="AJ185">
        <v>300.2</v>
      </c>
      <c r="AK185">
        <v>1012</v>
      </c>
      <c r="AL185">
        <v>54.2</v>
      </c>
      <c r="AM185">
        <v>6.8</v>
      </c>
      <c r="AN185">
        <v>0</v>
      </c>
      <c r="AO185">
        <v>0</v>
      </c>
      <c r="AP185">
        <v>0</v>
      </c>
      <c r="AQ185">
        <v>0</v>
      </c>
      <c r="AR185" t="s">
        <v>659</v>
      </c>
      <c r="AS185" t="s">
        <v>660</v>
      </c>
      <c r="AT185">
        <v>0.84</v>
      </c>
      <c r="AU185" t="s">
        <v>43</v>
      </c>
      <c r="AV185" t="s">
        <v>44</v>
      </c>
      <c r="AW185" t="s">
        <v>45</v>
      </c>
      <c r="AX185" s="1">
        <v>0.79166666666666663</v>
      </c>
      <c r="AY185" t="s">
        <v>661</v>
      </c>
      <c r="AZ185">
        <v>90</v>
      </c>
      <c r="BA185">
        <v>0</v>
      </c>
      <c r="BB185">
        <v>0</v>
      </c>
      <c r="BC185">
        <v>0.1</v>
      </c>
      <c r="BD185">
        <v>0</v>
      </c>
      <c r="BE185">
        <f t="shared" si="29"/>
        <v>0</v>
      </c>
    </row>
    <row r="186" spans="1:57" x14ac:dyDescent="0.25">
      <c r="A186" t="s">
        <v>39</v>
      </c>
      <c r="B186" t="s">
        <v>662</v>
      </c>
      <c r="C186">
        <v>86.1</v>
      </c>
      <c r="D186">
        <v>71.7</v>
      </c>
      <c r="G186">
        <f t="shared" si="20"/>
        <v>1</v>
      </c>
      <c r="H186">
        <f t="shared" si="21"/>
        <v>1</v>
      </c>
      <c r="I186">
        <f t="shared" si="22"/>
        <v>0</v>
      </c>
      <c r="J186">
        <v>78.8</v>
      </c>
      <c r="K186">
        <v>91.1</v>
      </c>
      <c r="L186">
        <v>71.7</v>
      </c>
      <c r="M186">
        <v>80.599999999999994</v>
      </c>
      <c r="N186">
        <v>61.4</v>
      </c>
      <c r="O186">
        <v>56.5</v>
      </c>
      <c r="S186">
        <f t="shared" si="23"/>
        <v>1</v>
      </c>
      <c r="T186">
        <f t="shared" si="24"/>
        <v>0</v>
      </c>
      <c r="U186">
        <f t="shared" si="25"/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8.1</v>
      </c>
      <c r="AG186">
        <f t="shared" si="26"/>
        <v>1</v>
      </c>
      <c r="AH186">
        <f t="shared" si="27"/>
        <v>0</v>
      </c>
      <c r="AI186">
        <f t="shared" si="28"/>
        <v>1</v>
      </c>
      <c r="AJ186">
        <v>247</v>
      </c>
      <c r="AK186">
        <v>1010.1</v>
      </c>
      <c r="AL186">
        <v>48.2</v>
      </c>
      <c r="AM186">
        <v>6.5</v>
      </c>
      <c r="AN186">
        <v>0</v>
      </c>
      <c r="AO186">
        <v>0</v>
      </c>
      <c r="AP186">
        <v>0</v>
      </c>
      <c r="AQ186">
        <v>0</v>
      </c>
      <c r="AR186" t="s">
        <v>663</v>
      </c>
      <c r="AS186" t="s">
        <v>664</v>
      </c>
      <c r="AT186">
        <v>0.14000000000000001</v>
      </c>
      <c r="AU186" t="s">
        <v>43</v>
      </c>
      <c r="AV186" t="s">
        <v>44</v>
      </c>
      <c r="AW186" t="s">
        <v>45</v>
      </c>
      <c r="AX186" s="1">
        <v>0.90902777777777777</v>
      </c>
      <c r="AY186" t="s">
        <v>665</v>
      </c>
      <c r="AZ186">
        <v>521.00000000093132</v>
      </c>
      <c r="BA186">
        <v>1</v>
      </c>
      <c r="BB186">
        <v>0</v>
      </c>
      <c r="BC186">
        <v>0.2</v>
      </c>
      <c r="BD186">
        <v>0</v>
      </c>
      <c r="BE186">
        <f t="shared" si="29"/>
        <v>1</v>
      </c>
    </row>
    <row r="187" spans="1:57" x14ac:dyDescent="0.25">
      <c r="A187" t="s">
        <v>39</v>
      </c>
      <c r="B187" t="s">
        <v>666</v>
      </c>
      <c r="C187">
        <v>68.099999999999994</v>
      </c>
      <c r="D187">
        <v>60.9</v>
      </c>
      <c r="G187">
        <f t="shared" si="20"/>
        <v>0</v>
      </c>
      <c r="H187">
        <f t="shared" si="21"/>
        <v>0</v>
      </c>
      <c r="I187">
        <f t="shared" si="22"/>
        <v>0</v>
      </c>
      <c r="J187">
        <v>64</v>
      </c>
      <c r="K187">
        <v>68.099999999999994</v>
      </c>
      <c r="L187">
        <v>60.9</v>
      </c>
      <c r="M187">
        <v>64</v>
      </c>
      <c r="N187">
        <v>57.4</v>
      </c>
      <c r="O187">
        <v>79.3</v>
      </c>
      <c r="S187">
        <f t="shared" si="23"/>
        <v>1</v>
      </c>
      <c r="T187">
        <f t="shared" si="24"/>
        <v>1</v>
      </c>
      <c r="U187">
        <f t="shared" si="25"/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18.3</v>
      </c>
      <c r="AG187">
        <f t="shared" si="26"/>
        <v>0</v>
      </c>
      <c r="AH187">
        <f t="shared" si="27"/>
        <v>0</v>
      </c>
      <c r="AI187">
        <f t="shared" si="28"/>
        <v>0</v>
      </c>
      <c r="AJ187">
        <v>320.60000000000002</v>
      </c>
      <c r="AK187">
        <v>1008.3</v>
      </c>
      <c r="AL187">
        <v>73</v>
      </c>
      <c r="AM187">
        <v>6.8</v>
      </c>
      <c r="AN187">
        <v>0</v>
      </c>
      <c r="AO187">
        <v>0</v>
      </c>
      <c r="AP187">
        <v>0</v>
      </c>
      <c r="AQ187">
        <v>0</v>
      </c>
      <c r="AR187" t="s">
        <v>667</v>
      </c>
      <c r="AS187" t="s">
        <v>668</v>
      </c>
      <c r="AT187">
        <v>0.25</v>
      </c>
      <c r="AU187" t="s">
        <v>43</v>
      </c>
      <c r="AV187" t="s">
        <v>44</v>
      </c>
      <c r="AW187" t="s">
        <v>45</v>
      </c>
      <c r="AX187" s="1">
        <v>0.63194444444444442</v>
      </c>
      <c r="AY187" t="s">
        <v>669</v>
      </c>
      <c r="AZ187">
        <v>4500</v>
      </c>
      <c r="BA187">
        <v>1</v>
      </c>
      <c r="BB187">
        <v>0</v>
      </c>
      <c r="BC187">
        <v>21</v>
      </c>
      <c r="BD187">
        <v>0</v>
      </c>
      <c r="BE187">
        <f t="shared" si="29"/>
        <v>0</v>
      </c>
    </row>
    <row r="188" spans="1:57" x14ac:dyDescent="0.25">
      <c r="A188" t="s">
        <v>39</v>
      </c>
      <c r="B188" t="s">
        <v>670</v>
      </c>
      <c r="C188">
        <v>78.900000000000006</v>
      </c>
      <c r="D188">
        <v>64.5</v>
      </c>
      <c r="G188">
        <f t="shared" si="20"/>
        <v>0</v>
      </c>
      <c r="H188">
        <f t="shared" si="21"/>
        <v>0</v>
      </c>
      <c r="I188">
        <f t="shared" si="22"/>
        <v>0</v>
      </c>
      <c r="J188">
        <v>72.2</v>
      </c>
      <c r="K188">
        <v>78.900000000000006</v>
      </c>
      <c r="L188">
        <v>64.5</v>
      </c>
      <c r="M188">
        <v>72.2</v>
      </c>
      <c r="N188">
        <v>56.9</v>
      </c>
      <c r="O188">
        <v>59.8</v>
      </c>
      <c r="S188">
        <f t="shared" si="23"/>
        <v>0</v>
      </c>
      <c r="T188">
        <f t="shared" si="24"/>
        <v>0</v>
      </c>
      <c r="U188">
        <f t="shared" si="25"/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17.2</v>
      </c>
      <c r="AG188">
        <f t="shared" si="26"/>
        <v>0</v>
      </c>
      <c r="AH188">
        <f t="shared" si="27"/>
        <v>0</v>
      </c>
      <c r="AI188">
        <f t="shared" si="28"/>
        <v>0</v>
      </c>
      <c r="AJ188">
        <v>292.10000000000002</v>
      </c>
      <c r="AK188">
        <v>1010</v>
      </c>
      <c r="AL188">
        <v>37.1</v>
      </c>
      <c r="AM188">
        <v>6.9</v>
      </c>
      <c r="AN188">
        <v>0</v>
      </c>
      <c r="AO188">
        <v>0</v>
      </c>
      <c r="AP188">
        <v>0</v>
      </c>
      <c r="AQ188">
        <v>0</v>
      </c>
      <c r="AR188" t="s">
        <v>671</v>
      </c>
      <c r="AS188" t="s">
        <v>672</v>
      </c>
      <c r="AT188">
        <v>0.96</v>
      </c>
      <c r="AU188" t="s">
        <v>43</v>
      </c>
      <c r="AV188" t="s">
        <v>44</v>
      </c>
      <c r="AW188" t="s">
        <v>45</v>
      </c>
      <c r="AX188" s="1">
        <v>0.57222222222222219</v>
      </c>
      <c r="AY188" t="s">
        <v>673</v>
      </c>
      <c r="AZ188">
        <v>255.99999999627471</v>
      </c>
      <c r="BA188">
        <v>0</v>
      </c>
      <c r="BB188">
        <v>0</v>
      </c>
      <c r="BC188">
        <v>2</v>
      </c>
      <c r="BD188">
        <v>0</v>
      </c>
      <c r="BE188">
        <f t="shared" si="29"/>
        <v>0</v>
      </c>
    </row>
    <row r="189" spans="1:57" x14ac:dyDescent="0.25">
      <c r="A189" t="s">
        <v>39</v>
      </c>
      <c r="B189" t="s">
        <v>674</v>
      </c>
      <c r="C189">
        <v>89.7</v>
      </c>
      <c r="D189">
        <v>71.7</v>
      </c>
      <c r="G189">
        <f t="shared" si="20"/>
        <v>1</v>
      </c>
      <c r="H189">
        <f t="shared" si="21"/>
        <v>1</v>
      </c>
      <c r="I189">
        <f t="shared" si="22"/>
        <v>0</v>
      </c>
      <c r="J189">
        <v>79.900000000000006</v>
      </c>
      <c r="K189">
        <v>85.7</v>
      </c>
      <c r="L189">
        <v>71.7</v>
      </c>
      <c r="M189">
        <v>78.400000000000006</v>
      </c>
      <c r="N189">
        <v>32.6</v>
      </c>
      <c r="O189">
        <v>18.399999999999999</v>
      </c>
      <c r="S189">
        <f t="shared" si="23"/>
        <v>1</v>
      </c>
      <c r="T189">
        <f t="shared" si="24"/>
        <v>0</v>
      </c>
      <c r="U189">
        <f t="shared" si="25"/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25.3</v>
      </c>
      <c r="AG189">
        <f t="shared" si="26"/>
        <v>1</v>
      </c>
      <c r="AH189">
        <f t="shared" si="27"/>
        <v>1</v>
      </c>
      <c r="AI189">
        <f t="shared" si="28"/>
        <v>0</v>
      </c>
      <c r="AJ189">
        <v>185.3</v>
      </c>
      <c r="AK189">
        <v>1010.7</v>
      </c>
      <c r="AL189">
        <v>0</v>
      </c>
      <c r="AM189">
        <v>6.2</v>
      </c>
      <c r="AN189">
        <v>0</v>
      </c>
      <c r="AO189">
        <v>0</v>
      </c>
      <c r="AP189">
        <v>0</v>
      </c>
      <c r="AQ189">
        <v>0</v>
      </c>
      <c r="AR189" t="s">
        <v>675</v>
      </c>
      <c r="AS189" t="s">
        <v>676</v>
      </c>
      <c r="AT189">
        <v>0.08</v>
      </c>
      <c r="AU189" t="s">
        <v>74</v>
      </c>
      <c r="AV189" t="s">
        <v>44</v>
      </c>
      <c r="AW189" t="s">
        <v>75</v>
      </c>
      <c r="AX189" s="1">
        <v>0.83333333333333337</v>
      </c>
      <c r="AY189" t="s">
        <v>677</v>
      </c>
      <c r="AZ189">
        <v>509.99999999650748</v>
      </c>
      <c r="BA189">
        <v>1</v>
      </c>
      <c r="BB189">
        <v>0</v>
      </c>
      <c r="BC189">
        <v>15</v>
      </c>
      <c r="BD189">
        <v>0</v>
      </c>
      <c r="BE189">
        <f t="shared" si="29"/>
        <v>1</v>
      </c>
    </row>
    <row r="190" spans="1:57" x14ac:dyDescent="0.25">
      <c r="A190" t="s">
        <v>39</v>
      </c>
      <c r="B190" t="s">
        <v>460</v>
      </c>
      <c r="C190">
        <v>60.9</v>
      </c>
      <c r="D190">
        <v>48.3</v>
      </c>
      <c r="G190">
        <f t="shared" si="20"/>
        <v>1</v>
      </c>
      <c r="H190">
        <f t="shared" si="21"/>
        <v>1</v>
      </c>
      <c r="I190">
        <f t="shared" si="22"/>
        <v>0</v>
      </c>
      <c r="J190">
        <v>54.4</v>
      </c>
      <c r="K190">
        <v>60.9</v>
      </c>
      <c r="L190">
        <v>46.4</v>
      </c>
      <c r="M190">
        <v>54.1</v>
      </c>
      <c r="N190">
        <v>48.8</v>
      </c>
      <c r="O190">
        <v>82</v>
      </c>
      <c r="S190">
        <f t="shared" si="23"/>
        <v>1</v>
      </c>
      <c r="T190">
        <f t="shared" si="24"/>
        <v>1</v>
      </c>
      <c r="U190">
        <f t="shared" si="25"/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9.1999999999999993</v>
      </c>
      <c r="AG190">
        <f t="shared" si="26"/>
        <v>1</v>
      </c>
      <c r="AH190">
        <f t="shared" si="27"/>
        <v>0</v>
      </c>
      <c r="AI190">
        <f t="shared" si="28"/>
        <v>1</v>
      </c>
      <c r="AJ190">
        <v>277</v>
      </c>
      <c r="AK190">
        <v>1023.7</v>
      </c>
      <c r="AL190">
        <v>30.8</v>
      </c>
      <c r="AM190">
        <v>6.8</v>
      </c>
      <c r="AN190">
        <v>0</v>
      </c>
      <c r="AO190">
        <v>0</v>
      </c>
      <c r="AP190">
        <v>0</v>
      </c>
      <c r="AQ190">
        <v>0</v>
      </c>
      <c r="AR190" t="s">
        <v>461</v>
      </c>
      <c r="AS190" t="s">
        <v>462</v>
      </c>
      <c r="AT190">
        <v>0.47</v>
      </c>
      <c r="AU190" t="s">
        <v>43</v>
      </c>
      <c r="AV190" t="s">
        <v>44</v>
      </c>
      <c r="AW190" t="s">
        <v>45</v>
      </c>
      <c r="AX190" s="1">
        <v>0.72847222222222219</v>
      </c>
      <c r="AY190" t="s">
        <v>678</v>
      </c>
      <c r="AZ190">
        <v>116.00000000093129</v>
      </c>
      <c r="BA190">
        <v>0</v>
      </c>
      <c r="BB190">
        <v>0</v>
      </c>
      <c r="BC190">
        <v>1</v>
      </c>
      <c r="BD190">
        <v>0</v>
      </c>
      <c r="BE190">
        <f t="shared" si="29"/>
        <v>1</v>
      </c>
    </row>
    <row r="191" spans="1:57" x14ac:dyDescent="0.25">
      <c r="A191" t="s">
        <v>39</v>
      </c>
      <c r="B191" t="s">
        <v>504</v>
      </c>
      <c r="C191">
        <v>86.1</v>
      </c>
      <c r="D191">
        <v>77.099999999999994</v>
      </c>
      <c r="G191">
        <f t="shared" si="20"/>
        <v>1</v>
      </c>
      <c r="H191">
        <f t="shared" si="21"/>
        <v>1</v>
      </c>
      <c r="I191">
        <f t="shared" si="22"/>
        <v>0</v>
      </c>
      <c r="J191">
        <v>80.400000000000006</v>
      </c>
      <c r="K191">
        <v>85.2</v>
      </c>
      <c r="L191">
        <v>77.099999999999994</v>
      </c>
      <c r="M191">
        <v>80.7</v>
      </c>
      <c r="N191">
        <v>61.3</v>
      </c>
      <c r="O191">
        <v>53</v>
      </c>
      <c r="S191">
        <f t="shared" si="23"/>
        <v>1</v>
      </c>
      <c r="T191">
        <f t="shared" si="24"/>
        <v>0</v>
      </c>
      <c r="U191">
        <f t="shared" si="25"/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23</v>
      </c>
      <c r="AG191">
        <f t="shared" si="26"/>
        <v>1</v>
      </c>
      <c r="AH191">
        <f t="shared" si="27"/>
        <v>1</v>
      </c>
      <c r="AI191">
        <f t="shared" si="28"/>
        <v>0</v>
      </c>
      <c r="AJ191">
        <v>309.39999999999998</v>
      </c>
      <c r="AK191">
        <v>1012</v>
      </c>
      <c r="AL191">
        <v>30</v>
      </c>
      <c r="AM191">
        <v>6.2</v>
      </c>
      <c r="AN191">
        <v>0</v>
      </c>
      <c r="AO191">
        <v>0</v>
      </c>
      <c r="AP191">
        <v>0</v>
      </c>
      <c r="AQ191">
        <v>0</v>
      </c>
      <c r="AR191" t="s">
        <v>505</v>
      </c>
      <c r="AS191" t="s">
        <v>506</v>
      </c>
      <c r="AT191">
        <v>0.59</v>
      </c>
      <c r="AU191" t="s">
        <v>43</v>
      </c>
      <c r="AV191" t="s">
        <v>44</v>
      </c>
      <c r="AW191" t="s">
        <v>45</v>
      </c>
      <c r="AX191" s="1">
        <v>0.91319444444444442</v>
      </c>
      <c r="AY191" t="s">
        <v>679</v>
      </c>
      <c r="AZ191">
        <v>155.00000000232831</v>
      </c>
      <c r="BA191">
        <v>0</v>
      </c>
      <c r="BB191">
        <v>0</v>
      </c>
      <c r="BC191">
        <v>0.1</v>
      </c>
      <c r="BD191">
        <v>0</v>
      </c>
      <c r="BE191">
        <f t="shared" si="29"/>
        <v>1</v>
      </c>
    </row>
    <row r="192" spans="1:57" x14ac:dyDescent="0.25">
      <c r="A192" t="s">
        <v>39</v>
      </c>
      <c r="B192" t="s">
        <v>620</v>
      </c>
      <c r="C192">
        <v>82.5</v>
      </c>
      <c r="D192">
        <v>68.099999999999994</v>
      </c>
      <c r="G192">
        <f t="shared" si="20"/>
        <v>1</v>
      </c>
      <c r="H192">
        <f t="shared" si="21"/>
        <v>1</v>
      </c>
      <c r="I192">
        <f t="shared" si="22"/>
        <v>0</v>
      </c>
      <c r="J192">
        <v>75.099999999999994</v>
      </c>
      <c r="K192">
        <v>81.5</v>
      </c>
      <c r="L192">
        <v>68.099999999999994</v>
      </c>
      <c r="M192">
        <v>75.099999999999994</v>
      </c>
      <c r="N192">
        <v>57.1</v>
      </c>
      <c r="O192">
        <v>55.3</v>
      </c>
      <c r="S192">
        <f t="shared" si="23"/>
        <v>1</v>
      </c>
      <c r="T192">
        <f t="shared" si="24"/>
        <v>0</v>
      </c>
      <c r="U192">
        <f t="shared" si="25"/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16.100000000000001</v>
      </c>
      <c r="AG192">
        <f t="shared" si="26"/>
        <v>0</v>
      </c>
      <c r="AH192">
        <f t="shared" si="27"/>
        <v>0</v>
      </c>
      <c r="AI192">
        <f t="shared" si="28"/>
        <v>0</v>
      </c>
      <c r="AJ192">
        <v>321.7</v>
      </c>
      <c r="AK192">
        <v>1009.5</v>
      </c>
      <c r="AL192">
        <v>0</v>
      </c>
      <c r="AM192">
        <v>6.2</v>
      </c>
      <c r="AN192">
        <v>0</v>
      </c>
      <c r="AO192">
        <v>0</v>
      </c>
      <c r="AP192">
        <v>0</v>
      </c>
      <c r="AQ192">
        <v>0</v>
      </c>
      <c r="AR192" t="s">
        <v>621</v>
      </c>
      <c r="AS192" t="s">
        <v>622</v>
      </c>
      <c r="AT192">
        <v>0.74</v>
      </c>
      <c r="AU192" t="s">
        <v>74</v>
      </c>
      <c r="AV192" t="s">
        <v>44</v>
      </c>
      <c r="AW192" t="s">
        <v>75</v>
      </c>
      <c r="AX192" s="1">
        <v>0.375</v>
      </c>
      <c r="AY192" t="s">
        <v>680</v>
      </c>
      <c r="AZ192">
        <v>425.00000000232831</v>
      </c>
      <c r="BA192">
        <v>1</v>
      </c>
      <c r="BB192">
        <v>0</v>
      </c>
      <c r="BC192">
        <v>30</v>
      </c>
      <c r="BD192">
        <v>0</v>
      </c>
      <c r="BE192">
        <f t="shared" si="29"/>
        <v>1</v>
      </c>
    </row>
    <row r="193" spans="1:57" x14ac:dyDescent="0.25">
      <c r="A193" t="s">
        <v>39</v>
      </c>
      <c r="B193" t="s">
        <v>681</v>
      </c>
      <c r="C193">
        <v>73.5</v>
      </c>
      <c r="D193">
        <v>68.099999999999994</v>
      </c>
      <c r="G193">
        <f t="shared" si="20"/>
        <v>0</v>
      </c>
      <c r="H193">
        <f t="shared" si="21"/>
        <v>0</v>
      </c>
      <c r="I193">
        <f t="shared" si="22"/>
        <v>0</v>
      </c>
      <c r="J193">
        <v>70.400000000000006</v>
      </c>
      <c r="K193">
        <v>73.5</v>
      </c>
      <c r="L193">
        <v>68.099999999999994</v>
      </c>
      <c r="M193">
        <v>70.400000000000006</v>
      </c>
      <c r="N193">
        <v>55.8</v>
      </c>
      <c r="O193">
        <v>60.1</v>
      </c>
      <c r="S193">
        <f t="shared" si="23"/>
        <v>1</v>
      </c>
      <c r="T193">
        <f t="shared" si="24"/>
        <v>0</v>
      </c>
      <c r="U193">
        <f t="shared" si="25"/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19.5</v>
      </c>
      <c r="AG193">
        <f t="shared" si="26"/>
        <v>1</v>
      </c>
      <c r="AH193">
        <f t="shared" si="27"/>
        <v>1</v>
      </c>
      <c r="AI193">
        <f t="shared" si="28"/>
        <v>0</v>
      </c>
      <c r="AJ193">
        <v>302.8</v>
      </c>
      <c r="AK193">
        <v>1015.5</v>
      </c>
      <c r="AL193">
        <v>52.5</v>
      </c>
      <c r="AM193">
        <v>6.8</v>
      </c>
      <c r="AN193">
        <v>0</v>
      </c>
      <c r="AO193">
        <v>0</v>
      </c>
      <c r="AP193">
        <v>0</v>
      </c>
      <c r="AQ193">
        <v>0</v>
      </c>
      <c r="AR193" t="s">
        <v>682</v>
      </c>
      <c r="AS193" t="s">
        <v>683</v>
      </c>
      <c r="AT193">
        <v>0.95</v>
      </c>
      <c r="AU193" t="s">
        <v>43</v>
      </c>
      <c r="AV193" t="s">
        <v>44</v>
      </c>
      <c r="AW193" t="s">
        <v>45</v>
      </c>
      <c r="AX193" s="1">
        <v>0.65069444444444446</v>
      </c>
      <c r="AY193" t="s">
        <v>684</v>
      </c>
      <c r="AZ193">
        <v>1093.0000000004659</v>
      </c>
      <c r="BA193">
        <v>1</v>
      </c>
      <c r="BB193">
        <v>0</v>
      </c>
      <c r="BC193">
        <v>3</v>
      </c>
      <c r="BD193">
        <v>0</v>
      </c>
      <c r="BE193">
        <f t="shared" si="29"/>
        <v>1</v>
      </c>
    </row>
    <row r="194" spans="1:57" x14ac:dyDescent="0.25">
      <c r="A194" t="s">
        <v>39</v>
      </c>
      <c r="B194" t="s">
        <v>685</v>
      </c>
      <c r="C194">
        <v>78.900000000000006</v>
      </c>
      <c r="D194">
        <v>73.5</v>
      </c>
      <c r="G194">
        <f t="shared" si="20"/>
        <v>0</v>
      </c>
      <c r="H194">
        <f t="shared" si="21"/>
        <v>0</v>
      </c>
      <c r="I194">
        <f t="shared" si="22"/>
        <v>0</v>
      </c>
      <c r="J194">
        <v>76.2</v>
      </c>
      <c r="K194">
        <v>78.900000000000006</v>
      </c>
      <c r="L194">
        <v>73.5</v>
      </c>
      <c r="M194">
        <v>76.2</v>
      </c>
      <c r="N194">
        <v>59.6</v>
      </c>
      <c r="O194">
        <v>57.4</v>
      </c>
      <c r="S194">
        <f t="shared" si="23"/>
        <v>1</v>
      </c>
      <c r="T194">
        <f t="shared" si="24"/>
        <v>0</v>
      </c>
      <c r="U194">
        <f t="shared" si="25"/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19.5</v>
      </c>
      <c r="AG194">
        <f t="shared" si="26"/>
        <v>1</v>
      </c>
      <c r="AH194">
        <f t="shared" si="27"/>
        <v>1</v>
      </c>
      <c r="AI194">
        <f t="shared" si="28"/>
        <v>0</v>
      </c>
      <c r="AJ194">
        <v>301.3</v>
      </c>
      <c r="AK194">
        <v>1012.2</v>
      </c>
      <c r="AL194">
        <v>37.6</v>
      </c>
      <c r="AM194">
        <v>6.8</v>
      </c>
      <c r="AN194">
        <v>0</v>
      </c>
      <c r="AO194">
        <v>0</v>
      </c>
      <c r="AP194">
        <v>0</v>
      </c>
      <c r="AQ194">
        <v>0</v>
      </c>
      <c r="AR194" t="s">
        <v>686</v>
      </c>
      <c r="AS194" t="s">
        <v>687</v>
      </c>
      <c r="AT194">
        <v>0.83</v>
      </c>
      <c r="AU194" t="s">
        <v>43</v>
      </c>
      <c r="AV194" t="s">
        <v>80</v>
      </c>
      <c r="AW194" t="s">
        <v>45</v>
      </c>
      <c r="AX194" s="1">
        <v>0.67291666666666672</v>
      </c>
      <c r="AY194" t="s">
        <v>688</v>
      </c>
      <c r="AZ194">
        <v>260.9999999916181</v>
      </c>
      <c r="BA194">
        <v>0</v>
      </c>
      <c r="BB194">
        <v>0</v>
      </c>
      <c r="BC194">
        <v>20</v>
      </c>
      <c r="BD194">
        <v>0</v>
      </c>
      <c r="BE194">
        <f t="shared" si="29"/>
        <v>0</v>
      </c>
    </row>
    <row r="195" spans="1:57" x14ac:dyDescent="0.25">
      <c r="A195" t="s">
        <v>39</v>
      </c>
      <c r="B195" t="s">
        <v>674</v>
      </c>
      <c r="C195">
        <v>89.7</v>
      </c>
      <c r="D195">
        <v>71.7</v>
      </c>
      <c r="G195">
        <f t="shared" ref="G195:G258" si="30">IF(ABS(C195-INDEX($F$2:$F$13,MONTH(B195)))&gt;1.8,1,0)</f>
        <v>1</v>
      </c>
      <c r="H195">
        <f t="shared" ref="H195:H258" si="31">IF(C195&gt;=INDEX($F$2:$F$13,MONTH(B195))+1.8,1,0)</f>
        <v>1</v>
      </c>
      <c r="I195">
        <f t="shared" ref="I195:I258" si="32">IF(C195&lt;=INDEX($F$2:$F$13,MONTH(B195))-1.8,1,0)</f>
        <v>0</v>
      </c>
      <c r="J195">
        <v>79.900000000000006</v>
      </c>
      <c r="K195">
        <v>85.7</v>
      </c>
      <c r="L195">
        <v>71.7</v>
      </c>
      <c r="M195">
        <v>78.400000000000006</v>
      </c>
      <c r="N195">
        <v>32.6</v>
      </c>
      <c r="O195">
        <v>18.399999999999999</v>
      </c>
      <c r="S195">
        <f t="shared" ref="S195:S258" si="33">IF(OR(O195&lt;INDEX($Q$2:$Q$13,MONTH(B195)),O195&gt;INDEX($R$2:$R$13,MONTH(B195))),1,0)</f>
        <v>1</v>
      </c>
      <c r="T195">
        <f t="shared" ref="T195:T258" si="34">IF(O195&gt;INDEX($R$2:$R$13,MONTH(B195)),1,0)</f>
        <v>0</v>
      </c>
      <c r="U195">
        <f t="shared" ref="U195:U258" si="35">IF(O195&lt;INDEX($Q$2:$Q$13,MONTH(B195)),1,0)</f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25.3</v>
      </c>
      <c r="AG195">
        <f t="shared" ref="AG195:AG258" si="36">IF(OR(AC195&lt;INDEX($AE$2:$AE$13,MONTH(B195)),AC195&gt;INDEX($AF$2:$AF$13,MONTH(B195))),1,0)</f>
        <v>1</v>
      </c>
      <c r="AH195">
        <f t="shared" ref="AH195:AH258" si="37">IF(AC195&gt;INDEX($AF$2:$AF$13,MONTH(B195)),1,0)</f>
        <v>1</v>
      </c>
      <c r="AI195">
        <f t="shared" ref="AI195:AI258" si="38">IF(AC195&lt;INDEX($AE$2:$AE$13,MONTH(B195)),1,0)</f>
        <v>0</v>
      </c>
      <c r="AJ195">
        <v>185.3</v>
      </c>
      <c r="AK195">
        <v>1010.7</v>
      </c>
      <c r="AL195">
        <v>0</v>
      </c>
      <c r="AM195">
        <v>6.2</v>
      </c>
      <c r="AN195">
        <v>0</v>
      </c>
      <c r="AO195">
        <v>0</v>
      </c>
      <c r="AP195">
        <v>0</v>
      </c>
      <c r="AQ195">
        <v>0</v>
      </c>
      <c r="AR195" t="s">
        <v>675</v>
      </c>
      <c r="AS195" t="s">
        <v>676</v>
      </c>
      <c r="AT195">
        <v>0.08</v>
      </c>
      <c r="AU195" t="s">
        <v>74</v>
      </c>
      <c r="AV195" t="s">
        <v>44</v>
      </c>
      <c r="AW195" t="s">
        <v>75</v>
      </c>
      <c r="AX195" s="1">
        <v>0.57916666666666672</v>
      </c>
      <c r="AY195" t="s">
        <v>689</v>
      </c>
      <c r="AZ195">
        <v>275.99999999860302</v>
      </c>
      <c r="BA195">
        <v>0</v>
      </c>
      <c r="BB195">
        <v>0</v>
      </c>
      <c r="BC195">
        <v>2</v>
      </c>
      <c r="BD195">
        <v>0</v>
      </c>
      <c r="BE195">
        <f t="shared" ref="BE195:BE258" si="39">IF((3*AH195+3*H195+2*U195+2*BA195-(2*(1-T195)+2*(1-I195)+2*(1-AI195)))&gt;=1,1,0)</f>
        <v>1</v>
      </c>
    </row>
    <row r="196" spans="1:57" x14ac:dyDescent="0.25">
      <c r="A196" t="s">
        <v>39</v>
      </c>
      <c r="B196" t="s">
        <v>690</v>
      </c>
      <c r="C196">
        <v>84.3</v>
      </c>
      <c r="D196">
        <v>69.900000000000006</v>
      </c>
      <c r="G196">
        <f t="shared" si="30"/>
        <v>1</v>
      </c>
      <c r="H196">
        <f t="shared" si="31"/>
        <v>1</v>
      </c>
      <c r="I196">
        <f t="shared" si="32"/>
        <v>0</v>
      </c>
      <c r="J196">
        <v>78.5</v>
      </c>
      <c r="K196">
        <v>83.6</v>
      </c>
      <c r="L196">
        <v>69.900000000000006</v>
      </c>
      <c r="M196">
        <v>78.400000000000006</v>
      </c>
      <c r="N196">
        <v>55.7</v>
      </c>
      <c r="O196">
        <v>45.9</v>
      </c>
      <c r="S196">
        <f t="shared" si="33"/>
        <v>1</v>
      </c>
      <c r="T196">
        <f t="shared" si="34"/>
        <v>0</v>
      </c>
      <c r="U196">
        <f t="shared" si="35"/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23</v>
      </c>
      <c r="AG196">
        <f t="shared" si="36"/>
        <v>1</v>
      </c>
      <c r="AH196">
        <f t="shared" si="37"/>
        <v>1</v>
      </c>
      <c r="AI196">
        <f t="shared" si="38"/>
        <v>0</v>
      </c>
      <c r="AJ196">
        <v>303.60000000000002</v>
      </c>
      <c r="AK196">
        <v>1011.8</v>
      </c>
      <c r="AL196">
        <v>0</v>
      </c>
      <c r="AM196">
        <v>6.2</v>
      </c>
      <c r="AN196">
        <v>0</v>
      </c>
      <c r="AO196">
        <v>0</v>
      </c>
      <c r="AP196">
        <v>0</v>
      </c>
      <c r="AQ196">
        <v>0</v>
      </c>
      <c r="AR196" t="s">
        <v>691</v>
      </c>
      <c r="AS196" t="s">
        <v>692</v>
      </c>
      <c r="AT196">
        <v>0.31</v>
      </c>
      <c r="AU196" t="s">
        <v>74</v>
      </c>
      <c r="AV196" t="s">
        <v>44</v>
      </c>
      <c r="AW196" t="s">
        <v>75</v>
      </c>
      <c r="AX196" s="1">
        <v>0.1041666666666667</v>
      </c>
      <c r="AY196" t="s">
        <v>693</v>
      </c>
      <c r="AZ196">
        <v>585</v>
      </c>
      <c r="BA196">
        <v>1</v>
      </c>
      <c r="BB196">
        <v>3</v>
      </c>
      <c r="BC196">
        <v>3</v>
      </c>
      <c r="BD196">
        <v>0</v>
      </c>
      <c r="BE196">
        <f t="shared" si="39"/>
        <v>1</v>
      </c>
    </row>
    <row r="197" spans="1:57" x14ac:dyDescent="0.25">
      <c r="A197" t="s">
        <v>39</v>
      </c>
      <c r="B197" t="s">
        <v>694</v>
      </c>
      <c r="C197">
        <v>71.7</v>
      </c>
      <c r="D197">
        <v>57.3</v>
      </c>
      <c r="G197">
        <f t="shared" si="30"/>
        <v>1</v>
      </c>
      <c r="H197">
        <f t="shared" si="31"/>
        <v>0</v>
      </c>
      <c r="I197">
        <f t="shared" si="32"/>
        <v>1</v>
      </c>
      <c r="J197">
        <v>64.599999999999994</v>
      </c>
      <c r="K197">
        <v>71.7</v>
      </c>
      <c r="L197">
        <v>57.3</v>
      </c>
      <c r="M197">
        <v>64.599999999999994</v>
      </c>
      <c r="N197">
        <v>51.6</v>
      </c>
      <c r="O197">
        <v>63</v>
      </c>
      <c r="S197">
        <f t="shared" si="33"/>
        <v>1</v>
      </c>
      <c r="T197">
        <f t="shared" si="34"/>
        <v>0</v>
      </c>
      <c r="U197">
        <f t="shared" si="35"/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12.8</v>
      </c>
      <c r="AG197">
        <f t="shared" si="36"/>
        <v>1</v>
      </c>
      <c r="AH197">
        <f t="shared" si="37"/>
        <v>0</v>
      </c>
      <c r="AI197">
        <f t="shared" si="38"/>
        <v>1</v>
      </c>
      <c r="AJ197">
        <v>285.2</v>
      </c>
      <c r="AK197">
        <v>1023</v>
      </c>
      <c r="AL197">
        <v>39.299999999999997</v>
      </c>
      <c r="AM197">
        <v>6.6</v>
      </c>
      <c r="AN197">
        <v>0</v>
      </c>
      <c r="AO197">
        <v>0</v>
      </c>
      <c r="AP197">
        <v>0</v>
      </c>
      <c r="AQ197">
        <v>0</v>
      </c>
      <c r="AR197" t="s">
        <v>695</v>
      </c>
      <c r="AS197" t="s">
        <v>696</v>
      </c>
      <c r="AT197">
        <v>0.47</v>
      </c>
      <c r="AU197" t="s">
        <v>43</v>
      </c>
      <c r="AV197" t="s">
        <v>44</v>
      </c>
      <c r="AW197" t="s">
        <v>45</v>
      </c>
      <c r="AX197" s="1">
        <v>0.19375000000000001</v>
      </c>
      <c r="AY197" t="s">
        <v>697</v>
      </c>
      <c r="AZ197">
        <v>66.000000005587935</v>
      </c>
      <c r="BA197">
        <v>0</v>
      </c>
      <c r="BB197">
        <v>0.1</v>
      </c>
      <c r="BC197">
        <v>0</v>
      </c>
      <c r="BD197">
        <v>0</v>
      </c>
      <c r="BE197">
        <f t="shared" si="39"/>
        <v>0</v>
      </c>
    </row>
    <row r="198" spans="1:57" x14ac:dyDescent="0.25">
      <c r="A198" t="s">
        <v>39</v>
      </c>
      <c r="B198" t="s">
        <v>698</v>
      </c>
      <c r="C198">
        <v>77.099999999999994</v>
      </c>
      <c r="D198">
        <v>71.7</v>
      </c>
      <c r="G198">
        <f t="shared" si="30"/>
        <v>1</v>
      </c>
      <c r="H198">
        <f t="shared" si="31"/>
        <v>1</v>
      </c>
      <c r="I198">
        <f t="shared" si="32"/>
        <v>0</v>
      </c>
      <c r="J198">
        <v>73.900000000000006</v>
      </c>
      <c r="K198">
        <v>77.099999999999994</v>
      </c>
      <c r="L198">
        <v>71.7</v>
      </c>
      <c r="M198">
        <v>73.900000000000006</v>
      </c>
      <c r="N198">
        <v>62.6</v>
      </c>
      <c r="O198">
        <v>68.099999999999994</v>
      </c>
      <c r="S198">
        <f t="shared" si="33"/>
        <v>0</v>
      </c>
      <c r="T198">
        <f t="shared" si="34"/>
        <v>0</v>
      </c>
      <c r="U198">
        <f t="shared" si="35"/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16.100000000000001</v>
      </c>
      <c r="AG198">
        <f t="shared" si="36"/>
        <v>0</v>
      </c>
      <c r="AH198">
        <f t="shared" si="37"/>
        <v>0</v>
      </c>
      <c r="AI198">
        <f t="shared" si="38"/>
        <v>0</v>
      </c>
      <c r="AJ198">
        <v>287.3</v>
      </c>
      <c r="AK198">
        <v>1018.5</v>
      </c>
      <c r="AL198">
        <v>48.3</v>
      </c>
      <c r="AM198">
        <v>6.8</v>
      </c>
      <c r="AN198">
        <v>0</v>
      </c>
      <c r="AO198">
        <v>0</v>
      </c>
      <c r="AP198">
        <v>0</v>
      </c>
      <c r="AQ198">
        <v>0</v>
      </c>
      <c r="AR198" t="s">
        <v>699</v>
      </c>
      <c r="AS198" t="s">
        <v>700</v>
      </c>
      <c r="AT198">
        <v>0.75</v>
      </c>
      <c r="AU198" t="s">
        <v>43</v>
      </c>
      <c r="AV198" t="s">
        <v>44</v>
      </c>
      <c r="AW198" t="s">
        <v>45</v>
      </c>
      <c r="AX198" s="1">
        <v>0.70416666666666672</v>
      </c>
      <c r="AY198" t="s">
        <v>701</v>
      </c>
      <c r="AZ198">
        <v>640.9999999939464</v>
      </c>
      <c r="BA198">
        <v>1</v>
      </c>
      <c r="BB198">
        <v>0</v>
      </c>
      <c r="BC198">
        <v>4</v>
      </c>
      <c r="BD198">
        <v>0</v>
      </c>
      <c r="BE198">
        <f t="shared" si="39"/>
        <v>0</v>
      </c>
    </row>
    <row r="199" spans="1:57" x14ac:dyDescent="0.25">
      <c r="A199" t="s">
        <v>39</v>
      </c>
      <c r="B199" t="s">
        <v>642</v>
      </c>
      <c r="C199">
        <v>60.9</v>
      </c>
      <c r="D199">
        <v>46.5</v>
      </c>
      <c r="G199">
        <f t="shared" si="30"/>
        <v>1</v>
      </c>
      <c r="H199">
        <f t="shared" si="31"/>
        <v>1</v>
      </c>
      <c r="I199">
        <f t="shared" si="32"/>
        <v>0</v>
      </c>
      <c r="J199">
        <v>54.3</v>
      </c>
      <c r="K199">
        <v>60.9</v>
      </c>
      <c r="L199">
        <v>43</v>
      </c>
      <c r="M199">
        <v>54</v>
      </c>
      <c r="N199">
        <v>47</v>
      </c>
      <c r="O199">
        <v>76.599999999999994</v>
      </c>
      <c r="S199">
        <f t="shared" si="33"/>
        <v>1</v>
      </c>
      <c r="T199">
        <f t="shared" si="34"/>
        <v>1</v>
      </c>
      <c r="U199">
        <f t="shared" si="35"/>
        <v>0</v>
      </c>
      <c r="V199">
        <v>0.11799999999999999</v>
      </c>
      <c r="W199">
        <v>100</v>
      </c>
      <c r="X199">
        <v>4.17</v>
      </c>
      <c r="Y199" t="s">
        <v>103</v>
      </c>
      <c r="Z199">
        <v>0</v>
      </c>
      <c r="AA199">
        <v>0</v>
      </c>
      <c r="AB199">
        <v>0</v>
      </c>
      <c r="AC199">
        <v>11.4</v>
      </c>
      <c r="AG199">
        <f t="shared" si="36"/>
        <v>1</v>
      </c>
      <c r="AH199">
        <f t="shared" si="37"/>
        <v>0</v>
      </c>
      <c r="AI199">
        <f t="shared" si="38"/>
        <v>1</v>
      </c>
      <c r="AJ199">
        <v>260.2</v>
      </c>
      <c r="AK199">
        <v>1021.7</v>
      </c>
      <c r="AL199">
        <v>81.7</v>
      </c>
      <c r="AM199">
        <v>6.6</v>
      </c>
      <c r="AN199">
        <v>0</v>
      </c>
      <c r="AO199">
        <v>0</v>
      </c>
      <c r="AP199">
        <v>0</v>
      </c>
      <c r="AQ199">
        <v>0</v>
      </c>
      <c r="AR199" t="s">
        <v>643</v>
      </c>
      <c r="AS199" t="s">
        <v>644</v>
      </c>
      <c r="AT199">
        <v>0</v>
      </c>
      <c r="AU199" t="s">
        <v>106</v>
      </c>
      <c r="AV199" t="s">
        <v>438</v>
      </c>
      <c r="AW199" t="s">
        <v>103</v>
      </c>
      <c r="AX199" s="1">
        <v>0.75</v>
      </c>
      <c r="AY199" t="s">
        <v>702</v>
      </c>
      <c r="AZ199">
        <v>130.00000000465661</v>
      </c>
      <c r="BA199">
        <v>0</v>
      </c>
      <c r="BB199">
        <v>1</v>
      </c>
      <c r="BC199">
        <v>0</v>
      </c>
      <c r="BD199">
        <v>0</v>
      </c>
      <c r="BE199">
        <f t="shared" si="39"/>
        <v>1</v>
      </c>
    </row>
    <row r="200" spans="1:57" x14ac:dyDescent="0.25">
      <c r="A200" t="s">
        <v>39</v>
      </c>
      <c r="B200" t="s">
        <v>604</v>
      </c>
      <c r="C200">
        <v>75.3</v>
      </c>
      <c r="D200">
        <v>69.900000000000006</v>
      </c>
      <c r="G200">
        <f t="shared" si="30"/>
        <v>0</v>
      </c>
      <c r="H200">
        <f t="shared" si="31"/>
        <v>0</v>
      </c>
      <c r="I200">
        <f t="shared" si="32"/>
        <v>0</v>
      </c>
      <c r="J200">
        <v>72.599999999999994</v>
      </c>
      <c r="K200">
        <v>75.3</v>
      </c>
      <c r="L200">
        <v>69.900000000000006</v>
      </c>
      <c r="M200">
        <v>72.599999999999994</v>
      </c>
      <c r="N200">
        <v>61.4</v>
      </c>
      <c r="O200">
        <v>68.099999999999994</v>
      </c>
      <c r="S200">
        <f t="shared" si="33"/>
        <v>0</v>
      </c>
      <c r="T200">
        <f t="shared" si="34"/>
        <v>0</v>
      </c>
      <c r="U200">
        <f t="shared" si="35"/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20.8</v>
      </c>
      <c r="AG200">
        <f t="shared" si="36"/>
        <v>1</v>
      </c>
      <c r="AH200">
        <f t="shared" si="37"/>
        <v>1</v>
      </c>
      <c r="AI200">
        <f t="shared" si="38"/>
        <v>0</v>
      </c>
      <c r="AJ200">
        <v>312.39999999999998</v>
      </c>
      <c r="AK200">
        <v>1015.2</v>
      </c>
      <c r="AL200">
        <v>51.7</v>
      </c>
      <c r="AM200">
        <v>6.8</v>
      </c>
      <c r="AN200">
        <v>0</v>
      </c>
      <c r="AO200">
        <v>0</v>
      </c>
      <c r="AP200">
        <v>0</v>
      </c>
      <c r="AQ200">
        <v>0</v>
      </c>
      <c r="AR200" t="s">
        <v>605</v>
      </c>
      <c r="AS200" t="s">
        <v>606</v>
      </c>
      <c r="AT200">
        <v>0.88</v>
      </c>
      <c r="AU200" t="s">
        <v>43</v>
      </c>
      <c r="AV200" t="s">
        <v>44</v>
      </c>
      <c r="AW200" t="s">
        <v>45</v>
      </c>
      <c r="AX200" s="1">
        <v>0.24236111111111111</v>
      </c>
      <c r="AY200" t="s">
        <v>703</v>
      </c>
      <c r="AZ200">
        <v>256.00000000675209</v>
      </c>
      <c r="BA200">
        <v>0</v>
      </c>
      <c r="BB200">
        <v>0</v>
      </c>
      <c r="BC200">
        <v>1</v>
      </c>
      <c r="BD200">
        <v>0</v>
      </c>
      <c r="BE200">
        <f t="shared" si="39"/>
        <v>0</v>
      </c>
    </row>
    <row r="201" spans="1:57" x14ac:dyDescent="0.25">
      <c r="A201" t="s">
        <v>39</v>
      </c>
      <c r="B201" t="s">
        <v>704</v>
      </c>
      <c r="C201">
        <v>91.5</v>
      </c>
      <c r="D201">
        <v>73.5</v>
      </c>
      <c r="G201">
        <f t="shared" si="30"/>
        <v>1</v>
      </c>
      <c r="H201">
        <f t="shared" si="31"/>
        <v>1</v>
      </c>
      <c r="I201">
        <f t="shared" si="32"/>
        <v>0</v>
      </c>
      <c r="J201">
        <v>81.8</v>
      </c>
      <c r="K201">
        <v>90.2</v>
      </c>
      <c r="L201">
        <v>73.5</v>
      </c>
      <c r="M201">
        <v>82.1</v>
      </c>
      <c r="N201">
        <v>57.1</v>
      </c>
      <c r="O201">
        <v>44.3</v>
      </c>
      <c r="S201">
        <f t="shared" si="33"/>
        <v>1</v>
      </c>
      <c r="T201">
        <f t="shared" si="34"/>
        <v>0</v>
      </c>
      <c r="U201">
        <f t="shared" si="35"/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21.9</v>
      </c>
      <c r="AG201">
        <f t="shared" si="36"/>
        <v>1</v>
      </c>
      <c r="AH201">
        <f t="shared" si="37"/>
        <v>1</v>
      </c>
      <c r="AI201">
        <f t="shared" si="38"/>
        <v>0</v>
      </c>
      <c r="AJ201">
        <v>308.89999999999998</v>
      </c>
      <c r="AK201">
        <v>1006.6</v>
      </c>
      <c r="AL201">
        <v>0</v>
      </c>
      <c r="AM201">
        <v>6.2</v>
      </c>
      <c r="AN201">
        <v>0</v>
      </c>
      <c r="AO201">
        <v>0</v>
      </c>
      <c r="AP201">
        <v>0</v>
      </c>
      <c r="AQ201">
        <v>0</v>
      </c>
      <c r="AR201" t="s">
        <v>705</v>
      </c>
      <c r="AS201" t="s">
        <v>706</v>
      </c>
      <c r="AT201">
        <v>0.02</v>
      </c>
      <c r="AU201" t="s">
        <v>74</v>
      </c>
      <c r="AV201" t="s">
        <v>44</v>
      </c>
      <c r="AW201" t="s">
        <v>75</v>
      </c>
      <c r="AX201" s="1">
        <v>0.51388888888888884</v>
      </c>
      <c r="AY201" t="s">
        <v>707</v>
      </c>
      <c r="AZ201">
        <v>399.99999999417918</v>
      </c>
      <c r="BA201">
        <v>1</v>
      </c>
      <c r="BB201">
        <v>0</v>
      </c>
      <c r="BC201">
        <v>20</v>
      </c>
      <c r="BD201">
        <v>0</v>
      </c>
      <c r="BE201">
        <f t="shared" si="39"/>
        <v>1</v>
      </c>
    </row>
    <row r="202" spans="1:57" x14ac:dyDescent="0.25">
      <c r="A202" t="s">
        <v>39</v>
      </c>
      <c r="B202" t="s">
        <v>708</v>
      </c>
      <c r="C202">
        <v>68.099999999999994</v>
      </c>
      <c r="D202">
        <v>60.9</v>
      </c>
      <c r="G202">
        <f t="shared" si="30"/>
        <v>1</v>
      </c>
      <c r="H202">
        <f t="shared" si="31"/>
        <v>0</v>
      </c>
      <c r="I202">
        <f t="shared" si="32"/>
        <v>1</v>
      </c>
      <c r="J202">
        <v>65</v>
      </c>
      <c r="K202">
        <v>68.099999999999994</v>
      </c>
      <c r="L202">
        <v>60.9</v>
      </c>
      <c r="M202">
        <v>65</v>
      </c>
      <c r="N202">
        <v>54.6</v>
      </c>
      <c r="O202">
        <v>69.5</v>
      </c>
      <c r="S202">
        <f t="shared" si="33"/>
        <v>1</v>
      </c>
      <c r="T202">
        <f t="shared" si="34"/>
        <v>1</v>
      </c>
      <c r="U202">
        <f t="shared" si="35"/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13.9</v>
      </c>
      <c r="AG202">
        <f t="shared" si="36"/>
        <v>1</v>
      </c>
      <c r="AH202">
        <f t="shared" si="37"/>
        <v>0</v>
      </c>
      <c r="AI202">
        <f t="shared" si="38"/>
        <v>1</v>
      </c>
      <c r="AJ202">
        <v>325.39999999999998</v>
      </c>
      <c r="AK202">
        <v>1011.4</v>
      </c>
      <c r="AL202">
        <v>42.2</v>
      </c>
      <c r="AM202">
        <v>8.6999999999999993</v>
      </c>
      <c r="AN202">
        <v>0</v>
      </c>
      <c r="AO202">
        <v>0</v>
      </c>
      <c r="AP202">
        <v>0</v>
      </c>
      <c r="AQ202">
        <v>0</v>
      </c>
      <c r="AR202" t="s">
        <v>709</v>
      </c>
      <c r="AS202" t="s">
        <v>710</v>
      </c>
      <c r="AT202">
        <v>0.59</v>
      </c>
      <c r="AU202" t="s">
        <v>43</v>
      </c>
      <c r="AV202" t="s">
        <v>44</v>
      </c>
      <c r="AW202" t="s">
        <v>45</v>
      </c>
      <c r="AX202" s="1">
        <v>0.96805555555555556</v>
      </c>
      <c r="AY202" t="s">
        <v>711</v>
      </c>
      <c r="AZ202">
        <v>76.000000006752089</v>
      </c>
      <c r="BA202">
        <v>0</v>
      </c>
      <c r="BB202">
        <v>0</v>
      </c>
      <c r="BC202">
        <v>0.2</v>
      </c>
      <c r="BD202">
        <v>0</v>
      </c>
      <c r="BE202">
        <f t="shared" si="39"/>
        <v>0</v>
      </c>
    </row>
    <row r="203" spans="1:57" x14ac:dyDescent="0.25">
      <c r="A203" t="s">
        <v>39</v>
      </c>
      <c r="B203" t="s">
        <v>674</v>
      </c>
      <c r="C203">
        <v>89.7</v>
      </c>
      <c r="D203">
        <v>71.7</v>
      </c>
      <c r="G203">
        <f t="shared" si="30"/>
        <v>1</v>
      </c>
      <c r="H203">
        <f t="shared" si="31"/>
        <v>1</v>
      </c>
      <c r="I203">
        <f t="shared" si="32"/>
        <v>0</v>
      </c>
      <c r="J203">
        <v>79.900000000000006</v>
      </c>
      <c r="K203">
        <v>85.7</v>
      </c>
      <c r="L203">
        <v>71.7</v>
      </c>
      <c r="M203">
        <v>78.400000000000006</v>
      </c>
      <c r="N203">
        <v>32.6</v>
      </c>
      <c r="O203">
        <v>18.399999999999999</v>
      </c>
      <c r="S203">
        <f t="shared" si="33"/>
        <v>1</v>
      </c>
      <c r="T203">
        <f t="shared" si="34"/>
        <v>0</v>
      </c>
      <c r="U203">
        <f t="shared" si="35"/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25.3</v>
      </c>
      <c r="AG203">
        <f t="shared" si="36"/>
        <v>1</v>
      </c>
      <c r="AH203">
        <f t="shared" si="37"/>
        <v>1</v>
      </c>
      <c r="AI203">
        <f t="shared" si="38"/>
        <v>0</v>
      </c>
      <c r="AJ203">
        <v>185.3</v>
      </c>
      <c r="AK203">
        <v>1010.7</v>
      </c>
      <c r="AL203">
        <v>0</v>
      </c>
      <c r="AM203">
        <v>6.2</v>
      </c>
      <c r="AN203">
        <v>0</v>
      </c>
      <c r="AO203">
        <v>0</v>
      </c>
      <c r="AP203">
        <v>0</v>
      </c>
      <c r="AQ203">
        <v>0</v>
      </c>
      <c r="AR203" t="s">
        <v>675</v>
      </c>
      <c r="AS203" t="s">
        <v>676</v>
      </c>
      <c r="AT203">
        <v>0.08</v>
      </c>
      <c r="AU203" t="s">
        <v>74</v>
      </c>
      <c r="AV203" t="s">
        <v>44</v>
      </c>
      <c r="AW203" t="s">
        <v>75</v>
      </c>
      <c r="AX203" s="1">
        <v>0.64583333333333337</v>
      </c>
      <c r="AY203" t="s">
        <v>712</v>
      </c>
      <c r="AZ203">
        <v>184.99999999534339</v>
      </c>
      <c r="BA203">
        <v>0</v>
      </c>
      <c r="BB203">
        <v>0</v>
      </c>
      <c r="BC203">
        <v>2</v>
      </c>
      <c r="BD203">
        <v>0</v>
      </c>
      <c r="BE203">
        <f t="shared" si="39"/>
        <v>1</v>
      </c>
    </row>
    <row r="204" spans="1:57" x14ac:dyDescent="0.25">
      <c r="A204" t="s">
        <v>39</v>
      </c>
      <c r="B204" t="s">
        <v>674</v>
      </c>
      <c r="C204">
        <v>89.7</v>
      </c>
      <c r="D204">
        <v>71.7</v>
      </c>
      <c r="G204">
        <f t="shared" si="30"/>
        <v>1</v>
      </c>
      <c r="H204">
        <f t="shared" si="31"/>
        <v>1</v>
      </c>
      <c r="I204">
        <f t="shared" si="32"/>
        <v>0</v>
      </c>
      <c r="J204">
        <v>79.900000000000006</v>
      </c>
      <c r="K204">
        <v>85.7</v>
      </c>
      <c r="L204">
        <v>71.7</v>
      </c>
      <c r="M204">
        <v>78.400000000000006</v>
      </c>
      <c r="N204">
        <v>32.6</v>
      </c>
      <c r="O204">
        <v>18.399999999999999</v>
      </c>
      <c r="S204">
        <f t="shared" si="33"/>
        <v>1</v>
      </c>
      <c r="T204">
        <f t="shared" si="34"/>
        <v>0</v>
      </c>
      <c r="U204">
        <f t="shared" si="35"/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25.3</v>
      </c>
      <c r="AG204">
        <f t="shared" si="36"/>
        <v>1</v>
      </c>
      <c r="AH204">
        <f t="shared" si="37"/>
        <v>1</v>
      </c>
      <c r="AI204">
        <f t="shared" si="38"/>
        <v>0</v>
      </c>
      <c r="AJ204">
        <v>185.3</v>
      </c>
      <c r="AK204">
        <v>1010.7</v>
      </c>
      <c r="AL204">
        <v>0</v>
      </c>
      <c r="AM204">
        <v>6.2</v>
      </c>
      <c r="AN204">
        <v>0</v>
      </c>
      <c r="AO204">
        <v>0</v>
      </c>
      <c r="AP204">
        <v>0</v>
      </c>
      <c r="AQ204">
        <v>0</v>
      </c>
      <c r="AR204" t="s">
        <v>675</v>
      </c>
      <c r="AS204" t="s">
        <v>676</v>
      </c>
      <c r="AT204">
        <v>0.08</v>
      </c>
      <c r="AU204" t="s">
        <v>74</v>
      </c>
      <c r="AV204" t="s">
        <v>44</v>
      </c>
      <c r="AW204" t="s">
        <v>75</v>
      </c>
      <c r="AX204" s="1">
        <v>0.9243055555555556</v>
      </c>
      <c r="AY204" t="s">
        <v>713</v>
      </c>
      <c r="AZ204">
        <v>213.000000002794</v>
      </c>
      <c r="BA204">
        <v>0</v>
      </c>
      <c r="BB204">
        <v>0</v>
      </c>
      <c r="BC204">
        <v>3</v>
      </c>
      <c r="BD204">
        <v>0</v>
      </c>
      <c r="BE204">
        <f t="shared" si="39"/>
        <v>1</v>
      </c>
    </row>
    <row r="205" spans="1:57" x14ac:dyDescent="0.25">
      <c r="A205" t="s">
        <v>39</v>
      </c>
      <c r="B205" t="s">
        <v>714</v>
      </c>
      <c r="C205">
        <v>75.3</v>
      </c>
      <c r="D205">
        <v>62.7</v>
      </c>
      <c r="G205">
        <f t="shared" si="30"/>
        <v>1</v>
      </c>
      <c r="H205">
        <f t="shared" si="31"/>
        <v>0</v>
      </c>
      <c r="I205">
        <f t="shared" si="32"/>
        <v>1</v>
      </c>
      <c r="J205">
        <v>70.400000000000006</v>
      </c>
      <c r="K205">
        <v>75.3</v>
      </c>
      <c r="L205">
        <v>62.7</v>
      </c>
      <c r="M205">
        <v>70.400000000000006</v>
      </c>
      <c r="N205">
        <v>57.4</v>
      </c>
      <c r="O205">
        <v>64.3</v>
      </c>
      <c r="S205">
        <f t="shared" si="33"/>
        <v>0</v>
      </c>
      <c r="T205">
        <f t="shared" si="34"/>
        <v>0</v>
      </c>
      <c r="U205">
        <f t="shared" si="35"/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15</v>
      </c>
      <c r="AG205">
        <f t="shared" si="36"/>
        <v>1</v>
      </c>
      <c r="AH205">
        <f t="shared" si="37"/>
        <v>0</v>
      </c>
      <c r="AI205">
        <f t="shared" si="38"/>
        <v>1</v>
      </c>
      <c r="AJ205">
        <v>311.7</v>
      </c>
      <c r="AK205">
        <v>1017.1</v>
      </c>
      <c r="AL205">
        <v>51.8</v>
      </c>
      <c r="AM205">
        <v>6.8</v>
      </c>
      <c r="AN205">
        <v>0</v>
      </c>
      <c r="AO205">
        <v>0</v>
      </c>
      <c r="AP205">
        <v>0</v>
      </c>
      <c r="AQ205">
        <v>0</v>
      </c>
      <c r="AR205" t="s">
        <v>715</v>
      </c>
      <c r="AS205" t="s">
        <v>716</v>
      </c>
      <c r="AT205">
        <v>0.39</v>
      </c>
      <c r="AU205" t="s">
        <v>43</v>
      </c>
      <c r="AV205" t="s">
        <v>44</v>
      </c>
      <c r="AW205" t="s">
        <v>45</v>
      </c>
      <c r="AX205" s="1">
        <v>0.70694444444444449</v>
      </c>
      <c r="AY205" t="s">
        <v>717</v>
      </c>
      <c r="AZ205">
        <v>31.999999999534339</v>
      </c>
      <c r="BA205">
        <v>0</v>
      </c>
      <c r="BB205">
        <v>0</v>
      </c>
      <c r="BC205">
        <v>1</v>
      </c>
      <c r="BD205">
        <v>0</v>
      </c>
      <c r="BE205">
        <f t="shared" si="39"/>
        <v>0</v>
      </c>
    </row>
    <row r="206" spans="1:57" x14ac:dyDescent="0.25">
      <c r="A206" t="s">
        <v>39</v>
      </c>
      <c r="B206" t="s">
        <v>718</v>
      </c>
      <c r="C206">
        <v>78.900000000000006</v>
      </c>
      <c r="D206">
        <v>59.1</v>
      </c>
      <c r="G206">
        <f t="shared" si="30"/>
        <v>1</v>
      </c>
      <c r="H206">
        <f t="shared" si="31"/>
        <v>1</v>
      </c>
      <c r="I206">
        <f t="shared" si="32"/>
        <v>0</v>
      </c>
      <c r="J206">
        <v>65.2</v>
      </c>
      <c r="K206">
        <v>78.900000000000006</v>
      </c>
      <c r="L206">
        <v>59.1</v>
      </c>
      <c r="M206">
        <v>65.2</v>
      </c>
      <c r="N206">
        <v>42.8</v>
      </c>
      <c r="O206">
        <v>45.7</v>
      </c>
      <c r="S206">
        <f t="shared" si="33"/>
        <v>1</v>
      </c>
      <c r="T206">
        <f t="shared" si="34"/>
        <v>0</v>
      </c>
      <c r="U206">
        <f t="shared" si="35"/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19.5</v>
      </c>
      <c r="AG206">
        <f t="shared" si="36"/>
        <v>1</v>
      </c>
      <c r="AH206">
        <f t="shared" si="37"/>
        <v>1</v>
      </c>
      <c r="AI206">
        <f t="shared" si="38"/>
        <v>0</v>
      </c>
      <c r="AJ206">
        <v>167.8</v>
      </c>
      <c r="AK206">
        <v>1019</v>
      </c>
      <c r="AL206">
        <v>0</v>
      </c>
      <c r="AM206">
        <v>6.2</v>
      </c>
      <c r="AN206">
        <v>0</v>
      </c>
      <c r="AO206">
        <v>0</v>
      </c>
      <c r="AP206">
        <v>0</v>
      </c>
      <c r="AQ206">
        <v>0</v>
      </c>
      <c r="AR206" t="s">
        <v>719</v>
      </c>
      <c r="AS206" t="s">
        <v>720</v>
      </c>
      <c r="AT206">
        <v>0.35</v>
      </c>
      <c r="AU206" t="s">
        <v>74</v>
      </c>
      <c r="AV206" t="s">
        <v>44</v>
      </c>
      <c r="AW206" t="s">
        <v>75</v>
      </c>
      <c r="AX206" s="1">
        <v>0.56944444444444442</v>
      </c>
      <c r="AY206" t="s">
        <v>721</v>
      </c>
      <c r="AZ206">
        <v>100.0000000011642</v>
      </c>
      <c r="BA206">
        <v>0</v>
      </c>
      <c r="BB206">
        <v>0</v>
      </c>
      <c r="BC206">
        <v>7</v>
      </c>
      <c r="BD206">
        <v>0</v>
      </c>
      <c r="BE206">
        <f t="shared" si="39"/>
        <v>1</v>
      </c>
    </row>
    <row r="207" spans="1:57" x14ac:dyDescent="0.25">
      <c r="A207" t="s">
        <v>39</v>
      </c>
      <c r="B207" t="s">
        <v>722</v>
      </c>
      <c r="C207">
        <v>93.3</v>
      </c>
      <c r="D207">
        <v>68.099999999999994</v>
      </c>
      <c r="G207">
        <f t="shared" si="30"/>
        <v>1</v>
      </c>
      <c r="H207">
        <f t="shared" si="31"/>
        <v>1</v>
      </c>
      <c r="I207">
        <f t="shared" si="32"/>
        <v>0</v>
      </c>
      <c r="J207">
        <v>79.099999999999994</v>
      </c>
      <c r="K207">
        <v>89.1</v>
      </c>
      <c r="L207">
        <v>68.099999999999994</v>
      </c>
      <c r="M207">
        <v>77.8</v>
      </c>
      <c r="N207">
        <v>36.9</v>
      </c>
      <c r="O207">
        <v>22.5</v>
      </c>
      <c r="S207">
        <f t="shared" si="33"/>
        <v>1</v>
      </c>
      <c r="T207">
        <f t="shared" si="34"/>
        <v>0</v>
      </c>
      <c r="U207">
        <f t="shared" si="35"/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17.2</v>
      </c>
      <c r="AG207">
        <f t="shared" si="36"/>
        <v>0</v>
      </c>
      <c r="AH207">
        <f t="shared" si="37"/>
        <v>0</v>
      </c>
      <c r="AI207">
        <f t="shared" si="38"/>
        <v>0</v>
      </c>
      <c r="AJ207">
        <v>184</v>
      </c>
      <c r="AK207">
        <v>1010.5</v>
      </c>
      <c r="AL207">
        <v>0</v>
      </c>
      <c r="AM207">
        <v>6.2</v>
      </c>
      <c r="AN207">
        <v>0</v>
      </c>
      <c r="AO207">
        <v>0</v>
      </c>
      <c r="AP207">
        <v>0</v>
      </c>
      <c r="AQ207">
        <v>0</v>
      </c>
      <c r="AR207" t="s">
        <v>723</v>
      </c>
      <c r="AS207" t="s">
        <v>724</v>
      </c>
      <c r="AT207">
        <v>0.05</v>
      </c>
      <c r="AU207" t="s">
        <v>74</v>
      </c>
      <c r="AV207" t="s">
        <v>44</v>
      </c>
      <c r="AW207" t="s">
        <v>75</v>
      </c>
      <c r="AX207" s="1">
        <v>0.57291666666666663</v>
      </c>
      <c r="AY207" t="s">
        <v>725</v>
      </c>
      <c r="AZ207">
        <v>135</v>
      </c>
      <c r="BA207">
        <v>0</v>
      </c>
      <c r="BB207">
        <v>0</v>
      </c>
      <c r="BC207">
        <v>1.9</v>
      </c>
      <c r="BD207">
        <v>0</v>
      </c>
      <c r="BE207">
        <f t="shared" si="39"/>
        <v>0</v>
      </c>
    </row>
    <row r="208" spans="1:57" x14ac:dyDescent="0.25">
      <c r="A208" t="s">
        <v>39</v>
      </c>
      <c r="B208" t="s">
        <v>674</v>
      </c>
      <c r="C208">
        <v>89.7</v>
      </c>
      <c r="D208">
        <v>71.7</v>
      </c>
      <c r="G208">
        <f t="shared" si="30"/>
        <v>1</v>
      </c>
      <c r="H208">
        <f t="shared" si="31"/>
        <v>1</v>
      </c>
      <c r="I208">
        <f t="shared" si="32"/>
        <v>0</v>
      </c>
      <c r="J208">
        <v>79.900000000000006</v>
      </c>
      <c r="K208">
        <v>85.7</v>
      </c>
      <c r="L208">
        <v>71.7</v>
      </c>
      <c r="M208">
        <v>78.400000000000006</v>
      </c>
      <c r="N208">
        <v>32.6</v>
      </c>
      <c r="O208">
        <v>18.399999999999999</v>
      </c>
      <c r="S208">
        <f t="shared" si="33"/>
        <v>1</v>
      </c>
      <c r="T208">
        <f t="shared" si="34"/>
        <v>0</v>
      </c>
      <c r="U208">
        <f t="shared" si="35"/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25.3</v>
      </c>
      <c r="AG208">
        <f t="shared" si="36"/>
        <v>1</v>
      </c>
      <c r="AH208">
        <f t="shared" si="37"/>
        <v>1</v>
      </c>
      <c r="AI208">
        <f t="shared" si="38"/>
        <v>0</v>
      </c>
      <c r="AJ208">
        <v>185.3</v>
      </c>
      <c r="AK208">
        <v>1010.7</v>
      </c>
      <c r="AL208">
        <v>0</v>
      </c>
      <c r="AM208">
        <v>6.2</v>
      </c>
      <c r="AN208">
        <v>0</v>
      </c>
      <c r="AO208">
        <v>0</v>
      </c>
      <c r="AP208">
        <v>0</v>
      </c>
      <c r="AQ208">
        <v>0</v>
      </c>
      <c r="AR208" t="s">
        <v>675</v>
      </c>
      <c r="AS208" t="s">
        <v>676</v>
      </c>
      <c r="AT208">
        <v>0.08</v>
      </c>
      <c r="AU208" t="s">
        <v>74</v>
      </c>
      <c r="AV208" t="s">
        <v>44</v>
      </c>
      <c r="AW208" t="s">
        <v>75</v>
      </c>
      <c r="AX208" s="1">
        <v>0.58680555555555558</v>
      </c>
      <c r="AY208" t="s">
        <v>726</v>
      </c>
      <c r="AZ208">
        <v>75.00000000349246</v>
      </c>
      <c r="BA208">
        <v>0</v>
      </c>
      <c r="BB208">
        <v>0</v>
      </c>
      <c r="BC208">
        <v>1</v>
      </c>
      <c r="BD208">
        <v>0</v>
      </c>
      <c r="BE208">
        <f t="shared" si="39"/>
        <v>1</v>
      </c>
    </row>
    <row r="209" spans="1:57" x14ac:dyDescent="0.25">
      <c r="A209" t="s">
        <v>39</v>
      </c>
      <c r="B209" t="s">
        <v>727</v>
      </c>
      <c r="C209">
        <v>66.3</v>
      </c>
      <c r="D209">
        <v>55.5</v>
      </c>
      <c r="G209">
        <f t="shared" si="30"/>
        <v>0</v>
      </c>
      <c r="H209">
        <f t="shared" si="31"/>
        <v>0</v>
      </c>
      <c r="I209">
        <f t="shared" si="32"/>
        <v>0</v>
      </c>
      <c r="J209">
        <v>61.1</v>
      </c>
      <c r="K209">
        <v>66.3</v>
      </c>
      <c r="L209">
        <v>55.5</v>
      </c>
      <c r="M209">
        <v>61.1</v>
      </c>
      <c r="N209">
        <v>46.1</v>
      </c>
      <c r="O209">
        <v>58.4</v>
      </c>
      <c r="S209">
        <f t="shared" si="33"/>
        <v>1</v>
      </c>
      <c r="T209">
        <f t="shared" si="34"/>
        <v>0</v>
      </c>
      <c r="U209">
        <f t="shared" si="35"/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24.2</v>
      </c>
      <c r="AG209">
        <f t="shared" si="36"/>
        <v>1</v>
      </c>
      <c r="AH209">
        <f t="shared" si="37"/>
        <v>1</v>
      </c>
      <c r="AI209">
        <f t="shared" si="38"/>
        <v>0</v>
      </c>
      <c r="AJ209">
        <v>344.5</v>
      </c>
      <c r="AK209">
        <v>1023.3</v>
      </c>
      <c r="AL209">
        <v>80.8</v>
      </c>
      <c r="AM209">
        <v>6.8</v>
      </c>
      <c r="AN209">
        <v>0</v>
      </c>
      <c r="AO209">
        <v>0</v>
      </c>
      <c r="AP209">
        <v>0</v>
      </c>
      <c r="AQ209">
        <v>0</v>
      </c>
      <c r="AR209" t="s">
        <v>728</v>
      </c>
      <c r="AS209" t="s">
        <v>729</v>
      </c>
      <c r="AT209">
        <v>7.0000000000000007E-2</v>
      </c>
      <c r="AU209" t="s">
        <v>43</v>
      </c>
      <c r="AV209" t="s">
        <v>44</v>
      </c>
      <c r="AW209" t="s">
        <v>45</v>
      </c>
      <c r="AX209" s="1">
        <v>0.47847222222222219</v>
      </c>
      <c r="AY209" t="s">
        <v>730</v>
      </c>
      <c r="AZ209">
        <v>75.99999999627471</v>
      </c>
      <c r="BA209">
        <v>0</v>
      </c>
      <c r="BB209">
        <v>0</v>
      </c>
      <c r="BC209">
        <v>0.5</v>
      </c>
      <c r="BD209">
        <v>0</v>
      </c>
      <c r="BE209">
        <f t="shared" si="39"/>
        <v>0</v>
      </c>
    </row>
    <row r="210" spans="1:57" x14ac:dyDescent="0.25">
      <c r="A210" t="s">
        <v>39</v>
      </c>
      <c r="B210" t="s">
        <v>575</v>
      </c>
      <c r="C210">
        <v>73.5</v>
      </c>
      <c r="D210">
        <v>62.7</v>
      </c>
      <c r="G210">
        <f t="shared" si="30"/>
        <v>0</v>
      </c>
      <c r="H210">
        <f t="shared" si="31"/>
        <v>0</v>
      </c>
      <c r="I210">
        <f t="shared" si="32"/>
        <v>0</v>
      </c>
      <c r="J210">
        <v>68.900000000000006</v>
      </c>
      <c r="K210">
        <v>73.5</v>
      </c>
      <c r="L210">
        <v>62.7</v>
      </c>
      <c r="M210">
        <v>68.900000000000006</v>
      </c>
      <c r="N210">
        <v>57.3</v>
      </c>
      <c r="O210">
        <v>68.8</v>
      </c>
      <c r="S210">
        <f t="shared" si="33"/>
        <v>0</v>
      </c>
      <c r="T210">
        <f t="shared" si="34"/>
        <v>0</v>
      </c>
      <c r="U210">
        <f t="shared" si="35"/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12.8</v>
      </c>
      <c r="AG210">
        <f t="shared" si="36"/>
        <v>1</v>
      </c>
      <c r="AH210">
        <f t="shared" si="37"/>
        <v>0</v>
      </c>
      <c r="AI210">
        <f t="shared" si="38"/>
        <v>1</v>
      </c>
      <c r="AJ210">
        <v>316.8</v>
      </c>
      <c r="AK210">
        <v>1017.3</v>
      </c>
      <c r="AL210">
        <v>30.9</v>
      </c>
      <c r="AM210">
        <v>6.8</v>
      </c>
      <c r="AN210">
        <v>0</v>
      </c>
      <c r="AO210">
        <v>0</v>
      </c>
      <c r="AP210">
        <v>0</v>
      </c>
      <c r="AQ210">
        <v>0</v>
      </c>
      <c r="AR210" t="s">
        <v>576</v>
      </c>
      <c r="AS210" t="s">
        <v>577</v>
      </c>
      <c r="AT210">
        <v>0.25</v>
      </c>
      <c r="AU210" t="s">
        <v>43</v>
      </c>
      <c r="AV210" t="s">
        <v>44</v>
      </c>
      <c r="AW210" t="s">
        <v>45</v>
      </c>
      <c r="AX210" s="1">
        <v>0.54791666666666672</v>
      </c>
      <c r="AY210" t="s">
        <v>731</v>
      </c>
      <c r="AZ210">
        <v>230.99999999860299</v>
      </c>
      <c r="BA210">
        <v>0</v>
      </c>
      <c r="BB210">
        <v>0</v>
      </c>
      <c r="BC210">
        <v>15</v>
      </c>
      <c r="BD210">
        <v>0</v>
      </c>
      <c r="BE210">
        <f t="shared" si="39"/>
        <v>0</v>
      </c>
    </row>
    <row r="211" spans="1:57" x14ac:dyDescent="0.25">
      <c r="A211" t="s">
        <v>39</v>
      </c>
      <c r="B211" t="s">
        <v>732</v>
      </c>
      <c r="C211">
        <v>77.099999999999994</v>
      </c>
      <c r="D211">
        <v>64.5</v>
      </c>
      <c r="G211">
        <f t="shared" si="30"/>
        <v>1</v>
      </c>
      <c r="H211">
        <f t="shared" si="31"/>
        <v>1</v>
      </c>
      <c r="I211">
        <f t="shared" si="32"/>
        <v>0</v>
      </c>
      <c r="J211">
        <v>72.099999999999994</v>
      </c>
      <c r="K211">
        <v>77.099999999999994</v>
      </c>
      <c r="L211">
        <v>64.5</v>
      </c>
      <c r="M211">
        <v>72.099999999999994</v>
      </c>
      <c r="N211">
        <v>60.8</v>
      </c>
      <c r="O211">
        <v>68.3</v>
      </c>
      <c r="S211">
        <f t="shared" si="33"/>
        <v>0</v>
      </c>
      <c r="T211">
        <f t="shared" si="34"/>
        <v>0</v>
      </c>
      <c r="U211">
        <f t="shared" si="35"/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19.5</v>
      </c>
      <c r="AG211">
        <f t="shared" si="36"/>
        <v>1</v>
      </c>
      <c r="AH211">
        <f t="shared" si="37"/>
        <v>1</v>
      </c>
      <c r="AI211">
        <f t="shared" si="38"/>
        <v>0</v>
      </c>
      <c r="AJ211">
        <v>277</v>
      </c>
      <c r="AK211">
        <v>1014.2</v>
      </c>
      <c r="AL211">
        <v>30</v>
      </c>
      <c r="AM211">
        <v>6.5</v>
      </c>
      <c r="AN211">
        <v>0</v>
      </c>
      <c r="AO211">
        <v>0</v>
      </c>
      <c r="AP211">
        <v>0</v>
      </c>
      <c r="AQ211">
        <v>0</v>
      </c>
      <c r="AR211" t="s">
        <v>733</v>
      </c>
      <c r="AS211" t="s">
        <v>734</v>
      </c>
      <c r="AT211">
        <v>0.21</v>
      </c>
      <c r="AU211" t="s">
        <v>43</v>
      </c>
      <c r="AV211" t="s">
        <v>44</v>
      </c>
      <c r="AW211" t="s">
        <v>45</v>
      </c>
      <c r="AX211" s="1">
        <v>0.9194444444444444</v>
      </c>
      <c r="AY211" t="s">
        <v>735</v>
      </c>
      <c r="AZ211">
        <v>75.99999999627471</v>
      </c>
      <c r="BA211">
        <v>0</v>
      </c>
      <c r="BB211">
        <v>30</v>
      </c>
      <c r="BC211">
        <v>0</v>
      </c>
      <c r="BD211">
        <v>0</v>
      </c>
      <c r="BE211">
        <f t="shared" si="39"/>
        <v>0</v>
      </c>
    </row>
    <row r="212" spans="1:57" x14ac:dyDescent="0.25">
      <c r="A212" t="s">
        <v>39</v>
      </c>
      <c r="B212" t="s">
        <v>736</v>
      </c>
      <c r="C212">
        <v>82.5</v>
      </c>
      <c r="D212">
        <v>77.099999999999994</v>
      </c>
      <c r="G212">
        <f t="shared" si="30"/>
        <v>0</v>
      </c>
      <c r="H212">
        <f t="shared" si="31"/>
        <v>0</v>
      </c>
      <c r="I212">
        <f t="shared" si="32"/>
        <v>0</v>
      </c>
      <c r="J212">
        <v>80.2</v>
      </c>
      <c r="K212">
        <v>84.8</v>
      </c>
      <c r="L212">
        <v>77.099999999999994</v>
      </c>
      <c r="M212">
        <v>81.099999999999994</v>
      </c>
      <c r="N212">
        <v>63.8</v>
      </c>
      <c r="O212">
        <v>57.5</v>
      </c>
      <c r="S212">
        <f t="shared" si="33"/>
        <v>1</v>
      </c>
      <c r="T212">
        <f t="shared" si="34"/>
        <v>0</v>
      </c>
      <c r="U212">
        <f t="shared" si="35"/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21.9</v>
      </c>
      <c r="AG212">
        <f t="shared" si="36"/>
        <v>1</v>
      </c>
      <c r="AH212">
        <f t="shared" si="37"/>
        <v>1</v>
      </c>
      <c r="AI212">
        <f t="shared" si="38"/>
        <v>0</v>
      </c>
      <c r="AJ212">
        <v>292.7</v>
      </c>
      <c r="AK212">
        <v>1009</v>
      </c>
      <c r="AL212">
        <v>31.7</v>
      </c>
      <c r="AM212">
        <v>6.8</v>
      </c>
      <c r="AN212">
        <v>0</v>
      </c>
      <c r="AO212">
        <v>0</v>
      </c>
      <c r="AP212">
        <v>0</v>
      </c>
      <c r="AQ212">
        <v>0</v>
      </c>
      <c r="AR212" t="s">
        <v>737</v>
      </c>
      <c r="AS212" t="s">
        <v>738</v>
      </c>
      <c r="AT212">
        <v>0.28000000000000003</v>
      </c>
      <c r="AU212" t="s">
        <v>43</v>
      </c>
      <c r="AV212" t="s">
        <v>44</v>
      </c>
      <c r="AW212" t="s">
        <v>45</v>
      </c>
      <c r="AX212" s="1">
        <v>0.77083333333333337</v>
      </c>
      <c r="AY212" t="s">
        <v>739</v>
      </c>
      <c r="AZ212">
        <v>304.99999999883579</v>
      </c>
      <c r="BA212">
        <v>0</v>
      </c>
      <c r="BB212">
        <v>0</v>
      </c>
      <c r="BC212">
        <v>20</v>
      </c>
      <c r="BD212">
        <v>0</v>
      </c>
      <c r="BE212">
        <f t="shared" si="39"/>
        <v>0</v>
      </c>
    </row>
    <row r="213" spans="1:57" x14ac:dyDescent="0.25">
      <c r="A213" t="s">
        <v>39</v>
      </c>
      <c r="B213" t="s">
        <v>740</v>
      </c>
      <c r="C213">
        <v>80.7</v>
      </c>
      <c r="D213">
        <v>73.5</v>
      </c>
      <c r="G213">
        <f t="shared" si="30"/>
        <v>0</v>
      </c>
      <c r="H213">
        <f t="shared" si="31"/>
        <v>0</v>
      </c>
      <c r="I213">
        <f t="shared" si="32"/>
        <v>0</v>
      </c>
      <c r="J213">
        <v>77.099999999999994</v>
      </c>
      <c r="K213">
        <v>81.5</v>
      </c>
      <c r="L213">
        <v>73.5</v>
      </c>
      <c r="M213">
        <v>77.099999999999994</v>
      </c>
      <c r="N213">
        <v>57.5</v>
      </c>
      <c r="O213">
        <v>51.1</v>
      </c>
      <c r="S213">
        <f t="shared" si="33"/>
        <v>1</v>
      </c>
      <c r="T213">
        <f t="shared" si="34"/>
        <v>0</v>
      </c>
      <c r="U213">
        <f t="shared" si="35"/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23</v>
      </c>
      <c r="AG213">
        <f t="shared" si="36"/>
        <v>1</v>
      </c>
      <c r="AH213">
        <f t="shared" si="37"/>
        <v>1</v>
      </c>
      <c r="AI213">
        <f t="shared" si="38"/>
        <v>0</v>
      </c>
      <c r="AJ213">
        <v>283</v>
      </c>
      <c r="AK213">
        <v>1011.4</v>
      </c>
      <c r="AL213">
        <v>31.3</v>
      </c>
      <c r="AM213">
        <v>6.6</v>
      </c>
      <c r="AN213">
        <v>0</v>
      </c>
      <c r="AO213">
        <v>0</v>
      </c>
      <c r="AP213">
        <v>0</v>
      </c>
      <c r="AQ213">
        <v>0</v>
      </c>
      <c r="AR213" t="s">
        <v>741</v>
      </c>
      <c r="AS213" t="s">
        <v>742</v>
      </c>
      <c r="AT213">
        <v>0.33</v>
      </c>
      <c r="AU213" t="s">
        <v>43</v>
      </c>
      <c r="AV213" t="s">
        <v>44</v>
      </c>
      <c r="AW213" t="s">
        <v>45</v>
      </c>
      <c r="AX213" s="1">
        <v>0.38819444444444451</v>
      </c>
      <c r="AY213" t="s">
        <v>743</v>
      </c>
      <c r="AZ213">
        <v>506.00000000442378</v>
      </c>
      <c r="BA213">
        <v>1</v>
      </c>
      <c r="BB213">
        <v>50</v>
      </c>
      <c r="BC213">
        <v>0</v>
      </c>
      <c r="BD213">
        <v>0</v>
      </c>
      <c r="BE213">
        <f t="shared" si="39"/>
        <v>1</v>
      </c>
    </row>
    <row r="214" spans="1:57" x14ac:dyDescent="0.25">
      <c r="A214" t="s">
        <v>39</v>
      </c>
      <c r="B214" t="s">
        <v>736</v>
      </c>
      <c r="C214">
        <v>82.5</v>
      </c>
      <c r="D214">
        <v>77.099999999999994</v>
      </c>
      <c r="G214">
        <f t="shared" si="30"/>
        <v>0</v>
      </c>
      <c r="H214">
        <f t="shared" si="31"/>
        <v>0</v>
      </c>
      <c r="I214">
        <f t="shared" si="32"/>
        <v>0</v>
      </c>
      <c r="J214">
        <v>80.2</v>
      </c>
      <c r="K214">
        <v>84.8</v>
      </c>
      <c r="L214">
        <v>77.099999999999994</v>
      </c>
      <c r="M214">
        <v>81.099999999999994</v>
      </c>
      <c r="N214">
        <v>63.8</v>
      </c>
      <c r="O214">
        <v>57.5</v>
      </c>
      <c r="S214">
        <f t="shared" si="33"/>
        <v>1</v>
      </c>
      <c r="T214">
        <f t="shared" si="34"/>
        <v>0</v>
      </c>
      <c r="U214">
        <f t="shared" si="35"/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21.9</v>
      </c>
      <c r="AG214">
        <f t="shared" si="36"/>
        <v>1</v>
      </c>
      <c r="AH214">
        <f t="shared" si="37"/>
        <v>1</v>
      </c>
      <c r="AI214">
        <f t="shared" si="38"/>
        <v>0</v>
      </c>
      <c r="AJ214">
        <v>292.7</v>
      </c>
      <c r="AK214">
        <v>1009</v>
      </c>
      <c r="AL214">
        <v>31.7</v>
      </c>
      <c r="AM214">
        <v>6.8</v>
      </c>
      <c r="AN214">
        <v>0</v>
      </c>
      <c r="AO214">
        <v>0</v>
      </c>
      <c r="AP214">
        <v>0</v>
      </c>
      <c r="AQ214">
        <v>0</v>
      </c>
      <c r="AR214" t="s">
        <v>737</v>
      </c>
      <c r="AS214" t="s">
        <v>738</v>
      </c>
      <c r="AT214">
        <v>0.28000000000000003</v>
      </c>
      <c r="AU214" t="s">
        <v>43</v>
      </c>
      <c r="AV214" t="s">
        <v>44</v>
      </c>
      <c r="AW214" t="s">
        <v>45</v>
      </c>
      <c r="AX214" s="1">
        <v>0.55833333333333335</v>
      </c>
      <c r="AY214" t="s">
        <v>744</v>
      </c>
      <c r="AZ214">
        <v>1055.999999995111</v>
      </c>
      <c r="BA214">
        <v>1</v>
      </c>
      <c r="BB214">
        <v>20</v>
      </c>
      <c r="BC214">
        <v>0</v>
      </c>
      <c r="BD214">
        <v>0</v>
      </c>
      <c r="BE214">
        <f t="shared" si="39"/>
        <v>1</v>
      </c>
    </row>
    <row r="215" spans="1:57" x14ac:dyDescent="0.25">
      <c r="A215" t="s">
        <v>39</v>
      </c>
      <c r="B215" t="s">
        <v>583</v>
      </c>
      <c r="C215">
        <v>87.9</v>
      </c>
      <c r="D215">
        <v>73.5</v>
      </c>
      <c r="G215">
        <f t="shared" si="30"/>
        <v>1</v>
      </c>
      <c r="H215">
        <f t="shared" si="31"/>
        <v>1</v>
      </c>
      <c r="I215">
        <f t="shared" si="32"/>
        <v>0</v>
      </c>
      <c r="J215">
        <v>82.7</v>
      </c>
      <c r="K215">
        <v>90.8</v>
      </c>
      <c r="L215">
        <v>73.5</v>
      </c>
      <c r="M215">
        <v>84.1</v>
      </c>
      <c r="N215">
        <v>63.9</v>
      </c>
      <c r="O215">
        <v>53.8</v>
      </c>
      <c r="S215">
        <f t="shared" si="33"/>
        <v>1</v>
      </c>
      <c r="T215">
        <f t="shared" si="34"/>
        <v>0</v>
      </c>
      <c r="U215">
        <f t="shared" si="35"/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18.3</v>
      </c>
      <c r="AG215">
        <f t="shared" si="36"/>
        <v>0</v>
      </c>
      <c r="AH215">
        <f t="shared" si="37"/>
        <v>0</v>
      </c>
      <c r="AI215">
        <f t="shared" si="38"/>
        <v>0</v>
      </c>
      <c r="AJ215">
        <v>307</v>
      </c>
      <c r="AK215">
        <v>1009.8</v>
      </c>
      <c r="AL215">
        <v>0</v>
      </c>
      <c r="AM215">
        <v>6.2</v>
      </c>
      <c r="AN215">
        <v>0</v>
      </c>
      <c r="AO215">
        <v>0</v>
      </c>
      <c r="AP215">
        <v>0</v>
      </c>
      <c r="AQ215">
        <v>0</v>
      </c>
      <c r="AR215" t="s">
        <v>584</v>
      </c>
      <c r="AS215" t="s">
        <v>585</v>
      </c>
      <c r="AT215">
        <v>0.19</v>
      </c>
      <c r="AU215" t="s">
        <v>74</v>
      </c>
      <c r="AV215" t="s">
        <v>44</v>
      </c>
      <c r="AW215" t="s">
        <v>75</v>
      </c>
      <c r="AX215" s="1">
        <v>0.86041666666666672</v>
      </c>
      <c r="AY215" t="s">
        <v>745</v>
      </c>
      <c r="AZ215">
        <v>320.99999999860302</v>
      </c>
      <c r="BA215">
        <v>0</v>
      </c>
      <c r="BB215">
        <v>0</v>
      </c>
      <c r="BC215">
        <v>20</v>
      </c>
      <c r="BD215">
        <v>0</v>
      </c>
      <c r="BE215">
        <f t="shared" si="39"/>
        <v>0</v>
      </c>
    </row>
    <row r="216" spans="1:57" x14ac:dyDescent="0.25">
      <c r="A216" t="s">
        <v>39</v>
      </c>
      <c r="B216" t="s">
        <v>520</v>
      </c>
      <c r="C216">
        <v>89.7</v>
      </c>
      <c r="D216">
        <v>80.7</v>
      </c>
      <c r="G216">
        <f t="shared" si="30"/>
        <v>1</v>
      </c>
      <c r="H216">
        <f t="shared" si="31"/>
        <v>1</v>
      </c>
      <c r="I216">
        <f t="shared" si="32"/>
        <v>0</v>
      </c>
      <c r="J216">
        <v>85.1</v>
      </c>
      <c r="K216">
        <v>92.4</v>
      </c>
      <c r="L216">
        <v>82.4</v>
      </c>
      <c r="M216">
        <v>87</v>
      </c>
      <c r="N216">
        <v>65</v>
      </c>
      <c r="O216">
        <v>51.2</v>
      </c>
      <c r="S216">
        <f t="shared" si="33"/>
        <v>1</v>
      </c>
      <c r="T216">
        <f t="shared" si="34"/>
        <v>0</v>
      </c>
      <c r="U216">
        <f t="shared" si="35"/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19.5</v>
      </c>
      <c r="AG216">
        <f t="shared" si="36"/>
        <v>1</v>
      </c>
      <c r="AH216">
        <f t="shared" si="37"/>
        <v>1</v>
      </c>
      <c r="AI216">
        <f t="shared" si="38"/>
        <v>0</v>
      </c>
      <c r="AJ216">
        <v>309</v>
      </c>
      <c r="AK216">
        <v>1009.9</v>
      </c>
      <c r="AL216">
        <v>0</v>
      </c>
      <c r="AM216">
        <v>6.2</v>
      </c>
      <c r="AN216">
        <v>0</v>
      </c>
      <c r="AO216">
        <v>0</v>
      </c>
      <c r="AP216">
        <v>0</v>
      </c>
      <c r="AQ216">
        <v>0</v>
      </c>
      <c r="AR216" t="s">
        <v>521</v>
      </c>
      <c r="AS216" t="s">
        <v>522</v>
      </c>
      <c r="AT216">
        <v>0.3</v>
      </c>
      <c r="AU216" t="s">
        <v>74</v>
      </c>
      <c r="AV216" t="s">
        <v>44</v>
      </c>
      <c r="AW216" t="s">
        <v>75</v>
      </c>
      <c r="AX216" s="1">
        <v>0.7944444444444444</v>
      </c>
      <c r="AY216" t="s">
        <v>746</v>
      </c>
      <c r="AZ216">
        <v>300.99999999627471</v>
      </c>
      <c r="BA216">
        <v>0</v>
      </c>
      <c r="BB216">
        <v>20</v>
      </c>
      <c r="BC216">
        <v>0</v>
      </c>
      <c r="BD216">
        <v>0</v>
      </c>
      <c r="BE216">
        <f t="shared" si="39"/>
        <v>1</v>
      </c>
    </row>
    <row r="217" spans="1:57" x14ac:dyDescent="0.25">
      <c r="A217" t="s">
        <v>39</v>
      </c>
      <c r="B217" t="s">
        <v>747</v>
      </c>
      <c r="C217">
        <v>71.7</v>
      </c>
      <c r="D217">
        <v>48.3</v>
      </c>
      <c r="G217">
        <f t="shared" si="30"/>
        <v>1</v>
      </c>
      <c r="H217">
        <f t="shared" si="31"/>
        <v>1</v>
      </c>
      <c r="I217">
        <f t="shared" si="32"/>
        <v>0</v>
      </c>
      <c r="J217">
        <v>58.9</v>
      </c>
      <c r="K217">
        <v>71.7</v>
      </c>
      <c r="L217">
        <v>43.5</v>
      </c>
      <c r="M217">
        <v>57.6</v>
      </c>
      <c r="N217">
        <v>45.3</v>
      </c>
      <c r="O217">
        <v>62.6</v>
      </c>
      <c r="S217">
        <f t="shared" si="33"/>
        <v>1</v>
      </c>
      <c r="T217">
        <f t="shared" si="34"/>
        <v>0</v>
      </c>
      <c r="U217">
        <f t="shared" si="35"/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23</v>
      </c>
      <c r="AG217">
        <f t="shared" si="36"/>
        <v>1</v>
      </c>
      <c r="AH217">
        <f t="shared" si="37"/>
        <v>1</v>
      </c>
      <c r="AI217">
        <f t="shared" si="38"/>
        <v>0</v>
      </c>
      <c r="AJ217">
        <v>163.9</v>
      </c>
      <c r="AK217">
        <v>1020</v>
      </c>
      <c r="AL217">
        <v>59.2</v>
      </c>
      <c r="AM217">
        <v>6.8</v>
      </c>
      <c r="AN217">
        <v>0</v>
      </c>
      <c r="AO217">
        <v>0</v>
      </c>
      <c r="AP217">
        <v>0</v>
      </c>
      <c r="AQ217">
        <v>0</v>
      </c>
      <c r="AR217" t="s">
        <v>748</v>
      </c>
      <c r="AS217" t="s">
        <v>749</v>
      </c>
      <c r="AT217">
        <v>0.13</v>
      </c>
      <c r="AU217" t="s">
        <v>43</v>
      </c>
      <c r="AV217" t="s">
        <v>44</v>
      </c>
      <c r="AW217" t="s">
        <v>45</v>
      </c>
      <c r="AX217" s="1">
        <v>0.47847222222222219</v>
      </c>
      <c r="AY217" t="s">
        <v>750</v>
      </c>
      <c r="AZ217">
        <v>290.99999999511061</v>
      </c>
      <c r="BA217">
        <v>0</v>
      </c>
      <c r="BB217">
        <v>0</v>
      </c>
      <c r="BC217">
        <v>15</v>
      </c>
      <c r="BD217">
        <v>0</v>
      </c>
      <c r="BE217">
        <f t="shared" si="39"/>
        <v>1</v>
      </c>
    </row>
    <row r="218" spans="1:57" x14ac:dyDescent="0.25">
      <c r="A218" t="s">
        <v>39</v>
      </c>
      <c r="B218" t="s">
        <v>751</v>
      </c>
      <c r="C218">
        <v>75.3</v>
      </c>
      <c r="D218">
        <v>51.9</v>
      </c>
      <c r="G218">
        <f t="shared" si="30"/>
        <v>1</v>
      </c>
      <c r="H218">
        <f t="shared" si="31"/>
        <v>1</v>
      </c>
      <c r="I218">
        <f t="shared" si="32"/>
        <v>0</v>
      </c>
      <c r="J218">
        <v>61.1</v>
      </c>
      <c r="K218">
        <v>75.3</v>
      </c>
      <c r="L218">
        <v>51.9</v>
      </c>
      <c r="M218">
        <v>61.1</v>
      </c>
      <c r="N218">
        <v>49.9</v>
      </c>
      <c r="O218">
        <v>69.7</v>
      </c>
      <c r="S218">
        <f t="shared" si="33"/>
        <v>1</v>
      </c>
      <c r="T218">
        <f t="shared" si="34"/>
        <v>1</v>
      </c>
      <c r="U218">
        <f t="shared" si="35"/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11.4</v>
      </c>
      <c r="AG218">
        <f t="shared" si="36"/>
        <v>1</v>
      </c>
      <c r="AH218">
        <f t="shared" si="37"/>
        <v>0</v>
      </c>
      <c r="AI218">
        <f t="shared" si="38"/>
        <v>1</v>
      </c>
      <c r="AJ218">
        <v>81.099999999999994</v>
      </c>
      <c r="AK218">
        <v>1012.1</v>
      </c>
      <c r="AL218">
        <v>70</v>
      </c>
      <c r="AM218">
        <v>6.4</v>
      </c>
      <c r="AN218">
        <v>0</v>
      </c>
      <c r="AO218">
        <v>0</v>
      </c>
      <c r="AP218">
        <v>0</v>
      </c>
      <c r="AQ218">
        <v>0</v>
      </c>
      <c r="AR218" t="s">
        <v>752</v>
      </c>
      <c r="AS218" t="s">
        <v>753</v>
      </c>
      <c r="AT218">
        <v>0.8</v>
      </c>
      <c r="AU218" t="s">
        <v>43</v>
      </c>
      <c r="AV218" t="s">
        <v>44</v>
      </c>
      <c r="AW218" t="s">
        <v>45</v>
      </c>
      <c r="AX218" s="1">
        <v>0.65555555555555556</v>
      </c>
      <c r="AY218" t="s">
        <v>754</v>
      </c>
      <c r="AZ218">
        <v>60.999999999767169</v>
      </c>
      <c r="BA218">
        <v>0</v>
      </c>
      <c r="BB218">
        <v>5</v>
      </c>
      <c r="BC218">
        <v>0</v>
      </c>
      <c r="BD218">
        <v>0</v>
      </c>
      <c r="BE218">
        <f t="shared" si="39"/>
        <v>1</v>
      </c>
    </row>
    <row r="219" spans="1:57" x14ac:dyDescent="0.25">
      <c r="A219" t="s">
        <v>39</v>
      </c>
      <c r="B219" t="s">
        <v>755</v>
      </c>
      <c r="C219">
        <v>86.1</v>
      </c>
      <c r="D219">
        <v>73.5</v>
      </c>
      <c r="G219">
        <f t="shared" si="30"/>
        <v>1</v>
      </c>
      <c r="H219">
        <f t="shared" si="31"/>
        <v>1</v>
      </c>
      <c r="I219">
        <f t="shared" si="32"/>
        <v>0</v>
      </c>
      <c r="J219">
        <v>79.5</v>
      </c>
      <c r="K219">
        <v>89.6</v>
      </c>
      <c r="L219">
        <v>73.5</v>
      </c>
      <c r="M219">
        <v>80.400000000000006</v>
      </c>
      <c r="N219">
        <v>64.2</v>
      </c>
      <c r="O219">
        <v>60.2</v>
      </c>
      <c r="S219">
        <f t="shared" si="33"/>
        <v>1</v>
      </c>
      <c r="T219">
        <f t="shared" si="34"/>
        <v>0</v>
      </c>
      <c r="U219">
        <f t="shared" si="35"/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28.9</v>
      </c>
      <c r="AG219">
        <f t="shared" si="36"/>
        <v>1</v>
      </c>
      <c r="AH219">
        <f t="shared" si="37"/>
        <v>1</v>
      </c>
      <c r="AI219">
        <f t="shared" si="38"/>
        <v>0</v>
      </c>
      <c r="AJ219">
        <v>269.39999999999998</v>
      </c>
      <c r="AK219">
        <v>1005.6</v>
      </c>
      <c r="AL219">
        <v>36.299999999999997</v>
      </c>
      <c r="AM219">
        <v>6.6</v>
      </c>
      <c r="AN219">
        <v>0</v>
      </c>
      <c r="AO219">
        <v>0</v>
      </c>
      <c r="AP219">
        <v>0</v>
      </c>
      <c r="AQ219">
        <v>0</v>
      </c>
      <c r="AR219" t="s">
        <v>756</v>
      </c>
      <c r="AS219" t="s">
        <v>757</v>
      </c>
      <c r="AT219">
        <v>0.62</v>
      </c>
      <c r="AU219" t="s">
        <v>43</v>
      </c>
      <c r="AV219" t="s">
        <v>44</v>
      </c>
      <c r="AW219" t="s">
        <v>45</v>
      </c>
      <c r="AX219" s="1">
        <v>0.91666666666666663</v>
      </c>
      <c r="AY219" t="s">
        <v>758</v>
      </c>
      <c r="AZ219">
        <v>240.00000000698489</v>
      </c>
      <c r="BA219">
        <v>0</v>
      </c>
      <c r="BB219">
        <v>0</v>
      </c>
      <c r="BC219">
        <v>20</v>
      </c>
      <c r="BD219">
        <v>0</v>
      </c>
      <c r="BE219">
        <f t="shared" si="39"/>
        <v>1</v>
      </c>
    </row>
    <row r="220" spans="1:57" x14ac:dyDescent="0.25">
      <c r="A220" t="s">
        <v>39</v>
      </c>
      <c r="B220" t="s">
        <v>759</v>
      </c>
      <c r="C220">
        <v>87.9</v>
      </c>
      <c r="D220">
        <v>69.900000000000006</v>
      </c>
      <c r="G220">
        <f t="shared" si="30"/>
        <v>1</v>
      </c>
      <c r="H220">
        <f t="shared" si="31"/>
        <v>1</v>
      </c>
      <c r="I220">
        <f t="shared" si="32"/>
        <v>0</v>
      </c>
      <c r="J220">
        <v>78</v>
      </c>
      <c r="K220">
        <v>88.6</v>
      </c>
      <c r="L220">
        <v>69.900000000000006</v>
      </c>
      <c r="M220">
        <v>78.3</v>
      </c>
      <c r="N220">
        <v>61.5</v>
      </c>
      <c r="O220">
        <v>58.3</v>
      </c>
      <c r="S220">
        <f t="shared" si="33"/>
        <v>1</v>
      </c>
      <c r="T220">
        <f t="shared" si="34"/>
        <v>0</v>
      </c>
      <c r="U220">
        <f t="shared" si="35"/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11.4</v>
      </c>
      <c r="AG220">
        <f t="shared" si="36"/>
        <v>1</v>
      </c>
      <c r="AH220">
        <f t="shared" si="37"/>
        <v>0</v>
      </c>
      <c r="AI220">
        <f t="shared" si="38"/>
        <v>1</v>
      </c>
      <c r="AJ220">
        <v>131.80000000000001</v>
      </c>
      <c r="AK220">
        <v>1010.3</v>
      </c>
      <c r="AL220">
        <v>30</v>
      </c>
      <c r="AM220">
        <v>6.6</v>
      </c>
      <c r="AN220">
        <v>0</v>
      </c>
      <c r="AO220">
        <v>0</v>
      </c>
      <c r="AP220">
        <v>0</v>
      </c>
      <c r="AQ220">
        <v>0</v>
      </c>
      <c r="AR220" t="s">
        <v>760</v>
      </c>
      <c r="AS220" t="s">
        <v>761</v>
      </c>
      <c r="AT220">
        <v>0.79</v>
      </c>
      <c r="AU220" t="s">
        <v>43</v>
      </c>
      <c r="AV220" t="s">
        <v>44</v>
      </c>
      <c r="AW220" t="s">
        <v>45</v>
      </c>
      <c r="AX220" s="1">
        <v>0.47916666666666669</v>
      </c>
      <c r="AY220" t="s">
        <v>762</v>
      </c>
      <c r="AZ220">
        <v>280.00000000116421</v>
      </c>
      <c r="BA220">
        <v>0</v>
      </c>
      <c r="BB220">
        <v>0</v>
      </c>
      <c r="BC220">
        <v>10</v>
      </c>
      <c r="BD220">
        <v>0</v>
      </c>
      <c r="BE220">
        <f t="shared" si="39"/>
        <v>1</v>
      </c>
    </row>
    <row r="221" spans="1:57" x14ac:dyDescent="0.25">
      <c r="A221" t="s">
        <v>39</v>
      </c>
      <c r="B221" t="s">
        <v>759</v>
      </c>
      <c r="C221">
        <v>87.9</v>
      </c>
      <c r="D221">
        <v>69.900000000000006</v>
      </c>
      <c r="G221">
        <f t="shared" si="30"/>
        <v>1</v>
      </c>
      <c r="H221">
        <f t="shared" si="31"/>
        <v>1</v>
      </c>
      <c r="I221">
        <f t="shared" si="32"/>
        <v>0</v>
      </c>
      <c r="J221">
        <v>78</v>
      </c>
      <c r="K221">
        <v>88.6</v>
      </c>
      <c r="L221">
        <v>69.900000000000006</v>
      </c>
      <c r="M221">
        <v>78.3</v>
      </c>
      <c r="N221">
        <v>61.5</v>
      </c>
      <c r="O221">
        <v>58.3</v>
      </c>
      <c r="S221">
        <f t="shared" si="33"/>
        <v>1</v>
      </c>
      <c r="T221">
        <f t="shared" si="34"/>
        <v>0</v>
      </c>
      <c r="U221">
        <f t="shared" si="35"/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11.4</v>
      </c>
      <c r="AG221">
        <f t="shared" si="36"/>
        <v>1</v>
      </c>
      <c r="AH221">
        <f t="shared" si="37"/>
        <v>0</v>
      </c>
      <c r="AI221">
        <f t="shared" si="38"/>
        <v>1</v>
      </c>
      <c r="AJ221">
        <v>131.80000000000001</v>
      </c>
      <c r="AK221">
        <v>1010.3</v>
      </c>
      <c r="AL221">
        <v>30</v>
      </c>
      <c r="AM221">
        <v>6.6</v>
      </c>
      <c r="AN221">
        <v>0</v>
      </c>
      <c r="AO221">
        <v>0</v>
      </c>
      <c r="AP221">
        <v>0</v>
      </c>
      <c r="AQ221">
        <v>0</v>
      </c>
      <c r="AR221" t="s">
        <v>760</v>
      </c>
      <c r="AS221" t="s">
        <v>761</v>
      </c>
      <c r="AT221">
        <v>0.79</v>
      </c>
      <c r="AU221" t="s">
        <v>43</v>
      </c>
      <c r="AV221" t="s">
        <v>44</v>
      </c>
      <c r="AW221" t="s">
        <v>45</v>
      </c>
      <c r="AX221" s="1">
        <v>0.67361111111111116</v>
      </c>
      <c r="AY221" t="s">
        <v>763</v>
      </c>
      <c r="AZ221">
        <v>169.99999999883579</v>
      </c>
      <c r="BA221">
        <v>0</v>
      </c>
      <c r="BB221">
        <v>0</v>
      </c>
      <c r="BC221">
        <v>10</v>
      </c>
      <c r="BD221">
        <v>0</v>
      </c>
      <c r="BE221">
        <f t="shared" si="39"/>
        <v>1</v>
      </c>
    </row>
    <row r="222" spans="1:57" x14ac:dyDescent="0.25">
      <c r="A222" t="s">
        <v>39</v>
      </c>
      <c r="B222" t="s">
        <v>714</v>
      </c>
      <c r="C222">
        <v>75.3</v>
      </c>
      <c r="D222">
        <v>62.7</v>
      </c>
      <c r="G222">
        <f t="shared" si="30"/>
        <v>1</v>
      </c>
      <c r="H222">
        <f t="shared" si="31"/>
        <v>0</v>
      </c>
      <c r="I222">
        <f t="shared" si="32"/>
        <v>1</v>
      </c>
      <c r="J222">
        <v>70.400000000000006</v>
      </c>
      <c r="K222">
        <v>75.3</v>
      </c>
      <c r="L222">
        <v>62.7</v>
      </c>
      <c r="M222">
        <v>70.400000000000006</v>
      </c>
      <c r="N222">
        <v>57.4</v>
      </c>
      <c r="O222">
        <v>64.3</v>
      </c>
      <c r="S222">
        <f t="shared" si="33"/>
        <v>0</v>
      </c>
      <c r="T222">
        <f t="shared" si="34"/>
        <v>0</v>
      </c>
      <c r="U222">
        <f t="shared" si="35"/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15</v>
      </c>
      <c r="AG222">
        <f t="shared" si="36"/>
        <v>1</v>
      </c>
      <c r="AH222">
        <f t="shared" si="37"/>
        <v>0</v>
      </c>
      <c r="AI222">
        <f t="shared" si="38"/>
        <v>1</v>
      </c>
      <c r="AJ222">
        <v>311.7</v>
      </c>
      <c r="AK222">
        <v>1017.1</v>
      </c>
      <c r="AL222">
        <v>51.8</v>
      </c>
      <c r="AM222">
        <v>6.8</v>
      </c>
      <c r="AN222">
        <v>0</v>
      </c>
      <c r="AO222">
        <v>0</v>
      </c>
      <c r="AP222">
        <v>0</v>
      </c>
      <c r="AQ222">
        <v>0</v>
      </c>
      <c r="AR222" t="s">
        <v>715</v>
      </c>
      <c r="AS222" t="s">
        <v>716</v>
      </c>
      <c r="AT222">
        <v>0.39</v>
      </c>
      <c r="AU222" t="s">
        <v>43</v>
      </c>
      <c r="AV222" t="s">
        <v>44</v>
      </c>
      <c r="AW222" t="s">
        <v>45</v>
      </c>
      <c r="AX222" s="1">
        <v>0.80138888888888893</v>
      </c>
      <c r="AY222" t="s">
        <v>764</v>
      </c>
      <c r="AZ222">
        <v>91.000000003259629</v>
      </c>
      <c r="BA222">
        <v>0</v>
      </c>
      <c r="BB222">
        <v>0</v>
      </c>
      <c r="BC222">
        <v>1</v>
      </c>
      <c r="BD222">
        <v>0</v>
      </c>
      <c r="BE222">
        <f t="shared" si="39"/>
        <v>0</v>
      </c>
    </row>
    <row r="223" spans="1:57" x14ac:dyDescent="0.25">
      <c r="A223" t="s">
        <v>39</v>
      </c>
      <c r="B223" t="s">
        <v>765</v>
      </c>
      <c r="C223">
        <v>66.3</v>
      </c>
      <c r="D223">
        <v>60.9</v>
      </c>
      <c r="G223">
        <f t="shared" si="30"/>
        <v>1</v>
      </c>
      <c r="H223">
        <f t="shared" si="31"/>
        <v>0</v>
      </c>
      <c r="I223">
        <f t="shared" si="32"/>
        <v>1</v>
      </c>
      <c r="J223">
        <v>63.8</v>
      </c>
      <c r="K223">
        <v>66.3</v>
      </c>
      <c r="L223">
        <v>60.9</v>
      </c>
      <c r="M223">
        <v>63.8</v>
      </c>
      <c r="N223">
        <v>46.2</v>
      </c>
      <c r="O223">
        <v>53</v>
      </c>
      <c r="S223">
        <f t="shared" si="33"/>
        <v>1</v>
      </c>
      <c r="T223">
        <f t="shared" si="34"/>
        <v>0</v>
      </c>
      <c r="U223">
        <f t="shared" si="35"/>
        <v>1</v>
      </c>
      <c r="V223">
        <v>8.0000000000000002E-3</v>
      </c>
      <c r="W223">
        <v>100</v>
      </c>
      <c r="X223">
        <v>8.33</v>
      </c>
      <c r="Y223" t="s">
        <v>103</v>
      </c>
      <c r="Z223">
        <v>0</v>
      </c>
      <c r="AA223">
        <v>0</v>
      </c>
      <c r="AB223">
        <v>0</v>
      </c>
      <c r="AC223">
        <v>24.2</v>
      </c>
      <c r="AG223">
        <f t="shared" si="36"/>
        <v>1</v>
      </c>
      <c r="AH223">
        <f t="shared" si="37"/>
        <v>1</v>
      </c>
      <c r="AI223">
        <f t="shared" si="38"/>
        <v>0</v>
      </c>
      <c r="AJ223">
        <v>328.1</v>
      </c>
      <c r="AK223">
        <v>1022</v>
      </c>
      <c r="AL223">
        <v>75</v>
      </c>
      <c r="AM223">
        <v>6.8</v>
      </c>
      <c r="AN223">
        <v>0</v>
      </c>
      <c r="AO223">
        <v>0</v>
      </c>
      <c r="AP223">
        <v>0</v>
      </c>
      <c r="AQ223">
        <v>0</v>
      </c>
      <c r="AR223" t="s">
        <v>766</v>
      </c>
      <c r="AS223" t="s">
        <v>767</v>
      </c>
      <c r="AT223">
        <v>0.37</v>
      </c>
      <c r="AU223" t="s">
        <v>106</v>
      </c>
      <c r="AV223" t="s">
        <v>257</v>
      </c>
      <c r="AW223" t="s">
        <v>103</v>
      </c>
      <c r="AX223" s="1">
        <v>0.72152777777777777</v>
      </c>
      <c r="AY223" t="s">
        <v>768</v>
      </c>
      <c r="AZ223">
        <v>130.99999999743889</v>
      </c>
      <c r="BA223">
        <v>0</v>
      </c>
      <c r="BB223">
        <v>0</v>
      </c>
      <c r="BC223">
        <v>3</v>
      </c>
      <c r="BD223">
        <v>0</v>
      </c>
      <c r="BE223">
        <f t="shared" si="39"/>
        <v>1</v>
      </c>
    </row>
    <row r="224" spans="1:57" x14ac:dyDescent="0.25">
      <c r="A224" t="s">
        <v>39</v>
      </c>
      <c r="B224" t="s">
        <v>732</v>
      </c>
      <c r="C224">
        <v>77.099999999999994</v>
      </c>
      <c r="D224">
        <v>64.5</v>
      </c>
      <c r="G224">
        <f t="shared" si="30"/>
        <v>1</v>
      </c>
      <c r="H224">
        <f t="shared" si="31"/>
        <v>1</v>
      </c>
      <c r="I224">
        <f t="shared" si="32"/>
        <v>0</v>
      </c>
      <c r="J224">
        <v>72.099999999999994</v>
      </c>
      <c r="K224">
        <v>77.099999999999994</v>
      </c>
      <c r="L224">
        <v>64.5</v>
      </c>
      <c r="M224">
        <v>72.099999999999994</v>
      </c>
      <c r="N224">
        <v>60.8</v>
      </c>
      <c r="O224">
        <v>68.3</v>
      </c>
      <c r="S224">
        <f t="shared" si="33"/>
        <v>0</v>
      </c>
      <c r="T224">
        <f t="shared" si="34"/>
        <v>0</v>
      </c>
      <c r="U224">
        <f t="shared" si="35"/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19.5</v>
      </c>
      <c r="AG224">
        <f t="shared" si="36"/>
        <v>1</v>
      </c>
      <c r="AH224">
        <f t="shared" si="37"/>
        <v>1</v>
      </c>
      <c r="AI224">
        <f t="shared" si="38"/>
        <v>0</v>
      </c>
      <c r="AJ224">
        <v>277</v>
      </c>
      <c r="AK224">
        <v>1014.2</v>
      </c>
      <c r="AL224">
        <v>30</v>
      </c>
      <c r="AM224">
        <v>6.5</v>
      </c>
      <c r="AN224">
        <v>0</v>
      </c>
      <c r="AO224">
        <v>0</v>
      </c>
      <c r="AP224">
        <v>0</v>
      </c>
      <c r="AQ224">
        <v>0</v>
      </c>
      <c r="AR224" t="s">
        <v>733</v>
      </c>
      <c r="AS224" t="s">
        <v>734</v>
      </c>
      <c r="AT224">
        <v>0.21</v>
      </c>
      <c r="AU224" t="s">
        <v>43</v>
      </c>
      <c r="AV224" t="s">
        <v>44</v>
      </c>
      <c r="AW224" t="s">
        <v>45</v>
      </c>
      <c r="AX224" s="1">
        <v>0.58958333333333335</v>
      </c>
      <c r="AY224" t="s">
        <v>769</v>
      </c>
      <c r="AZ224">
        <v>206.00000000093129</v>
      </c>
      <c r="BA224">
        <v>0</v>
      </c>
      <c r="BB224">
        <v>0</v>
      </c>
      <c r="BC224">
        <v>2</v>
      </c>
      <c r="BD224">
        <v>0</v>
      </c>
      <c r="BE224">
        <f t="shared" si="39"/>
        <v>0</v>
      </c>
    </row>
    <row r="225" spans="1:57" x14ac:dyDescent="0.25">
      <c r="A225" t="s">
        <v>39</v>
      </c>
      <c r="B225" t="s">
        <v>770</v>
      </c>
      <c r="C225">
        <v>73.5</v>
      </c>
      <c r="D225">
        <v>55.5</v>
      </c>
      <c r="G225">
        <f t="shared" si="30"/>
        <v>1</v>
      </c>
      <c r="H225">
        <f t="shared" si="31"/>
        <v>1</v>
      </c>
      <c r="I225">
        <f t="shared" si="32"/>
        <v>0</v>
      </c>
      <c r="J225">
        <v>63.6</v>
      </c>
      <c r="K225">
        <v>73.5</v>
      </c>
      <c r="L225">
        <v>55.5</v>
      </c>
      <c r="M225">
        <v>63.6</v>
      </c>
      <c r="N225">
        <v>43.4</v>
      </c>
      <c r="O225">
        <v>49.1</v>
      </c>
      <c r="S225">
        <f t="shared" si="33"/>
        <v>1</v>
      </c>
      <c r="T225">
        <f t="shared" si="34"/>
        <v>0</v>
      </c>
      <c r="U225">
        <f t="shared" si="35"/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9.1999999999999993</v>
      </c>
      <c r="AG225">
        <f t="shared" si="36"/>
        <v>1</v>
      </c>
      <c r="AH225">
        <f t="shared" si="37"/>
        <v>0</v>
      </c>
      <c r="AI225">
        <f t="shared" si="38"/>
        <v>1</v>
      </c>
      <c r="AJ225">
        <v>149.69999999999999</v>
      </c>
      <c r="AK225">
        <v>1015.9</v>
      </c>
      <c r="AL225">
        <v>0</v>
      </c>
      <c r="AM225">
        <v>6.2</v>
      </c>
      <c r="AN225">
        <v>0</v>
      </c>
      <c r="AO225">
        <v>0</v>
      </c>
      <c r="AP225">
        <v>0</v>
      </c>
      <c r="AQ225">
        <v>0</v>
      </c>
      <c r="AR225" t="s">
        <v>771</v>
      </c>
      <c r="AS225" t="s">
        <v>772</v>
      </c>
      <c r="AT225">
        <v>0.38</v>
      </c>
      <c r="AU225" t="s">
        <v>74</v>
      </c>
      <c r="AV225" t="s">
        <v>44</v>
      </c>
      <c r="AW225" t="s">
        <v>75</v>
      </c>
      <c r="AX225" s="1">
        <v>0.55902777777777779</v>
      </c>
      <c r="AY225" t="s">
        <v>773</v>
      </c>
      <c r="AZ225">
        <v>34.999999998835847</v>
      </c>
      <c r="BA225">
        <v>0</v>
      </c>
      <c r="BB225">
        <v>0</v>
      </c>
      <c r="BC225">
        <v>1</v>
      </c>
      <c r="BD225">
        <v>0</v>
      </c>
      <c r="BE225">
        <f t="shared" si="39"/>
        <v>1</v>
      </c>
    </row>
    <row r="226" spans="1:57" x14ac:dyDescent="0.25">
      <c r="A226" t="s">
        <v>39</v>
      </c>
      <c r="B226" t="s">
        <v>608</v>
      </c>
      <c r="C226">
        <v>78.900000000000006</v>
      </c>
      <c r="D226">
        <v>73.5</v>
      </c>
      <c r="G226">
        <f t="shared" si="30"/>
        <v>1</v>
      </c>
      <c r="H226">
        <f t="shared" si="31"/>
        <v>1</v>
      </c>
      <c r="I226">
        <f t="shared" si="32"/>
        <v>0</v>
      </c>
      <c r="J226">
        <v>75.2</v>
      </c>
      <c r="K226">
        <v>78.900000000000006</v>
      </c>
      <c r="L226">
        <v>73.5</v>
      </c>
      <c r="M226">
        <v>75.2</v>
      </c>
      <c r="N226">
        <v>61.6</v>
      </c>
      <c r="O226">
        <v>63</v>
      </c>
      <c r="S226">
        <f t="shared" si="33"/>
        <v>1</v>
      </c>
      <c r="T226">
        <f t="shared" si="34"/>
        <v>0</v>
      </c>
      <c r="U226">
        <f t="shared" si="35"/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20.8</v>
      </c>
      <c r="AG226">
        <f t="shared" si="36"/>
        <v>1</v>
      </c>
      <c r="AH226">
        <f t="shared" si="37"/>
        <v>1</v>
      </c>
      <c r="AI226">
        <f t="shared" si="38"/>
        <v>0</v>
      </c>
      <c r="AJ226">
        <v>301.39999999999998</v>
      </c>
      <c r="AK226">
        <v>1015.8</v>
      </c>
      <c r="AL226">
        <v>36.700000000000003</v>
      </c>
      <c r="AM226">
        <v>6.8</v>
      </c>
      <c r="AN226">
        <v>0</v>
      </c>
      <c r="AO226">
        <v>0</v>
      </c>
      <c r="AP226">
        <v>0</v>
      </c>
      <c r="AQ226">
        <v>0</v>
      </c>
      <c r="AR226" t="s">
        <v>609</v>
      </c>
      <c r="AS226" t="s">
        <v>610</v>
      </c>
      <c r="AT226">
        <v>0.84</v>
      </c>
      <c r="AU226" t="s">
        <v>43</v>
      </c>
      <c r="AV226" t="s">
        <v>44</v>
      </c>
      <c r="AW226" t="s">
        <v>45</v>
      </c>
      <c r="AX226" s="1">
        <v>0.72847222222222219</v>
      </c>
      <c r="AY226" t="s">
        <v>774</v>
      </c>
      <c r="AZ226">
        <v>240.9999999997672</v>
      </c>
      <c r="BA226">
        <v>0</v>
      </c>
      <c r="BB226">
        <v>10</v>
      </c>
      <c r="BC226">
        <v>0</v>
      </c>
      <c r="BD226">
        <v>0</v>
      </c>
      <c r="BE226">
        <f t="shared" si="39"/>
        <v>1</v>
      </c>
    </row>
    <row r="227" spans="1:57" x14ac:dyDescent="0.25">
      <c r="A227" t="s">
        <v>39</v>
      </c>
      <c r="B227" t="s">
        <v>775</v>
      </c>
      <c r="C227">
        <v>68.099999999999994</v>
      </c>
      <c r="D227">
        <v>53.7</v>
      </c>
      <c r="G227">
        <f t="shared" si="30"/>
        <v>0</v>
      </c>
      <c r="H227">
        <f t="shared" si="31"/>
        <v>0</v>
      </c>
      <c r="I227">
        <f t="shared" si="32"/>
        <v>0</v>
      </c>
      <c r="J227">
        <v>61.3</v>
      </c>
      <c r="K227">
        <v>68.099999999999994</v>
      </c>
      <c r="L227">
        <v>53.7</v>
      </c>
      <c r="M227">
        <v>61.3</v>
      </c>
      <c r="N227">
        <v>53.4</v>
      </c>
      <c r="O227">
        <v>75.900000000000006</v>
      </c>
      <c r="S227">
        <f t="shared" si="33"/>
        <v>1</v>
      </c>
      <c r="T227">
        <f t="shared" si="34"/>
        <v>1</v>
      </c>
      <c r="U227">
        <f t="shared" si="35"/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9.1999999999999993</v>
      </c>
      <c r="AG227">
        <f t="shared" si="36"/>
        <v>1</v>
      </c>
      <c r="AH227">
        <f t="shared" si="37"/>
        <v>0</v>
      </c>
      <c r="AI227">
        <f t="shared" si="38"/>
        <v>1</v>
      </c>
      <c r="AJ227">
        <v>88.3</v>
      </c>
      <c r="AK227">
        <v>1015.2</v>
      </c>
      <c r="AL227">
        <v>80</v>
      </c>
      <c r="AM227">
        <v>6.3</v>
      </c>
      <c r="AN227">
        <v>0</v>
      </c>
      <c r="AO227">
        <v>0</v>
      </c>
      <c r="AP227">
        <v>0</v>
      </c>
      <c r="AQ227">
        <v>0</v>
      </c>
      <c r="AR227" t="s">
        <v>776</v>
      </c>
      <c r="AS227" t="s">
        <v>777</v>
      </c>
      <c r="AT227">
        <v>0.13</v>
      </c>
      <c r="AU227" t="s">
        <v>43</v>
      </c>
      <c r="AV227" t="s">
        <v>44</v>
      </c>
      <c r="AW227" t="s">
        <v>45</v>
      </c>
      <c r="AX227" s="1">
        <v>0.75624999999999998</v>
      </c>
      <c r="AY227" t="s">
        <v>778</v>
      </c>
      <c r="AZ227">
        <v>56.000000004423782</v>
      </c>
      <c r="BA227">
        <v>0</v>
      </c>
      <c r="BB227">
        <v>0</v>
      </c>
      <c r="BC227">
        <v>2</v>
      </c>
      <c r="BD227">
        <v>0</v>
      </c>
      <c r="BE227">
        <f t="shared" si="39"/>
        <v>0</v>
      </c>
    </row>
    <row r="228" spans="1:57" x14ac:dyDescent="0.25">
      <c r="A228" t="s">
        <v>39</v>
      </c>
      <c r="B228" t="s">
        <v>690</v>
      </c>
      <c r="C228">
        <v>84.3</v>
      </c>
      <c r="D228">
        <v>69.900000000000006</v>
      </c>
      <c r="G228">
        <f t="shared" si="30"/>
        <v>1</v>
      </c>
      <c r="H228">
        <f t="shared" si="31"/>
        <v>1</v>
      </c>
      <c r="I228">
        <f t="shared" si="32"/>
        <v>0</v>
      </c>
      <c r="J228">
        <v>78.5</v>
      </c>
      <c r="K228">
        <v>83.6</v>
      </c>
      <c r="L228">
        <v>69.900000000000006</v>
      </c>
      <c r="M228">
        <v>78.400000000000006</v>
      </c>
      <c r="N228">
        <v>55.7</v>
      </c>
      <c r="O228">
        <v>45.9</v>
      </c>
      <c r="S228">
        <f t="shared" si="33"/>
        <v>1</v>
      </c>
      <c r="T228">
        <f t="shared" si="34"/>
        <v>0</v>
      </c>
      <c r="U228">
        <f t="shared" si="35"/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23</v>
      </c>
      <c r="AG228">
        <f t="shared" si="36"/>
        <v>1</v>
      </c>
      <c r="AH228">
        <f t="shared" si="37"/>
        <v>1</v>
      </c>
      <c r="AI228">
        <f t="shared" si="38"/>
        <v>0</v>
      </c>
      <c r="AJ228">
        <v>303.60000000000002</v>
      </c>
      <c r="AK228">
        <v>1011.8</v>
      </c>
      <c r="AL228">
        <v>0</v>
      </c>
      <c r="AM228">
        <v>6.2</v>
      </c>
      <c r="AN228">
        <v>0</v>
      </c>
      <c r="AO228">
        <v>0</v>
      </c>
      <c r="AP228">
        <v>0</v>
      </c>
      <c r="AQ228">
        <v>0</v>
      </c>
      <c r="AR228" t="s">
        <v>691</v>
      </c>
      <c r="AS228" t="s">
        <v>692</v>
      </c>
      <c r="AT228">
        <v>0.31</v>
      </c>
      <c r="AU228" t="s">
        <v>74</v>
      </c>
      <c r="AV228" t="s">
        <v>44</v>
      </c>
      <c r="AW228" t="s">
        <v>75</v>
      </c>
      <c r="AX228" s="1">
        <v>0.69722222222222219</v>
      </c>
      <c r="AY228" t="s">
        <v>779</v>
      </c>
      <c r="AZ228">
        <v>375.99999999976723</v>
      </c>
      <c r="BA228">
        <v>1</v>
      </c>
      <c r="BB228">
        <v>0</v>
      </c>
      <c r="BC228">
        <v>1</v>
      </c>
      <c r="BD228">
        <v>0</v>
      </c>
      <c r="BE228">
        <f t="shared" si="39"/>
        <v>1</v>
      </c>
    </row>
    <row r="229" spans="1:57" x14ac:dyDescent="0.25">
      <c r="A229" t="s">
        <v>39</v>
      </c>
      <c r="B229" t="s">
        <v>583</v>
      </c>
      <c r="C229">
        <v>87.9</v>
      </c>
      <c r="D229">
        <v>73.5</v>
      </c>
      <c r="G229">
        <f t="shared" si="30"/>
        <v>1</v>
      </c>
      <c r="H229">
        <f t="shared" si="31"/>
        <v>1</v>
      </c>
      <c r="I229">
        <f t="shared" si="32"/>
        <v>0</v>
      </c>
      <c r="J229">
        <v>82.7</v>
      </c>
      <c r="K229">
        <v>90.8</v>
      </c>
      <c r="L229">
        <v>73.5</v>
      </c>
      <c r="M229">
        <v>84.1</v>
      </c>
      <c r="N229">
        <v>63.9</v>
      </c>
      <c r="O229">
        <v>53.8</v>
      </c>
      <c r="S229">
        <f t="shared" si="33"/>
        <v>1</v>
      </c>
      <c r="T229">
        <f t="shared" si="34"/>
        <v>0</v>
      </c>
      <c r="U229">
        <f t="shared" si="35"/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18.3</v>
      </c>
      <c r="AG229">
        <f t="shared" si="36"/>
        <v>0</v>
      </c>
      <c r="AH229">
        <f t="shared" si="37"/>
        <v>0</v>
      </c>
      <c r="AI229">
        <f t="shared" si="38"/>
        <v>0</v>
      </c>
      <c r="AJ229">
        <v>307</v>
      </c>
      <c r="AK229">
        <v>1009.8</v>
      </c>
      <c r="AL229">
        <v>0</v>
      </c>
      <c r="AM229">
        <v>6.2</v>
      </c>
      <c r="AN229">
        <v>0</v>
      </c>
      <c r="AO229">
        <v>0</v>
      </c>
      <c r="AP229">
        <v>0</v>
      </c>
      <c r="AQ229">
        <v>0</v>
      </c>
      <c r="AR229" t="s">
        <v>584</v>
      </c>
      <c r="AS229" t="s">
        <v>585</v>
      </c>
      <c r="AT229">
        <v>0.19</v>
      </c>
      <c r="AU229" t="s">
        <v>74</v>
      </c>
      <c r="AV229" t="s">
        <v>44</v>
      </c>
      <c r="AW229" t="s">
        <v>75</v>
      </c>
      <c r="AX229" s="1">
        <v>0.50624999999999998</v>
      </c>
      <c r="AY229" t="s">
        <v>780</v>
      </c>
      <c r="AZ229">
        <v>111.00000000558791</v>
      </c>
      <c r="BA229">
        <v>0</v>
      </c>
      <c r="BB229">
        <v>0</v>
      </c>
      <c r="BC229">
        <v>2</v>
      </c>
      <c r="BD229">
        <v>0</v>
      </c>
      <c r="BE229">
        <f t="shared" si="39"/>
        <v>0</v>
      </c>
    </row>
    <row r="230" spans="1:57" x14ac:dyDescent="0.25">
      <c r="A230" t="s">
        <v>39</v>
      </c>
      <c r="B230" t="s">
        <v>781</v>
      </c>
      <c r="C230">
        <v>77.099999999999994</v>
      </c>
      <c r="D230">
        <v>71.7</v>
      </c>
      <c r="G230">
        <f t="shared" si="30"/>
        <v>1</v>
      </c>
      <c r="H230">
        <f t="shared" si="31"/>
        <v>1</v>
      </c>
      <c r="I230">
        <f t="shared" si="32"/>
        <v>0</v>
      </c>
      <c r="J230">
        <v>73.7</v>
      </c>
      <c r="K230">
        <v>77.099999999999994</v>
      </c>
      <c r="L230">
        <v>71.7</v>
      </c>
      <c r="M230">
        <v>73.7</v>
      </c>
      <c r="N230">
        <v>59.7</v>
      </c>
      <c r="O230">
        <v>61.8</v>
      </c>
      <c r="S230">
        <f t="shared" si="33"/>
        <v>1</v>
      </c>
      <c r="T230">
        <f t="shared" si="34"/>
        <v>0</v>
      </c>
      <c r="U230">
        <f t="shared" si="35"/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18.3</v>
      </c>
      <c r="AG230">
        <f t="shared" si="36"/>
        <v>1</v>
      </c>
      <c r="AH230">
        <f t="shared" si="37"/>
        <v>1</v>
      </c>
      <c r="AI230">
        <f t="shared" si="38"/>
        <v>0</v>
      </c>
      <c r="AJ230">
        <v>306</v>
      </c>
      <c r="AK230">
        <v>1016.5</v>
      </c>
      <c r="AL230">
        <v>54.2</v>
      </c>
      <c r="AM230">
        <v>6.8</v>
      </c>
      <c r="AN230">
        <v>0</v>
      </c>
      <c r="AO230">
        <v>0</v>
      </c>
      <c r="AP230">
        <v>0</v>
      </c>
      <c r="AQ230">
        <v>0</v>
      </c>
      <c r="AR230" t="s">
        <v>782</v>
      </c>
      <c r="AS230" t="s">
        <v>783</v>
      </c>
      <c r="AT230">
        <v>0.74</v>
      </c>
      <c r="AU230" t="s">
        <v>43</v>
      </c>
      <c r="AV230" t="s">
        <v>44</v>
      </c>
      <c r="AW230" t="s">
        <v>45</v>
      </c>
      <c r="AX230" s="1">
        <v>0.52013888888888893</v>
      </c>
      <c r="AY230" t="s">
        <v>784</v>
      </c>
      <c r="AZ230">
        <v>354.00000000139698</v>
      </c>
      <c r="BA230">
        <v>0</v>
      </c>
      <c r="BB230">
        <v>0</v>
      </c>
      <c r="BC230">
        <v>5</v>
      </c>
      <c r="BD230">
        <v>0</v>
      </c>
      <c r="BE230">
        <f t="shared" si="39"/>
        <v>1</v>
      </c>
    </row>
    <row r="231" spans="1:57" x14ac:dyDescent="0.25">
      <c r="A231" t="s">
        <v>39</v>
      </c>
      <c r="B231" t="s">
        <v>785</v>
      </c>
      <c r="C231">
        <v>77.099999999999994</v>
      </c>
      <c r="D231">
        <v>71.7</v>
      </c>
      <c r="G231">
        <f t="shared" si="30"/>
        <v>1</v>
      </c>
      <c r="H231">
        <f t="shared" si="31"/>
        <v>1</v>
      </c>
      <c r="I231">
        <f t="shared" si="32"/>
        <v>0</v>
      </c>
      <c r="J231">
        <v>74</v>
      </c>
      <c r="K231">
        <v>77.099999999999994</v>
      </c>
      <c r="L231">
        <v>71.7</v>
      </c>
      <c r="M231">
        <v>74</v>
      </c>
      <c r="N231">
        <v>63.2</v>
      </c>
      <c r="O231">
        <v>68.900000000000006</v>
      </c>
      <c r="S231">
        <f t="shared" si="33"/>
        <v>1</v>
      </c>
      <c r="T231">
        <f t="shared" si="34"/>
        <v>1</v>
      </c>
      <c r="U231">
        <f t="shared" si="35"/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17.2</v>
      </c>
      <c r="AG231">
        <f t="shared" si="36"/>
        <v>0</v>
      </c>
      <c r="AH231">
        <f t="shared" si="37"/>
        <v>0</v>
      </c>
      <c r="AI231">
        <f t="shared" si="38"/>
        <v>0</v>
      </c>
      <c r="AJ231">
        <v>300.3</v>
      </c>
      <c r="AK231">
        <v>1018.1</v>
      </c>
      <c r="AL231">
        <v>46.5</v>
      </c>
      <c r="AM231">
        <v>6.8</v>
      </c>
      <c r="AN231">
        <v>0</v>
      </c>
      <c r="AO231">
        <v>0</v>
      </c>
      <c r="AP231">
        <v>0</v>
      </c>
      <c r="AQ231">
        <v>0</v>
      </c>
      <c r="AR231" t="s">
        <v>786</v>
      </c>
      <c r="AS231" t="s">
        <v>787</v>
      </c>
      <c r="AT231">
        <v>0.81</v>
      </c>
      <c r="AU231" t="s">
        <v>43</v>
      </c>
      <c r="AV231" t="s">
        <v>44</v>
      </c>
      <c r="AW231" t="s">
        <v>45</v>
      </c>
      <c r="AX231" s="1">
        <v>0.75694444444444442</v>
      </c>
      <c r="AY231" t="s">
        <v>788</v>
      </c>
      <c r="AZ231">
        <v>239.99999999650751</v>
      </c>
      <c r="BA231">
        <v>0</v>
      </c>
      <c r="BB231">
        <v>0</v>
      </c>
      <c r="BC231">
        <v>5</v>
      </c>
      <c r="BD231">
        <v>0</v>
      </c>
      <c r="BE231">
        <f t="shared" si="39"/>
        <v>0</v>
      </c>
    </row>
    <row r="232" spans="1:57" x14ac:dyDescent="0.25">
      <c r="A232" t="s">
        <v>39</v>
      </c>
      <c r="B232" t="s">
        <v>789</v>
      </c>
      <c r="C232">
        <v>77.099999999999994</v>
      </c>
      <c r="D232">
        <v>69.900000000000006</v>
      </c>
      <c r="G232">
        <f t="shared" si="30"/>
        <v>1</v>
      </c>
      <c r="H232">
        <f t="shared" si="31"/>
        <v>0</v>
      </c>
      <c r="I232">
        <f t="shared" si="32"/>
        <v>1</v>
      </c>
      <c r="J232">
        <v>74.400000000000006</v>
      </c>
      <c r="K232">
        <v>77.099999999999994</v>
      </c>
      <c r="L232">
        <v>69.900000000000006</v>
      </c>
      <c r="M232">
        <v>74.400000000000006</v>
      </c>
      <c r="N232">
        <v>55.7</v>
      </c>
      <c r="O232">
        <v>52.4</v>
      </c>
      <c r="S232">
        <f t="shared" si="33"/>
        <v>1</v>
      </c>
      <c r="T232">
        <f t="shared" si="34"/>
        <v>0</v>
      </c>
      <c r="U232">
        <f t="shared" si="35"/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15</v>
      </c>
      <c r="AG232">
        <f t="shared" si="36"/>
        <v>1</v>
      </c>
      <c r="AH232">
        <f t="shared" si="37"/>
        <v>0</v>
      </c>
      <c r="AI232">
        <f t="shared" si="38"/>
        <v>1</v>
      </c>
      <c r="AJ232">
        <v>298.10000000000002</v>
      </c>
      <c r="AK232">
        <v>1012.5</v>
      </c>
      <c r="AL232">
        <v>38.700000000000003</v>
      </c>
      <c r="AM232">
        <v>6.8</v>
      </c>
      <c r="AN232">
        <v>0</v>
      </c>
      <c r="AO232">
        <v>0</v>
      </c>
      <c r="AP232">
        <v>0</v>
      </c>
      <c r="AQ232">
        <v>0</v>
      </c>
      <c r="AR232" t="s">
        <v>790</v>
      </c>
      <c r="AS232" t="s">
        <v>791</v>
      </c>
      <c r="AT232">
        <v>0.89</v>
      </c>
      <c r="AU232" t="s">
        <v>43</v>
      </c>
      <c r="AV232" t="s">
        <v>44</v>
      </c>
      <c r="AW232" t="s">
        <v>45</v>
      </c>
      <c r="AX232" s="1">
        <v>0.60069444444444442</v>
      </c>
      <c r="AY232" t="s">
        <v>792</v>
      </c>
      <c r="AZ232">
        <v>1035</v>
      </c>
      <c r="BA232">
        <v>1</v>
      </c>
      <c r="BB232">
        <v>30</v>
      </c>
      <c r="BC232">
        <v>0</v>
      </c>
      <c r="BD232">
        <v>0</v>
      </c>
      <c r="BE232">
        <f t="shared" si="39"/>
        <v>1</v>
      </c>
    </row>
    <row r="233" spans="1:57" x14ac:dyDescent="0.25">
      <c r="A233" t="s">
        <v>39</v>
      </c>
      <c r="B233" t="s">
        <v>464</v>
      </c>
      <c r="C233">
        <v>84.3</v>
      </c>
      <c r="D233">
        <v>68.099999999999994</v>
      </c>
      <c r="G233">
        <f t="shared" si="30"/>
        <v>0</v>
      </c>
      <c r="H233">
        <f t="shared" si="31"/>
        <v>0</v>
      </c>
      <c r="I233">
        <f t="shared" si="32"/>
        <v>0</v>
      </c>
      <c r="J233">
        <v>78.400000000000006</v>
      </c>
      <c r="K233">
        <v>87.6</v>
      </c>
      <c r="L233">
        <v>68.099999999999994</v>
      </c>
      <c r="M233">
        <v>79.7</v>
      </c>
      <c r="N233">
        <v>65.7</v>
      </c>
      <c r="O233">
        <v>66.900000000000006</v>
      </c>
      <c r="S233">
        <f t="shared" si="33"/>
        <v>1</v>
      </c>
      <c r="T233">
        <f t="shared" si="34"/>
        <v>1</v>
      </c>
      <c r="U233">
        <f t="shared" si="35"/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16.100000000000001</v>
      </c>
      <c r="AG233">
        <f t="shared" si="36"/>
        <v>0</v>
      </c>
      <c r="AH233">
        <f t="shared" si="37"/>
        <v>0</v>
      </c>
      <c r="AI233">
        <f t="shared" si="38"/>
        <v>0</v>
      </c>
      <c r="AJ233">
        <v>318.3</v>
      </c>
      <c r="AK233">
        <v>1010</v>
      </c>
      <c r="AL233">
        <v>30</v>
      </c>
      <c r="AM233">
        <v>6.2</v>
      </c>
      <c r="AN233">
        <v>0</v>
      </c>
      <c r="AO233">
        <v>0</v>
      </c>
      <c r="AP233">
        <v>0</v>
      </c>
      <c r="AQ233">
        <v>0</v>
      </c>
      <c r="AR233" t="s">
        <v>465</v>
      </c>
      <c r="AS233" t="s">
        <v>466</v>
      </c>
      <c r="AT233">
        <v>0.16</v>
      </c>
      <c r="AU233" t="s">
        <v>43</v>
      </c>
      <c r="AV233" t="s">
        <v>44</v>
      </c>
      <c r="AW233" t="s">
        <v>45</v>
      </c>
      <c r="AX233" s="1">
        <v>0.78472222222222221</v>
      </c>
      <c r="AY233" t="s">
        <v>793</v>
      </c>
      <c r="AZ233">
        <v>280.00000000116421</v>
      </c>
      <c r="BA233">
        <v>0</v>
      </c>
      <c r="BB233">
        <v>0</v>
      </c>
      <c r="BC233">
        <v>0.5</v>
      </c>
      <c r="BD233">
        <v>0</v>
      </c>
      <c r="BE233">
        <f t="shared" si="39"/>
        <v>0</v>
      </c>
    </row>
    <row r="234" spans="1:57" x14ac:dyDescent="0.25">
      <c r="A234" t="s">
        <v>39</v>
      </c>
      <c r="B234" t="s">
        <v>794</v>
      </c>
      <c r="C234">
        <v>82.5</v>
      </c>
      <c r="D234">
        <v>73.5</v>
      </c>
      <c r="G234">
        <f t="shared" si="30"/>
        <v>0</v>
      </c>
      <c r="H234">
        <f t="shared" si="31"/>
        <v>0</v>
      </c>
      <c r="I234">
        <f t="shared" si="32"/>
        <v>0</v>
      </c>
      <c r="J234">
        <v>79.400000000000006</v>
      </c>
      <c r="K234">
        <v>86.4</v>
      </c>
      <c r="L234">
        <v>73.5</v>
      </c>
      <c r="M234">
        <v>80.7</v>
      </c>
      <c r="N234">
        <v>66.8</v>
      </c>
      <c r="O234">
        <v>65.8</v>
      </c>
      <c r="S234">
        <f t="shared" si="33"/>
        <v>1</v>
      </c>
      <c r="T234">
        <f t="shared" si="34"/>
        <v>1</v>
      </c>
      <c r="U234">
        <f t="shared" si="35"/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18.3</v>
      </c>
      <c r="AG234">
        <f t="shared" si="36"/>
        <v>0</v>
      </c>
      <c r="AH234">
        <f t="shared" si="37"/>
        <v>0</v>
      </c>
      <c r="AI234">
        <f t="shared" si="38"/>
        <v>0</v>
      </c>
      <c r="AJ234">
        <v>296.8</v>
      </c>
      <c r="AK234">
        <v>1014.2</v>
      </c>
      <c r="AL234">
        <v>30</v>
      </c>
      <c r="AM234">
        <v>6.8</v>
      </c>
      <c r="AN234">
        <v>0</v>
      </c>
      <c r="AO234">
        <v>0</v>
      </c>
      <c r="AP234">
        <v>0</v>
      </c>
      <c r="AQ234">
        <v>0</v>
      </c>
      <c r="AR234" t="s">
        <v>795</v>
      </c>
      <c r="AS234" t="s">
        <v>796</v>
      </c>
      <c r="AT234">
        <v>0.87</v>
      </c>
      <c r="AU234" t="s">
        <v>43</v>
      </c>
      <c r="AV234" t="s">
        <v>44</v>
      </c>
      <c r="AW234" t="s">
        <v>45</v>
      </c>
      <c r="AX234" s="1">
        <v>0.80277777777777781</v>
      </c>
      <c r="AY234" t="s">
        <v>797</v>
      </c>
      <c r="AZ234">
        <v>179.00000000721769</v>
      </c>
      <c r="BA234">
        <v>0</v>
      </c>
      <c r="BB234">
        <v>0.1</v>
      </c>
      <c r="BC234">
        <v>0</v>
      </c>
      <c r="BD234">
        <v>0</v>
      </c>
      <c r="BE234">
        <f t="shared" si="39"/>
        <v>0</v>
      </c>
    </row>
    <row r="235" spans="1:57" x14ac:dyDescent="0.25">
      <c r="A235" t="s">
        <v>39</v>
      </c>
      <c r="B235" t="s">
        <v>798</v>
      </c>
      <c r="C235">
        <v>73.5</v>
      </c>
      <c r="D235">
        <v>68.099999999999994</v>
      </c>
      <c r="G235">
        <f t="shared" si="30"/>
        <v>0</v>
      </c>
      <c r="H235">
        <f t="shared" si="31"/>
        <v>0</v>
      </c>
      <c r="I235">
        <f t="shared" si="32"/>
        <v>0</v>
      </c>
      <c r="J235">
        <v>70.3</v>
      </c>
      <c r="K235">
        <v>73.5</v>
      </c>
      <c r="L235">
        <v>68.099999999999994</v>
      </c>
      <c r="M235">
        <v>70.3</v>
      </c>
      <c r="N235">
        <v>56.4</v>
      </c>
      <c r="O235">
        <v>61.4</v>
      </c>
      <c r="S235">
        <f t="shared" si="33"/>
        <v>1</v>
      </c>
      <c r="T235">
        <f t="shared" si="34"/>
        <v>0</v>
      </c>
      <c r="U235">
        <f t="shared" si="35"/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19.5</v>
      </c>
      <c r="AG235">
        <f t="shared" si="36"/>
        <v>1</v>
      </c>
      <c r="AH235">
        <f t="shared" si="37"/>
        <v>1</v>
      </c>
      <c r="AI235">
        <f t="shared" si="38"/>
        <v>0</v>
      </c>
      <c r="AJ235">
        <v>311.2</v>
      </c>
      <c r="AK235">
        <v>1018</v>
      </c>
      <c r="AL235">
        <v>53.8</v>
      </c>
      <c r="AM235">
        <v>6.8</v>
      </c>
      <c r="AN235">
        <v>0</v>
      </c>
      <c r="AO235">
        <v>0</v>
      </c>
      <c r="AP235">
        <v>0</v>
      </c>
      <c r="AQ235">
        <v>0</v>
      </c>
      <c r="AR235" t="s">
        <v>799</v>
      </c>
      <c r="AS235" t="s">
        <v>800</v>
      </c>
      <c r="AT235">
        <v>0.02</v>
      </c>
      <c r="AU235" t="s">
        <v>43</v>
      </c>
      <c r="AV235" t="s">
        <v>44</v>
      </c>
      <c r="AW235" t="s">
        <v>45</v>
      </c>
      <c r="AX235" s="1">
        <v>0.3611111111111111</v>
      </c>
      <c r="AY235" t="s">
        <v>801</v>
      </c>
      <c r="AZ235">
        <v>439.99999999883579</v>
      </c>
      <c r="BA235">
        <v>1</v>
      </c>
      <c r="BB235">
        <v>0</v>
      </c>
      <c r="BC235">
        <v>5</v>
      </c>
      <c r="BD235">
        <v>0</v>
      </c>
      <c r="BE235">
        <f t="shared" si="39"/>
        <v>1</v>
      </c>
    </row>
    <row r="236" spans="1:57" x14ac:dyDescent="0.25">
      <c r="A236" t="s">
        <v>39</v>
      </c>
      <c r="B236" t="s">
        <v>802</v>
      </c>
      <c r="C236">
        <v>82.5</v>
      </c>
      <c r="D236">
        <v>73.5</v>
      </c>
      <c r="G236">
        <f t="shared" si="30"/>
        <v>1</v>
      </c>
      <c r="H236">
        <f t="shared" si="31"/>
        <v>1</v>
      </c>
      <c r="I236">
        <f t="shared" si="32"/>
        <v>0</v>
      </c>
      <c r="J236">
        <v>77.5</v>
      </c>
      <c r="K236">
        <v>81.8</v>
      </c>
      <c r="L236">
        <v>73.5</v>
      </c>
      <c r="M236">
        <v>77.2</v>
      </c>
      <c r="N236">
        <v>53.4</v>
      </c>
      <c r="O236">
        <v>43.8</v>
      </c>
      <c r="S236">
        <f t="shared" si="33"/>
        <v>1</v>
      </c>
      <c r="T236">
        <f t="shared" si="34"/>
        <v>0</v>
      </c>
      <c r="U236">
        <f t="shared" si="35"/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25.3</v>
      </c>
      <c r="AG236">
        <f t="shared" si="36"/>
        <v>1</v>
      </c>
      <c r="AH236">
        <f t="shared" si="37"/>
        <v>1</v>
      </c>
      <c r="AI236">
        <f t="shared" si="38"/>
        <v>0</v>
      </c>
      <c r="AJ236">
        <v>277.5</v>
      </c>
      <c r="AK236">
        <v>1008.4</v>
      </c>
      <c r="AL236">
        <v>40.799999999999997</v>
      </c>
      <c r="AM236">
        <v>6.8</v>
      </c>
      <c r="AN236">
        <v>0</v>
      </c>
      <c r="AO236">
        <v>0</v>
      </c>
      <c r="AP236">
        <v>0</v>
      </c>
      <c r="AQ236">
        <v>0</v>
      </c>
      <c r="AR236" t="s">
        <v>803</v>
      </c>
      <c r="AS236" t="s">
        <v>804</v>
      </c>
      <c r="AT236">
        <v>0.65</v>
      </c>
      <c r="AU236" t="s">
        <v>43</v>
      </c>
      <c r="AV236" t="s">
        <v>80</v>
      </c>
      <c r="AW236" t="s">
        <v>45</v>
      </c>
      <c r="AX236" s="1">
        <v>0.59305555555555556</v>
      </c>
      <c r="AY236" t="s">
        <v>805</v>
      </c>
      <c r="AZ236">
        <v>240.9999999997672</v>
      </c>
      <c r="BA236">
        <v>0</v>
      </c>
      <c r="BB236">
        <v>0</v>
      </c>
      <c r="BC236">
        <v>4</v>
      </c>
      <c r="BD236">
        <v>0</v>
      </c>
      <c r="BE236">
        <f t="shared" si="39"/>
        <v>1</v>
      </c>
    </row>
    <row r="237" spans="1:57" x14ac:dyDescent="0.25">
      <c r="A237" t="s">
        <v>39</v>
      </c>
      <c r="B237" t="s">
        <v>759</v>
      </c>
      <c r="C237">
        <v>87.9</v>
      </c>
      <c r="D237">
        <v>69.900000000000006</v>
      </c>
      <c r="G237">
        <f t="shared" si="30"/>
        <v>1</v>
      </c>
      <c r="H237">
        <f t="shared" si="31"/>
        <v>1</v>
      </c>
      <c r="I237">
        <f t="shared" si="32"/>
        <v>0</v>
      </c>
      <c r="J237">
        <v>78</v>
      </c>
      <c r="K237">
        <v>88.6</v>
      </c>
      <c r="L237">
        <v>69.900000000000006</v>
      </c>
      <c r="M237">
        <v>78.3</v>
      </c>
      <c r="N237">
        <v>61.5</v>
      </c>
      <c r="O237">
        <v>58.3</v>
      </c>
      <c r="S237">
        <f t="shared" si="33"/>
        <v>1</v>
      </c>
      <c r="T237">
        <f t="shared" si="34"/>
        <v>0</v>
      </c>
      <c r="U237">
        <f t="shared" si="35"/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11.4</v>
      </c>
      <c r="AG237">
        <f t="shared" si="36"/>
        <v>1</v>
      </c>
      <c r="AH237">
        <f t="shared" si="37"/>
        <v>0</v>
      </c>
      <c r="AI237">
        <f t="shared" si="38"/>
        <v>1</v>
      </c>
      <c r="AJ237">
        <v>131.80000000000001</v>
      </c>
      <c r="AK237">
        <v>1010.3</v>
      </c>
      <c r="AL237">
        <v>30</v>
      </c>
      <c r="AM237">
        <v>6.6</v>
      </c>
      <c r="AN237">
        <v>0</v>
      </c>
      <c r="AO237">
        <v>0</v>
      </c>
      <c r="AP237">
        <v>0</v>
      </c>
      <c r="AQ237">
        <v>0</v>
      </c>
      <c r="AR237" t="s">
        <v>760</v>
      </c>
      <c r="AS237" t="s">
        <v>761</v>
      </c>
      <c r="AT237">
        <v>0.79</v>
      </c>
      <c r="AU237" t="s">
        <v>43</v>
      </c>
      <c r="AV237" t="s">
        <v>44</v>
      </c>
      <c r="AW237" t="s">
        <v>45</v>
      </c>
      <c r="AX237" s="1">
        <v>0.70138888888888884</v>
      </c>
      <c r="AY237" t="s">
        <v>806</v>
      </c>
      <c r="AZ237">
        <v>200.00000000232831</v>
      </c>
      <c r="BA237">
        <v>0</v>
      </c>
      <c r="BB237">
        <v>0</v>
      </c>
      <c r="BC237">
        <v>5</v>
      </c>
      <c r="BD237">
        <v>0</v>
      </c>
      <c r="BE237">
        <f t="shared" si="39"/>
        <v>1</v>
      </c>
    </row>
    <row r="238" spans="1:57" x14ac:dyDescent="0.25">
      <c r="A238" t="s">
        <v>39</v>
      </c>
      <c r="B238" t="s">
        <v>807</v>
      </c>
      <c r="C238">
        <v>89.7</v>
      </c>
      <c r="D238">
        <v>71.7</v>
      </c>
      <c r="G238">
        <f t="shared" si="30"/>
        <v>1</v>
      </c>
      <c r="H238">
        <f t="shared" si="31"/>
        <v>1</v>
      </c>
      <c r="I238">
        <f t="shared" si="32"/>
        <v>0</v>
      </c>
      <c r="J238">
        <v>80.3</v>
      </c>
      <c r="K238">
        <v>90.8</v>
      </c>
      <c r="L238">
        <v>71.7</v>
      </c>
      <c r="M238">
        <v>80.3</v>
      </c>
      <c r="N238">
        <v>55.2</v>
      </c>
      <c r="O238">
        <v>43.9</v>
      </c>
      <c r="S238">
        <f t="shared" si="33"/>
        <v>1</v>
      </c>
      <c r="T238">
        <f t="shared" si="34"/>
        <v>0</v>
      </c>
      <c r="U238">
        <f t="shared" si="35"/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10.3</v>
      </c>
      <c r="AG238">
        <f t="shared" si="36"/>
        <v>1</v>
      </c>
      <c r="AH238">
        <f t="shared" si="37"/>
        <v>0</v>
      </c>
      <c r="AI238">
        <f t="shared" si="38"/>
        <v>1</v>
      </c>
      <c r="AJ238">
        <v>141.19999999999999</v>
      </c>
      <c r="AK238">
        <v>1012</v>
      </c>
      <c r="AL238">
        <v>0</v>
      </c>
      <c r="AM238">
        <v>6.2</v>
      </c>
      <c r="AN238">
        <v>0</v>
      </c>
      <c r="AO238">
        <v>0</v>
      </c>
      <c r="AP238">
        <v>0</v>
      </c>
      <c r="AQ238">
        <v>0</v>
      </c>
      <c r="AR238" t="s">
        <v>808</v>
      </c>
      <c r="AS238" t="s">
        <v>809</v>
      </c>
      <c r="AT238">
        <v>0.11</v>
      </c>
      <c r="AU238" t="s">
        <v>74</v>
      </c>
      <c r="AV238" t="s">
        <v>44</v>
      </c>
      <c r="AW238" t="s">
        <v>75</v>
      </c>
      <c r="AX238" s="1">
        <v>0.69097222222222221</v>
      </c>
      <c r="AY238" t="s">
        <v>810</v>
      </c>
      <c r="AZ238">
        <v>130.00000000465661</v>
      </c>
      <c r="BA238">
        <v>0</v>
      </c>
      <c r="BB238">
        <v>5</v>
      </c>
      <c r="BC238">
        <v>0</v>
      </c>
      <c r="BD238">
        <v>0</v>
      </c>
      <c r="BE238">
        <f t="shared" si="39"/>
        <v>1</v>
      </c>
    </row>
    <row r="239" spans="1:57" x14ac:dyDescent="0.25">
      <c r="A239" t="s">
        <v>39</v>
      </c>
      <c r="B239" t="s">
        <v>811</v>
      </c>
      <c r="C239">
        <v>86.1</v>
      </c>
      <c r="D239">
        <v>73.5</v>
      </c>
      <c r="G239">
        <f t="shared" si="30"/>
        <v>1</v>
      </c>
      <c r="H239">
        <f t="shared" si="31"/>
        <v>1</v>
      </c>
      <c r="I239">
        <f t="shared" si="32"/>
        <v>0</v>
      </c>
      <c r="J239">
        <v>80.099999999999994</v>
      </c>
      <c r="K239">
        <v>86.6</v>
      </c>
      <c r="L239">
        <v>73.5</v>
      </c>
      <c r="M239">
        <v>80.5</v>
      </c>
      <c r="N239">
        <v>60</v>
      </c>
      <c r="O239">
        <v>50.7</v>
      </c>
      <c r="S239">
        <f t="shared" si="33"/>
        <v>1</v>
      </c>
      <c r="T239">
        <f t="shared" si="34"/>
        <v>0</v>
      </c>
      <c r="U239">
        <f t="shared" si="35"/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17.2</v>
      </c>
      <c r="AG239">
        <f t="shared" si="36"/>
        <v>0</v>
      </c>
      <c r="AH239">
        <f t="shared" si="37"/>
        <v>0</v>
      </c>
      <c r="AI239">
        <f t="shared" si="38"/>
        <v>0</v>
      </c>
      <c r="AJ239">
        <v>291.7</v>
      </c>
      <c r="AK239">
        <v>1010.1</v>
      </c>
      <c r="AL239">
        <v>30</v>
      </c>
      <c r="AM239">
        <v>6.4</v>
      </c>
      <c r="AN239">
        <v>0</v>
      </c>
      <c r="AO239">
        <v>0</v>
      </c>
      <c r="AP239">
        <v>0</v>
      </c>
      <c r="AQ239">
        <v>0</v>
      </c>
      <c r="AR239" t="s">
        <v>812</v>
      </c>
      <c r="AS239" t="s">
        <v>813</v>
      </c>
      <c r="AT239">
        <v>0</v>
      </c>
      <c r="AU239" t="s">
        <v>43</v>
      </c>
      <c r="AV239" t="s">
        <v>44</v>
      </c>
      <c r="AW239" t="s">
        <v>45</v>
      </c>
      <c r="AX239" s="1">
        <v>0.90625</v>
      </c>
      <c r="AY239" t="s">
        <v>814</v>
      </c>
      <c r="AZ239">
        <v>180</v>
      </c>
      <c r="BA239">
        <v>0</v>
      </c>
      <c r="BB239">
        <v>0.1</v>
      </c>
      <c r="BC239">
        <v>0</v>
      </c>
      <c r="BD239">
        <v>0</v>
      </c>
      <c r="BE239">
        <f t="shared" si="39"/>
        <v>0</v>
      </c>
    </row>
    <row r="240" spans="1:57" x14ac:dyDescent="0.25">
      <c r="A240" t="s">
        <v>39</v>
      </c>
      <c r="B240" t="s">
        <v>561</v>
      </c>
      <c r="C240">
        <v>78.900000000000006</v>
      </c>
      <c r="D240">
        <v>66.3</v>
      </c>
      <c r="G240">
        <f t="shared" si="30"/>
        <v>1</v>
      </c>
      <c r="H240">
        <f t="shared" si="31"/>
        <v>1</v>
      </c>
      <c r="I240">
        <f t="shared" si="32"/>
        <v>0</v>
      </c>
      <c r="J240">
        <v>72.599999999999994</v>
      </c>
      <c r="K240">
        <v>78.900000000000006</v>
      </c>
      <c r="L240">
        <v>66.3</v>
      </c>
      <c r="M240">
        <v>72.599999999999994</v>
      </c>
      <c r="N240">
        <v>66.2</v>
      </c>
      <c r="O240">
        <v>80.599999999999994</v>
      </c>
      <c r="S240">
        <f t="shared" si="33"/>
        <v>1</v>
      </c>
      <c r="T240">
        <f t="shared" si="34"/>
        <v>1</v>
      </c>
      <c r="U240">
        <f t="shared" si="35"/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11.4</v>
      </c>
      <c r="AG240">
        <f t="shared" si="36"/>
        <v>1</v>
      </c>
      <c r="AH240">
        <f t="shared" si="37"/>
        <v>0</v>
      </c>
      <c r="AI240">
        <f t="shared" si="38"/>
        <v>1</v>
      </c>
      <c r="AJ240">
        <v>292.60000000000002</v>
      </c>
      <c r="AK240">
        <v>1014.3</v>
      </c>
      <c r="AL240">
        <v>34.5</v>
      </c>
      <c r="AM240">
        <v>6.8</v>
      </c>
      <c r="AN240">
        <v>0</v>
      </c>
      <c r="AO240">
        <v>0</v>
      </c>
      <c r="AP240">
        <v>0</v>
      </c>
      <c r="AQ240">
        <v>0</v>
      </c>
      <c r="AR240" t="s">
        <v>562</v>
      </c>
      <c r="AS240" t="s">
        <v>563</v>
      </c>
      <c r="AT240">
        <v>0.67</v>
      </c>
      <c r="AU240" t="s">
        <v>43</v>
      </c>
      <c r="AV240" t="s">
        <v>44</v>
      </c>
      <c r="AW240" t="s">
        <v>45</v>
      </c>
      <c r="AX240" s="1">
        <v>0.45833333333333331</v>
      </c>
      <c r="AY240" t="s">
        <v>815</v>
      </c>
      <c r="AZ240">
        <v>169.99999999883579</v>
      </c>
      <c r="BA240">
        <v>0</v>
      </c>
      <c r="BB240">
        <v>0</v>
      </c>
      <c r="BC240">
        <v>3</v>
      </c>
      <c r="BD240">
        <v>0</v>
      </c>
      <c r="BE240">
        <f t="shared" si="39"/>
        <v>1</v>
      </c>
    </row>
    <row r="241" spans="1:57" x14ac:dyDescent="0.25">
      <c r="A241" t="s">
        <v>39</v>
      </c>
      <c r="B241" t="s">
        <v>816</v>
      </c>
      <c r="C241">
        <v>78.900000000000006</v>
      </c>
      <c r="D241">
        <v>66.3</v>
      </c>
      <c r="G241">
        <f t="shared" si="30"/>
        <v>1</v>
      </c>
      <c r="H241">
        <f t="shared" si="31"/>
        <v>1</v>
      </c>
      <c r="I241">
        <f t="shared" si="32"/>
        <v>0</v>
      </c>
      <c r="J241">
        <v>73.3</v>
      </c>
      <c r="K241">
        <v>78.900000000000006</v>
      </c>
      <c r="L241">
        <v>66.3</v>
      </c>
      <c r="M241">
        <v>73.3</v>
      </c>
      <c r="N241">
        <v>64.900000000000006</v>
      </c>
      <c r="O241">
        <v>75.599999999999994</v>
      </c>
      <c r="S241">
        <f t="shared" si="33"/>
        <v>1</v>
      </c>
      <c r="T241">
        <f t="shared" si="34"/>
        <v>1</v>
      </c>
      <c r="U241">
        <f t="shared" si="35"/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17.2</v>
      </c>
      <c r="AG241">
        <f t="shared" si="36"/>
        <v>0</v>
      </c>
      <c r="AH241">
        <f t="shared" si="37"/>
        <v>0</v>
      </c>
      <c r="AI241">
        <f t="shared" si="38"/>
        <v>0</v>
      </c>
      <c r="AJ241">
        <v>286.39999999999998</v>
      </c>
      <c r="AK241">
        <v>1014</v>
      </c>
      <c r="AL241">
        <v>31.2</v>
      </c>
      <c r="AM241">
        <v>6.7</v>
      </c>
      <c r="AN241">
        <v>0</v>
      </c>
      <c r="AO241">
        <v>0</v>
      </c>
      <c r="AP241">
        <v>0</v>
      </c>
      <c r="AQ241">
        <v>0</v>
      </c>
      <c r="AR241" t="s">
        <v>817</v>
      </c>
      <c r="AS241" t="s">
        <v>818</v>
      </c>
      <c r="AT241">
        <v>0.63</v>
      </c>
      <c r="AU241" t="s">
        <v>43</v>
      </c>
      <c r="AV241" t="s">
        <v>44</v>
      </c>
      <c r="AW241" t="s">
        <v>45</v>
      </c>
      <c r="AX241" s="1">
        <v>0.80902777777777779</v>
      </c>
      <c r="AY241" t="s">
        <v>819</v>
      </c>
      <c r="AZ241">
        <v>64.999999991850927</v>
      </c>
      <c r="BA241">
        <v>0</v>
      </c>
      <c r="BB241">
        <v>0</v>
      </c>
      <c r="BC241">
        <v>2</v>
      </c>
      <c r="BD241">
        <v>0</v>
      </c>
      <c r="BE241">
        <f t="shared" si="39"/>
        <v>0</v>
      </c>
    </row>
    <row r="242" spans="1:57" x14ac:dyDescent="0.25">
      <c r="A242" t="s">
        <v>39</v>
      </c>
      <c r="B242" t="s">
        <v>820</v>
      </c>
      <c r="C242">
        <v>75.3</v>
      </c>
      <c r="D242">
        <v>59.1</v>
      </c>
      <c r="G242">
        <f t="shared" si="30"/>
        <v>1</v>
      </c>
      <c r="H242">
        <f t="shared" si="31"/>
        <v>1</v>
      </c>
      <c r="I242">
        <f t="shared" si="32"/>
        <v>0</v>
      </c>
      <c r="J242">
        <v>68.5</v>
      </c>
      <c r="K242">
        <v>75.3</v>
      </c>
      <c r="L242">
        <v>59.1</v>
      </c>
      <c r="M242">
        <v>68.5</v>
      </c>
      <c r="N242">
        <v>40.200000000000003</v>
      </c>
      <c r="O242">
        <v>37</v>
      </c>
      <c r="S242">
        <f t="shared" si="33"/>
        <v>1</v>
      </c>
      <c r="T242">
        <f t="shared" si="34"/>
        <v>0</v>
      </c>
      <c r="U242">
        <f t="shared" si="35"/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26.4</v>
      </c>
      <c r="AG242">
        <f t="shared" si="36"/>
        <v>1</v>
      </c>
      <c r="AH242">
        <f t="shared" si="37"/>
        <v>1</v>
      </c>
      <c r="AI242">
        <f t="shared" si="38"/>
        <v>0</v>
      </c>
      <c r="AJ242">
        <v>178.1</v>
      </c>
      <c r="AK242">
        <v>1014.9</v>
      </c>
      <c r="AL242">
        <v>0</v>
      </c>
      <c r="AM242">
        <v>6.2</v>
      </c>
      <c r="AN242">
        <v>0</v>
      </c>
      <c r="AO242">
        <v>0</v>
      </c>
      <c r="AP242">
        <v>0</v>
      </c>
      <c r="AQ242">
        <v>0</v>
      </c>
      <c r="AR242" t="s">
        <v>821</v>
      </c>
      <c r="AS242" t="s">
        <v>822</v>
      </c>
      <c r="AT242">
        <v>0.82</v>
      </c>
      <c r="AU242" t="s">
        <v>74</v>
      </c>
      <c r="AV242" t="s">
        <v>44</v>
      </c>
      <c r="AW242" t="s">
        <v>75</v>
      </c>
      <c r="AX242" s="1">
        <v>0.66597222222222219</v>
      </c>
      <c r="AY242" t="s">
        <v>823</v>
      </c>
      <c r="AZ242">
        <v>150.9999999997672</v>
      </c>
      <c r="BA242">
        <v>0</v>
      </c>
      <c r="BB242">
        <v>5</v>
      </c>
      <c r="BC242">
        <v>0</v>
      </c>
      <c r="BD242">
        <v>0</v>
      </c>
      <c r="BE242">
        <f t="shared" si="39"/>
        <v>1</v>
      </c>
    </row>
    <row r="243" spans="1:57" x14ac:dyDescent="0.25">
      <c r="A243" t="s">
        <v>39</v>
      </c>
      <c r="B243" t="s">
        <v>811</v>
      </c>
      <c r="C243">
        <v>86.1</v>
      </c>
      <c r="D243">
        <v>73.5</v>
      </c>
      <c r="G243">
        <f t="shared" si="30"/>
        <v>1</v>
      </c>
      <c r="H243">
        <f t="shared" si="31"/>
        <v>1</v>
      </c>
      <c r="I243">
        <f t="shared" si="32"/>
        <v>0</v>
      </c>
      <c r="J243">
        <v>80.099999999999994</v>
      </c>
      <c r="K243">
        <v>86.6</v>
      </c>
      <c r="L243">
        <v>73.5</v>
      </c>
      <c r="M243">
        <v>80.5</v>
      </c>
      <c r="N243">
        <v>60</v>
      </c>
      <c r="O243">
        <v>50.7</v>
      </c>
      <c r="S243">
        <f t="shared" si="33"/>
        <v>1</v>
      </c>
      <c r="T243">
        <f t="shared" si="34"/>
        <v>0</v>
      </c>
      <c r="U243">
        <f t="shared" si="35"/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17.2</v>
      </c>
      <c r="AG243">
        <f t="shared" si="36"/>
        <v>0</v>
      </c>
      <c r="AH243">
        <f t="shared" si="37"/>
        <v>0</v>
      </c>
      <c r="AI243">
        <f t="shared" si="38"/>
        <v>0</v>
      </c>
      <c r="AJ243">
        <v>291.7</v>
      </c>
      <c r="AK243">
        <v>1010.1</v>
      </c>
      <c r="AL243">
        <v>30</v>
      </c>
      <c r="AM243">
        <v>6.4</v>
      </c>
      <c r="AN243">
        <v>0</v>
      </c>
      <c r="AO243">
        <v>0</v>
      </c>
      <c r="AP243">
        <v>0</v>
      </c>
      <c r="AQ243">
        <v>0</v>
      </c>
      <c r="AR243" t="s">
        <v>812</v>
      </c>
      <c r="AS243" t="s">
        <v>813</v>
      </c>
      <c r="AT243">
        <v>0</v>
      </c>
      <c r="AU243" t="s">
        <v>43</v>
      </c>
      <c r="AV243" t="s">
        <v>44</v>
      </c>
      <c r="AW243" t="s">
        <v>45</v>
      </c>
      <c r="AX243" s="1">
        <v>0.83333333333333337</v>
      </c>
      <c r="AY243" t="s">
        <v>824</v>
      </c>
      <c r="AZ243">
        <v>100.0000000011642</v>
      </c>
      <c r="BA243">
        <v>0</v>
      </c>
      <c r="BB243">
        <v>0</v>
      </c>
      <c r="BC243">
        <v>0.5</v>
      </c>
      <c r="BD243">
        <v>0</v>
      </c>
      <c r="BE243">
        <f t="shared" si="39"/>
        <v>0</v>
      </c>
    </row>
    <row r="244" spans="1:57" x14ac:dyDescent="0.25">
      <c r="A244" t="s">
        <v>39</v>
      </c>
      <c r="B244" t="s">
        <v>825</v>
      </c>
      <c r="C244">
        <v>93.3</v>
      </c>
      <c r="D244">
        <v>71.7</v>
      </c>
      <c r="G244">
        <f t="shared" si="30"/>
        <v>1</v>
      </c>
      <c r="H244">
        <f t="shared" si="31"/>
        <v>1</v>
      </c>
      <c r="I244">
        <f t="shared" si="32"/>
        <v>0</v>
      </c>
      <c r="J244">
        <v>83.2</v>
      </c>
      <c r="K244">
        <v>92.7</v>
      </c>
      <c r="L244">
        <v>71.7</v>
      </c>
      <c r="M244">
        <v>81.900000000000006</v>
      </c>
      <c r="N244">
        <v>52.6</v>
      </c>
      <c r="O244">
        <v>36.700000000000003</v>
      </c>
      <c r="S244">
        <f t="shared" si="33"/>
        <v>1</v>
      </c>
      <c r="T244">
        <f t="shared" si="34"/>
        <v>0</v>
      </c>
      <c r="U244">
        <f t="shared" si="35"/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15</v>
      </c>
      <c r="AG244">
        <f t="shared" si="36"/>
        <v>1</v>
      </c>
      <c r="AH244">
        <f t="shared" si="37"/>
        <v>0</v>
      </c>
      <c r="AI244">
        <f t="shared" si="38"/>
        <v>1</v>
      </c>
      <c r="AJ244">
        <v>181.6</v>
      </c>
      <c r="AK244">
        <v>1012.6</v>
      </c>
      <c r="AL244">
        <v>35</v>
      </c>
      <c r="AM244">
        <v>6.3</v>
      </c>
      <c r="AN244">
        <v>0</v>
      </c>
      <c r="AO244">
        <v>0</v>
      </c>
      <c r="AP244">
        <v>0</v>
      </c>
      <c r="AQ244">
        <v>0</v>
      </c>
      <c r="AR244" t="s">
        <v>826</v>
      </c>
      <c r="AS244" t="s">
        <v>827</v>
      </c>
      <c r="AT244">
        <v>0.26</v>
      </c>
      <c r="AU244" t="s">
        <v>43</v>
      </c>
      <c r="AV244" t="s">
        <v>44</v>
      </c>
      <c r="AW244" t="s">
        <v>45</v>
      </c>
      <c r="AX244" s="1">
        <v>0.66666666666666663</v>
      </c>
      <c r="AY244" t="s">
        <v>828</v>
      </c>
      <c r="AZ244">
        <v>1230.0000000069849</v>
      </c>
      <c r="BA244">
        <v>1</v>
      </c>
      <c r="BB244">
        <v>50</v>
      </c>
      <c r="BC244">
        <v>0</v>
      </c>
      <c r="BD244">
        <v>0</v>
      </c>
      <c r="BE244">
        <f t="shared" si="39"/>
        <v>1</v>
      </c>
    </row>
    <row r="245" spans="1:57" x14ac:dyDescent="0.25">
      <c r="A245" t="s">
        <v>39</v>
      </c>
      <c r="B245" t="s">
        <v>662</v>
      </c>
      <c r="C245">
        <v>86.1</v>
      </c>
      <c r="D245">
        <v>71.7</v>
      </c>
      <c r="G245">
        <f t="shared" si="30"/>
        <v>1</v>
      </c>
      <c r="H245">
        <f t="shared" si="31"/>
        <v>1</v>
      </c>
      <c r="I245">
        <f t="shared" si="32"/>
        <v>0</v>
      </c>
      <c r="J245">
        <v>78.8</v>
      </c>
      <c r="K245">
        <v>91.1</v>
      </c>
      <c r="L245">
        <v>71.7</v>
      </c>
      <c r="M245">
        <v>80.599999999999994</v>
      </c>
      <c r="N245">
        <v>61.4</v>
      </c>
      <c r="O245">
        <v>56.5</v>
      </c>
      <c r="S245">
        <f t="shared" si="33"/>
        <v>1</v>
      </c>
      <c r="T245">
        <f t="shared" si="34"/>
        <v>0</v>
      </c>
      <c r="U245">
        <f t="shared" si="35"/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8.1</v>
      </c>
      <c r="AG245">
        <f t="shared" si="36"/>
        <v>1</v>
      </c>
      <c r="AH245">
        <f t="shared" si="37"/>
        <v>0</v>
      </c>
      <c r="AI245">
        <f t="shared" si="38"/>
        <v>1</v>
      </c>
      <c r="AJ245">
        <v>247</v>
      </c>
      <c r="AK245">
        <v>1010.1</v>
      </c>
      <c r="AL245">
        <v>48.2</v>
      </c>
      <c r="AM245">
        <v>6.5</v>
      </c>
      <c r="AN245">
        <v>0</v>
      </c>
      <c r="AO245">
        <v>0</v>
      </c>
      <c r="AP245">
        <v>0</v>
      </c>
      <c r="AQ245">
        <v>0</v>
      </c>
      <c r="AR245" t="s">
        <v>663</v>
      </c>
      <c r="AS245" t="s">
        <v>664</v>
      </c>
      <c r="AT245">
        <v>0.14000000000000001</v>
      </c>
      <c r="AU245" t="s">
        <v>43</v>
      </c>
      <c r="AV245" t="s">
        <v>44</v>
      </c>
      <c r="AW245" t="s">
        <v>45</v>
      </c>
      <c r="AX245" s="1">
        <v>0.13750000000000001</v>
      </c>
      <c r="AY245" t="s">
        <v>829</v>
      </c>
      <c r="AZ245">
        <v>132.00000000069849</v>
      </c>
      <c r="BA245">
        <v>0</v>
      </c>
      <c r="BB245">
        <v>0</v>
      </c>
      <c r="BC245">
        <v>3</v>
      </c>
      <c r="BD245">
        <v>0</v>
      </c>
      <c r="BE245">
        <f t="shared" si="39"/>
        <v>1</v>
      </c>
    </row>
    <row r="246" spans="1:57" x14ac:dyDescent="0.25">
      <c r="A246" t="s">
        <v>39</v>
      </c>
      <c r="B246" t="s">
        <v>508</v>
      </c>
      <c r="C246">
        <v>73.5</v>
      </c>
      <c r="D246">
        <v>59.1</v>
      </c>
      <c r="G246">
        <f t="shared" si="30"/>
        <v>1</v>
      </c>
      <c r="H246">
        <f t="shared" si="31"/>
        <v>1</v>
      </c>
      <c r="I246">
        <f t="shared" si="32"/>
        <v>0</v>
      </c>
      <c r="J246">
        <v>65</v>
      </c>
      <c r="K246">
        <v>73.5</v>
      </c>
      <c r="L246">
        <v>59.1</v>
      </c>
      <c r="M246">
        <v>65</v>
      </c>
      <c r="N246">
        <v>56</v>
      </c>
      <c r="O246">
        <v>74</v>
      </c>
      <c r="S246">
        <f t="shared" si="33"/>
        <v>1</v>
      </c>
      <c r="T246">
        <f t="shared" si="34"/>
        <v>1</v>
      </c>
      <c r="U246">
        <f t="shared" si="35"/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8.1</v>
      </c>
      <c r="AG246">
        <f t="shared" si="36"/>
        <v>1</v>
      </c>
      <c r="AH246">
        <f t="shared" si="37"/>
        <v>0</v>
      </c>
      <c r="AI246">
        <f t="shared" si="38"/>
        <v>1</v>
      </c>
      <c r="AJ246">
        <v>161.80000000000001</v>
      </c>
      <c r="AK246">
        <v>1024.2</v>
      </c>
      <c r="AL246">
        <v>32.5</v>
      </c>
      <c r="AM246">
        <v>6.4</v>
      </c>
      <c r="AN246">
        <v>0</v>
      </c>
      <c r="AO246">
        <v>0</v>
      </c>
      <c r="AP246">
        <v>0</v>
      </c>
      <c r="AQ246">
        <v>0</v>
      </c>
      <c r="AR246" t="s">
        <v>509</v>
      </c>
      <c r="AS246" t="s">
        <v>510</v>
      </c>
      <c r="AT246">
        <v>0.86</v>
      </c>
      <c r="AU246" t="s">
        <v>43</v>
      </c>
      <c r="AV246" t="s">
        <v>44</v>
      </c>
      <c r="AW246" t="s">
        <v>45</v>
      </c>
      <c r="AX246" s="1">
        <v>0.70486111111111116</v>
      </c>
      <c r="AY246" t="s">
        <v>830</v>
      </c>
      <c r="AZ246">
        <v>95.000000005820766</v>
      </c>
      <c r="BA246">
        <v>0</v>
      </c>
      <c r="BB246">
        <v>0</v>
      </c>
      <c r="BC246">
        <v>1</v>
      </c>
      <c r="BD246">
        <v>0</v>
      </c>
      <c r="BE246">
        <f t="shared" si="39"/>
        <v>1</v>
      </c>
    </row>
    <row r="247" spans="1:57" x14ac:dyDescent="0.25">
      <c r="A247" t="s">
        <v>39</v>
      </c>
      <c r="B247" t="s">
        <v>781</v>
      </c>
      <c r="C247">
        <v>77.099999999999994</v>
      </c>
      <c r="D247">
        <v>71.7</v>
      </c>
      <c r="G247">
        <f t="shared" si="30"/>
        <v>1</v>
      </c>
      <c r="H247">
        <f t="shared" si="31"/>
        <v>1</v>
      </c>
      <c r="I247">
        <f t="shared" si="32"/>
        <v>0</v>
      </c>
      <c r="J247">
        <v>73.7</v>
      </c>
      <c r="K247">
        <v>77.099999999999994</v>
      </c>
      <c r="L247">
        <v>71.7</v>
      </c>
      <c r="M247">
        <v>73.7</v>
      </c>
      <c r="N247">
        <v>59.7</v>
      </c>
      <c r="O247">
        <v>61.8</v>
      </c>
      <c r="S247">
        <f t="shared" si="33"/>
        <v>1</v>
      </c>
      <c r="T247">
        <f t="shared" si="34"/>
        <v>0</v>
      </c>
      <c r="U247">
        <f t="shared" si="35"/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18.3</v>
      </c>
      <c r="AG247">
        <f t="shared" si="36"/>
        <v>1</v>
      </c>
      <c r="AH247">
        <f t="shared" si="37"/>
        <v>1</v>
      </c>
      <c r="AI247">
        <f t="shared" si="38"/>
        <v>0</v>
      </c>
      <c r="AJ247">
        <v>306</v>
      </c>
      <c r="AK247">
        <v>1016.5</v>
      </c>
      <c r="AL247">
        <v>54.2</v>
      </c>
      <c r="AM247">
        <v>6.8</v>
      </c>
      <c r="AN247">
        <v>0</v>
      </c>
      <c r="AO247">
        <v>0</v>
      </c>
      <c r="AP247">
        <v>0</v>
      </c>
      <c r="AQ247">
        <v>0</v>
      </c>
      <c r="AR247" t="s">
        <v>782</v>
      </c>
      <c r="AS247" t="s">
        <v>783</v>
      </c>
      <c r="AT247">
        <v>0.74</v>
      </c>
      <c r="AU247" t="s">
        <v>43</v>
      </c>
      <c r="AV247" t="s">
        <v>44</v>
      </c>
      <c r="AW247" t="s">
        <v>45</v>
      </c>
      <c r="AX247" s="1">
        <v>0.45833333333333331</v>
      </c>
      <c r="AY247" t="s">
        <v>831</v>
      </c>
      <c r="AZ247">
        <v>109.9999999918509</v>
      </c>
      <c r="BA247">
        <v>0</v>
      </c>
      <c r="BB247">
        <v>0</v>
      </c>
      <c r="BC247">
        <v>1</v>
      </c>
      <c r="BD247">
        <v>0</v>
      </c>
      <c r="BE247">
        <f t="shared" si="39"/>
        <v>1</v>
      </c>
    </row>
    <row r="248" spans="1:57" x14ac:dyDescent="0.25">
      <c r="A248" t="s">
        <v>39</v>
      </c>
      <c r="B248" t="s">
        <v>832</v>
      </c>
      <c r="C248">
        <v>82.5</v>
      </c>
      <c r="D248">
        <v>71.7</v>
      </c>
      <c r="G248">
        <f t="shared" si="30"/>
        <v>0</v>
      </c>
      <c r="H248">
        <f t="shared" si="31"/>
        <v>0</v>
      </c>
      <c r="I248">
        <f t="shared" si="32"/>
        <v>0</v>
      </c>
      <c r="J248">
        <v>77.900000000000006</v>
      </c>
      <c r="K248">
        <v>87.4</v>
      </c>
      <c r="L248">
        <v>71.7</v>
      </c>
      <c r="M248">
        <v>78.8</v>
      </c>
      <c r="N248">
        <v>65.2</v>
      </c>
      <c r="O248">
        <v>65.3</v>
      </c>
      <c r="S248">
        <f t="shared" si="33"/>
        <v>1</v>
      </c>
      <c r="T248">
        <f t="shared" si="34"/>
        <v>1</v>
      </c>
      <c r="U248">
        <f t="shared" si="35"/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18.3</v>
      </c>
      <c r="AG248">
        <f t="shared" si="36"/>
        <v>0</v>
      </c>
      <c r="AH248">
        <f t="shared" si="37"/>
        <v>0</v>
      </c>
      <c r="AI248">
        <f t="shared" si="38"/>
        <v>0</v>
      </c>
      <c r="AJ248">
        <v>312.60000000000002</v>
      </c>
      <c r="AK248">
        <v>1007.2</v>
      </c>
      <c r="AL248">
        <v>56.7</v>
      </c>
      <c r="AM248">
        <v>6.6</v>
      </c>
      <c r="AN248">
        <v>0</v>
      </c>
      <c r="AO248">
        <v>0</v>
      </c>
      <c r="AP248">
        <v>0</v>
      </c>
      <c r="AQ248">
        <v>0</v>
      </c>
      <c r="AR248" t="s">
        <v>833</v>
      </c>
      <c r="AS248" t="s">
        <v>834</v>
      </c>
      <c r="AT248">
        <v>0.81</v>
      </c>
      <c r="AU248" t="s">
        <v>43</v>
      </c>
      <c r="AV248" t="s">
        <v>44</v>
      </c>
      <c r="AW248" t="s">
        <v>45</v>
      </c>
      <c r="AX248" s="1">
        <v>0.81388888888888888</v>
      </c>
      <c r="AY248" t="s">
        <v>835</v>
      </c>
      <c r="AZ248">
        <v>153.0000000062864</v>
      </c>
      <c r="BA248">
        <v>0</v>
      </c>
      <c r="BB248">
        <v>0</v>
      </c>
      <c r="BC248">
        <v>5</v>
      </c>
      <c r="BD248">
        <v>0</v>
      </c>
      <c r="BE248">
        <f t="shared" si="39"/>
        <v>0</v>
      </c>
    </row>
    <row r="249" spans="1:57" x14ac:dyDescent="0.25">
      <c r="A249" t="s">
        <v>39</v>
      </c>
      <c r="B249" t="s">
        <v>836</v>
      </c>
      <c r="C249">
        <v>82.5</v>
      </c>
      <c r="D249">
        <v>69.900000000000006</v>
      </c>
      <c r="G249">
        <f t="shared" si="30"/>
        <v>0</v>
      </c>
      <c r="H249">
        <f t="shared" si="31"/>
        <v>0</v>
      </c>
      <c r="I249">
        <f t="shared" si="32"/>
        <v>0</v>
      </c>
      <c r="J249">
        <v>77.5</v>
      </c>
      <c r="K249">
        <v>87.4</v>
      </c>
      <c r="L249">
        <v>69.900000000000006</v>
      </c>
      <c r="M249">
        <v>79.3</v>
      </c>
      <c r="N249">
        <v>64.7</v>
      </c>
      <c r="O249">
        <v>65.599999999999994</v>
      </c>
      <c r="S249">
        <f t="shared" si="33"/>
        <v>1</v>
      </c>
      <c r="T249">
        <f t="shared" si="34"/>
        <v>1</v>
      </c>
      <c r="U249">
        <f t="shared" si="35"/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17.2</v>
      </c>
      <c r="AG249">
        <f t="shared" si="36"/>
        <v>0</v>
      </c>
      <c r="AH249">
        <f t="shared" si="37"/>
        <v>0</v>
      </c>
      <c r="AI249">
        <f t="shared" si="38"/>
        <v>0</v>
      </c>
      <c r="AJ249">
        <v>276</v>
      </c>
      <c r="AK249">
        <v>1010.6</v>
      </c>
      <c r="AL249">
        <v>30</v>
      </c>
      <c r="AM249">
        <v>6.6</v>
      </c>
      <c r="AN249">
        <v>0</v>
      </c>
      <c r="AO249">
        <v>0</v>
      </c>
      <c r="AP249">
        <v>0</v>
      </c>
      <c r="AQ249">
        <v>0</v>
      </c>
      <c r="AR249" t="s">
        <v>837</v>
      </c>
      <c r="AS249" t="s">
        <v>838</v>
      </c>
      <c r="AT249">
        <v>0.04</v>
      </c>
      <c r="AU249" t="s">
        <v>43</v>
      </c>
      <c r="AV249" t="s">
        <v>44</v>
      </c>
      <c r="AW249" t="s">
        <v>45</v>
      </c>
      <c r="AX249" s="1">
        <v>0.1875</v>
      </c>
      <c r="AY249" t="s">
        <v>839</v>
      </c>
      <c r="AZ249">
        <v>200.00000000232831</v>
      </c>
      <c r="BA249">
        <v>0</v>
      </c>
      <c r="BB249">
        <v>0</v>
      </c>
      <c r="BC249">
        <v>2</v>
      </c>
      <c r="BD249">
        <v>0</v>
      </c>
      <c r="BE249">
        <f t="shared" si="39"/>
        <v>0</v>
      </c>
    </row>
    <row r="250" spans="1:57" x14ac:dyDescent="0.25">
      <c r="A250" t="s">
        <v>39</v>
      </c>
      <c r="B250" t="s">
        <v>825</v>
      </c>
      <c r="C250">
        <v>93.3</v>
      </c>
      <c r="D250">
        <v>71.7</v>
      </c>
      <c r="G250">
        <f t="shared" si="30"/>
        <v>1</v>
      </c>
      <c r="H250">
        <f t="shared" si="31"/>
        <v>1</v>
      </c>
      <c r="I250">
        <f t="shared" si="32"/>
        <v>0</v>
      </c>
      <c r="J250">
        <v>83.2</v>
      </c>
      <c r="K250">
        <v>92.7</v>
      </c>
      <c r="L250">
        <v>71.7</v>
      </c>
      <c r="M250">
        <v>81.900000000000006</v>
      </c>
      <c r="N250">
        <v>52.6</v>
      </c>
      <c r="O250">
        <v>36.700000000000003</v>
      </c>
      <c r="S250">
        <f t="shared" si="33"/>
        <v>1</v>
      </c>
      <c r="T250">
        <f t="shared" si="34"/>
        <v>0</v>
      </c>
      <c r="U250">
        <f t="shared" si="35"/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15</v>
      </c>
      <c r="AG250">
        <f t="shared" si="36"/>
        <v>1</v>
      </c>
      <c r="AH250">
        <f t="shared" si="37"/>
        <v>0</v>
      </c>
      <c r="AI250">
        <f t="shared" si="38"/>
        <v>1</v>
      </c>
      <c r="AJ250">
        <v>181.6</v>
      </c>
      <c r="AK250">
        <v>1012.6</v>
      </c>
      <c r="AL250">
        <v>35</v>
      </c>
      <c r="AM250">
        <v>6.3</v>
      </c>
      <c r="AN250">
        <v>0</v>
      </c>
      <c r="AO250">
        <v>0</v>
      </c>
      <c r="AP250">
        <v>0</v>
      </c>
      <c r="AQ250">
        <v>0</v>
      </c>
      <c r="AR250" t="s">
        <v>826</v>
      </c>
      <c r="AS250" t="s">
        <v>827</v>
      </c>
      <c r="AT250">
        <v>0.26</v>
      </c>
      <c r="AU250" t="s">
        <v>43</v>
      </c>
      <c r="AV250" t="s">
        <v>44</v>
      </c>
      <c r="AW250" t="s">
        <v>45</v>
      </c>
      <c r="AX250" s="1">
        <v>0.59375</v>
      </c>
      <c r="AY250" t="s">
        <v>840</v>
      </c>
      <c r="AZ250">
        <v>135</v>
      </c>
      <c r="BA250">
        <v>0</v>
      </c>
      <c r="BB250">
        <v>0</v>
      </c>
      <c r="BC250">
        <v>3</v>
      </c>
      <c r="BD250">
        <v>0</v>
      </c>
      <c r="BE250">
        <f t="shared" si="39"/>
        <v>1</v>
      </c>
    </row>
    <row r="251" spans="1:57" x14ac:dyDescent="0.25">
      <c r="A251" t="s">
        <v>39</v>
      </c>
      <c r="B251" t="s">
        <v>476</v>
      </c>
      <c r="C251">
        <v>77.099999999999994</v>
      </c>
      <c r="D251">
        <v>66.3</v>
      </c>
      <c r="G251">
        <f t="shared" si="30"/>
        <v>1</v>
      </c>
      <c r="H251">
        <f t="shared" si="31"/>
        <v>1</v>
      </c>
      <c r="I251">
        <f t="shared" si="32"/>
        <v>0</v>
      </c>
      <c r="J251">
        <v>72.3</v>
      </c>
      <c r="K251">
        <v>77.099999999999994</v>
      </c>
      <c r="L251">
        <v>66.3</v>
      </c>
      <c r="M251">
        <v>72.3</v>
      </c>
      <c r="N251">
        <v>59.2</v>
      </c>
      <c r="O251">
        <v>64.3</v>
      </c>
      <c r="S251">
        <f t="shared" si="33"/>
        <v>0</v>
      </c>
      <c r="T251">
        <f t="shared" si="34"/>
        <v>0</v>
      </c>
      <c r="U251">
        <f t="shared" si="35"/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15</v>
      </c>
      <c r="AG251">
        <f t="shared" si="36"/>
        <v>1</v>
      </c>
      <c r="AH251">
        <f t="shared" si="37"/>
        <v>0</v>
      </c>
      <c r="AI251">
        <f t="shared" si="38"/>
        <v>1</v>
      </c>
      <c r="AJ251">
        <v>306.39999999999998</v>
      </c>
      <c r="AK251">
        <v>1018.6</v>
      </c>
      <c r="AL251">
        <v>48</v>
      </c>
      <c r="AM251">
        <v>6.7</v>
      </c>
      <c r="AN251">
        <v>0</v>
      </c>
      <c r="AO251">
        <v>0</v>
      </c>
      <c r="AP251">
        <v>0</v>
      </c>
      <c r="AQ251">
        <v>0</v>
      </c>
      <c r="AR251" t="s">
        <v>477</v>
      </c>
      <c r="AS251" t="s">
        <v>478</v>
      </c>
      <c r="AT251">
        <v>0.5</v>
      </c>
      <c r="AU251" t="s">
        <v>43</v>
      </c>
      <c r="AV251" t="s">
        <v>44</v>
      </c>
      <c r="AW251" t="s">
        <v>45</v>
      </c>
      <c r="AX251" s="1">
        <v>0.42291666666666672</v>
      </c>
      <c r="AY251" t="s">
        <v>841</v>
      </c>
      <c r="AZ251">
        <v>100.9999999939464</v>
      </c>
      <c r="BA251">
        <v>0</v>
      </c>
      <c r="BB251">
        <v>3</v>
      </c>
      <c r="BC251">
        <v>0</v>
      </c>
      <c r="BD251">
        <v>0</v>
      </c>
      <c r="BE251">
        <f t="shared" si="39"/>
        <v>0</v>
      </c>
    </row>
    <row r="252" spans="1:57" x14ac:dyDescent="0.25">
      <c r="A252" t="s">
        <v>39</v>
      </c>
      <c r="B252" t="s">
        <v>842</v>
      </c>
      <c r="C252">
        <v>77.099999999999994</v>
      </c>
      <c r="D252">
        <v>68.099999999999994</v>
      </c>
      <c r="G252">
        <f t="shared" si="30"/>
        <v>1</v>
      </c>
      <c r="H252">
        <f t="shared" si="31"/>
        <v>0</v>
      </c>
      <c r="I252">
        <f t="shared" si="32"/>
        <v>1</v>
      </c>
      <c r="J252">
        <v>72.900000000000006</v>
      </c>
      <c r="K252">
        <v>77.099999999999994</v>
      </c>
      <c r="L252">
        <v>68.099999999999994</v>
      </c>
      <c r="M252">
        <v>72.900000000000006</v>
      </c>
      <c r="N252">
        <v>57</v>
      </c>
      <c r="O252">
        <v>57.7</v>
      </c>
      <c r="S252">
        <f t="shared" si="33"/>
        <v>1</v>
      </c>
      <c r="T252">
        <f t="shared" si="34"/>
        <v>0</v>
      </c>
      <c r="U252">
        <f t="shared" si="35"/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13.9</v>
      </c>
      <c r="AG252">
        <f t="shared" si="36"/>
        <v>1</v>
      </c>
      <c r="AH252">
        <f t="shared" si="37"/>
        <v>0</v>
      </c>
      <c r="AI252">
        <f t="shared" si="38"/>
        <v>1</v>
      </c>
      <c r="AJ252">
        <v>309.10000000000002</v>
      </c>
      <c r="AK252">
        <v>1018.1</v>
      </c>
      <c r="AL252">
        <v>39.5</v>
      </c>
      <c r="AM252">
        <v>6.8</v>
      </c>
      <c r="AN252">
        <v>0</v>
      </c>
      <c r="AO252">
        <v>0</v>
      </c>
      <c r="AP252">
        <v>0</v>
      </c>
      <c r="AQ252">
        <v>0</v>
      </c>
      <c r="AR252" t="s">
        <v>843</v>
      </c>
      <c r="AS252" t="s">
        <v>844</v>
      </c>
      <c r="AT252">
        <v>0.43</v>
      </c>
      <c r="AU252" t="s">
        <v>43</v>
      </c>
      <c r="AV252" t="s">
        <v>44</v>
      </c>
      <c r="AW252" t="s">
        <v>45</v>
      </c>
      <c r="AX252" s="1">
        <v>0.48125000000000001</v>
      </c>
      <c r="AY252" t="s">
        <v>845</v>
      </c>
      <c r="AZ252">
        <v>117.00000000419099</v>
      </c>
      <c r="BA252">
        <v>0</v>
      </c>
      <c r="BB252">
        <v>5</v>
      </c>
      <c r="BC252">
        <v>0</v>
      </c>
      <c r="BD252">
        <v>0</v>
      </c>
      <c r="BE252">
        <f t="shared" si="39"/>
        <v>0</v>
      </c>
    </row>
    <row r="253" spans="1:57" x14ac:dyDescent="0.25">
      <c r="A253" t="s">
        <v>39</v>
      </c>
      <c r="B253" t="s">
        <v>846</v>
      </c>
      <c r="C253">
        <v>84.3</v>
      </c>
      <c r="D253">
        <v>73.5</v>
      </c>
      <c r="G253">
        <f t="shared" si="30"/>
        <v>1</v>
      </c>
      <c r="H253">
        <f t="shared" si="31"/>
        <v>1</v>
      </c>
      <c r="I253">
        <f t="shared" si="32"/>
        <v>0</v>
      </c>
      <c r="J253">
        <v>79.099999999999994</v>
      </c>
      <c r="K253">
        <v>91.1</v>
      </c>
      <c r="L253">
        <v>73.5</v>
      </c>
      <c r="M253">
        <v>81.3</v>
      </c>
      <c r="N253">
        <v>65.3</v>
      </c>
      <c r="O253">
        <v>63.7</v>
      </c>
      <c r="S253">
        <f t="shared" si="33"/>
        <v>1</v>
      </c>
      <c r="T253">
        <f t="shared" si="34"/>
        <v>0</v>
      </c>
      <c r="U253">
        <f t="shared" si="35"/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19.5</v>
      </c>
      <c r="AG253">
        <f t="shared" si="36"/>
        <v>1</v>
      </c>
      <c r="AH253">
        <f t="shared" si="37"/>
        <v>1</v>
      </c>
      <c r="AI253">
        <f t="shared" si="38"/>
        <v>0</v>
      </c>
      <c r="AJ253">
        <v>299.89999999999998</v>
      </c>
      <c r="AK253">
        <v>1013.5</v>
      </c>
      <c r="AL253">
        <v>33.299999999999997</v>
      </c>
      <c r="AM253">
        <v>6.7</v>
      </c>
      <c r="AN253">
        <v>0</v>
      </c>
      <c r="AO253">
        <v>0</v>
      </c>
      <c r="AP253">
        <v>0</v>
      </c>
      <c r="AQ253">
        <v>0</v>
      </c>
      <c r="AR253" t="s">
        <v>847</v>
      </c>
      <c r="AS253" t="s">
        <v>848</v>
      </c>
      <c r="AT253">
        <v>0.55000000000000004</v>
      </c>
      <c r="AU253" t="s">
        <v>43</v>
      </c>
      <c r="AV253" t="s">
        <v>44</v>
      </c>
      <c r="AW253" t="s">
        <v>45</v>
      </c>
      <c r="AX253" s="1">
        <v>0.82291666666666663</v>
      </c>
      <c r="AY253" t="s">
        <v>849</v>
      </c>
      <c r="AZ253">
        <v>105.00000000698491</v>
      </c>
      <c r="BA253">
        <v>0</v>
      </c>
      <c r="BB253">
        <v>0</v>
      </c>
      <c r="BC253">
        <v>1</v>
      </c>
      <c r="BD253">
        <v>0</v>
      </c>
      <c r="BE253">
        <f t="shared" si="39"/>
        <v>1</v>
      </c>
    </row>
    <row r="254" spans="1:57" x14ac:dyDescent="0.25">
      <c r="A254" t="s">
        <v>39</v>
      </c>
      <c r="B254" t="s">
        <v>850</v>
      </c>
      <c r="C254">
        <v>82.5</v>
      </c>
      <c r="D254">
        <v>60.9</v>
      </c>
      <c r="G254">
        <f t="shared" si="30"/>
        <v>1</v>
      </c>
      <c r="H254">
        <f t="shared" si="31"/>
        <v>1</v>
      </c>
      <c r="I254">
        <f t="shared" si="32"/>
        <v>0</v>
      </c>
      <c r="J254">
        <v>70</v>
      </c>
      <c r="K254">
        <v>83</v>
      </c>
      <c r="L254">
        <v>60.9</v>
      </c>
      <c r="M254">
        <v>70</v>
      </c>
      <c r="N254">
        <v>57.1</v>
      </c>
      <c r="O254">
        <v>65</v>
      </c>
      <c r="S254">
        <f t="shared" si="33"/>
        <v>0</v>
      </c>
      <c r="T254">
        <f t="shared" si="34"/>
        <v>0</v>
      </c>
      <c r="U254">
        <f t="shared" si="35"/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17.2</v>
      </c>
      <c r="AG254">
        <f t="shared" si="36"/>
        <v>0</v>
      </c>
      <c r="AH254">
        <f t="shared" si="37"/>
        <v>0</v>
      </c>
      <c r="AI254">
        <f t="shared" si="38"/>
        <v>0</v>
      </c>
      <c r="AJ254">
        <v>207.8</v>
      </c>
      <c r="AK254">
        <v>1015.6</v>
      </c>
      <c r="AL254">
        <v>0</v>
      </c>
      <c r="AM254">
        <v>6.2</v>
      </c>
      <c r="AN254">
        <v>0</v>
      </c>
      <c r="AO254">
        <v>0</v>
      </c>
      <c r="AP254">
        <v>0</v>
      </c>
      <c r="AQ254">
        <v>0</v>
      </c>
      <c r="AR254" t="s">
        <v>851</v>
      </c>
      <c r="AS254" t="s">
        <v>852</v>
      </c>
      <c r="AT254">
        <v>0.18</v>
      </c>
      <c r="AU254" t="s">
        <v>74</v>
      </c>
      <c r="AV254" t="s">
        <v>44</v>
      </c>
      <c r="AW254" t="s">
        <v>75</v>
      </c>
      <c r="AX254" s="1">
        <v>0.65555555555555556</v>
      </c>
      <c r="AY254" t="s">
        <v>853</v>
      </c>
      <c r="AZ254">
        <v>195.9999999997672</v>
      </c>
      <c r="BA254">
        <v>0</v>
      </c>
      <c r="BB254">
        <v>0</v>
      </c>
      <c r="BC254">
        <v>1</v>
      </c>
      <c r="BD254">
        <v>0</v>
      </c>
      <c r="BE254">
        <f t="shared" si="39"/>
        <v>0</v>
      </c>
    </row>
    <row r="255" spans="1:57" x14ac:dyDescent="0.25">
      <c r="A255" t="s">
        <v>39</v>
      </c>
      <c r="B255" t="s">
        <v>765</v>
      </c>
      <c r="C255">
        <v>66.3</v>
      </c>
      <c r="D255">
        <v>60.9</v>
      </c>
      <c r="G255">
        <f t="shared" si="30"/>
        <v>1</v>
      </c>
      <c r="H255">
        <f t="shared" si="31"/>
        <v>0</v>
      </c>
      <c r="I255">
        <f t="shared" si="32"/>
        <v>1</v>
      </c>
      <c r="J255">
        <v>63.8</v>
      </c>
      <c r="K255">
        <v>66.3</v>
      </c>
      <c r="L255">
        <v>60.9</v>
      </c>
      <c r="M255">
        <v>63.8</v>
      </c>
      <c r="N255">
        <v>46.2</v>
      </c>
      <c r="O255">
        <v>53</v>
      </c>
      <c r="S255">
        <f t="shared" si="33"/>
        <v>1</v>
      </c>
      <c r="T255">
        <f t="shared" si="34"/>
        <v>0</v>
      </c>
      <c r="U255">
        <f t="shared" si="35"/>
        <v>1</v>
      </c>
      <c r="V255">
        <v>8.0000000000000002E-3</v>
      </c>
      <c r="W255">
        <v>100</v>
      </c>
      <c r="X255">
        <v>8.33</v>
      </c>
      <c r="Y255" t="s">
        <v>103</v>
      </c>
      <c r="Z255">
        <v>0</v>
      </c>
      <c r="AA255">
        <v>0</v>
      </c>
      <c r="AB255">
        <v>0</v>
      </c>
      <c r="AC255">
        <v>24.2</v>
      </c>
      <c r="AG255">
        <f t="shared" si="36"/>
        <v>1</v>
      </c>
      <c r="AH255">
        <f t="shared" si="37"/>
        <v>1</v>
      </c>
      <c r="AI255">
        <f t="shared" si="38"/>
        <v>0</v>
      </c>
      <c r="AJ255">
        <v>328.1</v>
      </c>
      <c r="AK255">
        <v>1022</v>
      </c>
      <c r="AL255">
        <v>75</v>
      </c>
      <c r="AM255">
        <v>6.8</v>
      </c>
      <c r="AN255">
        <v>0</v>
      </c>
      <c r="AO255">
        <v>0</v>
      </c>
      <c r="AP255">
        <v>0</v>
      </c>
      <c r="AQ255">
        <v>0</v>
      </c>
      <c r="AR255" t="s">
        <v>766</v>
      </c>
      <c r="AS255" t="s">
        <v>767</v>
      </c>
      <c r="AT255">
        <v>0.37</v>
      </c>
      <c r="AU255" t="s">
        <v>106</v>
      </c>
      <c r="AV255" t="s">
        <v>257</v>
      </c>
      <c r="AW255" t="s">
        <v>103</v>
      </c>
      <c r="AX255" s="1">
        <v>0.62430555555555556</v>
      </c>
      <c r="AY255" t="s">
        <v>854</v>
      </c>
      <c r="AZ255">
        <v>41.000000007916242</v>
      </c>
      <c r="BA255">
        <v>0</v>
      </c>
      <c r="BB255">
        <v>1</v>
      </c>
      <c r="BC255">
        <v>0</v>
      </c>
      <c r="BD255">
        <v>0</v>
      </c>
      <c r="BE255">
        <f t="shared" si="39"/>
        <v>1</v>
      </c>
    </row>
    <row r="256" spans="1:57" x14ac:dyDescent="0.25">
      <c r="A256" t="s">
        <v>39</v>
      </c>
      <c r="B256" t="s">
        <v>855</v>
      </c>
      <c r="C256">
        <v>80.7</v>
      </c>
      <c r="D256">
        <v>71.7</v>
      </c>
      <c r="G256">
        <f t="shared" si="30"/>
        <v>0</v>
      </c>
      <c r="H256">
        <f t="shared" si="31"/>
        <v>0</v>
      </c>
      <c r="I256">
        <f t="shared" si="32"/>
        <v>0</v>
      </c>
      <c r="J256">
        <v>77.5</v>
      </c>
      <c r="K256">
        <v>85.5</v>
      </c>
      <c r="L256">
        <v>71.7</v>
      </c>
      <c r="M256">
        <v>78.7</v>
      </c>
      <c r="N256">
        <v>63.2</v>
      </c>
      <c r="O256">
        <v>62.4</v>
      </c>
      <c r="S256">
        <f t="shared" si="33"/>
        <v>1</v>
      </c>
      <c r="T256">
        <f t="shared" si="34"/>
        <v>0</v>
      </c>
      <c r="U256">
        <f t="shared" si="35"/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10.3</v>
      </c>
      <c r="AG256">
        <f t="shared" si="36"/>
        <v>1</v>
      </c>
      <c r="AH256">
        <f t="shared" si="37"/>
        <v>0</v>
      </c>
      <c r="AI256">
        <f t="shared" si="38"/>
        <v>1</v>
      </c>
      <c r="AJ256">
        <v>115.7</v>
      </c>
      <c r="AK256">
        <v>1014.2</v>
      </c>
      <c r="AL256">
        <v>30</v>
      </c>
      <c r="AM256">
        <v>6.3</v>
      </c>
      <c r="AN256">
        <v>0</v>
      </c>
      <c r="AO256">
        <v>0</v>
      </c>
      <c r="AP256">
        <v>0</v>
      </c>
      <c r="AQ256">
        <v>0</v>
      </c>
      <c r="AR256" t="s">
        <v>856</v>
      </c>
      <c r="AS256" t="s">
        <v>857</v>
      </c>
      <c r="AT256">
        <v>0.06</v>
      </c>
      <c r="AU256" t="s">
        <v>43</v>
      </c>
      <c r="AV256" t="s">
        <v>44</v>
      </c>
      <c r="AW256" t="s">
        <v>45</v>
      </c>
      <c r="AX256" s="1">
        <v>0.5444444444444444</v>
      </c>
      <c r="AY256" t="s">
        <v>858</v>
      </c>
      <c r="AZ256">
        <v>140.99999999860299</v>
      </c>
      <c r="BA256">
        <v>0</v>
      </c>
      <c r="BB256">
        <v>0</v>
      </c>
      <c r="BC256">
        <v>2</v>
      </c>
      <c r="BD256">
        <v>0</v>
      </c>
      <c r="BE256">
        <f t="shared" si="39"/>
        <v>0</v>
      </c>
    </row>
    <row r="257" spans="1:57" x14ac:dyDescent="0.25">
      <c r="A257" t="s">
        <v>39</v>
      </c>
      <c r="B257" t="s">
        <v>859</v>
      </c>
      <c r="C257">
        <v>64.5</v>
      </c>
      <c r="D257">
        <v>60.9</v>
      </c>
      <c r="G257">
        <f t="shared" si="30"/>
        <v>1</v>
      </c>
      <c r="H257">
        <f t="shared" si="31"/>
        <v>0</v>
      </c>
      <c r="I257">
        <f t="shared" si="32"/>
        <v>1</v>
      </c>
      <c r="J257">
        <v>63.2</v>
      </c>
      <c r="K257">
        <v>64.5</v>
      </c>
      <c r="L257">
        <v>60.9</v>
      </c>
      <c r="M257">
        <v>63.2</v>
      </c>
      <c r="N257">
        <v>45.2</v>
      </c>
      <c r="O257">
        <v>52.1</v>
      </c>
      <c r="S257">
        <f t="shared" si="33"/>
        <v>1</v>
      </c>
      <c r="T257">
        <f t="shared" si="34"/>
        <v>0</v>
      </c>
      <c r="U257">
        <f t="shared" si="35"/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23</v>
      </c>
      <c r="AG257">
        <f t="shared" si="36"/>
        <v>1</v>
      </c>
      <c r="AH257">
        <f t="shared" si="37"/>
        <v>1</v>
      </c>
      <c r="AI257">
        <f t="shared" si="38"/>
        <v>0</v>
      </c>
      <c r="AJ257">
        <v>326.5</v>
      </c>
      <c r="AK257">
        <v>1022.3</v>
      </c>
      <c r="AL257">
        <v>73.3</v>
      </c>
      <c r="AM257">
        <v>6.8</v>
      </c>
      <c r="AN257">
        <v>0</v>
      </c>
      <c r="AO257">
        <v>0</v>
      </c>
      <c r="AP257">
        <v>0</v>
      </c>
      <c r="AQ257">
        <v>0</v>
      </c>
      <c r="AR257" t="s">
        <v>860</v>
      </c>
      <c r="AS257" t="s">
        <v>861</v>
      </c>
      <c r="AT257">
        <v>0.41</v>
      </c>
      <c r="AU257" t="s">
        <v>43</v>
      </c>
      <c r="AV257" t="s">
        <v>44</v>
      </c>
      <c r="AW257" t="s">
        <v>45</v>
      </c>
      <c r="AX257" s="1">
        <v>0.72847222222222219</v>
      </c>
      <c r="AY257" t="s">
        <v>862</v>
      </c>
      <c r="AZ257">
        <v>220.99999999743889</v>
      </c>
      <c r="BA257">
        <v>0</v>
      </c>
      <c r="BB257">
        <v>0</v>
      </c>
      <c r="BC257">
        <v>5</v>
      </c>
      <c r="BD257">
        <v>0</v>
      </c>
      <c r="BE257">
        <f t="shared" si="39"/>
        <v>1</v>
      </c>
    </row>
    <row r="258" spans="1:57" x14ac:dyDescent="0.25">
      <c r="A258" t="s">
        <v>39</v>
      </c>
      <c r="B258" t="s">
        <v>863</v>
      </c>
      <c r="C258">
        <v>77.099999999999994</v>
      </c>
      <c r="D258">
        <v>57.3</v>
      </c>
      <c r="G258">
        <f t="shared" si="30"/>
        <v>1</v>
      </c>
      <c r="H258">
        <f t="shared" si="31"/>
        <v>1</v>
      </c>
      <c r="I258">
        <f t="shared" si="32"/>
        <v>0</v>
      </c>
      <c r="J258">
        <v>66.5</v>
      </c>
      <c r="K258">
        <v>77.099999999999994</v>
      </c>
      <c r="L258">
        <v>57.3</v>
      </c>
      <c r="M258">
        <v>66.5</v>
      </c>
      <c r="N258">
        <v>41.7</v>
      </c>
      <c r="O258">
        <v>49.1</v>
      </c>
      <c r="S258">
        <f t="shared" si="33"/>
        <v>1</v>
      </c>
      <c r="T258">
        <f t="shared" si="34"/>
        <v>0</v>
      </c>
      <c r="U258">
        <f t="shared" si="35"/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23</v>
      </c>
      <c r="AG258">
        <f t="shared" si="36"/>
        <v>1</v>
      </c>
      <c r="AH258">
        <f t="shared" si="37"/>
        <v>1</v>
      </c>
      <c r="AI258">
        <f t="shared" si="38"/>
        <v>0</v>
      </c>
      <c r="AJ258">
        <v>168.7</v>
      </c>
      <c r="AK258">
        <v>1013.6</v>
      </c>
      <c r="AL258">
        <v>0</v>
      </c>
      <c r="AM258">
        <v>6.2</v>
      </c>
      <c r="AN258">
        <v>0</v>
      </c>
      <c r="AO258">
        <v>0</v>
      </c>
      <c r="AP258">
        <v>0</v>
      </c>
      <c r="AQ258">
        <v>0</v>
      </c>
      <c r="AR258" t="s">
        <v>864</v>
      </c>
      <c r="AS258" t="s">
        <v>865</v>
      </c>
      <c r="AT258">
        <v>0.85</v>
      </c>
      <c r="AU258" t="s">
        <v>74</v>
      </c>
      <c r="AV258" t="s">
        <v>44</v>
      </c>
      <c r="AW258" t="s">
        <v>75</v>
      </c>
      <c r="AX258" s="1">
        <v>0.52777777777777779</v>
      </c>
      <c r="AY258" t="s">
        <v>866</v>
      </c>
      <c r="AZ258">
        <v>169.99999999883579</v>
      </c>
      <c r="BA258">
        <v>0</v>
      </c>
      <c r="BB258">
        <v>1</v>
      </c>
      <c r="BC258">
        <v>0</v>
      </c>
      <c r="BD258">
        <v>0</v>
      </c>
      <c r="BE258">
        <f t="shared" si="39"/>
        <v>1</v>
      </c>
    </row>
    <row r="259" spans="1:57" x14ac:dyDescent="0.25">
      <c r="A259" t="s">
        <v>39</v>
      </c>
      <c r="B259" t="s">
        <v>867</v>
      </c>
      <c r="C259">
        <v>77.099999999999994</v>
      </c>
      <c r="D259">
        <v>62.7</v>
      </c>
      <c r="G259">
        <f t="shared" ref="G259:G322" si="40">IF(ABS(C259-INDEX($F$2:$F$13,MONTH(B259)))&gt;1.8,1,0)</f>
        <v>1</v>
      </c>
      <c r="H259">
        <f t="shared" ref="H259:H322" si="41">IF(C259&gt;=INDEX($F$2:$F$13,MONTH(B259))+1.8,1,0)</f>
        <v>0</v>
      </c>
      <c r="I259">
        <f t="shared" ref="I259:I322" si="42">IF(C259&lt;=INDEX($F$2:$F$13,MONTH(B259))-1.8,1,0)</f>
        <v>1</v>
      </c>
      <c r="J259">
        <v>70.8</v>
      </c>
      <c r="K259">
        <v>77.099999999999994</v>
      </c>
      <c r="L259">
        <v>62.7</v>
      </c>
      <c r="M259">
        <v>70.8</v>
      </c>
      <c r="N259">
        <v>55.2</v>
      </c>
      <c r="O259">
        <v>58.6</v>
      </c>
      <c r="S259">
        <f t="shared" ref="S259:S322" si="43">IF(OR(O259&lt;INDEX($Q$2:$Q$13,MONTH(B259)),O259&gt;INDEX($R$2:$R$13,MONTH(B259))),1,0)</f>
        <v>1</v>
      </c>
      <c r="T259">
        <f t="shared" ref="T259:T322" si="44">IF(O259&gt;INDEX($R$2:$R$13,MONTH(B259)),1,0)</f>
        <v>0</v>
      </c>
      <c r="U259">
        <f t="shared" ref="U259:U322" si="45">IF(O259&lt;INDEX($Q$2:$Q$13,MONTH(B259)),1,0)</f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21.9</v>
      </c>
      <c r="AG259">
        <f t="shared" ref="AG259:AG322" si="46">IF(OR(AC259&lt;INDEX($AE$2:$AE$13,MONTH(B259)),AC259&gt;INDEX($AF$2:$AF$13,MONTH(B259))),1,0)</f>
        <v>1</v>
      </c>
      <c r="AH259">
        <f t="shared" ref="AH259:AH322" si="47">IF(AC259&gt;INDEX($AF$2:$AF$13,MONTH(B259)),1,0)</f>
        <v>1</v>
      </c>
      <c r="AI259">
        <f t="shared" ref="AI259:AI322" si="48">IF(AC259&lt;INDEX($AE$2:$AE$13,MONTH(B259)),1,0)</f>
        <v>0</v>
      </c>
      <c r="AJ259">
        <v>287.10000000000002</v>
      </c>
      <c r="AK259">
        <v>1011.3</v>
      </c>
      <c r="AL259">
        <v>36.700000000000003</v>
      </c>
      <c r="AM259">
        <v>9.1999999999999993</v>
      </c>
      <c r="AN259">
        <v>0</v>
      </c>
      <c r="AO259">
        <v>0</v>
      </c>
      <c r="AP259">
        <v>0</v>
      </c>
      <c r="AQ259">
        <v>0</v>
      </c>
      <c r="AR259" t="s">
        <v>868</v>
      </c>
      <c r="AS259" t="s">
        <v>869</v>
      </c>
      <c r="AT259">
        <v>0</v>
      </c>
      <c r="AU259" t="s">
        <v>43</v>
      </c>
      <c r="AV259" t="s">
        <v>44</v>
      </c>
      <c r="AW259" t="s">
        <v>45</v>
      </c>
      <c r="AX259" s="1">
        <v>0.2</v>
      </c>
      <c r="AY259" t="s">
        <v>870</v>
      </c>
      <c r="AZ259">
        <v>222.00000000069849</v>
      </c>
      <c r="BA259">
        <v>0</v>
      </c>
      <c r="BB259">
        <v>0</v>
      </c>
      <c r="BC259">
        <v>1</v>
      </c>
      <c r="BD259">
        <v>0</v>
      </c>
      <c r="BE259">
        <f t="shared" ref="BE259:BE322" si="49">IF((3*AH259+3*H259+2*U259+2*BA259-(2*(1-T259)+2*(1-I259)+2*(1-AI259)))&gt;=1,1,0)</f>
        <v>1</v>
      </c>
    </row>
    <row r="260" spans="1:57" x14ac:dyDescent="0.25">
      <c r="A260" t="s">
        <v>39</v>
      </c>
      <c r="B260" t="s">
        <v>871</v>
      </c>
      <c r="C260">
        <v>77.099999999999994</v>
      </c>
      <c r="D260">
        <v>66.3</v>
      </c>
      <c r="G260">
        <f t="shared" si="40"/>
        <v>1</v>
      </c>
      <c r="H260">
        <f t="shared" si="41"/>
        <v>0</v>
      </c>
      <c r="I260">
        <f t="shared" si="42"/>
        <v>1</v>
      </c>
      <c r="J260">
        <v>72.8</v>
      </c>
      <c r="K260">
        <v>77.099999999999994</v>
      </c>
      <c r="L260">
        <v>66.3</v>
      </c>
      <c r="M260">
        <v>72.8</v>
      </c>
      <c r="N260">
        <v>59.1</v>
      </c>
      <c r="O260">
        <v>62.7</v>
      </c>
      <c r="S260">
        <f t="shared" si="43"/>
        <v>1</v>
      </c>
      <c r="T260">
        <f t="shared" si="44"/>
        <v>1</v>
      </c>
      <c r="U260">
        <f t="shared" si="45"/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23</v>
      </c>
      <c r="AG260">
        <f t="shared" si="46"/>
        <v>1</v>
      </c>
      <c r="AH260">
        <f t="shared" si="47"/>
        <v>1</v>
      </c>
      <c r="AI260">
        <f t="shared" si="48"/>
        <v>0</v>
      </c>
      <c r="AJ260">
        <v>313.3</v>
      </c>
      <c r="AK260">
        <v>1013.6</v>
      </c>
      <c r="AL260">
        <v>30</v>
      </c>
      <c r="AM260">
        <v>9.9</v>
      </c>
      <c r="AN260">
        <v>0</v>
      </c>
      <c r="AO260">
        <v>0</v>
      </c>
      <c r="AP260">
        <v>0</v>
      </c>
      <c r="AQ260">
        <v>0</v>
      </c>
      <c r="AR260" t="s">
        <v>872</v>
      </c>
      <c r="AS260" t="s">
        <v>873</v>
      </c>
      <c r="AT260">
        <v>0.03</v>
      </c>
      <c r="AU260" t="s">
        <v>43</v>
      </c>
      <c r="AV260" t="s">
        <v>44</v>
      </c>
      <c r="AW260" t="s">
        <v>45</v>
      </c>
      <c r="AX260" s="1">
        <v>8.2638888888888887E-2</v>
      </c>
      <c r="AY260" t="s">
        <v>874</v>
      </c>
      <c r="AZ260">
        <v>240.9999999997672</v>
      </c>
      <c r="BA260">
        <v>0</v>
      </c>
      <c r="BB260">
        <v>0</v>
      </c>
      <c r="BC260">
        <v>0.5</v>
      </c>
      <c r="BD260">
        <v>0</v>
      </c>
      <c r="BE260">
        <f t="shared" si="49"/>
        <v>1</v>
      </c>
    </row>
    <row r="261" spans="1:57" x14ac:dyDescent="0.25">
      <c r="A261" t="s">
        <v>39</v>
      </c>
      <c r="B261" t="s">
        <v>464</v>
      </c>
      <c r="C261">
        <v>84.3</v>
      </c>
      <c r="D261">
        <v>68.099999999999994</v>
      </c>
      <c r="G261">
        <f t="shared" si="40"/>
        <v>0</v>
      </c>
      <c r="H261">
        <f t="shared" si="41"/>
        <v>0</v>
      </c>
      <c r="I261">
        <f t="shared" si="42"/>
        <v>0</v>
      </c>
      <c r="J261">
        <v>78.400000000000006</v>
      </c>
      <c r="K261">
        <v>87.6</v>
      </c>
      <c r="L261">
        <v>68.099999999999994</v>
      </c>
      <c r="M261">
        <v>79.7</v>
      </c>
      <c r="N261">
        <v>65.7</v>
      </c>
      <c r="O261">
        <v>66.900000000000006</v>
      </c>
      <c r="S261">
        <f t="shared" si="43"/>
        <v>1</v>
      </c>
      <c r="T261">
        <f t="shared" si="44"/>
        <v>1</v>
      </c>
      <c r="U261">
        <f t="shared" si="45"/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16.100000000000001</v>
      </c>
      <c r="AG261">
        <f t="shared" si="46"/>
        <v>0</v>
      </c>
      <c r="AH261">
        <f t="shared" si="47"/>
        <v>0</v>
      </c>
      <c r="AI261">
        <f t="shared" si="48"/>
        <v>0</v>
      </c>
      <c r="AJ261">
        <v>318.3</v>
      </c>
      <c r="AK261">
        <v>1010</v>
      </c>
      <c r="AL261">
        <v>30</v>
      </c>
      <c r="AM261">
        <v>6.2</v>
      </c>
      <c r="AN261">
        <v>0</v>
      </c>
      <c r="AO261">
        <v>0</v>
      </c>
      <c r="AP261">
        <v>0</v>
      </c>
      <c r="AQ261">
        <v>0</v>
      </c>
      <c r="AR261" t="s">
        <v>465</v>
      </c>
      <c r="AS261" t="s">
        <v>466</v>
      </c>
      <c r="AT261">
        <v>0.16</v>
      </c>
      <c r="AU261" t="s">
        <v>43</v>
      </c>
      <c r="AV261" t="s">
        <v>44</v>
      </c>
      <c r="AW261" t="s">
        <v>45</v>
      </c>
      <c r="AX261" s="1">
        <v>0.70902777777777781</v>
      </c>
      <c r="AY261" t="s">
        <v>875</v>
      </c>
      <c r="AZ261">
        <v>239.00000000372529</v>
      </c>
      <c r="BA261">
        <v>0</v>
      </c>
      <c r="BB261">
        <v>0</v>
      </c>
      <c r="BC261">
        <v>0.5</v>
      </c>
      <c r="BD261">
        <v>0</v>
      </c>
      <c r="BE261">
        <f t="shared" si="49"/>
        <v>0</v>
      </c>
    </row>
    <row r="262" spans="1:57" x14ac:dyDescent="0.25">
      <c r="A262" t="s">
        <v>39</v>
      </c>
      <c r="B262" t="s">
        <v>876</v>
      </c>
      <c r="C262">
        <v>62.7</v>
      </c>
      <c r="D262">
        <v>46.5</v>
      </c>
      <c r="G262">
        <f t="shared" si="40"/>
        <v>1</v>
      </c>
      <c r="H262">
        <f t="shared" si="41"/>
        <v>1</v>
      </c>
      <c r="I262">
        <f t="shared" si="42"/>
        <v>0</v>
      </c>
      <c r="J262">
        <v>54.8</v>
      </c>
      <c r="K262">
        <v>62.7</v>
      </c>
      <c r="L262">
        <v>43</v>
      </c>
      <c r="M262">
        <v>53.9</v>
      </c>
      <c r="N262">
        <v>45</v>
      </c>
      <c r="O262">
        <v>70.7</v>
      </c>
      <c r="S262">
        <f t="shared" si="43"/>
        <v>1</v>
      </c>
      <c r="T262">
        <f t="shared" si="44"/>
        <v>1</v>
      </c>
      <c r="U262">
        <f t="shared" si="45"/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13.9</v>
      </c>
      <c r="AG262">
        <f t="shared" si="46"/>
        <v>1</v>
      </c>
      <c r="AH262">
        <f t="shared" si="47"/>
        <v>0</v>
      </c>
      <c r="AI262">
        <f t="shared" si="48"/>
        <v>1</v>
      </c>
      <c r="AJ262">
        <v>251.9</v>
      </c>
      <c r="AK262">
        <v>1020.1</v>
      </c>
      <c r="AL262">
        <v>55</v>
      </c>
      <c r="AM262">
        <v>6.8</v>
      </c>
      <c r="AN262">
        <v>0</v>
      </c>
      <c r="AO262">
        <v>0</v>
      </c>
      <c r="AP262">
        <v>0</v>
      </c>
      <c r="AQ262">
        <v>0</v>
      </c>
      <c r="AR262" t="s">
        <v>877</v>
      </c>
      <c r="AS262" t="s">
        <v>878</v>
      </c>
      <c r="AT262">
        <v>0.59</v>
      </c>
      <c r="AU262" t="s">
        <v>43</v>
      </c>
      <c r="AV262" t="s">
        <v>44</v>
      </c>
      <c r="AW262" t="s">
        <v>45</v>
      </c>
      <c r="AX262" s="1">
        <v>0.58333333333333337</v>
      </c>
      <c r="AY262" t="s">
        <v>879</v>
      </c>
      <c r="AZ262">
        <v>180</v>
      </c>
      <c r="BA262">
        <v>0</v>
      </c>
      <c r="BB262">
        <v>0</v>
      </c>
      <c r="BC262">
        <v>5</v>
      </c>
      <c r="BD262">
        <v>0</v>
      </c>
      <c r="BE262">
        <f t="shared" si="49"/>
        <v>1</v>
      </c>
    </row>
    <row r="263" spans="1:57" x14ac:dyDescent="0.25">
      <c r="A263" t="s">
        <v>39</v>
      </c>
      <c r="B263" t="s">
        <v>859</v>
      </c>
      <c r="C263">
        <v>64.5</v>
      </c>
      <c r="D263">
        <v>60.9</v>
      </c>
      <c r="G263">
        <f t="shared" si="40"/>
        <v>1</v>
      </c>
      <c r="H263">
        <f t="shared" si="41"/>
        <v>0</v>
      </c>
      <c r="I263">
        <f t="shared" si="42"/>
        <v>1</v>
      </c>
      <c r="J263">
        <v>63.2</v>
      </c>
      <c r="K263">
        <v>64.5</v>
      </c>
      <c r="L263">
        <v>60.9</v>
      </c>
      <c r="M263">
        <v>63.2</v>
      </c>
      <c r="N263">
        <v>45.2</v>
      </c>
      <c r="O263">
        <v>52.1</v>
      </c>
      <c r="S263">
        <f t="shared" si="43"/>
        <v>1</v>
      </c>
      <c r="T263">
        <f t="shared" si="44"/>
        <v>0</v>
      </c>
      <c r="U263">
        <f t="shared" si="45"/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23</v>
      </c>
      <c r="AG263">
        <f t="shared" si="46"/>
        <v>1</v>
      </c>
      <c r="AH263">
        <f t="shared" si="47"/>
        <v>1</v>
      </c>
      <c r="AI263">
        <f t="shared" si="48"/>
        <v>0</v>
      </c>
      <c r="AJ263">
        <v>326.5</v>
      </c>
      <c r="AK263">
        <v>1022.3</v>
      </c>
      <c r="AL263">
        <v>73.3</v>
      </c>
      <c r="AM263">
        <v>6.8</v>
      </c>
      <c r="AN263">
        <v>0</v>
      </c>
      <c r="AO263">
        <v>0</v>
      </c>
      <c r="AP263">
        <v>0</v>
      </c>
      <c r="AQ263">
        <v>0</v>
      </c>
      <c r="AR263" t="s">
        <v>860</v>
      </c>
      <c r="AS263" t="s">
        <v>861</v>
      </c>
      <c r="AT263">
        <v>0.41</v>
      </c>
      <c r="AU263" t="s">
        <v>43</v>
      </c>
      <c r="AV263" t="s">
        <v>44</v>
      </c>
      <c r="AW263" t="s">
        <v>45</v>
      </c>
      <c r="AX263" s="1">
        <v>0.75694444444444442</v>
      </c>
      <c r="AY263" t="s">
        <v>880</v>
      </c>
      <c r="AZ263">
        <v>360</v>
      </c>
      <c r="BA263">
        <v>0</v>
      </c>
      <c r="BB263">
        <v>0</v>
      </c>
      <c r="BC263">
        <v>10</v>
      </c>
      <c r="BD263">
        <v>0</v>
      </c>
      <c r="BE263">
        <f t="shared" si="49"/>
        <v>1</v>
      </c>
    </row>
    <row r="264" spans="1:57" x14ac:dyDescent="0.25">
      <c r="A264" t="s">
        <v>39</v>
      </c>
      <c r="B264" t="s">
        <v>881</v>
      </c>
      <c r="C264">
        <v>86.1</v>
      </c>
      <c r="D264">
        <v>71.7</v>
      </c>
      <c r="G264">
        <f t="shared" si="40"/>
        <v>1</v>
      </c>
      <c r="H264">
        <f t="shared" si="41"/>
        <v>1</v>
      </c>
      <c r="I264">
        <f t="shared" si="42"/>
        <v>0</v>
      </c>
      <c r="J264">
        <v>78.3</v>
      </c>
      <c r="K264">
        <v>91.1</v>
      </c>
      <c r="L264">
        <v>71.7</v>
      </c>
      <c r="M264">
        <v>80.5</v>
      </c>
      <c r="N264">
        <v>64.2</v>
      </c>
      <c r="O264">
        <v>64</v>
      </c>
      <c r="S264">
        <f t="shared" si="43"/>
        <v>1</v>
      </c>
      <c r="T264">
        <f t="shared" si="44"/>
        <v>1</v>
      </c>
      <c r="U264">
        <f t="shared" si="45"/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18.3</v>
      </c>
      <c r="AG264">
        <f t="shared" si="46"/>
        <v>0</v>
      </c>
      <c r="AH264">
        <f t="shared" si="47"/>
        <v>0</v>
      </c>
      <c r="AI264">
        <f t="shared" si="48"/>
        <v>0</v>
      </c>
      <c r="AJ264">
        <v>284.89999999999998</v>
      </c>
      <c r="AK264">
        <v>1007.2</v>
      </c>
      <c r="AL264">
        <v>30</v>
      </c>
      <c r="AM264">
        <v>6.3</v>
      </c>
      <c r="AN264">
        <v>0</v>
      </c>
      <c r="AO264">
        <v>0</v>
      </c>
      <c r="AP264">
        <v>0</v>
      </c>
      <c r="AQ264">
        <v>0</v>
      </c>
      <c r="AR264" t="s">
        <v>882</v>
      </c>
      <c r="AS264" t="s">
        <v>883</v>
      </c>
      <c r="AT264">
        <v>0.38</v>
      </c>
      <c r="AU264" t="s">
        <v>43</v>
      </c>
      <c r="AV264" t="s">
        <v>44</v>
      </c>
      <c r="AW264" t="s">
        <v>45</v>
      </c>
      <c r="AX264" s="1">
        <v>2.7083333333333331E-2</v>
      </c>
      <c r="AY264" t="s">
        <v>884</v>
      </c>
      <c r="AZ264">
        <v>830.99999999511056</v>
      </c>
      <c r="BA264">
        <v>1</v>
      </c>
      <c r="BB264">
        <v>10</v>
      </c>
      <c r="BC264">
        <v>0</v>
      </c>
      <c r="BD264">
        <v>0</v>
      </c>
      <c r="BE264">
        <f t="shared" si="49"/>
        <v>1</v>
      </c>
    </row>
    <row r="265" spans="1:57" x14ac:dyDescent="0.25">
      <c r="A265" t="s">
        <v>39</v>
      </c>
      <c r="B265" t="s">
        <v>524</v>
      </c>
      <c r="C265">
        <v>60.9</v>
      </c>
      <c r="D265">
        <v>50.1</v>
      </c>
      <c r="G265">
        <f t="shared" si="40"/>
        <v>1</v>
      </c>
      <c r="H265">
        <f t="shared" si="41"/>
        <v>1</v>
      </c>
      <c r="I265">
        <f t="shared" si="42"/>
        <v>0</v>
      </c>
      <c r="J265">
        <v>55.7</v>
      </c>
      <c r="K265">
        <v>60.9</v>
      </c>
      <c r="L265">
        <v>50.1</v>
      </c>
      <c r="M265">
        <v>55.7</v>
      </c>
      <c r="N265">
        <v>46.4</v>
      </c>
      <c r="O265">
        <v>72.2</v>
      </c>
      <c r="S265">
        <f t="shared" si="43"/>
        <v>1</v>
      </c>
      <c r="T265">
        <f t="shared" si="44"/>
        <v>1</v>
      </c>
      <c r="U265">
        <f t="shared" si="45"/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16.100000000000001</v>
      </c>
      <c r="AG265">
        <f t="shared" si="46"/>
        <v>1</v>
      </c>
      <c r="AH265">
        <f t="shared" si="47"/>
        <v>0</v>
      </c>
      <c r="AI265">
        <f t="shared" si="48"/>
        <v>1</v>
      </c>
      <c r="AJ265">
        <v>308.3</v>
      </c>
      <c r="AK265">
        <v>1009.3</v>
      </c>
      <c r="AL265">
        <v>75.2</v>
      </c>
      <c r="AM265">
        <v>6.8</v>
      </c>
      <c r="AN265">
        <v>0</v>
      </c>
      <c r="AO265">
        <v>0</v>
      </c>
      <c r="AP265">
        <v>0</v>
      </c>
      <c r="AQ265">
        <v>0</v>
      </c>
      <c r="AR265" t="s">
        <v>525</v>
      </c>
      <c r="AS265" t="s">
        <v>526</v>
      </c>
      <c r="AT265">
        <v>0.14000000000000001</v>
      </c>
      <c r="AU265" t="s">
        <v>43</v>
      </c>
      <c r="AV265" t="s">
        <v>44</v>
      </c>
      <c r="AW265" t="s">
        <v>45</v>
      </c>
      <c r="AX265" s="1">
        <v>0.77013888888888893</v>
      </c>
      <c r="AY265" t="s">
        <v>885</v>
      </c>
      <c r="AZ265">
        <v>361.00000000325957</v>
      </c>
      <c r="BA265">
        <v>1</v>
      </c>
      <c r="BB265">
        <v>0</v>
      </c>
      <c r="BC265">
        <v>2</v>
      </c>
      <c r="BD265">
        <v>0</v>
      </c>
      <c r="BE265">
        <f t="shared" si="49"/>
        <v>1</v>
      </c>
    </row>
    <row r="266" spans="1:57" x14ac:dyDescent="0.25">
      <c r="A266" t="s">
        <v>39</v>
      </c>
      <c r="B266" t="s">
        <v>886</v>
      </c>
      <c r="C266">
        <v>82.5</v>
      </c>
      <c r="D266">
        <v>77.099999999999994</v>
      </c>
      <c r="G266">
        <f t="shared" si="40"/>
        <v>0</v>
      </c>
      <c r="H266">
        <f t="shared" si="41"/>
        <v>0</v>
      </c>
      <c r="I266">
        <f t="shared" si="42"/>
        <v>0</v>
      </c>
      <c r="J266">
        <v>78.7</v>
      </c>
      <c r="K266">
        <v>84.1</v>
      </c>
      <c r="L266">
        <v>77.099999999999994</v>
      </c>
      <c r="M266">
        <v>79.2</v>
      </c>
      <c r="N266">
        <v>64.400000000000006</v>
      </c>
      <c r="O266">
        <v>61.7</v>
      </c>
      <c r="S266">
        <f t="shared" si="43"/>
        <v>0</v>
      </c>
      <c r="T266">
        <f t="shared" si="44"/>
        <v>0</v>
      </c>
      <c r="U266">
        <f t="shared" si="45"/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19.5</v>
      </c>
      <c r="AG266">
        <f t="shared" si="46"/>
        <v>1</v>
      </c>
      <c r="AH266">
        <f t="shared" si="47"/>
        <v>1</v>
      </c>
      <c r="AI266">
        <f t="shared" si="48"/>
        <v>0</v>
      </c>
      <c r="AJ266">
        <v>293.8</v>
      </c>
      <c r="AK266">
        <v>1014</v>
      </c>
      <c r="AL266">
        <v>33.6</v>
      </c>
      <c r="AM266">
        <v>6.8</v>
      </c>
      <c r="AN266">
        <v>0</v>
      </c>
      <c r="AO266">
        <v>0</v>
      </c>
      <c r="AP266">
        <v>0</v>
      </c>
      <c r="AQ266">
        <v>0</v>
      </c>
      <c r="AR266" t="s">
        <v>887</v>
      </c>
      <c r="AS266" t="s">
        <v>888</v>
      </c>
      <c r="AT266">
        <v>0.61</v>
      </c>
      <c r="AU266" t="s">
        <v>43</v>
      </c>
      <c r="AV266" t="s">
        <v>44</v>
      </c>
      <c r="AW266" t="s">
        <v>45</v>
      </c>
      <c r="AX266" s="1">
        <v>0.4375</v>
      </c>
      <c r="AY266" t="s">
        <v>889</v>
      </c>
      <c r="AZ266">
        <v>2160</v>
      </c>
      <c r="BA266">
        <v>1</v>
      </c>
      <c r="BB266">
        <v>0.1</v>
      </c>
      <c r="BC266">
        <v>0</v>
      </c>
      <c r="BD266">
        <v>0</v>
      </c>
      <c r="BE266">
        <f t="shared" si="49"/>
        <v>0</v>
      </c>
    </row>
    <row r="267" spans="1:57" x14ac:dyDescent="0.25">
      <c r="A267" t="s">
        <v>39</v>
      </c>
      <c r="B267" t="s">
        <v>890</v>
      </c>
      <c r="C267">
        <v>62.7</v>
      </c>
      <c r="D267">
        <v>48.3</v>
      </c>
      <c r="G267">
        <f t="shared" si="40"/>
        <v>1</v>
      </c>
      <c r="H267">
        <f t="shared" si="41"/>
        <v>1</v>
      </c>
      <c r="I267">
        <f t="shared" si="42"/>
        <v>0</v>
      </c>
      <c r="J267">
        <v>56</v>
      </c>
      <c r="K267">
        <v>62.7</v>
      </c>
      <c r="L267">
        <v>45.2</v>
      </c>
      <c r="M267">
        <v>55.7</v>
      </c>
      <c r="N267">
        <v>47.8</v>
      </c>
      <c r="O267">
        <v>74.5</v>
      </c>
      <c r="S267">
        <f t="shared" si="43"/>
        <v>1</v>
      </c>
      <c r="T267">
        <f t="shared" si="44"/>
        <v>1</v>
      </c>
      <c r="U267">
        <f t="shared" si="45"/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21.9</v>
      </c>
      <c r="AG267">
        <f t="shared" si="46"/>
        <v>1</v>
      </c>
      <c r="AH267">
        <f t="shared" si="47"/>
        <v>1</v>
      </c>
      <c r="AI267">
        <f t="shared" si="48"/>
        <v>0</v>
      </c>
      <c r="AJ267">
        <v>276.60000000000002</v>
      </c>
      <c r="AK267">
        <v>1020</v>
      </c>
      <c r="AL267">
        <v>32.5</v>
      </c>
      <c r="AM267">
        <v>6.8</v>
      </c>
      <c r="AN267">
        <v>0</v>
      </c>
      <c r="AO267">
        <v>0</v>
      </c>
      <c r="AP267">
        <v>0</v>
      </c>
      <c r="AQ267">
        <v>0</v>
      </c>
      <c r="AR267" t="s">
        <v>891</v>
      </c>
      <c r="AS267" t="s">
        <v>892</v>
      </c>
      <c r="AT267">
        <v>0.48</v>
      </c>
      <c r="AU267" t="s">
        <v>43</v>
      </c>
      <c r="AV267" t="s">
        <v>44</v>
      </c>
      <c r="AW267" t="s">
        <v>45</v>
      </c>
      <c r="AX267" s="1">
        <v>0.56180555555555556</v>
      </c>
      <c r="AY267" t="s">
        <v>893</v>
      </c>
      <c r="AZ267">
        <v>211.00000000675209</v>
      </c>
      <c r="BA267">
        <v>0</v>
      </c>
      <c r="BB267">
        <v>0</v>
      </c>
      <c r="BC267">
        <v>2</v>
      </c>
      <c r="BD267">
        <v>0</v>
      </c>
      <c r="BE267">
        <f t="shared" si="49"/>
        <v>1</v>
      </c>
    </row>
    <row r="268" spans="1:57" x14ac:dyDescent="0.25">
      <c r="A268" t="s">
        <v>39</v>
      </c>
      <c r="B268" t="s">
        <v>894</v>
      </c>
      <c r="C268">
        <v>62.7</v>
      </c>
      <c r="D268">
        <v>48.3</v>
      </c>
      <c r="G268">
        <f t="shared" si="40"/>
        <v>1</v>
      </c>
      <c r="H268">
        <f t="shared" si="41"/>
        <v>1</v>
      </c>
      <c r="I268">
        <f t="shared" si="42"/>
        <v>0</v>
      </c>
      <c r="J268">
        <v>55</v>
      </c>
      <c r="K268">
        <v>62.7</v>
      </c>
      <c r="L268">
        <v>43.1</v>
      </c>
      <c r="M268">
        <v>54.6</v>
      </c>
      <c r="N268">
        <v>45</v>
      </c>
      <c r="O268">
        <v>69.599999999999994</v>
      </c>
      <c r="S268">
        <f t="shared" si="43"/>
        <v>1</v>
      </c>
      <c r="T268">
        <f t="shared" si="44"/>
        <v>1</v>
      </c>
      <c r="U268">
        <f t="shared" si="45"/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13.9</v>
      </c>
      <c r="AG268">
        <f t="shared" si="46"/>
        <v>1</v>
      </c>
      <c r="AH268">
        <f t="shared" si="47"/>
        <v>0</v>
      </c>
      <c r="AI268">
        <f t="shared" si="48"/>
        <v>1</v>
      </c>
      <c r="AJ268">
        <v>157.5</v>
      </c>
      <c r="AK268">
        <v>1027.9000000000001</v>
      </c>
      <c r="AL268">
        <v>30</v>
      </c>
      <c r="AM268">
        <v>6.5</v>
      </c>
      <c r="AN268">
        <v>0</v>
      </c>
      <c r="AO268">
        <v>0</v>
      </c>
      <c r="AP268">
        <v>0</v>
      </c>
      <c r="AQ268">
        <v>0</v>
      </c>
      <c r="AR268" t="s">
        <v>895</v>
      </c>
      <c r="AS268" t="s">
        <v>896</v>
      </c>
      <c r="AT268">
        <v>0.59</v>
      </c>
      <c r="AU268" t="s">
        <v>43</v>
      </c>
      <c r="AV268" t="s">
        <v>44</v>
      </c>
      <c r="AW268" t="s">
        <v>45</v>
      </c>
      <c r="AX268" s="1">
        <v>0.55486111111111114</v>
      </c>
      <c r="AY268" t="s">
        <v>897</v>
      </c>
      <c r="AZ268">
        <v>461.00000000442378</v>
      </c>
      <c r="BA268">
        <v>1</v>
      </c>
      <c r="BB268">
        <v>70</v>
      </c>
      <c r="BC268">
        <v>0</v>
      </c>
      <c r="BD268">
        <v>0</v>
      </c>
      <c r="BE268">
        <f t="shared" si="49"/>
        <v>1</v>
      </c>
    </row>
    <row r="269" spans="1:57" x14ac:dyDescent="0.25">
      <c r="A269" t="s">
        <v>39</v>
      </c>
      <c r="B269" t="s">
        <v>898</v>
      </c>
      <c r="C269">
        <v>62.7</v>
      </c>
      <c r="D269">
        <v>50.1</v>
      </c>
      <c r="G269">
        <f t="shared" si="40"/>
        <v>1</v>
      </c>
      <c r="H269">
        <f t="shared" si="41"/>
        <v>1</v>
      </c>
      <c r="I269">
        <f t="shared" si="42"/>
        <v>0</v>
      </c>
      <c r="J269">
        <v>55.5</v>
      </c>
      <c r="K269">
        <v>62.7</v>
      </c>
      <c r="L269">
        <v>50.1</v>
      </c>
      <c r="M269">
        <v>55.5</v>
      </c>
      <c r="N269">
        <v>49.2</v>
      </c>
      <c r="O269">
        <v>79.8</v>
      </c>
      <c r="S269">
        <f t="shared" si="43"/>
        <v>1</v>
      </c>
      <c r="T269">
        <f t="shared" si="44"/>
        <v>1</v>
      </c>
      <c r="U269">
        <f t="shared" si="45"/>
        <v>0</v>
      </c>
      <c r="V269">
        <v>7.9000000000000001E-2</v>
      </c>
      <c r="W269">
        <v>100</v>
      </c>
      <c r="X269">
        <v>4.17</v>
      </c>
      <c r="Y269" t="s">
        <v>103</v>
      </c>
      <c r="Z269">
        <v>0</v>
      </c>
      <c r="AA269">
        <v>0</v>
      </c>
      <c r="AB269">
        <v>0</v>
      </c>
      <c r="AC269">
        <v>11.4</v>
      </c>
      <c r="AG269">
        <f t="shared" si="46"/>
        <v>1</v>
      </c>
      <c r="AH269">
        <f t="shared" si="47"/>
        <v>0</v>
      </c>
      <c r="AI269">
        <f t="shared" si="48"/>
        <v>1</v>
      </c>
      <c r="AJ269">
        <v>215.1</v>
      </c>
      <c r="AK269">
        <v>1010.4</v>
      </c>
      <c r="AL269">
        <v>43</v>
      </c>
      <c r="AM269">
        <v>6.8</v>
      </c>
      <c r="AN269">
        <v>0</v>
      </c>
      <c r="AO269">
        <v>0</v>
      </c>
      <c r="AP269">
        <v>0</v>
      </c>
      <c r="AQ269">
        <v>0</v>
      </c>
      <c r="AR269" t="s">
        <v>899</v>
      </c>
      <c r="AS269" t="s">
        <v>900</v>
      </c>
      <c r="AT269">
        <v>0.34</v>
      </c>
      <c r="AU269" t="s">
        <v>106</v>
      </c>
      <c r="AV269" t="s">
        <v>438</v>
      </c>
      <c r="AW269" t="s">
        <v>103</v>
      </c>
      <c r="AX269" s="1">
        <v>0.80555555555555558</v>
      </c>
      <c r="AY269" t="s">
        <v>901</v>
      </c>
      <c r="AZ269">
        <v>114.99999999767169</v>
      </c>
      <c r="BA269">
        <v>0</v>
      </c>
      <c r="BB269">
        <v>0</v>
      </c>
      <c r="BC269">
        <v>1</v>
      </c>
      <c r="BD269">
        <v>0</v>
      </c>
      <c r="BE269">
        <f t="shared" si="49"/>
        <v>1</v>
      </c>
    </row>
    <row r="270" spans="1:57" x14ac:dyDescent="0.25">
      <c r="A270" t="s">
        <v>39</v>
      </c>
      <c r="B270" t="s">
        <v>902</v>
      </c>
      <c r="C270">
        <v>86.1</v>
      </c>
      <c r="D270">
        <v>77.099999999999994</v>
      </c>
      <c r="G270">
        <f t="shared" si="40"/>
        <v>1</v>
      </c>
      <c r="H270">
        <f t="shared" si="41"/>
        <v>1</v>
      </c>
      <c r="I270">
        <f t="shared" si="42"/>
        <v>0</v>
      </c>
      <c r="J270">
        <v>82.7</v>
      </c>
      <c r="K270">
        <v>95.4</v>
      </c>
      <c r="L270">
        <v>77.099999999999994</v>
      </c>
      <c r="M270">
        <v>85.9</v>
      </c>
      <c r="N270">
        <v>67.7</v>
      </c>
      <c r="O270">
        <v>61</v>
      </c>
      <c r="S270">
        <f t="shared" si="43"/>
        <v>0</v>
      </c>
      <c r="T270">
        <f t="shared" si="44"/>
        <v>0</v>
      </c>
      <c r="U270">
        <f t="shared" si="45"/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18.3</v>
      </c>
      <c r="AG270">
        <f t="shared" si="46"/>
        <v>0</v>
      </c>
      <c r="AH270">
        <f t="shared" si="47"/>
        <v>0</v>
      </c>
      <c r="AI270">
        <f t="shared" si="48"/>
        <v>0</v>
      </c>
      <c r="AJ270">
        <v>337.6</v>
      </c>
      <c r="AK270">
        <v>1009.2</v>
      </c>
      <c r="AL270">
        <v>0</v>
      </c>
      <c r="AM270">
        <v>6.2</v>
      </c>
      <c r="AN270">
        <v>0</v>
      </c>
      <c r="AO270">
        <v>0</v>
      </c>
      <c r="AP270">
        <v>0</v>
      </c>
      <c r="AQ270">
        <v>0</v>
      </c>
      <c r="AR270" t="s">
        <v>903</v>
      </c>
      <c r="AS270" t="s">
        <v>904</v>
      </c>
      <c r="AT270">
        <v>0.46</v>
      </c>
      <c r="AU270" t="s">
        <v>74</v>
      </c>
      <c r="AV270" t="s">
        <v>44</v>
      </c>
      <c r="AW270" t="s">
        <v>75</v>
      </c>
      <c r="AX270" s="1">
        <v>0.62430555555555556</v>
      </c>
      <c r="AY270" t="s">
        <v>905</v>
      </c>
      <c r="AZ270">
        <v>31.000000006752089</v>
      </c>
      <c r="BA270">
        <v>0</v>
      </c>
      <c r="BB270">
        <v>0</v>
      </c>
      <c r="BC270">
        <v>0</v>
      </c>
      <c r="BD270">
        <v>0.2</v>
      </c>
      <c r="BE270">
        <f t="shared" si="49"/>
        <v>0</v>
      </c>
    </row>
    <row r="271" spans="1:57" x14ac:dyDescent="0.25">
      <c r="A271" t="s">
        <v>39</v>
      </c>
      <c r="B271" t="s">
        <v>898</v>
      </c>
      <c r="C271">
        <v>62.7</v>
      </c>
      <c r="D271">
        <v>50.1</v>
      </c>
      <c r="G271">
        <f t="shared" si="40"/>
        <v>1</v>
      </c>
      <c r="H271">
        <f t="shared" si="41"/>
        <v>1</v>
      </c>
      <c r="I271">
        <f t="shared" si="42"/>
        <v>0</v>
      </c>
      <c r="J271">
        <v>55.5</v>
      </c>
      <c r="K271">
        <v>62.7</v>
      </c>
      <c r="L271">
        <v>50.1</v>
      </c>
      <c r="M271">
        <v>55.5</v>
      </c>
      <c r="N271">
        <v>49.2</v>
      </c>
      <c r="O271">
        <v>79.8</v>
      </c>
      <c r="S271">
        <f t="shared" si="43"/>
        <v>1</v>
      </c>
      <c r="T271">
        <f t="shared" si="44"/>
        <v>1</v>
      </c>
      <c r="U271">
        <f t="shared" si="45"/>
        <v>0</v>
      </c>
      <c r="V271">
        <v>7.9000000000000001E-2</v>
      </c>
      <c r="W271">
        <v>100</v>
      </c>
      <c r="X271">
        <v>4.17</v>
      </c>
      <c r="Y271" t="s">
        <v>103</v>
      </c>
      <c r="Z271">
        <v>0</v>
      </c>
      <c r="AA271">
        <v>0</v>
      </c>
      <c r="AB271">
        <v>0</v>
      </c>
      <c r="AC271">
        <v>11.4</v>
      </c>
      <c r="AG271">
        <f t="shared" si="46"/>
        <v>1</v>
      </c>
      <c r="AH271">
        <f t="shared" si="47"/>
        <v>0</v>
      </c>
      <c r="AI271">
        <f t="shared" si="48"/>
        <v>1</v>
      </c>
      <c r="AJ271">
        <v>215.1</v>
      </c>
      <c r="AK271">
        <v>1010.4</v>
      </c>
      <c r="AL271">
        <v>43</v>
      </c>
      <c r="AM271">
        <v>6.8</v>
      </c>
      <c r="AN271">
        <v>0</v>
      </c>
      <c r="AO271">
        <v>0</v>
      </c>
      <c r="AP271">
        <v>0</v>
      </c>
      <c r="AQ271">
        <v>0</v>
      </c>
      <c r="AR271" t="s">
        <v>899</v>
      </c>
      <c r="AS271" t="s">
        <v>900</v>
      </c>
      <c r="AT271">
        <v>0.34</v>
      </c>
      <c r="AU271" t="s">
        <v>106</v>
      </c>
      <c r="AV271" t="s">
        <v>438</v>
      </c>
      <c r="AW271" t="s">
        <v>103</v>
      </c>
      <c r="AX271" s="1">
        <v>0.71180555555555558</v>
      </c>
      <c r="AY271" t="s">
        <v>906</v>
      </c>
      <c r="AZ271">
        <v>55.000000001164153</v>
      </c>
      <c r="BA271">
        <v>0</v>
      </c>
      <c r="BB271">
        <v>0</v>
      </c>
      <c r="BC271">
        <v>1</v>
      </c>
      <c r="BD271">
        <v>0</v>
      </c>
      <c r="BE271">
        <f t="shared" si="49"/>
        <v>1</v>
      </c>
    </row>
    <row r="272" spans="1:57" x14ac:dyDescent="0.25">
      <c r="A272" t="s">
        <v>39</v>
      </c>
      <c r="B272" t="s">
        <v>907</v>
      </c>
      <c r="C272">
        <v>69.900000000000006</v>
      </c>
      <c r="D272">
        <v>51.9</v>
      </c>
      <c r="G272">
        <f t="shared" si="40"/>
        <v>1</v>
      </c>
      <c r="H272">
        <f t="shared" si="41"/>
        <v>1</v>
      </c>
      <c r="I272">
        <f t="shared" si="42"/>
        <v>0</v>
      </c>
      <c r="J272">
        <v>58.8</v>
      </c>
      <c r="K272">
        <v>69.900000000000006</v>
      </c>
      <c r="L272">
        <v>51.9</v>
      </c>
      <c r="M272">
        <v>58.8</v>
      </c>
      <c r="N272">
        <v>45.8</v>
      </c>
      <c r="O272">
        <v>65.099999999999994</v>
      </c>
      <c r="S272">
        <f t="shared" si="43"/>
        <v>0</v>
      </c>
      <c r="T272">
        <f t="shared" si="44"/>
        <v>0</v>
      </c>
      <c r="U272">
        <f t="shared" si="45"/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11.4</v>
      </c>
      <c r="AG272">
        <f t="shared" si="46"/>
        <v>1</v>
      </c>
      <c r="AH272">
        <f t="shared" si="47"/>
        <v>0</v>
      </c>
      <c r="AI272">
        <f t="shared" si="48"/>
        <v>1</v>
      </c>
      <c r="AJ272">
        <v>163.5</v>
      </c>
      <c r="AK272">
        <v>1020.1</v>
      </c>
      <c r="AL272">
        <v>30</v>
      </c>
      <c r="AM272">
        <v>6.5</v>
      </c>
      <c r="AN272">
        <v>0</v>
      </c>
      <c r="AO272">
        <v>0</v>
      </c>
      <c r="AP272">
        <v>0</v>
      </c>
      <c r="AQ272">
        <v>0</v>
      </c>
      <c r="AR272" t="s">
        <v>908</v>
      </c>
      <c r="AS272" t="s">
        <v>909</v>
      </c>
      <c r="AT272">
        <v>0.56999999999999995</v>
      </c>
      <c r="AU272" t="s">
        <v>43</v>
      </c>
      <c r="AV272" t="s">
        <v>44</v>
      </c>
      <c r="AW272" t="s">
        <v>45</v>
      </c>
      <c r="AX272" s="1">
        <v>0.67291666666666672</v>
      </c>
      <c r="AY272" t="s">
        <v>910</v>
      </c>
      <c r="AZ272">
        <v>185.99999999860299</v>
      </c>
      <c r="BA272">
        <v>0</v>
      </c>
      <c r="BB272">
        <v>0</v>
      </c>
      <c r="BC272">
        <v>30</v>
      </c>
      <c r="BD272">
        <v>0</v>
      </c>
      <c r="BE272">
        <f t="shared" si="49"/>
        <v>0</v>
      </c>
    </row>
    <row r="273" spans="1:57" x14ac:dyDescent="0.25">
      <c r="A273" t="s">
        <v>39</v>
      </c>
      <c r="B273" t="s">
        <v>911</v>
      </c>
      <c r="C273">
        <v>84.3</v>
      </c>
      <c r="D273">
        <v>73.5</v>
      </c>
      <c r="G273">
        <f t="shared" si="40"/>
        <v>0</v>
      </c>
      <c r="H273">
        <f t="shared" si="41"/>
        <v>0</v>
      </c>
      <c r="I273">
        <f t="shared" si="42"/>
        <v>0</v>
      </c>
      <c r="J273">
        <v>80</v>
      </c>
      <c r="K273">
        <v>91.1</v>
      </c>
      <c r="L273">
        <v>73.5</v>
      </c>
      <c r="M273">
        <v>82.3</v>
      </c>
      <c r="N273">
        <v>65</v>
      </c>
      <c r="O273">
        <v>61.3</v>
      </c>
      <c r="S273">
        <f t="shared" si="43"/>
        <v>0</v>
      </c>
      <c r="T273">
        <f t="shared" si="44"/>
        <v>0</v>
      </c>
      <c r="U273">
        <f t="shared" si="45"/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18.3</v>
      </c>
      <c r="AG273">
        <f t="shared" si="46"/>
        <v>0</v>
      </c>
      <c r="AH273">
        <f t="shared" si="47"/>
        <v>0</v>
      </c>
      <c r="AI273">
        <f t="shared" si="48"/>
        <v>0</v>
      </c>
      <c r="AJ273">
        <v>295.10000000000002</v>
      </c>
      <c r="AK273">
        <v>1007.5</v>
      </c>
      <c r="AL273">
        <v>30</v>
      </c>
      <c r="AM273">
        <v>6.3</v>
      </c>
      <c r="AN273">
        <v>0</v>
      </c>
      <c r="AO273">
        <v>0</v>
      </c>
      <c r="AP273">
        <v>0</v>
      </c>
      <c r="AQ273">
        <v>0</v>
      </c>
      <c r="AR273" t="s">
        <v>912</v>
      </c>
      <c r="AS273" t="s">
        <v>913</v>
      </c>
      <c r="AT273">
        <v>0.93</v>
      </c>
      <c r="AU273" t="s">
        <v>43</v>
      </c>
      <c r="AV273" t="s">
        <v>44</v>
      </c>
      <c r="AW273" t="s">
        <v>45</v>
      </c>
      <c r="AX273" s="1">
        <v>0.38819444444444451</v>
      </c>
      <c r="AY273" t="s">
        <v>914</v>
      </c>
      <c r="AZ273">
        <v>101.0000000044238</v>
      </c>
      <c r="BA273">
        <v>0</v>
      </c>
      <c r="BB273">
        <v>0</v>
      </c>
      <c r="BC273">
        <v>0.5</v>
      </c>
      <c r="BD273">
        <v>0</v>
      </c>
      <c r="BE273">
        <f t="shared" si="49"/>
        <v>0</v>
      </c>
    </row>
    <row r="274" spans="1:57" x14ac:dyDescent="0.25">
      <c r="A274" t="s">
        <v>39</v>
      </c>
      <c r="B274" t="s">
        <v>915</v>
      </c>
      <c r="C274">
        <v>84.3</v>
      </c>
      <c r="D274">
        <v>73.5</v>
      </c>
      <c r="G274">
        <f t="shared" si="40"/>
        <v>0</v>
      </c>
      <c r="H274">
        <f t="shared" si="41"/>
        <v>0</v>
      </c>
      <c r="I274">
        <f t="shared" si="42"/>
        <v>0</v>
      </c>
      <c r="J274">
        <v>79.599999999999994</v>
      </c>
      <c r="K274">
        <v>89.7</v>
      </c>
      <c r="L274">
        <v>73.5</v>
      </c>
      <c r="M274">
        <v>81.900000000000006</v>
      </c>
      <c r="N274">
        <v>66.400000000000006</v>
      </c>
      <c r="O274">
        <v>64.599999999999994</v>
      </c>
      <c r="S274">
        <f t="shared" si="43"/>
        <v>1</v>
      </c>
      <c r="T274">
        <f t="shared" si="44"/>
        <v>1</v>
      </c>
      <c r="U274">
        <f t="shared" si="45"/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16.100000000000001</v>
      </c>
      <c r="AG274">
        <f t="shared" si="46"/>
        <v>0</v>
      </c>
      <c r="AH274">
        <f t="shared" si="47"/>
        <v>0</v>
      </c>
      <c r="AI274">
        <f t="shared" si="48"/>
        <v>0</v>
      </c>
      <c r="AJ274">
        <v>293.60000000000002</v>
      </c>
      <c r="AK274">
        <v>1008</v>
      </c>
      <c r="AL274">
        <v>30</v>
      </c>
      <c r="AM274">
        <v>6.5</v>
      </c>
      <c r="AN274">
        <v>0</v>
      </c>
      <c r="AO274">
        <v>0</v>
      </c>
      <c r="AP274">
        <v>0</v>
      </c>
      <c r="AQ274">
        <v>0</v>
      </c>
      <c r="AR274" t="s">
        <v>916</v>
      </c>
      <c r="AS274" t="s">
        <v>917</v>
      </c>
      <c r="AT274">
        <v>0.03</v>
      </c>
      <c r="AU274" t="s">
        <v>43</v>
      </c>
      <c r="AV274" t="s">
        <v>44</v>
      </c>
      <c r="AW274" t="s">
        <v>45</v>
      </c>
      <c r="AX274" s="1">
        <v>0.33263888888888887</v>
      </c>
      <c r="AY274" t="s">
        <v>918</v>
      </c>
      <c r="AZ274">
        <v>120.9999999962747</v>
      </c>
      <c r="BA274">
        <v>0</v>
      </c>
      <c r="BB274">
        <v>0.1</v>
      </c>
      <c r="BC274">
        <v>0</v>
      </c>
      <c r="BD274">
        <v>0</v>
      </c>
      <c r="BE274">
        <f t="shared" si="49"/>
        <v>0</v>
      </c>
    </row>
    <row r="275" spans="1:57" x14ac:dyDescent="0.25">
      <c r="A275" t="s">
        <v>39</v>
      </c>
      <c r="B275" t="s">
        <v>919</v>
      </c>
      <c r="C275">
        <v>71.7</v>
      </c>
      <c r="D275">
        <v>51.9</v>
      </c>
      <c r="G275">
        <f t="shared" si="40"/>
        <v>1</v>
      </c>
      <c r="H275">
        <f t="shared" si="41"/>
        <v>1</v>
      </c>
      <c r="I275">
        <f t="shared" si="42"/>
        <v>0</v>
      </c>
      <c r="J275">
        <v>59</v>
      </c>
      <c r="K275">
        <v>71.7</v>
      </c>
      <c r="L275">
        <v>51.9</v>
      </c>
      <c r="M275">
        <v>59</v>
      </c>
      <c r="N275">
        <v>46.4</v>
      </c>
      <c r="O275">
        <v>64.400000000000006</v>
      </c>
      <c r="S275">
        <f t="shared" si="43"/>
        <v>0</v>
      </c>
      <c r="T275">
        <f t="shared" si="44"/>
        <v>0</v>
      </c>
      <c r="U275">
        <f t="shared" si="45"/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15</v>
      </c>
      <c r="AG275">
        <f t="shared" si="46"/>
        <v>1</v>
      </c>
      <c r="AH275">
        <f t="shared" si="47"/>
        <v>0</v>
      </c>
      <c r="AI275">
        <f t="shared" si="48"/>
        <v>1</v>
      </c>
      <c r="AJ275">
        <v>145.5</v>
      </c>
      <c r="AK275">
        <v>1020.4</v>
      </c>
      <c r="AL275">
        <v>0</v>
      </c>
      <c r="AM275">
        <v>6.2</v>
      </c>
      <c r="AN275">
        <v>0</v>
      </c>
      <c r="AO275">
        <v>0</v>
      </c>
      <c r="AP275">
        <v>0</v>
      </c>
      <c r="AQ275">
        <v>0</v>
      </c>
      <c r="AR275" t="s">
        <v>920</v>
      </c>
      <c r="AS275" t="s">
        <v>921</v>
      </c>
      <c r="AT275">
        <v>0.6</v>
      </c>
      <c r="AU275" t="s">
        <v>74</v>
      </c>
      <c r="AV275" t="s">
        <v>44</v>
      </c>
      <c r="AW275" t="s">
        <v>75</v>
      </c>
      <c r="AX275" s="1">
        <v>0.5756944444444444</v>
      </c>
      <c r="AY275" t="s">
        <v>922</v>
      </c>
      <c r="AZ275">
        <v>641.00000000442378</v>
      </c>
      <c r="BA275">
        <v>1</v>
      </c>
      <c r="BB275">
        <v>60</v>
      </c>
      <c r="BC275">
        <v>0</v>
      </c>
      <c r="BD275">
        <v>0</v>
      </c>
      <c r="BE275">
        <f t="shared" si="49"/>
        <v>1</v>
      </c>
    </row>
    <row r="276" spans="1:57" x14ac:dyDescent="0.25">
      <c r="A276" t="s">
        <v>39</v>
      </c>
      <c r="B276" t="s">
        <v>923</v>
      </c>
      <c r="C276">
        <v>107.7</v>
      </c>
      <c r="D276">
        <v>80.7</v>
      </c>
      <c r="G276">
        <f t="shared" si="40"/>
        <v>1</v>
      </c>
      <c r="H276">
        <f t="shared" si="41"/>
        <v>1</v>
      </c>
      <c r="I276">
        <f t="shared" si="42"/>
        <v>0</v>
      </c>
      <c r="J276">
        <v>92</v>
      </c>
      <c r="K276">
        <v>107.7</v>
      </c>
      <c r="L276">
        <v>80.099999999999994</v>
      </c>
      <c r="M276">
        <v>92.2</v>
      </c>
      <c r="N276">
        <v>55</v>
      </c>
      <c r="O276">
        <v>31</v>
      </c>
      <c r="S276">
        <f t="shared" si="43"/>
        <v>1</v>
      </c>
      <c r="T276">
        <f t="shared" si="44"/>
        <v>0</v>
      </c>
      <c r="U276">
        <f t="shared" si="45"/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17.2</v>
      </c>
      <c r="AG276">
        <f t="shared" si="46"/>
        <v>0</v>
      </c>
      <c r="AH276">
        <f t="shared" si="47"/>
        <v>0</v>
      </c>
      <c r="AI276">
        <f t="shared" si="48"/>
        <v>0</v>
      </c>
      <c r="AJ276">
        <v>147.19999999999999</v>
      </c>
      <c r="AK276">
        <v>1008.7</v>
      </c>
      <c r="AL276">
        <v>0</v>
      </c>
      <c r="AM276">
        <v>6.2</v>
      </c>
      <c r="AN276">
        <v>0</v>
      </c>
      <c r="AO276">
        <v>0</v>
      </c>
      <c r="AP276">
        <v>0</v>
      </c>
      <c r="AQ276">
        <v>0</v>
      </c>
      <c r="AR276" t="s">
        <v>924</v>
      </c>
      <c r="AS276" t="s">
        <v>925</v>
      </c>
      <c r="AT276">
        <v>0.09</v>
      </c>
      <c r="AU276" t="s">
        <v>74</v>
      </c>
      <c r="AV276" t="s">
        <v>44</v>
      </c>
      <c r="AW276" t="s">
        <v>75</v>
      </c>
      <c r="AX276" s="1">
        <v>0.75</v>
      </c>
      <c r="AY276" t="s">
        <v>926</v>
      </c>
      <c r="AZ276">
        <v>5430.0000000034916</v>
      </c>
      <c r="BA276">
        <v>1</v>
      </c>
      <c r="BB276">
        <v>0</v>
      </c>
      <c r="BC276">
        <v>70</v>
      </c>
      <c r="BD276">
        <v>0</v>
      </c>
      <c r="BE276">
        <f t="shared" si="49"/>
        <v>1</v>
      </c>
    </row>
    <row r="277" spans="1:57" x14ac:dyDescent="0.25">
      <c r="A277" t="s">
        <v>39</v>
      </c>
      <c r="B277" t="s">
        <v>927</v>
      </c>
      <c r="C277">
        <v>60.9</v>
      </c>
      <c r="D277">
        <v>44.7</v>
      </c>
      <c r="G277">
        <f t="shared" si="40"/>
        <v>1</v>
      </c>
      <c r="H277">
        <f t="shared" si="41"/>
        <v>1</v>
      </c>
      <c r="I277">
        <f t="shared" si="42"/>
        <v>0</v>
      </c>
      <c r="J277">
        <v>53.2</v>
      </c>
      <c r="K277">
        <v>60.9</v>
      </c>
      <c r="L277">
        <v>40.799999999999997</v>
      </c>
      <c r="M277">
        <v>52</v>
      </c>
      <c r="N277">
        <v>44.9</v>
      </c>
      <c r="O277">
        <v>74.099999999999994</v>
      </c>
      <c r="S277">
        <f t="shared" si="43"/>
        <v>1</v>
      </c>
      <c r="T277">
        <f t="shared" si="44"/>
        <v>1</v>
      </c>
      <c r="U277">
        <f t="shared" si="45"/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9.1999999999999993</v>
      </c>
      <c r="AG277">
        <f t="shared" si="46"/>
        <v>1</v>
      </c>
      <c r="AH277">
        <f t="shared" si="47"/>
        <v>0</v>
      </c>
      <c r="AI277">
        <f t="shared" si="48"/>
        <v>1</v>
      </c>
      <c r="AJ277">
        <v>143.19999999999999</v>
      </c>
      <c r="AK277">
        <v>1019.5</v>
      </c>
      <c r="AL277">
        <v>32.700000000000003</v>
      </c>
      <c r="AM277">
        <v>6.8</v>
      </c>
      <c r="AN277">
        <v>0</v>
      </c>
      <c r="AO277">
        <v>0</v>
      </c>
      <c r="AP277">
        <v>0</v>
      </c>
      <c r="AQ277">
        <v>0</v>
      </c>
      <c r="AR277" t="s">
        <v>928</v>
      </c>
      <c r="AS277" t="s">
        <v>929</v>
      </c>
      <c r="AT277">
        <v>0.83</v>
      </c>
      <c r="AU277" t="s">
        <v>43</v>
      </c>
      <c r="AV277" t="s">
        <v>44</v>
      </c>
      <c r="AW277" t="s">
        <v>45</v>
      </c>
      <c r="AX277" s="1">
        <v>0.61736111111111114</v>
      </c>
      <c r="AY277" t="s">
        <v>930</v>
      </c>
      <c r="AZ277">
        <v>191.00000000442381</v>
      </c>
      <c r="BA277">
        <v>0</v>
      </c>
      <c r="BB277">
        <v>0</v>
      </c>
      <c r="BC277">
        <v>1</v>
      </c>
      <c r="BD277">
        <v>0</v>
      </c>
      <c r="BE277">
        <f t="shared" si="49"/>
        <v>1</v>
      </c>
    </row>
    <row r="278" spans="1:57" x14ac:dyDescent="0.25">
      <c r="A278" t="s">
        <v>39</v>
      </c>
      <c r="B278" t="s">
        <v>931</v>
      </c>
      <c r="C278">
        <v>62.7</v>
      </c>
      <c r="D278">
        <v>46.5</v>
      </c>
      <c r="G278">
        <f t="shared" si="40"/>
        <v>1</v>
      </c>
      <c r="H278">
        <f t="shared" si="41"/>
        <v>1</v>
      </c>
      <c r="I278">
        <f t="shared" si="42"/>
        <v>0</v>
      </c>
      <c r="J278">
        <v>54.8</v>
      </c>
      <c r="K278">
        <v>62.7</v>
      </c>
      <c r="L278">
        <v>42</v>
      </c>
      <c r="M278">
        <v>53.7</v>
      </c>
      <c r="N278">
        <v>43.1</v>
      </c>
      <c r="O278">
        <v>65.3</v>
      </c>
      <c r="S278">
        <f t="shared" si="43"/>
        <v>1</v>
      </c>
      <c r="T278">
        <f t="shared" si="44"/>
        <v>0</v>
      </c>
      <c r="U278">
        <f t="shared" si="45"/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13.9</v>
      </c>
      <c r="AG278">
        <f t="shared" si="46"/>
        <v>1</v>
      </c>
      <c r="AH278">
        <f t="shared" si="47"/>
        <v>0</v>
      </c>
      <c r="AI278">
        <f t="shared" si="48"/>
        <v>1</v>
      </c>
      <c r="AJ278">
        <v>176</v>
      </c>
      <c r="AK278">
        <v>1017.5</v>
      </c>
      <c r="AL278">
        <v>30</v>
      </c>
      <c r="AM278">
        <v>6.6</v>
      </c>
      <c r="AN278">
        <v>0</v>
      </c>
      <c r="AO278">
        <v>0</v>
      </c>
      <c r="AP278">
        <v>0</v>
      </c>
      <c r="AQ278">
        <v>0</v>
      </c>
      <c r="AR278" t="s">
        <v>932</v>
      </c>
      <c r="AS278" t="s">
        <v>933</v>
      </c>
      <c r="AT278">
        <v>0.04</v>
      </c>
      <c r="AU278" t="s">
        <v>43</v>
      </c>
      <c r="AV278" t="s">
        <v>44</v>
      </c>
      <c r="AW278" t="s">
        <v>45</v>
      </c>
      <c r="AX278" s="1">
        <v>0.55069444444444449</v>
      </c>
      <c r="AY278" t="s">
        <v>934</v>
      </c>
      <c r="AZ278">
        <v>362.00000000651931</v>
      </c>
      <c r="BA278">
        <v>1</v>
      </c>
      <c r="BB278">
        <v>0</v>
      </c>
      <c r="BC278">
        <v>25</v>
      </c>
      <c r="BD278">
        <v>0</v>
      </c>
      <c r="BE278">
        <f t="shared" si="49"/>
        <v>1</v>
      </c>
    </row>
    <row r="279" spans="1:57" x14ac:dyDescent="0.25">
      <c r="A279" t="s">
        <v>39</v>
      </c>
      <c r="B279" t="s">
        <v>935</v>
      </c>
      <c r="C279">
        <v>69.900000000000006</v>
      </c>
      <c r="D279">
        <v>53.7</v>
      </c>
      <c r="G279">
        <f t="shared" si="40"/>
        <v>1</v>
      </c>
      <c r="H279">
        <f t="shared" si="41"/>
        <v>1</v>
      </c>
      <c r="I279">
        <f t="shared" si="42"/>
        <v>0</v>
      </c>
      <c r="J279">
        <v>60.2</v>
      </c>
      <c r="K279">
        <v>69.900000000000006</v>
      </c>
      <c r="L279">
        <v>53.7</v>
      </c>
      <c r="M279">
        <v>60.2</v>
      </c>
      <c r="N279">
        <v>42.8</v>
      </c>
      <c r="O279">
        <v>54.9</v>
      </c>
      <c r="S279">
        <f t="shared" si="43"/>
        <v>1</v>
      </c>
      <c r="T279">
        <f t="shared" si="44"/>
        <v>0</v>
      </c>
      <c r="U279">
        <f t="shared" si="45"/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8.1</v>
      </c>
      <c r="AG279">
        <f t="shared" si="46"/>
        <v>1</v>
      </c>
      <c r="AH279">
        <f t="shared" si="47"/>
        <v>0</v>
      </c>
      <c r="AI279">
        <f t="shared" si="48"/>
        <v>1</v>
      </c>
      <c r="AJ279">
        <v>137.19999999999999</v>
      </c>
      <c r="AK279">
        <v>1018.6</v>
      </c>
      <c r="AL279">
        <v>0</v>
      </c>
      <c r="AM279">
        <v>6.2</v>
      </c>
      <c r="AN279">
        <v>0</v>
      </c>
      <c r="AO279">
        <v>0</v>
      </c>
      <c r="AP279">
        <v>0</v>
      </c>
      <c r="AQ279">
        <v>0</v>
      </c>
      <c r="AR279" t="s">
        <v>936</v>
      </c>
      <c r="AS279" t="s">
        <v>937</v>
      </c>
      <c r="AT279">
        <v>0.71</v>
      </c>
      <c r="AU279" t="s">
        <v>74</v>
      </c>
      <c r="AV279" t="s">
        <v>44</v>
      </c>
      <c r="AW279" t="s">
        <v>75</v>
      </c>
      <c r="AX279" s="1">
        <v>0.63472222222222219</v>
      </c>
      <c r="AY279" t="s">
        <v>938</v>
      </c>
      <c r="AZ279">
        <v>161.00000000093129</v>
      </c>
      <c r="BA279">
        <v>0</v>
      </c>
      <c r="BB279">
        <v>0</v>
      </c>
      <c r="BC279">
        <v>20</v>
      </c>
      <c r="BD279">
        <v>0</v>
      </c>
      <c r="BE279">
        <f t="shared" si="49"/>
        <v>1</v>
      </c>
    </row>
    <row r="280" spans="1:57" x14ac:dyDescent="0.25">
      <c r="A280" t="s">
        <v>39</v>
      </c>
      <c r="B280" t="s">
        <v>939</v>
      </c>
      <c r="C280">
        <v>80.7</v>
      </c>
      <c r="D280">
        <v>75.3</v>
      </c>
      <c r="G280">
        <f t="shared" si="40"/>
        <v>1</v>
      </c>
      <c r="H280">
        <f t="shared" si="41"/>
        <v>0</v>
      </c>
      <c r="I280">
        <f t="shared" si="42"/>
        <v>1</v>
      </c>
      <c r="J280">
        <v>77.400000000000006</v>
      </c>
      <c r="K280">
        <v>81.5</v>
      </c>
      <c r="L280">
        <v>75.3</v>
      </c>
      <c r="M280">
        <v>77.599999999999994</v>
      </c>
      <c r="N280">
        <v>62.3</v>
      </c>
      <c r="O280">
        <v>60.3</v>
      </c>
      <c r="S280">
        <f t="shared" si="43"/>
        <v>0</v>
      </c>
      <c r="T280">
        <f t="shared" si="44"/>
        <v>0</v>
      </c>
      <c r="U280">
        <f t="shared" si="45"/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20.8</v>
      </c>
      <c r="AG280">
        <f t="shared" si="46"/>
        <v>1</v>
      </c>
      <c r="AH280">
        <f t="shared" si="47"/>
        <v>1</v>
      </c>
      <c r="AI280">
        <f t="shared" si="48"/>
        <v>0</v>
      </c>
      <c r="AJ280">
        <v>298.8</v>
      </c>
      <c r="AK280">
        <v>1012.5</v>
      </c>
      <c r="AL280">
        <v>34.200000000000003</v>
      </c>
      <c r="AM280">
        <v>6.8</v>
      </c>
      <c r="AN280">
        <v>0</v>
      </c>
      <c r="AO280">
        <v>0</v>
      </c>
      <c r="AP280">
        <v>0</v>
      </c>
      <c r="AQ280">
        <v>0</v>
      </c>
      <c r="AR280" t="s">
        <v>940</v>
      </c>
      <c r="AS280" t="s">
        <v>941</v>
      </c>
      <c r="AT280">
        <v>0.68</v>
      </c>
      <c r="AU280" t="s">
        <v>43</v>
      </c>
      <c r="AV280" t="s">
        <v>44</v>
      </c>
      <c r="AW280" t="s">
        <v>45</v>
      </c>
      <c r="AX280" s="1">
        <v>2.7777777777777779E-3</v>
      </c>
      <c r="AY280" t="s">
        <v>942</v>
      </c>
      <c r="AZ280">
        <v>216.0000000020955</v>
      </c>
      <c r="BA280">
        <v>0</v>
      </c>
      <c r="BB280">
        <v>0.5</v>
      </c>
      <c r="BC280">
        <v>0</v>
      </c>
      <c r="BD280">
        <v>0</v>
      </c>
      <c r="BE280">
        <f t="shared" si="49"/>
        <v>0</v>
      </c>
    </row>
    <row r="281" spans="1:57" x14ac:dyDescent="0.25">
      <c r="A281" t="s">
        <v>39</v>
      </c>
      <c r="B281" t="s">
        <v>943</v>
      </c>
      <c r="C281">
        <v>68.099999999999994</v>
      </c>
      <c r="D281">
        <v>50.1</v>
      </c>
      <c r="G281">
        <f t="shared" si="40"/>
        <v>1</v>
      </c>
      <c r="H281">
        <f t="shared" si="41"/>
        <v>1</v>
      </c>
      <c r="I281">
        <f t="shared" si="42"/>
        <v>0</v>
      </c>
      <c r="J281">
        <v>58</v>
      </c>
      <c r="K281">
        <v>68.099999999999994</v>
      </c>
      <c r="L281">
        <v>50.1</v>
      </c>
      <c r="M281">
        <v>58</v>
      </c>
      <c r="N281">
        <v>46.1</v>
      </c>
      <c r="O281">
        <v>66</v>
      </c>
      <c r="S281">
        <f t="shared" si="43"/>
        <v>0</v>
      </c>
      <c r="T281">
        <f t="shared" si="44"/>
        <v>0</v>
      </c>
      <c r="U281">
        <f t="shared" si="45"/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13.9</v>
      </c>
      <c r="AG281">
        <f t="shared" si="46"/>
        <v>1</v>
      </c>
      <c r="AH281">
        <f t="shared" si="47"/>
        <v>0</v>
      </c>
      <c r="AI281">
        <f t="shared" si="48"/>
        <v>1</v>
      </c>
      <c r="AJ281">
        <v>149.6</v>
      </c>
      <c r="AK281">
        <v>1019</v>
      </c>
      <c r="AL281">
        <v>0</v>
      </c>
      <c r="AM281">
        <v>6.2</v>
      </c>
      <c r="AN281">
        <v>0</v>
      </c>
      <c r="AO281">
        <v>0</v>
      </c>
      <c r="AP281">
        <v>0</v>
      </c>
      <c r="AQ281">
        <v>0</v>
      </c>
      <c r="AR281" t="s">
        <v>944</v>
      </c>
      <c r="AS281" t="s">
        <v>945</v>
      </c>
      <c r="AT281">
        <v>0.64</v>
      </c>
      <c r="AU281" t="s">
        <v>74</v>
      </c>
      <c r="AV281" t="s">
        <v>44</v>
      </c>
      <c r="AW281" t="s">
        <v>75</v>
      </c>
      <c r="AX281" s="1">
        <v>0.68680555555555556</v>
      </c>
      <c r="AY281" t="s">
        <v>946</v>
      </c>
      <c r="AZ281">
        <v>31.000000006752089</v>
      </c>
      <c r="BA281">
        <v>0</v>
      </c>
      <c r="BB281">
        <v>0</v>
      </c>
      <c r="BC281">
        <v>2</v>
      </c>
      <c r="BD281">
        <v>0</v>
      </c>
      <c r="BE281">
        <f t="shared" si="49"/>
        <v>0</v>
      </c>
    </row>
    <row r="282" spans="1:57" x14ac:dyDescent="0.25">
      <c r="A282" t="s">
        <v>39</v>
      </c>
      <c r="B282" t="s">
        <v>947</v>
      </c>
      <c r="C282">
        <v>62.7</v>
      </c>
      <c r="D282">
        <v>48.3</v>
      </c>
      <c r="G282">
        <f t="shared" si="40"/>
        <v>1</v>
      </c>
      <c r="H282">
        <f t="shared" si="41"/>
        <v>1</v>
      </c>
      <c r="I282">
        <f t="shared" si="42"/>
        <v>0</v>
      </c>
      <c r="J282">
        <v>55</v>
      </c>
      <c r="K282">
        <v>62.7</v>
      </c>
      <c r="L282">
        <v>45.7</v>
      </c>
      <c r="M282">
        <v>54.8</v>
      </c>
      <c r="N282">
        <v>48.7</v>
      </c>
      <c r="O282">
        <v>79.900000000000006</v>
      </c>
      <c r="S282">
        <f t="shared" si="43"/>
        <v>1</v>
      </c>
      <c r="T282">
        <f t="shared" si="44"/>
        <v>1</v>
      </c>
      <c r="U282">
        <f t="shared" si="45"/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9.1999999999999993</v>
      </c>
      <c r="AG282">
        <f t="shared" si="46"/>
        <v>1</v>
      </c>
      <c r="AH282">
        <f t="shared" si="47"/>
        <v>0</v>
      </c>
      <c r="AI282">
        <f t="shared" si="48"/>
        <v>1</v>
      </c>
      <c r="AJ282">
        <v>179.7</v>
      </c>
      <c r="AK282">
        <v>1029.3</v>
      </c>
      <c r="AL282">
        <v>36.1</v>
      </c>
      <c r="AM282">
        <v>6.8</v>
      </c>
      <c r="AN282">
        <v>0</v>
      </c>
      <c r="AO282">
        <v>0</v>
      </c>
      <c r="AP282">
        <v>0</v>
      </c>
      <c r="AQ282">
        <v>0</v>
      </c>
      <c r="AR282" t="s">
        <v>948</v>
      </c>
      <c r="AS282" t="s">
        <v>949</v>
      </c>
      <c r="AT282">
        <v>0.55000000000000004</v>
      </c>
      <c r="AU282" t="s">
        <v>43</v>
      </c>
      <c r="AV282" t="s">
        <v>44</v>
      </c>
      <c r="AW282" t="s">
        <v>45</v>
      </c>
      <c r="AX282" s="1">
        <v>0.50694444444444442</v>
      </c>
      <c r="AY282" t="s">
        <v>950</v>
      </c>
      <c r="AZ282">
        <v>229.99999999534339</v>
      </c>
      <c r="BA282">
        <v>0</v>
      </c>
      <c r="BB282">
        <v>0</v>
      </c>
      <c r="BC282">
        <v>15</v>
      </c>
      <c r="BD282">
        <v>0</v>
      </c>
      <c r="BE282">
        <f t="shared" si="49"/>
        <v>1</v>
      </c>
    </row>
    <row r="283" spans="1:57" x14ac:dyDescent="0.25">
      <c r="A283" t="s">
        <v>39</v>
      </c>
      <c r="B283" t="s">
        <v>947</v>
      </c>
      <c r="C283">
        <v>62.7</v>
      </c>
      <c r="D283">
        <v>48.3</v>
      </c>
      <c r="G283">
        <f t="shared" si="40"/>
        <v>1</v>
      </c>
      <c r="H283">
        <f t="shared" si="41"/>
        <v>1</v>
      </c>
      <c r="I283">
        <f t="shared" si="42"/>
        <v>0</v>
      </c>
      <c r="J283">
        <v>55</v>
      </c>
      <c r="K283">
        <v>62.7</v>
      </c>
      <c r="L283">
        <v>45.7</v>
      </c>
      <c r="M283">
        <v>54.8</v>
      </c>
      <c r="N283">
        <v>48.7</v>
      </c>
      <c r="O283">
        <v>79.900000000000006</v>
      </c>
      <c r="S283">
        <f t="shared" si="43"/>
        <v>1</v>
      </c>
      <c r="T283">
        <f t="shared" si="44"/>
        <v>1</v>
      </c>
      <c r="U283">
        <f t="shared" si="45"/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9.1999999999999993</v>
      </c>
      <c r="AG283">
        <f t="shared" si="46"/>
        <v>1</v>
      </c>
      <c r="AH283">
        <f t="shared" si="47"/>
        <v>0</v>
      </c>
      <c r="AI283">
        <f t="shared" si="48"/>
        <v>1</v>
      </c>
      <c r="AJ283">
        <v>179.7</v>
      </c>
      <c r="AK283">
        <v>1029.3</v>
      </c>
      <c r="AL283">
        <v>36.1</v>
      </c>
      <c r="AM283">
        <v>6.8</v>
      </c>
      <c r="AN283">
        <v>0</v>
      </c>
      <c r="AO283">
        <v>0</v>
      </c>
      <c r="AP283">
        <v>0</v>
      </c>
      <c r="AQ283">
        <v>0</v>
      </c>
      <c r="AR283" t="s">
        <v>948</v>
      </c>
      <c r="AS283" t="s">
        <v>949</v>
      </c>
      <c r="AT283">
        <v>0.55000000000000004</v>
      </c>
      <c r="AU283" t="s">
        <v>43</v>
      </c>
      <c r="AV283" t="s">
        <v>44</v>
      </c>
      <c r="AW283" t="s">
        <v>45</v>
      </c>
      <c r="AX283" s="1">
        <v>0.13472222222222219</v>
      </c>
      <c r="AY283" t="s">
        <v>951</v>
      </c>
      <c r="AZ283">
        <v>255.99999999627471</v>
      </c>
      <c r="BA283">
        <v>0</v>
      </c>
      <c r="BB283">
        <v>0</v>
      </c>
      <c r="BC283">
        <v>2</v>
      </c>
      <c r="BD283">
        <v>0</v>
      </c>
      <c r="BE283">
        <f t="shared" si="49"/>
        <v>1</v>
      </c>
    </row>
    <row r="284" spans="1:57" x14ac:dyDescent="0.25">
      <c r="A284" t="s">
        <v>39</v>
      </c>
      <c r="B284" t="s">
        <v>931</v>
      </c>
      <c r="C284">
        <v>62.7</v>
      </c>
      <c r="D284">
        <v>46.5</v>
      </c>
      <c r="G284">
        <f t="shared" si="40"/>
        <v>1</v>
      </c>
      <c r="H284">
        <f t="shared" si="41"/>
        <v>1</v>
      </c>
      <c r="I284">
        <f t="shared" si="42"/>
        <v>0</v>
      </c>
      <c r="J284">
        <v>54.8</v>
      </c>
      <c r="K284">
        <v>62.7</v>
      </c>
      <c r="L284">
        <v>42</v>
      </c>
      <c r="M284">
        <v>53.7</v>
      </c>
      <c r="N284">
        <v>43.1</v>
      </c>
      <c r="O284">
        <v>65.3</v>
      </c>
      <c r="S284">
        <f t="shared" si="43"/>
        <v>1</v>
      </c>
      <c r="T284">
        <f t="shared" si="44"/>
        <v>0</v>
      </c>
      <c r="U284">
        <f t="shared" si="45"/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13.9</v>
      </c>
      <c r="AG284">
        <f t="shared" si="46"/>
        <v>1</v>
      </c>
      <c r="AH284">
        <f t="shared" si="47"/>
        <v>0</v>
      </c>
      <c r="AI284">
        <f t="shared" si="48"/>
        <v>1</v>
      </c>
      <c r="AJ284">
        <v>176</v>
      </c>
      <c r="AK284">
        <v>1017.5</v>
      </c>
      <c r="AL284">
        <v>30</v>
      </c>
      <c r="AM284">
        <v>6.6</v>
      </c>
      <c r="AN284">
        <v>0</v>
      </c>
      <c r="AO284">
        <v>0</v>
      </c>
      <c r="AP284">
        <v>0</v>
      </c>
      <c r="AQ284">
        <v>0</v>
      </c>
      <c r="AR284" t="s">
        <v>932</v>
      </c>
      <c r="AS284" t="s">
        <v>933</v>
      </c>
      <c r="AT284">
        <v>0.04</v>
      </c>
      <c r="AU284" t="s">
        <v>43</v>
      </c>
      <c r="AV284" t="s">
        <v>44</v>
      </c>
      <c r="AW284" t="s">
        <v>45</v>
      </c>
      <c r="AX284" s="1">
        <v>0.52083333333333337</v>
      </c>
      <c r="AY284" t="s">
        <v>952</v>
      </c>
      <c r="AZ284">
        <v>239.99999999650751</v>
      </c>
      <c r="BA284">
        <v>0</v>
      </c>
      <c r="BB284">
        <v>0</v>
      </c>
      <c r="BC284">
        <v>1</v>
      </c>
      <c r="BD284">
        <v>0</v>
      </c>
      <c r="BE284">
        <f t="shared" si="49"/>
        <v>1</v>
      </c>
    </row>
    <row r="285" spans="1:57" x14ac:dyDescent="0.25">
      <c r="A285" t="s">
        <v>39</v>
      </c>
      <c r="B285" t="s">
        <v>953</v>
      </c>
      <c r="C285">
        <v>62.7</v>
      </c>
      <c r="D285">
        <v>57.3</v>
      </c>
      <c r="G285">
        <f t="shared" si="40"/>
        <v>0</v>
      </c>
      <c r="H285">
        <f t="shared" si="41"/>
        <v>0</v>
      </c>
      <c r="I285">
        <f t="shared" si="42"/>
        <v>0</v>
      </c>
      <c r="J285">
        <v>59.7</v>
      </c>
      <c r="K285">
        <v>62.7</v>
      </c>
      <c r="L285">
        <v>57.3</v>
      </c>
      <c r="M285">
        <v>59.7</v>
      </c>
      <c r="N285">
        <v>50.5</v>
      </c>
      <c r="O285">
        <v>71.599999999999994</v>
      </c>
      <c r="S285">
        <f t="shared" si="43"/>
        <v>1</v>
      </c>
      <c r="T285">
        <f t="shared" si="44"/>
        <v>1</v>
      </c>
      <c r="U285">
        <f t="shared" si="45"/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16.100000000000001</v>
      </c>
      <c r="AG285">
        <f t="shared" si="46"/>
        <v>0</v>
      </c>
      <c r="AH285">
        <f t="shared" si="47"/>
        <v>0</v>
      </c>
      <c r="AI285">
        <f t="shared" si="48"/>
        <v>0</v>
      </c>
      <c r="AJ285">
        <v>316.2</v>
      </c>
      <c r="AK285">
        <v>1013.4</v>
      </c>
      <c r="AL285">
        <v>76.7</v>
      </c>
      <c r="AM285">
        <v>6.3</v>
      </c>
      <c r="AN285">
        <v>0</v>
      </c>
      <c r="AO285">
        <v>0</v>
      </c>
      <c r="AP285">
        <v>0</v>
      </c>
      <c r="AQ285">
        <v>0</v>
      </c>
      <c r="AR285" t="s">
        <v>954</v>
      </c>
      <c r="AS285" t="s">
        <v>955</v>
      </c>
      <c r="AT285">
        <v>0.11</v>
      </c>
      <c r="AU285" t="s">
        <v>43</v>
      </c>
      <c r="AV285" t="s">
        <v>44</v>
      </c>
      <c r="AW285" t="s">
        <v>45</v>
      </c>
      <c r="AX285" s="1">
        <v>0.79791666666666672</v>
      </c>
      <c r="AY285" t="s">
        <v>956</v>
      </c>
      <c r="AZ285">
        <v>90.99999999278225</v>
      </c>
      <c r="BA285">
        <v>0</v>
      </c>
      <c r="BB285">
        <v>0</v>
      </c>
      <c r="BC285">
        <v>3</v>
      </c>
      <c r="BD285">
        <v>0</v>
      </c>
      <c r="BE285">
        <f t="shared" si="49"/>
        <v>0</v>
      </c>
    </row>
    <row r="286" spans="1:57" x14ac:dyDescent="0.25">
      <c r="A286" t="s">
        <v>39</v>
      </c>
      <c r="B286" t="s">
        <v>957</v>
      </c>
      <c r="C286">
        <v>69.900000000000006</v>
      </c>
      <c r="D286">
        <v>50.1</v>
      </c>
      <c r="G286">
        <f t="shared" si="40"/>
        <v>1</v>
      </c>
      <c r="H286">
        <f t="shared" si="41"/>
        <v>1</v>
      </c>
      <c r="I286">
        <f t="shared" si="42"/>
        <v>0</v>
      </c>
      <c r="J286">
        <v>59.3</v>
      </c>
      <c r="K286">
        <v>69.900000000000006</v>
      </c>
      <c r="L286">
        <v>50.1</v>
      </c>
      <c r="M286">
        <v>59.3</v>
      </c>
      <c r="N286">
        <v>42.9</v>
      </c>
      <c r="O286">
        <v>55.1</v>
      </c>
      <c r="S286">
        <f t="shared" si="43"/>
        <v>1</v>
      </c>
      <c r="T286">
        <f t="shared" si="44"/>
        <v>0</v>
      </c>
      <c r="U286">
        <f t="shared" si="45"/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26.4</v>
      </c>
      <c r="AG286">
        <f t="shared" si="46"/>
        <v>1</v>
      </c>
      <c r="AH286">
        <f t="shared" si="47"/>
        <v>1</v>
      </c>
      <c r="AI286">
        <f t="shared" si="48"/>
        <v>0</v>
      </c>
      <c r="AJ286">
        <v>260.60000000000002</v>
      </c>
      <c r="AK286">
        <v>1011.9</v>
      </c>
      <c r="AL286">
        <v>52.1</v>
      </c>
      <c r="AM286">
        <v>6.7</v>
      </c>
      <c r="AN286">
        <v>0</v>
      </c>
      <c r="AO286">
        <v>0</v>
      </c>
      <c r="AP286">
        <v>0</v>
      </c>
      <c r="AQ286">
        <v>0</v>
      </c>
      <c r="AR286" t="s">
        <v>958</v>
      </c>
      <c r="AS286" t="s">
        <v>959</v>
      </c>
      <c r="AT286">
        <v>0.22</v>
      </c>
      <c r="AU286" t="s">
        <v>43</v>
      </c>
      <c r="AV286" t="s">
        <v>44</v>
      </c>
      <c r="AW286" t="s">
        <v>45</v>
      </c>
      <c r="AX286" s="1">
        <v>0.92986111111111114</v>
      </c>
      <c r="AY286" t="s">
        <v>960</v>
      </c>
      <c r="AZ286">
        <v>96.000000009080395</v>
      </c>
      <c r="BA286">
        <v>0</v>
      </c>
      <c r="BB286">
        <v>0</v>
      </c>
      <c r="BC286">
        <v>3</v>
      </c>
      <c r="BD286">
        <v>0</v>
      </c>
      <c r="BE286">
        <f t="shared" si="49"/>
        <v>1</v>
      </c>
    </row>
    <row r="287" spans="1:57" x14ac:dyDescent="0.25">
      <c r="A287" t="s">
        <v>39</v>
      </c>
      <c r="B287" t="s">
        <v>961</v>
      </c>
      <c r="C287">
        <v>68.099999999999994</v>
      </c>
      <c r="D287">
        <v>53.7</v>
      </c>
      <c r="G287">
        <f t="shared" si="40"/>
        <v>1</v>
      </c>
      <c r="H287">
        <f t="shared" si="41"/>
        <v>1</v>
      </c>
      <c r="I287">
        <f t="shared" si="42"/>
        <v>0</v>
      </c>
      <c r="J287">
        <v>60.2</v>
      </c>
      <c r="K287">
        <v>68.099999999999994</v>
      </c>
      <c r="L287">
        <v>53.7</v>
      </c>
      <c r="M287">
        <v>60.2</v>
      </c>
      <c r="N287">
        <v>46</v>
      </c>
      <c r="O287">
        <v>60</v>
      </c>
      <c r="S287">
        <f t="shared" si="43"/>
        <v>1</v>
      </c>
      <c r="T287">
        <f t="shared" si="44"/>
        <v>0</v>
      </c>
      <c r="U287">
        <f t="shared" si="45"/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16.100000000000001</v>
      </c>
      <c r="AG287">
        <f t="shared" si="46"/>
        <v>1</v>
      </c>
      <c r="AH287">
        <f t="shared" si="47"/>
        <v>0</v>
      </c>
      <c r="AI287">
        <f t="shared" si="48"/>
        <v>1</v>
      </c>
      <c r="AJ287">
        <v>167.3</v>
      </c>
      <c r="AK287">
        <v>1022.9</v>
      </c>
      <c r="AL287">
        <v>0</v>
      </c>
      <c r="AM287">
        <v>6.2</v>
      </c>
      <c r="AN287">
        <v>0</v>
      </c>
      <c r="AO287">
        <v>0</v>
      </c>
      <c r="AP287">
        <v>0</v>
      </c>
      <c r="AQ287">
        <v>0</v>
      </c>
      <c r="AR287" t="s">
        <v>962</v>
      </c>
      <c r="AS287" t="s">
        <v>963</v>
      </c>
      <c r="AT287">
        <v>0.24</v>
      </c>
      <c r="AU287" t="s">
        <v>74</v>
      </c>
      <c r="AV287" t="s">
        <v>44</v>
      </c>
      <c r="AW287" t="s">
        <v>75</v>
      </c>
      <c r="AX287" s="1">
        <v>0.79861111111111116</v>
      </c>
      <c r="AY287" t="s">
        <v>964</v>
      </c>
      <c r="AZ287">
        <v>275.00000000582082</v>
      </c>
      <c r="BA287">
        <v>0</v>
      </c>
      <c r="BB287">
        <v>0</v>
      </c>
      <c r="BC287">
        <v>1</v>
      </c>
      <c r="BD287">
        <v>0</v>
      </c>
      <c r="BE287">
        <f t="shared" si="49"/>
        <v>1</v>
      </c>
    </row>
    <row r="288" spans="1:57" x14ac:dyDescent="0.25">
      <c r="A288" t="s">
        <v>39</v>
      </c>
      <c r="B288" t="s">
        <v>965</v>
      </c>
      <c r="C288">
        <v>84.3</v>
      </c>
      <c r="D288">
        <v>69.900000000000006</v>
      </c>
      <c r="G288">
        <f t="shared" si="40"/>
        <v>0</v>
      </c>
      <c r="H288">
        <f t="shared" si="41"/>
        <v>0</v>
      </c>
      <c r="I288">
        <f t="shared" si="42"/>
        <v>0</v>
      </c>
      <c r="J288">
        <v>78.900000000000006</v>
      </c>
      <c r="K288">
        <v>87.6</v>
      </c>
      <c r="L288">
        <v>69.900000000000006</v>
      </c>
      <c r="M288">
        <v>80.2</v>
      </c>
      <c r="N288">
        <v>64.599999999999994</v>
      </c>
      <c r="O288">
        <v>62</v>
      </c>
      <c r="S288">
        <f t="shared" si="43"/>
        <v>1</v>
      </c>
      <c r="T288">
        <f t="shared" si="44"/>
        <v>1</v>
      </c>
      <c r="U288">
        <f t="shared" si="45"/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19.5</v>
      </c>
      <c r="AG288">
        <f t="shared" si="46"/>
        <v>1</v>
      </c>
      <c r="AH288">
        <f t="shared" si="47"/>
        <v>1</v>
      </c>
      <c r="AI288">
        <f t="shared" si="48"/>
        <v>0</v>
      </c>
      <c r="AJ288">
        <v>291.5</v>
      </c>
      <c r="AK288">
        <v>1010.7</v>
      </c>
      <c r="AL288">
        <v>0</v>
      </c>
      <c r="AM288">
        <v>6.2</v>
      </c>
      <c r="AN288">
        <v>0</v>
      </c>
      <c r="AO288">
        <v>0</v>
      </c>
      <c r="AP288">
        <v>0</v>
      </c>
      <c r="AQ288">
        <v>0</v>
      </c>
      <c r="AR288" t="s">
        <v>966</v>
      </c>
      <c r="AS288" t="s">
        <v>967</v>
      </c>
      <c r="AT288">
        <v>0.87</v>
      </c>
      <c r="AU288" t="s">
        <v>74</v>
      </c>
      <c r="AV288" t="s">
        <v>44</v>
      </c>
      <c r="AW288" t="s">
        <v>75</v>
      </c>
      <c r="AX288" s="1">
        <v>0.58958333333333335</v>
      </c>
      <c r="AY288" t="s">
        <v>968</v>
      </c>
      <c r="AZ288">
        <v>40.999999997438863</v>
      </c>
      <c r="BA288">
        <v>0</v>
      </c>
      <c r="BB288">
        <v>0</v>
      </c>
      <c r="BC288">
        <v>0</v>
      </c>
      <c r="BD288">
        <v>0.1</v>
      </c>
      <c r="BE288">
        <f t="shared" si="49"/>
        <v>0</v>
      </c>
    </row>
    <row r="289" spans="1:57" x14ac:dyDescent="0.25">
      <c r="A289" t="s">
        <v>39</v>
      </c>
      <c r="B289" t="s">
        <v>911</v>
      </c>
      <c r="C289">
        <v>84.3</v>
      </c>
      <c r="D289">
        <v>73.5</v>
      </c>
      <c r="G289">
        <f t="shared" si="40"/>
        <v>0</v>
      </c>
      <c r="H289">
        <f t="shared" si="41"/>
        <v>0</v>
      </c>
      <c r="I289">
        <f t="shared" si="42"/>
        <v>0</v>
      </c>
      <c r="J289">
        <v>80</v>
      </c>
      <c r="K289">
        <v>91.1</v>
      </c>
      <c r="L289">
        <v>73.5</v>
      </c>
      <c r="M289">
        <v>82.3</v>
      </c>
      <c r="N289">
        <v>65</v>
      </c>
      <c r="O289">
        <v>61.3</v>
      </c>
      <c r="S289">
        <f t="shared" si="43"/>
        <v>0</v>
      </c>
      <c r="T289">
        <f t="shared" si="44"/>
        <v>0</v>
      </c>
      <c r="U289">
        <f t="shared" si="45"/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18.3</v>
      </c>
      <c r="AG289">
        <f t="shared" si="46"/>
        <v>0</v>
      </c>
      <c r="AH289">
        <f t="shared" si="47"/>
        <v>0</v>
      </c>
      <c r="AI289">
        <f t="shared" si="48"/>
        <v>0</v>
      </c>
      <c r="AJ289">
        <v>295.10000000000002</v>
      </c>
      <c r="AK289">
        <v>1007.5</v>
      </c>
      <c r="AL289">
        <v>30</v>
      </c>
      <c r="AM289">
        <v>6.3</v>
      </c>
      <c r="AN289">
        <v>0</v>
      </c>
      <c r="AO289">
        <v>0</v>
      </c>
      <c r="AP289">
        <v>0</v>
      </c>
      <c r="AQ289">
        <v>0</v>
      </c>
      <c r="AR289" t="s">
        <v>912</v>
      </c>
      <c r="AS289" t="s">
        <v>913</v>
      </c>
      <c r="AT289">
        <v>0.93</v>
      </c>
      <c r="AU289" t="s">
        <v>43</v>
      </c>
      <c r="AV289" t="s">
        <v>44</v>
      </c>
      <c r="AW289" t="s">
        <v>45</v>
      </c>
      <c r="AX289" s="1">
        <v>0.71805555555555556</v>
      </c>
      <c r="AY289" t="s">
        <v>969</v>
      </c>
      <c r="AZ289">
        <v>105.9999999997672</v>
      </c>
      <c r="BA289">
        <v>0</v>
      </c>
      <c r="BB289">
        <v>0</v>
      </c>
      <c r="BC289">
        <v>0.1</v>
      </c>
      <c r="BD289">
        <v>0</v>
      </c>
      <c r="BE289">
        <f t="shared" si="49"/>
        <v>0</v>
      </c>
    </row>
    <row r="290" spans="1:57" x14ac:dyDescent="0.25">
      <c r="A290" t="s">
        <v>39</v>
      </c>
      <c r="B290" t="s">
        <v>970</v>
      </c>
      <c r="C290">
        <v>80.7</v>
      </c>
      <c r="D290">
        <v>73.5</v>
      </c>
      <c r="G290">
        <f t="shared" si="40"/>
        <v>0</v>
      </c>
      <c r="H290">
        <f t="shared" si="41"/>
        <v>0</v>
      </c>
      <c r="I290">
        <f t="shared" si="42"/>
        <v>0</v>
      </c>
      <c r="J290">
        <v>76.599999999999994</v>
      </c>
      <c r="K290">
        <v>81.2</v>
      </c>
      <c r="L290">
        <v>73.5</v>
      </c>
      <c r="M290">
        <v>76.599999999999994</v>
      </c>
      <c r="N290">
        <v>61.1</v>
      </c>
      <c r="O290">
        <v>59.5</v>
      </c>
      <c r="S290">
        <f t="shared" si="43"/>
        <v>0</v>
      </c>
      <c r="T290">
        <f t="shared" si="44"/>
        <v>0</v>
      </c>
      <c r="U290">
        <f t="shared" si="45"/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21.9</v>
      </c>
      <c r="AG290">
        <f t="shared" si="46"/>
        <v>1</v>
      </c>
      <c r="AH290">
        <f t="shared" si="47"/>
        <v>1</v>
      </c>
      <c r="AI290">
        <f t="shared" si="48"/>
        <v>0</v>
      </c>
      <c r="AJ290">
        <v>293.89999999999998</v>
      </c>
      <c r="AK290">
        <v>1013.2</v>
      </c>
      <c r="AL290">
        <v>30</v>
      </c>
      <c r="AM290">
        <v>6.6</v>
      </c>
      <c r="AN290">
        <v>0</v>
      </c>
      <c r="AO290">
        <v>0</v>
      </c>
      <c r="AP290">
        <v>0</v>
      </c>
      <c r="AQ290">
        <v>0</v>
      </c>
      <c r="AR290" t="s">
        <v>971</v>
      </c>
      <c r="AS290" t="s">
        <v>972</v>
      </c>
      <c r="AT290">
        <v>0.61</v>
      </c>
      <c r="AU290" t="s">
        <v>43</v>
      </c>
      <c r="AV290" t="s">
        <v>44</v>
      </c>
      <c r="AW290" t="s">
        <v>45</v>
      </c>
      <c r="AX290" s="1">
        <v>0.40555555555555561</v>
      </c>
      <c r="AY290" t="s">
        <v>973</v>
      </c>
      <c r="AZ290">
        <v>166.00000000675209</v>
      </c>
      <c r="BA290">
        <v>0</v>
      </c>
      <c r="BB290">
        <v>3</v>
      </c>
      <c r="BC290">
        <v>0</v>
      </c>
      <c r="BD290">
        <v>0</v>
      </c>
      <c r="BE290">
        <f t="shared" si="49"/>
        <v>0</v>
      </c>
    </row>
    <row r="291" spans="1:57" x14ac:dyDescent="0.25">
      <c r="A291" t="s">
        <v>39</v>
      </c>
      <c r="B291" t="s">
        <v>974</v>
      </c>
      <c r="C291">
        <v>89.7</v>
      </c>
      <c r="D291">
        <v>75.3</v>
      </c>
      <c r="G291">
        <f t="shared" si="40"/>
        <v>1</v>
      </c>
      <c r="H291">
        <f t="shared" si="41"/>
        <v>1</v>
      </c>
      <c r="I291">
        <f t="shared" si="42"/>
        <v>0</v>
      </c>
      <c r="J291">
        <v>83.1</v>
      </c>
      <c r="K291">
        <v>94.4</v>
      </c>
      <c r="L291">
        <v>75.3</v>
      </c>
      <c r="M291">
        <v>85.8</v>
      </c>
      <c r="N291">
        <v>66.099999999999994</v>
      </c>
      <c r="O291">
        <v>57.3</v>
      </c>
      <c r="S291">
        <f t="shared" si="43"/>
        <v>1</v>
      </c>
      <c r="T291">
        <f t="shared" si="44"/>
        <v>0</v>
      </c>
      <c r="U291">
        <f t="shared" si="45"/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9.1999999999999993</v>
      </c>
      <c r="AG291">
        <f t="shared" si="46"/>
        <v>1</v>
      </c>
      <c r="AH291">
        <f t="shared" si="47"/>
        <v>0</v>
      </c>
      <c r="AI291">
        <f t="shared" si="48"/>
        <v>1</v>
      </c>
      <c r="AJ291">
        <v>306.10000000000002</v>
      </c>
      <c r="AK291">
        <v>1010.1</v>
      </c>
      <c r="AL291">
        <v>0</v>
      </c>
      <c r="AM291">
        <v>6.2</v>
      </c>
      <c r="AN291">
        <v>0</v>
      </c>
      <c r="AO291">
        <v>0</v>
      </c>
      <c r="AP291">
        <v>0</v>
      </c>
      <c r="AQ291">
        <v>0</v>
      </c>
      <c r="AR291" t="s">
        <v>975</v>
      </c>
      <c r="AS291" t="s">
        <v>976</v>
      </c>
      <c r="AT291">
        <v>0.89</v>
      </c>
      <c r="AU291" t="s">
        <v>74</v>
      </c>
      <c r="AV291" t="s">
        <v>44</v>
      </c>
      <c r="AW291" t="s">
        <v>75</v>
      </c>
      <c r="AX291" s="1">
        <v>7.6388888888888895E-2</v>
      </c>
      <c r="AY291" t="s">
        <v>977</v>
      </c>
      <c r="AZ291">
        <v>190.00000000116421</v>
      </c>
      <c r="BA291">
        <v>0</v>
      </c>
      <c r="BB291">
        <v>3</v>
      </c>
      <c r="BC291">
        <v>0</v>
      </c>
      <c r="BD291">
        <v>0</v>
      </c>
      <c r="BE291">
        <f t="shared" si="49"/>
        <v>1</v>
      </c>
    </row>
    <row r="292" spans="1:57" x14ac:dyDescent="0.25">
      <c r="A292" t="s">
        <v>39</v>
      </c>
      <c r="B292" t="s">
        <v>978</v>
      </c>
      <c r="C292">
        <v>82.5</v>
      </c>
      <c r="D292">
        <v>69.900000000000006</v>
      </c>
      <c r="G292">
        <f t="shared" si="40"/>
        <v>0</v>
      </c>
      <c r="H292">
        <f t="shared" si="41"/>
        <v>0</v>
      </c>
      <c r="I292">
        <f t="shared" si="42"/>
        <v>0</v>
      </c>
      <c r="J292">
        <v>77.3</v>
      </c>
      <c r="K292">
        <v>87.4</v>
      </c>
      <c r="L292">
        <v>69.900000000000006</v>
      </c>
      <c r="M292">
        <v>78.900000000000006</v>
      </c>
      <c r="N292">
        <v>67.7</v>
      </c>
      <c r="O292">
        <v>72.599999999999994</v>
      </c>
      <c r="S292">
        <f t="shared" si="43"/>
        <v>1</v>
      </c>
      <c r="T292">
        <f t="shared" si="44"/>
        <v>1</v>
      </c>
      <c r="U292">
        <f t="shared" si="45"/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11.4</v>
      </c>
      <c r="AG292">
        <f t="shared" si="46"/>
        <v>1</v>
      </c>
      <c r="AH292">
        <f t="shared" si="47"/>
        <v>0</v>
      </c>
      <c r="AI292">
        <f t="shared" si="48"/>
        <v>1</v>
      </c>
      <c r="AJ292">
        <v>296.60000000000002</v>
      </c>
      <c r="AK292">
        <v>1007.8</v>
      </c>
      <c r="AL292">
        <v>39.1</v>
      </c>
      <c r="AM292">
        <v>6.8</v>
      </c>
      <c r="AN292">
        <v>0</v>
      </c>
      <c r="AO292">
        <v>0</v>
      </c>
      <c r="AP292">
        <v>0</v>
      </c>
      <c r="AQ292">
        <v>0</v>
      </c>
      <c r="AR292" t="s">
        <v>979</v>
      </c>
      <c r="AS292" t="s">
        <v>980</v>
      </c>
      <c r="AT292">
        <v>0.34</v>
      </c>
      <c r="AU292" t="s">
        <v>43</v>
      </c>
      <c r="AV292" t="s">
        <v>44</v>
      </c>
      <c r="AW292" t="s">
        <v>45</v>
      </c>
      <c r="AX292" s="1">
        <v>0.69027777777777777</v>
      </c>
      <c r="AY292" t="s">
        <v>981</v>
      </c>
      <c r="AZ292">
        <v>36.000000002095483</v>
      </c>
      <c r="BA292">
        <v>0</v>
      </c>
      <c r="BB292">
        <v>0</v>
      </c>
      <c r="BC292">
        <v>0.1</v>
      </c>
      <c r="BD292">
        <v>0</v>
      </c>
      <c r="BE292">
        <f t="shared" si="49"/>
        <v>0</v>
      </c>
    </row>
    <row r="293" spans="1:57" x14ac:dyDescent="0.25">
      <c r="A293" t="s">
        <v>39</v>
      </c>
      <c r="B293" t="s">
        <v>978</v>
      </c>
      <c r="C293">
        <v>82.5</v>
      </c>
      <c r="D293">
        <v>69.900000000000006</v>
      </c>
      <c r="G293">
        <f t="shared" si="40"/>
        <v>0</v>
      </c>
      <c r="H293">
        <f t="shared" si="41"/>
        <v>0</v>
      </c>
      <c r="I293">
        <f t="shared" si="42"/>
        <v>0</v>
      </c>
      <c r="J293">
        <v>77.3</v>
      </c>
      <c r="K293">
        <v>87.4</v>
      </c>
      <c r="L293">
        <v>69.900000000000006</v>
      </c>
      <c r="M293">
        <v>78.900000000000006</v>
      </c>
      <c r="N293">
        <v>67.7</v>
      </c>
      <c r="O293">
        <v>72.599999999999994</v>
      </c>
      <c r="S293">
        <f t="shared" si="43"/>
        <v>1</v>
      </c>
      <c r="T293">
        <f t="shared" si="44"/>
        <v>1</v>
      </c>
      <c r="U293">
        <f t="shared" si="45"/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11.4</v>
      </c>
      <c r="AG293">
        <f t="shared" si="46"/>
        <v>1</v>
      </c>
      <c r="AH293">
        <f t="shared" si="47"/>
        <v>0</v>
      </c>
      <c r="AI293">
        <f t="shared" si="48"/>
        <v>1</v>
      </c>
      <c r="AJ293">
        <v>296.60000000000002</v>
      </c>
      <c r="AK293">
        <v>1007.8</v>
      </c>
      <c r="AL293">
        <v>39.1</v>
      </c>
      <c r="AM293">
        <v>6.8</v>
      </c>
      <c r="AN293">
        <v>0</v>
      </c>
      <c r="AO293">
        <v>0</v>
      </c>
      <c r="AP293">
        <v>0</v>
      </c>
      <c r="AQ293">
        <v>0</v>
      </c>
      <c r="AR293" t="s">
        <v>979</v>
      </c>
      <c r="AS293" t="s">
        <v>980</v>
      </c>
      <c r="AT293">
        <v>0.34</v>
      </c>
      <c r="AU293" t="s">
        <v>43</v>
      </c>
      <c r="AV293" t="s">
        <v>44</v>
      </c>
      <c r="AW293" t="s">
        <v>45</v>
      </c>
      <c r="AX293" s="1">
        <v>0.86736111111111114</v>
      </c>
      <c r="AY293" t="s">
        <v>982</v>
      </c>
      <c r="AZ293">
        <v>791.00000000093132</v>
      </c>
      <c r="BA293">
        <v>1</v>
      </c>
      <c r="BB293">
        <v>0</v>
      </c>
      <c r="BC293">
        <v>0.1</v>
      </c>
      <c r="BD293">
        <v>0</v>
      </c>
      <c r="BE293">
        <f t="shared" si="49"/>
        <v>0</v>
      </c>
    </row>
    <row r="294" spans="1:57" x14ac:dyDescent="0.25">
      <c r="A294" t="s">
        <v>39</v>
      </c>
      <c r="B294" t="s">
        <v>983</v>
      </c>
      <c r="C294">
        <v>57.3</v>
      </c>
      <c r="D294">
        <v>53.7</v>
      </c>
      <c r="G294">
        <f t="shared" si="40"/>
        <v>0</v>
      </c>
      <c r="H294">
        <f t="shared" si="41"/>
        <v>0</v>
      </c>
      <c r="I294">
        <f t="shared" si="42"/>
        <v>0</v>
      </c>
      <c r="J294">
        <v>55.2</v>
      </c>
      <c r="K294">
        <v>57.3</v>
      </c>
      <c r="L294">
        <v>53.7</v>
      </c>
      <c r="M294">
        <v>55.2</v>
      </c>
      <c r="N294">
        <v>43.2</v>
      </c>
      <c r="O294">
        <v>64.099999999999994</v>
      </c>
      <c r="S294">
        <f t="shared" si="43"/>
        <v>1</v>
      </c>
      <c r="T294">
        <f t="shared" si="44"/>
        <v>0</v>
      </c>
      <c r="U294">
        <f t="shared" si="45"/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20.8</v>
      </c>
      <c r="AG294">
        <f t="shared" si="46"/>
        <v>1</v>
      </c>
      <c r="AH294">
        <f t="shared" si="47"/>
        <v>1</v>
      </c>
      <c r="AI294">
        <f t="shared" si="48"/>
        <v>0</v>
      </c>
      <c r="AJ294">
        <v>317.2</v>
      </c>
      <c r="AK294">
        <v>1027.5999999999999</v>
      </c>
      <c r="AL294">
        <v>72.599999999999994</v>
      </c>
      <c r="AM294">
        <v>6.8</v>
      </c>
      <c r="AN294">
        <v>0</v>
      </c>
      <c r="AO294">
        <v>0</v>
      </c>
      <c r="AP294">
        <v>0</v>
      </c>
      <c r="AQ294">
        <v>0</v>
      </c>
      <c r="AR294" t="s">
        <v>984</v>
      </c>
      <c r="AS294" t="s">
        <v>985</v>
      </c>
      <c r="AT294">
        <v>0.17</v>
      </c>
      <c r="AU294" t="s">
        <v>43</v>
      </c>
      <c r="AV294" t="s">
        <v>44</v>
      </c>
      <c r="AW294" t="s">
        <v>45</v>
      </c>
      <c r="AX294" s="1">
        <v>0.77083333333333337</v>
      </c>
      <c r="AY294" t="s">
        <v>986</v>
      </c>
      <c r="AZ294">
        <v>328.99999999324791</v>
      </c>
      <c r="BA294">
        <v>0</v>
      </c>
      <c r="BB294">
        <v>0</v>
      </c>
      <c r="BC294">
        <v>1</v>
      </c>
      <c r="BD294">
        <v>0</v>
      </c>
      <c r="BE294">
        <f t="shared" si="49"/>
        <v>0</v>
      </c>
    </row>
    <row r="295" spans="1:57" x14ac:dyDescent="0.25">
      <c r="A295" t="s">
        <v>39</v>
      </c>
      <c r="B295" t="s">
        <v>987</v>
      </c>
      <c r="C295">
        <v>68.099999999999994</v>
      </c>
      <c r="D295">
        <v>53.7</v>
      </c>
      <c r="G295">
        <f t="shared" si="40"/>
        <v>1</v>
      </c>
      <c r="H295">
        <f t="shared" si="41"/>
        <v>1</v>
      </c>
      <c r="I295">
        <f t="shared" si="42"/>
        <v>0</v>
      </c>
      <c r="J295">
        <v>60.5</v>
      </c>
      <c r="K295">
        <v>68.099999999999994</v>
      </c>
      <c r="L295">
        <v>53.7</v>
      </c>
      <c r="M295">
        <v>60.5</v>
      </c>
      <c r="N295">
        <v>47.6</v>
      </c>
      <c r="O295">
        <v>64</v>
      </c>
      <c r="S295">
        <f t="shared" si="43"/>
        <v>0</v>
      </c>
      <c r="T295">
        <f t="shared" si="44"/>
        <v>0</v>
      </c>
      <c r="U295">
        <f t="shared" si="45"/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9.1999999999999993</v>
      </c>
      <c r="AG295">
        <f t="shared" si="46"/>
        <v>1</v>
      </c>
      <c r="AH295">
        <f t="shared" si="47"/>
        <v>0</v>
      </c>
      <c r="AI295">
        <f t="shared" si="48"/>
        <v>1</v>
      </c>
      <c r="AJ295">
        <v>198.2</v>
      </c>
      <c r="AK295">
        <v>1016.6</v>
      </c>
      <c r="AL295">
        <v>76.7</v>
      </c>
      <c r="AM295">
        <v>6.4</v>
      </c>
      <c r="AN295">
        <v>0</v>
      </c>
      <c r="AO295">
        <v>0</v>
      </c>
      <c r="AP295">
        <v>0</v>
      </c>
      <c r="AQ295">
        <v>0</v>
      </c>
      <c r="AR295" t="s">
        <v>988</v>
      </c>
      <c r="AS295" t="s">
        <v>989</v>
      </c>
      <c r="AT295">
        <v>0.81</v>
      </c>
      <c r="AU295" t="s">
        <v>43</v>
      </c>
      <c r="AV295" t="s">
        <v>44</v>
      </c>
      <c r="AW295" t="s">
        <v>45</v>
      </c>
      <c r="AX295" s="1">
        <v>0.82916666666666672</v>
      </c>
      <c r="AY295" t="s">
        <v>990</v>
      </c>
      <c r="AZ295">
        <v>990.99999999278225</v>
      </c>
      <c r="BA295">
        <v>1</v>
      </c>
      <c r="BB295">
        <v>0</v>
      </c>
      <c r="BC295">
        <v>40</v>
      </c>
      <c r="BD295">
        <v>0</v>
      </c>
      <c r="BE295">
        <f t="shared" si="49"/>
        <v>1</v>
      </c>
    </row>
    <row r="296" spans="1:57" x14ac:dyDescent="0.25">
      <c r="A296" t="s">
        <v>39</v>
      </c>
      <c r="B296" t="s">
        <v>978</v>
      </c>
      <c r="C296">
        <v>82.5</v>
      </c>
      <c r="D296">
        <v>69.900000000000006</v>
      </c>
      <c r="G296">
        <f t="shared" si="40"/>
        <v>0</v>
      </c>
      <c r="H296">
        <f t="shared" si="41"/>
        <v>0</v>
      </c>
      <c r="I296">
        <f t="shared" si="42"/>
        <v>0</v>
      </c>
      <c r="J296">
        <v>77.3</v>
      </c>
      <c r="K296">
        <v>87.4</v>
      </c>
      <c r="L296">
        <v>69.900000000000006</v>
      </c>
      <c r="M296">
        <v>78.900000000000006</v>
      </c>
      <c r="N296">
        <v>67.7</v>
      </c>
      <c r="O296">
        <v>72.599999999999994</v>
      </c>
      <c r="S296">
        <f t="shared" si="43"/>
        <v>1</v>
      </c>
      <c r="T296">
        <f t="shared" si="44"/>
        <v>1</v>
      </c>
      <c r="U296">
        <f t="shared" si="45"/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11.4</v>
      </c>
      <c r="AG296">
        <f t="shared" si="46"/>
        <v>1</v>
      </c>
      <c r="AH296">
        <f t="shared" si="47"/>
        <v>0</v>
      </c>
      <c r="AI296">
        <f t="shared" si="48"/>
        <v>1</v>
      </c>
      <c r="AJ296">
        <v>296.60000000000002</v>
      </c>
      <c r="AK296">
        <v>1007.8</v>
      </c>
      <c r="AL296">
        <v>39.1</v>
      </c>
      <c r="AM296">
        <v>6.8</v>
      </c>
      <c r="AN296">
        <v>0</v>
      </c>
      <c r="AO296">
        <v>0</v>
      </c>
      <c r="AP296">
        <v>0</v>
      </c>
      <c r="AQ296">
        <v>0</v>
      </c>
      <c r="AR296" t="s">
        <v>979</v>
      </c>
      <c r="AS296" t="s">
        <v>980</v>
      </c>
      <c r="AT296">
        <v>0.34</v>
      </c>
      <c r="AU296" t="s">
        <v>43</v>
      </c>
      <c r="AV296" t="s">
        <v>44</v>
      </c>
      <c r="AW296" t="s">
        <v>45</v>
      </c>
      <c r="AX296" s="1">
        <v>0.75</v>
      </c>
      <c r="AY296" t="s">
        <v>991</v>
      </c>
      <c r="AZ296">
        <v>130.00000000465661</v>
      </c>
      <c r="BA296">
        <v>0</v>
      </c>
      <c r="BB296">
        <v>0.5</v>
      </c>
      <c r="BC296">
        <v>0</v>
      </c>
      <c r="BD296">
        <v>0</v>
      </c>
      <c r="BE296">
        <f t="shared" si="49"/>
        <v>0</v>
      </c>
    </row>
    <row r="297" spans="1:57" x14ac:dyDescent="0.25">
      <c r="A297" t="s">
        <v>39</v>
      </c>
      <c r="B297" t="s">
        <v>992</v>
      </c>
      <c r="C297">
        <v>84.3</v>
      </c>
      <c r="D297">
        <v>71.7</v>
      </c>
      <c r="G297">
        <f t="shared" si="40"/>
        <v>0</v>
      </c>
      <c r="H297">
        <f t="shared" si="41"/>
        <v>0</v>
      </c>
      <c r="I297">
        <f t="shared" si="42"/>
        <v>0</v>
      </c>
      <c r="J297">
        <v>79.400000000000006</v>
      </c>
      <c r="K297">
        <v>87.6</v>
      </c>
      <c r="L297">
        <v>71.7</v>
      </c>
      <c r="M297">
        <v>80.7</v>
      </c>
      <c r="N297">
        <v>62.5</v>
      </c>
      <c r="O297">
        <v>57</v>
      </c>
      <c r="S297">
        <f t="shared" si="43"/>
        <v>1</v>
      </c>
      <c r="T297">
        <f t="shared" si="44"/>
        <v>0</v>
      </c>
      <c r="U297">
        <f t="shared" si="45"/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15</v>
      </c>
      <c r="AG297">
        <f t="shared" si="46"/>
        <v>1</v>
      </c>
      <c r="AH297">
        <f t="shared" si="47"/>
        <v>0</v>
      </c>
      <c r="AI297">
        <f t="shared" si="48"/>
        <v>1</v>
      </c>
      <c r="AJ297">
        <v>298.3</v>
      </c>
      <c r="AK297">
        <v>1008.6</v>
      </c>
      <c r="AL297">
        <v>30</v>
      </c>
      <c r="AM297">
        <v>6.4</v>
      </c>
      <c r="AN297">
        <v>0</v>
      </c>
      <c r="AO297">
        <v>0</v>
      </c>
      <c r="AP297">
        <v>0</v>
      </c>
      <c r="AQ297">
        <v>0</v>
      </c>
      <c r="AR297" t="s">
        <v>993</v>
      </c>
      <c r="AS297" t="s">
        <v>994</v>
      </c>
      <c r="AT297">
        <v>0.02</v>
      </c>
      <c r="AU297" t="s">
        <v>43</v>
      </c>
      <c r="AV297" t="s">
        <v>44</v>
      </c>
      <c r="AW297" t="s">
        <v>45</v>
      </c>
      <c r="AX297" s="1">
        <v>0.81180555555555556</v>
      </c>
      <c r="AY297" t="s">
        <v>995</v>
      </c>
      <c r="AZ297">
        <v>146.00000000442381</v>
      </c>
      <c r="BA297">
        <v>0</v>
      </c>
      <c r="BB297">
        <v>0</v>
      </c>
      <c r="BC297">
        <v>3</v>
      </c>
      <c r="BD297">
        <v>0</v>
      </c>
      <c r="BE297">
        <f t="shared" si="49"/>
        <v>0</v>
      </c>
    </row>
    <row r="298" spans="1:57" x14ac:dyDescent="0.25">
      <c r="A298" t="s">
        <v>39</v>
      </c>
      <c r="B298" t="s">
        <v>996</v>
      </c>
      <c r="C298">
        <v>84.3</v>
      </c>
      <c r="D298">
        <v>69.900000000000006</v>
      </c>
      <c r="G298">
        <f t="shared" si="40"/>
        <v>0</v>
      </c>
      <c r="H298">
        <f t="shared" si="41"/>
        <v>0</v>
      </c>
      <c r="I298">
        <f t="shared" si="42"/>
        <v>0</v>
      </c>
      <c r="J298">
        <v>78.5</v>
      </c>
      <c r="K298">
        <v>89.8</v>
      </c>
      <c r="L298">
        <v>69.900000000000006</v>
      </c>
      <c r="M298">
        <v>80.400000000000006</v>
      </c>
      <c r="N298">
        <v>66.599999999999994</v>
      </c>
      <c r="O298">
        <v>67.7</v>
      </c>
      <c r="S298">
        <f t="shared" si="43"/>
        <v>1</v>
      </c>
      <c r="T298">
        <f t="shared" si="44"/>
        <v>1</v>
      </c>
      <c r="U298">
        <f t="shared" si="45"/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19.5</v>
      </c>
      <c r="AG298">
        <f t="shared" si="46"/>
        <v>1</v>
      </c>
      <c r="AH298">
        <f t="shared" si="47"/>
        <v>1</v>
      </c>
      <c r="AI298">
        <f t="shared" si="48"/>
        <v>0</v>
      </c>
      <c r="AJ298">
        <v>281.7</v>
      </c>
      <c r="AK298">
        <v>1010.6</v>
      </c>
      <c r="AL298">
        <v>30</v>
      </c>
      <c r="AM298">
        <v>6.4</v>
      </c>
      <c r="AN298">
        <v>0</v>
      </c>
      <c r="AO298">
        <v>0</v>
      </c>
      <c r="AP298">
        <v>0</v>
      </c>
      <c r="AQ298">
        <v>0</v>
      </c>
      <c r="AR298" t="s">
        <v>997</v>
      </c>
      <c r="AS298" t="s">
        <v>998</v>
      </c>
      <c r="AT298">
        <v>0.36</v>
      </c>
      <c r="AU298" t="s">
        <v>43</v>
      </c>
      <c r="AV298" t="s">
        <v>44</v>
      </c>
      <c r="AW298" t="s">
        <v>45</v>
      </c>
      <c r="AX298" s="1">
        <v>0.78749999999999998</v>
      </c>
      <c r="AY298" t="s">
        <v>999</v>
      </c>
      <c r="AZ298">
        <v>236.00000000442381</v>
      </c>
      <c r="BA298">
        <v>0</v>
      </c>
      <c r="BB298">
        <v>0</v>
      </c>
      <c r="BC298">
        <v>4</v>
      </c>
      <c r="BD298">
        <v>0</v>
      </c>
      <c r="BE298">
        <f t="shared" si="49"/>
        <v>0</v>
      </c>
    </row>
    <row r="299" spans="1:57" x14ac:dyDescent="0.25">
      <c r="A299" t="s">
        <v>39</v>
      </c>
      <c r="B299" t="s">
        <v>1000</v>
      </c>
      <c r="C299">
        <v>78.900000000000006</v>
      </c>
      <c r="D299">
        <v>62.7</v>
      </c>
      <c r="G299">
        <f t="shared" si="40"/>
        <v>1</v>
      </c>
      <c r="H299">
        <f t="shared" si="41"/>
        <v>1</v>
      </c>
      <c r="I299">
        <f t="shared" si="42"/>
        <v>0</v>
      </c>
      <c r="J299">
        <v>71.099999999999994</v>
      </c>
      <c r="K299">
        <v>78.900000000000006</v>
      </c>
      <c r="L299">
        <v>62.7</v>
      </c>
      <c r="M299">
        <v>71.099999999999994</v>
      </c>
      <c r="N299">
        <v>61.4</v>
      </c>
      <c r="O299">
        <v>72.400000000000006</v>
      </c>
      <c r="S299">
        <f t="shared" si="43"/>
        <v>1</v>
      </c>
      <c r="T299">
        <f t="shared" si="44"/>
        <v>1</v>
      </c>
      <c r="U299">
        <f t="shared" si="45"/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12.8</v>
      </c>
      <c r="AG299">
        <f t="shared" si="46"/>
        <v>1</v>
      </c>
      <c r="AH299">
        <f t="shared" si="47"/>
        <v>0</v>
      </c>
      <c r="AI299">
        <f t="shared" si="48"/>
        <v>1</v>
      </c>
      <c r="AJ299">
        <v>109.7</v>
      </c>
      <c r="AK299">
        <v>1019.3</v>
      </c>
      <c r="AL299">
        <v>40.5</v>
      </c>
      <c r="AM299">
        <v>6.7</v>
      </c>
      <c r="AN299">
        <v>0</v>
      </c>
      <c r="AO299">
        <v>0</v>
      </c>
      <c r="AP299">
        <v>0</v>
      </c>
      <c r="AQ299">
        <v>0</v>
      </c>
      <c r="AR299" t="s">
        <v>1001</v>
      </c>
      <c r="AS299" t="s">
        <v>1002</v>
      </c>
      <c r="AT299">
        <v>0.13</v>
      </c>
      <c r="AU299" t="s">
        <v>43</v>
      </c>
      <c r="AV299" t="s">
        <v>44</v>
      </c>
      <c r="AW299" t="s">
        <v>45</v>
      </c>
      <c r="AX299" s="1">
        <v>0.57638888888888884</v>
      </c>
      <c r="AY299" t="s">
        <v>1003</v>
      </c>
      <c r="AZ299">
        <v>460.00000000116421</v>
      </c>
      <c r="BA299">
        <v>1</v>
      </c>
      <c r="BB299">
        <v>0</v>
      </c>
      <c r="BC299">
        <v>2</v>
      </c>
      <c r="BD299">
        <v>0</v>
      </c>
      <c r="BE299">
        <f t="shared" si="49"/>
        <v>1</v>
      </c>
    </row>
    <row r="300" spans="1:57" x14ac:dyDescent="0.25">
      <c r="A300" t="s">
        <v>39</v>
      </c>
      <c r="B300" t="s">
        <v>1004</v>
      </c>
      <c r="C300">
        <v>75.3</v>
      </c>
      <c r="D300">
        <v>59.1</v>
      </c>
      <c r="G300">
        <f t="shared" si="40"/>
        <v>1</v>
      </c>
      <c r="H300">
        <f t="shared" si="41"/>
        <v>1</v>
      </c>
      <c r="I300">
        <f t="shared" si="42"/>
        <v>0</v>
      </c>
      <c r="J300">
        <v>67.900000000000006</v>
      </c>
      <c r="K300">
        <v>75.3</v>
      </c>
      <c r="L300">
        <v>59.1</v>
      </c>
      <c r="M300">
        <v>67.900000000000006</v>
      </c>
      <c r="N300">
        <v>48.3</v>
      </c>
      <c r="O300">
        <v>49.9</v>
      </c>
      <c r="S300">
        <f t="shared" si="43"/>
        <v>1</v>
      </c>
      <c r="T300">
        <f t="shared" si="44"/>
        <v>0</v>
      </c>
      <c r="U300">
        <f t="shared" si="45"/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12.8</v>
      </c>
      <c r="AG300">
        <f t="shared" si="46"/>
        <v>1</v>
      </c>
      <c r="AH300">
        <f t="shared" si="47"/>
        <v>0</v>
      </c>
      <c r="AI300">
        <f t="shared" si="48"/>
        <v>1</v>
      </c>
      <c r="AJ300">
        <v>124.7</v>
      </c>
      <c r="AK300">
        <v>1013.8</v>
      </c>
      <c r="AL300">
        <v>30</v>
      </c>
      <c r="AM300">
        <v>6.2</v>
      </c>
      <c r="AN300">
        <v>0</v>
      </c>
      <c r="AO300">
        <v>0</v>
      </c>
      <c r="AP300">
        <v>0</v>
      </c>
      <c r="AQ300">
        <v>0</v>
      </c>
      <c r="AR300" t="s">
        <v>1005</v>
      </c>
      <c r="AS300" t="s">
        <v>1006</v>
      </c>
      <c r="AT300">
        <v>0.25</v>
      </c>
      <c r="AU300" t="s">
        <v>43</v>
      </c>
      <c r="AV300" t="s">
        <v>44</v>
      </c>
      <c r="AW300" t="s">
        <v>45</v>
      </c>
      <c r="AX300" s="1">
        <v>0.97916666666666663</v>
      </c>
      <c r="AY300" t="s">
        <v>1007</v>
      </c>
      <c r="AZ300">
        <v>495</v>
      </c>
      <c r="BA300">
        <v>1</v>
      </c>
      <c r="BB300">
        <v>0</v>
      </c>
      <c r="BC300">
        <v>20</v>
      </c>
      <c r="BD300">
        <v>0</v>
      </c>
      <c r="BE300">
        <f t="shared" si="49"/>
        <v>1</v>
      </c>
    </row>
    <row r="301" spans="1:57" x14ac:dyDescent="0.25">
      <c r="A301" t="s">
        <v>39</v>
      </c>
      <c r="B301" t="s">
        <v>1008</v>
      </c>
      <c r="C301">
        <v>82.5</v>
      </c>
      <c r="D301">
        <v>69.900000000000006</v>
      </c>
      <c r="G301">
        <f t="shared" si="40"/>
        <v>1</v>
      </c>
      <c r="H301">
        <f t="shared" si="41"/>
        <v>1</v>
      </c>
      <c r="I301">
        <f t="shared" si="42"/>
        <v>0</v>
      </c>
      <c r="J301">
        <v>76.3</v>
      </c>
      <c r="K301">
        <v>85.5</v>
      </c>
      <c r="L301">
        <v>69.900000000000006</v>
      </c>
      <c r="M301">
        <v>77.099999999999994</v>
      </c>
      <c r="N301">
        <v>63.5</v>
      </c>
      <c r="O301">
        <v>65</v>
      </c>
      <c r="S301">
        <f t="shared" si="43"/>
        <v>1</v>
      </c>
      <c r="T301">
        <f t="shared" si="44"/>
        <v>1</v>
      </c>
      <c r="U301">
        <f t="shared" si="45"/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17.2</v>
      </c>
      <c r="AG301">
        <f t="shared" si="46"/>
        <v>0</v>
      </c>
      <c r="AH301">
        <f t="shared" si="47"/>
        <v>0</v>
      </c>
      <c r="AI301">
        <f t="shared" si="48"/>
        <v>0</v>
      </c>
      <c r="AJ301">
        <v>227.2</v>
      </c>
      <c r="AK301">
        <v>1013.1</v>
      </c>
      <c r="AL301">
        <v>30</v>
      </c>
      <c r="AM301">
        <v>6.3</v>
      </c>
      <c r="AN301">
        <v>0</v>
      </c>
      <c r="AO301">
        <v>0</v>
      </c>
      <c r="AP301">
        <v>0</v>
      </c>
      <c r="AQ301">
        <v>0</v>
      </c>
      <c r="AR301" t="s">
        <v>1009</v>
      </c>
      <c r="AS301" t="s">
        <v>1010</v>
      </c>
      <c r="AT301">
        <v>0.48</v>
      </c>
      <c r="AU301" t="s">
        <v>43</v>
      </c>
      <c r="AV301" t="s">
        <v>44</v>
      </c>
      <c r="AW301" t="s">
        <v>45</v>
      </c>
      <c r="AX301" s="1">
        <v>0.62083333333333335</v>
      </c>
      <c r="AY301" t="s">
        <v>1011</v>
      </c>
      <c r="AZ301">
        <v>445.99999999743892</v>
      </c>
      <c r="BA301">
        <v>1</v>
      </c>
      <c r="BB301">
        <v>0</v>
      </c>
      <c r="BC301">
        <v>5</v>
      </c>
      <c r="BD301">
        <v>0</v>
      </c>
      <c r="BE301">
        <f t="shared" si="49"/>
        <v>1</v>
      </c>
    </row>
    <row r="302" spans="1:57" x14ac:dyDescent="0.25">
      <c r="A302" t="s">
        <v>39</v>
      </c>
      <c r="B302" t="s">
        <v>1012</v>
      </c>
      <c r="C302">
        <v>82.5</v>
      </c>
      <c r="D302">
        <v>69.900000000000006</v>
      </c>
      <c r="G302">
        <f t="shared" si="40"/>
        <v>0</v>
      </c>
      <c r="H302">
        <f t="shared" si="41"/>
        <v>0</v>
      </c>
      <c r="I302">
        <f t="shared" si="42"/>
        <v>0</v>
      </c>
      <c r="J302">
        <v>78.2</v>
      </c>
      <c r="K302">
        <v>86.4</v>
      </c>
      <c r="L302">
        <v>69.900000000000006</v>
      </c>
      <c r="M302">
        <v>79.5</v>
      </c>
      <c r="N302">
        <v>66.599999999999994</v>
      </c>
      <c r="O302">
        <v>68.099999999999994</v>
      </c>
      <c r="S302">
        <f t="shared" si="43"/>
        <v>1</v>
      </c>
      <c r="T302">
        <f t="shared" si="44"/>
        <v>1</v>
      </c>
      <c r="U302">
        <f t="shared" si="45"/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19.5</v>
      </c>
      <c r="AG302">
        <f t="shared" si="46"/>
        <v>1</v>
      </c>
      <c r="AH302">
        <f t="shared" si="47"/>
        <v>1</v>
      </c>
      <c r="AI302">
        <f t="shared" si="48"/>
        <v>0</v>
      </c>
      <c r="AJ302">
        <v>293.89999999999998</v>
      </c>
      <c r="AK302">
        <v>1006.8</v>
      </c>
      <c r="AL302">
        <v>32.200000000000003</v>
      </c>
      <c r="AM302">
        <v>6.7</v>
      </c>
      <c r="AN302">
        <v>0</v>
      </c>
      <c r="AO302">
        <v>0</v>
      </c>
      <c r="AP302">
        <v>0</v>
      </c>
      <c r="AQ302">
        <v>0</v>
      </c>
      <c r="AR302" t="s">
        <v>1013</v>
      </c>
      <c r="AS302" t="s">
        <v>1014</v>
      </c>
      <c r="AT302">
        <v>0.27</v>
      </c>
      <c r="AU302" t="s">
        <v>43</v>
      </c>
      <c r="AV302" t="s">
        <v>44</v>
      </c>
      <c r="AW302" t="s">
        <v>45</v>
      </c>
      <c r="AX302" s="1">
        <v>0.66597222222222219</v>
      </c>
      <c r="AY302" t="s">
        <v>1015</v>
      </c>
      <c r="AZ302">
        <v>120.9999999962747</v>
      </c>
      <c r="BA302">
        <v>0</v>
      </c>
      <c r="BB302">
        <v>0</v>
      </c>
      <c r="BC302">
        <v>0.2</v>
      </c>
      <c r="BD302">
        <v>0</v>
      </c>
      <c r="BE302">
        <f t="shared" si="49"/>
        <v>0</v>
      </c>
    </row>
    <row r="303" spans="1:57" x14ac:dyDescent="0.25">
      <c r="A303" t="s">
        <v>39</v>
      </c>
      <c r="B303" t="s">
        <v>1016</v>
      </c>
      <c r="C303">
        <v>66.3</v>
      </c>
      <c r="D303">
        <v>60.9</v>
      </c>
      <c r="G303">
        <f t="shared" si="40"/>
        <v>1</v>
      </c>
      <c r="H303">
        <f t="shared" si="41"/>
        <v>0</v>
      </c>
      <c r="I303">
        <f t="shared" si="42"/>
        <v>1</v>
      </c>
      <c r="J303">
        <v>62.9</v>
      </c>
      <c r="K303">
        <v>66.3</v>
      </c>
      <c r="L303">
        <v>60.9</v>
      </c>
      <c r="M303">
        <v>62.9</v>
      </c>
      <c r="N303">
        <v>58.9</v>
      </c>
      <c r="O303">
        <v>86.8</v>
      </c>
      <c r="S303">
        <f t="shared" si="43"/>
        <v>1</v>
      </c>
      <c r="T303">
        <f t="shared" si="44"/>
        <v>1</v>
      </c>
      <c r="U303">
        <f t="shared" si="45"/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6.9</v>
      </c>
      <c r="AG303">
        <f t="shared" si="46"/>
        <v>1</v>
      </c>
      <c r="AH303">
        <f t="shared" si="47"/>
        <v>0</v>
      </c>
      <c r="AI303">
        <f t="shared" si="48"/>
        <v>1</v>
      </c>
      <c r="AJ303">
        <v>176.7</v>
      </c>
      <c r="AK303">
        <v>1018</v>
      </c>
      <c r="AL303">
        <v>37.5</v>
      </c>
      <c r="AM303">
        <v>6.8</v>
      </c>
      <c r="AN303">
        <v>0</v>
      </c>
      <c r="AO303">
        <v>0</v>
      </c>
      <c r="AP303">
        <v>0</v>
      </c>
      <c r="AQ303">
        <v>0</v>
      </c>
      <c r="AR303" t="s">
        <v>1017</v>
      </c>
      <c r="AS303" t="s">
        <v>1018</v>
      </c>
      <c r="AT303">
        <v>0.67</v>
      </c>
      <c r="AU303" t="s">
        <v>43</v>
      </c>
      <c r="AV303" t="s">
        <v>44</v>
      </c>
      <c r="AW303" t="s">
        <v>45</v>
      </c>
      <c r="AX303" s="1">
        <v>0.58958333333333335</v>
      </c>
      <c r="AY303" t="s">
        <v>1019</v>
      </c>
      <c r="AZ303">
        <v>290.99999999511061</v>
      </c>
      <c r="BA303">
        <v>0</v>
      </c>
      <c r="BB303">
        <v>0</v>
      </c>
      <c r="BC303">
        <v>4</v>
      </c>
      <c r="BD303">
        <v>0</v>
      </c>
      <c r="BE303">
        <f t="shared" si="49"/>
        <v>0</v>
      </c>
    </row>
    <row r="304" spans="1:57" x14ac:dyDescent="0.25">
      <c r="A304" t="s">
        <v>39</v>
      </c>
      <c r="B304" t="s">
        <v>1020</v>
      </c>
      <c r="C304">
        <v>77.099999999999994</v>
      </c>
      <c r="D304">
        <v>64.5</v>
      </c>
      <c r="G304">
        <f t="shared" si="40"/>
        <v>1</v>
      </c>
      <c r="H304">
        <f t="shared" si="41"/>
        <v>0</v>
      </c>
      <c r="I304">
        <f t="shared" si="42"/>
        <v>1</v>
      </c>
      <c r="J304">
        <v>71.400000000000006</v>
      </c>
      <c r="K304">
        <v>77.099999999999994</v>
      </c>
      <c r="L304">
        <v>64.5</v>
      </c>
      <c r="M304">
        <v>71.400000000000006</v>
      </c>
      <c r="N304">
        <v>59.4</v>
      </c>
      <c r="O304">
        <v>66.3</v>
      </c>
      <c r="S304">
        <f t="shared" si="43"/>
        <v>1</v>
      </c>
      <c r="T304">
        <f t="shared" si="44"/>
        <v>1</v>
      </c>
      <c r="U304">
        <f t="shared" si="45"/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13.9</v>
      </c>
      <c r="AG304">
        <f t="shared" si="46"/>
        <v>1</v>
      </c>
      <c r="AH304">
        <f t="shared" si="47"/>
        <v>0</v>
      </c>
      <c r="AI304">
        <f t="shared" si="48"/>
        <v>1</v>
      </c>
      <c r="AJ304">
        <v>292.8</v>
      </c>
      <c r="AK304">
        <v>1011.8</v>
      </c>
      <c r="AL304">
        <v>30</v>
      </c>
      <c r="AM304">
        <v>6.7</v>
      </c>
      <c r="AN304">
        <v>0</v>
      </c>
      <c r="AO304">
        <v>0</v>
      </c>
      <c r="AP304">
        <v>0</v>
      </c>
      <c r="AQ304">
        <v>0</v>
      </c>
      <c r="AR304" t="s">
        <v>1021</v>
      </c>
      <c r="AS304" t="s">
        <v>1022</v>
      </c>
      <c r="AT304">
        <v>0.05</v>
      </c>
      <c r="AU304" t="s">
        <v>43</v>
      </c>
      <c r="AV304" t="s">
        <v>44</v>
      </c>
      <c r="AW304" t="s">
        <v>45</v>
      </c>
      <c r="AX304" s="1">
        <v>0.49236111111111108</v>
      </c>
      <c r="AY304" t="s">
        <v>1023</v>
      </c>
      <c r="AZ304">
        <v>356.00000000791619</v>
      </c>
      <c r="BA304">
        <v>0</v>
      </c>
      <c r="BB304">
        <v>0</v>
      </c>
      <c r="BC304">
        <v>3</v>
      </c>
      <c r="BD304">
        <v>0</v>
      </c>
      <c r="BE304">
        <f t="shared" si="49"/>
        <v>0</v>
      </c>
    </row>
    <row r="305" spans="1:57" x14ac:dyDescent="0.25">
      <c r="A305" t="s">
        <v>39</v>
      </c>
      <c r="B305" t="s">
        <v>1024</v>
      </c>
      <c r="C305">
        <v>86.1</v>
      </c>
      <c r="D305">
        <v>77.099999999999994</v>
      </c>
      <c r="G305">
        <f t="shared" si="40"/>
        <v>1</v>
      </c>
      <c r="H305">
        <f t="shared" si="41"/>
        <v>1</v>
      </c>
      <c r="I305">
        <f t="shared" si="42"/>
        <v>0</v>
      </c>
      <c r="J305">
        <v>82.6</v>
      </c>
      <c r="K305">
        <v>89.6</v>
      </c>
      <c r="L305">
        <v>77.099999999999994</v>
      </c>
      <c r="M305">
        <v>84.6</v>
      </c>
      <c r="N305">
        <v>66.8</v>
      </c>
      <c r="O305">
        <v>59.3</v>
      </c>
      <c r="S305">
        <f t="shared" si="43"/>
        <v>0</v>
      </c>
      <c r="T305">
        <f t="shared" si="44"/>
        <v>0</v>
      </c>
      <c r="U305">
        <f t="shared" si="45"/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18.3</v>
      </c>
      <c r="AG305">
        <f t="shared" si="46"/>
        <v>0</v>
      </c>
      <c r="AH305">
        <f t="shared" si="47"/>
        <v>0</v>
      </c>
      <c r="AI305">
        <f t="shared" si="48"/>
        <v>0</v>
      </c>
      <c r="AJ305">
        <v>291.89999999999998</v>
      </c>
      <c r="AK305">
        <v>1008.3</v>
      </c>
      <c r="AL305">
        <v>32.200000000000003</v>
      </c>
      <c r="AM305">
        <v>6.7</v>
      </c>
      <c r="AN305">
        <v>0</v>
      </c>
      <c r="AO305">
        <v>0</v>
      </c>
      <c r="AP305">
        <v>0</v>
      </c>
      <c r="AQ305">
        <v>0</v>
      </c>
      <c r="AR305" t="s">
        <v>1025</v>
      </c>
      <c r="AS305" t="s">
        <v>1026</v>
      </c>
      <c r="AT305">
        <v>7.0000000000000007E-2</v>
      </c>
      <c r="AU305" t="s">
        <v>43</v>
      </c>
      <c r="AV305" t="s">
        <v>44</v>
      </c>
      <c r="AW305" t="s">
        <v>45</v>
      </c>
      <c r="AX305" s="1">
        <v>0.69027777777777777</v>
      </c>
      <c r="AY305" t="s">
        <v>1027</v>
      </c>
      <c r="AZ305">
        <v>1090.9999999939459</v>
      </c>
      <c r="BA305">
        <v>1</v>
      </c>
      <c r="BB305">
        <v>0</v>
      </c>
      <c r="BC305">
        <v>6</v>
      </c>
      <c r="BD305">
        <v>0</v>
      </c>
      <c r="BE305">
        <f t="shared" si="49"/>
        <v>0</v>
      </c>
    </row>
    <row r="306" spans="1:57" x14ac:dyDescent="0.25">
      <c r="A306" t="s">
        <v>39</v>
      </c>
      <c r="B306" t="s">
        <v>983</v>
      </c>
      <c r="C306">
        <v>57.3</v>
      </c>
      <c r="D306">
        <v>53.7</v>
      </c>
      <c r="G306">
        <f t="shared" si="40"/>
        <v>0</v>
      </c>
      <c r="H306">
        <f t="shared" si="41"/>
        <v>0</v>
      </c>
      <c r="I306">
        <f t="shared" si="42"/>
        <v>0</v>
      </c>
      <c r="J306">
        <v>55.2</v>
      </c>
      <c r="K306">
        <v>57.3</v>
      </c>
      <c r="L306">
        <v>53.7</v>
      </c>
      <c r="M306">
        <v>55.2</v>
      </c>
      <c r="N306">
        <v>43.2</v>
      </c>
      <c r="O306">
        <v>64.099999999999994</v>
      </c>
      <c r="S306">
        <f t="shared" si="43"/>
        <v>1</v>
      </c>
      <c r="T306">
        <f t="shared" si="44"/>
        <v>0</v>
      </c>
      <c r="U306">
        <f t="shared" si="45"/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20.8</v>
      </c>
      <c r="AG306">
        <f t="shared" si="46"/>
        <v>1</v>
      </c>
      <c r="AH306">
        <f t="shared" si="47"/>
        <v>1</v>
      </c>
      <c r="AI306">
        <f t="shared" si="48"/>
        <v>0</v>
      </c>
      <c r="AJ306">
        <v>317.2</v>
      </c>
      <c r="AK306">
        <v>1027.5999999999999</v>
      </c>
      <c r="AL306">
        <v>72.599999999999994</v>
      </c>
      <c r="AM306">
        <v>6.8</v>
      </c>
      <c r="AN306">
        <v>0</v>
      </c>
      <c r="AO306">
        <v>0</v>
      </c>
      <c r="AP306">
        <v>0</v>
      </c>
      <c r="AQ306">
        <v>0</v>
      </c>
      <c r="AR306" t="s">
        <v>984</v>
      </c>
      <c r="AS306" t="s">
        <v>985</v>
      </c>
      <c r="AT306">
        <v>0.17</v>
      </c>
      <c r="AU306" t="s">
        <v>43</v>
      </c>
      <c r="AV306" t="s">
        <v>44</v>
      </c>
      <c r="AW306" t="s">
        <v>45</v>
      </c>
      <c r="AX306" s="1">
        <v>0.58958333333333335</v>
      </c>
      <c r="AY306" t="s">
        <v>1028</v>
      </c>
      <c r="AZ306">
        <v>1611.000000002095</v>
      </c>
      <c r="BA306">
        <v>1</v>
      </c>
      <c r="BB306">
        <v>0</v>
      </c>
      <c r="BC306">
        <v>50</v>
      </c>
      <c r="BD306">
        <v>0</v>
      </c>
      <c r="BE306">
        <f t="shared" si="49"/>
        <v>1</v>
      </c>
    </row>
    <row r="307" spans="1:57" x14ac:dyDescent="0.25">
      <c r="A307" t="s">
        <v>39</v>
      </c>
      <c r="B307" t="s">
        <v>1029</v>
      </c>
      <c r="C307">
        <v>82.5</v>
      </c>
      <c r="D307">
        <v>68.099999999999994</v>
      </c>
      <c r="G307">
        <f t="shared" si="40"/>
        <v>1</v>
      </c>
      <c r="H307">
        <f t="shared" si="41"/>
        <v>1</v>
      </c>
      <c r="I307">
        <f t="shared" si="42"/>
        <v>0</v>
      </c>
      <c r="J307">
        <v>75.5</v>
      </c>
      <c r="K307">
        <v>84.8</v>
      </c>
      <c r="L307">
        <v>68.099999999999994</v>
      </c>
      <c r="M307">
        <v>76.2</v>
      </c>
      <c r="N307">
        <v>66</v>
      </c>
      <c r="O307">
        <v>73.2</v>
      </c>
      <c r="S307">
        <f t="shared" si="43"/>
        <v>1</v>
      </c>
      <c r="T307">
        <f t="shared" si="44"/>
        <v>1</v>
      </c>
      <c r="U307">
        <f t="shared" si="45"/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10.3</v>
      </c>
      <c r="AG307">
        <f t="shared" si="46"/>
        <v>1</v>
      </c>
      <c r="AH307">
        <f t="shared" si="47"/>
        <v>0</v>
      </c>
      <c r="AI307">
        <f t="shared" si="48"/>
        <v>1</v>
      </c>
      <c r="AJ307">
        <v>125.1</v>
      </c>
      <c r="AK307">
        <v>1012.9</v>
      </c>
      <c r="AL307">
        <v>30</v>
      </c>
      <c r="AM307">
        <v>6.7</v>
      </c>
      <c r="AN307">
        <v>0</v>
      </c>
      <c r="AO307">
        <v>0</v>
      </c>
      <c r="AP307">
        <v>0</v>
      </c>
      <c r="AQ307">
        <v>0</v>
      </c>
      <c r="AR307" t="s">
        <v>1030</v>
      </c>
      <c r="AS307" t="s">
        <v>1031</v>
      </c>
      <c r="AT307">
        <v>0.04</v>
      </c>
      <c r="AU307" t="s">
        <v>43</v>
      </c>
      <c r="AV307" t="s">
        <v>44</v>
      </c>
      <c r="AW307" t="s">
        <v>45</v>
      </c>
      <c r="AX307" s="1">
        <v>0.68680555555555556</v>
      </c>
      <c r="AY307" t="s">
        <v>1032</v>
      </c>
      <c r="AZ307">
        <v>150.9999999997672</v>
      </c>
      <c r="BA307">
        <v>0</v>
      </c>
      <c r="BB307">
        <v>0</v>
      </c>
      <c r="BC307">
        <v>1</v>
      </c>
      <c r="BD307">
        <v>0</v>
      </c>
      <c r="BE307">
        <f t="shared" si="49"/>
        <v>1</v>
      </c>
    </row>
    <row r="308" spans="1:57" x14ac:dyDescent="0.25">
      <c r="A308" t="s">
        <v>39</v>
      </c>
      <c r="B308" t="s">
        <v>1033</v>
      </c>
      <c r="C308">
        <v>77.099999999999994</v>
      </c>
      <c r="D308">
        <v>62.7</v>
      </c>
      <c r="G308">
        <f t="shared" si="40"/>
        <v>1</v>
      </c>
      <c r="H308">
        <f t="shared" si="41"/>
        <v>0</v>
      </c>
      <c r="I308">
        <f t="shared" si="42"/>
        <v>1</v>
      </c>
      <c r="J308">
        <v>71.099999999999994</v>
      </c>
      <c r="K308">
        <v>77.099999999999994</v>
      </c>
      <c r="L308">
        <v>62.7</v>
      </c>
      <c r="M308">
        <v>71.099999999999994</v>
      </c>
      <c r="N308">
        <v>55.1</v>
      </c>
      <c r="O308">
        <v>57.6</v>
      </c>
      <c r="S308">
        <f t="shared" si="43"/>
        <v>1</v>
      </c>
      <c r="T308">
        <f t="shared" si="44"/>
        <v>0</v>
      </c>
      <c r="U308">
        <f t="shared" si="45"/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10.3</v>
      </c>
      <c r="AG308">
        <f t="shared" si="46"/>
        <v>1</v>
      </c>
      <c r="AH308">
        <f t="shared" si="47"/>
        <v>0</v>
      </c>
      <c r="AI308">
        <f t="shared" si="48"/>
        <v>1</v>
      </c>
      <c r="AJ308">
        <v>128.1</v>
      </c>
      <c r="AK308">
        <v>1012.1</v>
      </c>
      <c r="AL308">
        <v>71.5</v>
      </c>
      <c r="AM308">
        <v>6.5</v>
      </c>
      <c r="AN308">
        <v>0</v>
      </c>
      <c r="AO308">
        <v>0</v>
      </c>
      <c r="AP308">
        <v>0</v>
      </c>
      <c r="AQ308">
        <v>0</v>
      </c>
      <c r="AR308" t="s">
        <v>1034</v>
      </c>
      <c r="AS308" t="s">
        <v>1035</v>
      </c>
      <c r="AT308">
        <v>0.82</v>
      </c>
      <c r="AU308" t="s">
        <v>43</v>
      </c>
      <c r="AV308" t="s">
        <v>44</v>
      </c>
      <c r="AW308" t="s">
        <v>45</v>
      </c>
      <c r="AX308" s="1">
        <v>0.73888888888888893</v>
      </c>
      <c r="AY308" t="s">
        <v>1036</v>
      </c>
      <c r="AZ308">
        <v>13.00000000046566</v>
      </c>
      <c r="BA308">
        <v>0</v>
      </c>
      <c r="BB308">
        <v>0</v>
      </c>
      <c r="BC308">
        <v>0.5</v>
      </c>
      <c r="BD308">
        <v>0</v>
      </c>
      <c r="BE308">
        <f t="shared" si="49"/>
        <v>0</v>
      </c>
    </row>
    <row r="309" spans="1:57" x14ac:dyDescent="0.25">
      <c r="A309" t="s">
        <v>39</v>
      </c>
      <c r="B309" t="s">
        <v>1037</v>
      </c>
      <c r="C309">
        <v>78.900000000000006</v>
      </c>
      <c r="D309">
        <v>73.5</v>
      </c>
      <c r="G309">
        <f t="shared" si="40"/>
        <v>0</v>
      </c>
      <c r="H309">
        <f t="shared" si="41"/>
        <v>0</v>
      </c>
      <c r="I309">
        <f t="shared" si="42"/>
        <v>0</v>
      </c>
      <c r="J309">
        <v>76.5</v>
      </c>
      <c r="K309">
        <v>78.900000000000006</v>
      </c>
      <c r="L309">
        <v>73.5</v>
      </c>
      <c r="M309">
        <v>76.5</v>
      </c>
      <c r="N309">
        <v>64.400000000000006</v>
      </c>
      <c r="O309">
        <v>66.400000000000006</v>
      </c>
      <c r="S309">
        <f t="shared" si="43"/>
        <v>1</v>
      </c>
      <c r="T309">
        <f t="shared" si="44"/>
        <v>1</v>
      </c>
      <c r="U309">
        <f t="shared" si="45"/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19.5</v>
      </c>
      <c r="AG309">
        <f t="shared" si="46"/>
        <v>1</v>
      </c>
      <c r="AH309">
        <f t="shared" si="47"/>
        <v>1</v>
      </c>
      <c r="AI309">
        <f t="shared" si="48"/>
        <v>0</v>
      </c>
      <c r="AJ309">
        <v>295.10000000000002</v>
      </c>
      <c r="AK309">
        <v>1012.3</v>
      </c>
      <c r="AL309">
        <v>39.4</v>
      </c>
      <c r="AM309">
        <v>6.6</v>
      </c>
      <c r="AN309">
        <v>0</v>
      </c>
      <c r="AO309">
        <v>0</v>
      </c>
      <c r="AP309">
        <v>0</v>
      </c>
      <c r="AQ309">
        <v>0</v>
      </c>
      <c r="AR309" t="s">
        <v>1038</v>
      </c>
      <c r="AS309" t="s">
        <v>1039</v>
      </c>
      <c r="AT309">
        <v>0.57999999999999996</v>
      </c>
      <c r="AU309" t="s">
        <v>43</v>
      </c>
      <c r="AV309" t="s">
        <v>44</v>
      </c>
      <c r="AW309" t="s">
        <v>45</v>
      </c>
      <c r="AX309" s="1">
        <v>0.69722222222222219</v>
      </c>
      <c r="AY309" t="s">
        <v>1040</v>
      </c>
      <c r="AZ309">
        <v>110.9999999951106</v>
      </c>
      <c r="BA309">
        <v>0</v>
      </c>
      <c r="BB309">
        <v>0</v>
      </c>
      <c r="BC309">
        <v>0.1</v>
      </c>
      <c r="BD309">
        <v>0</v>
      </c>
      <c r="BE309">
        <f t="shared" si="49"/>
        <v>0</v>
      </c>
    </row>
    <row r="310" spans="1:57" x14ac:dyDescent="0.25">
      <c r="A310" t="s">
        <v>39</v>
      </c>
      <c r="B310" t="s">
        <v>1041</v>
      </c>
      <c r="C310">
        <v>62.7</v>
      </c>
      <c r="D310">
        <v>50.1</v>
      </c>
      <c r="G310">
        <f t="shared" si="40"/>
        <v>0</v>
      </c>
      <c r="H310">
        <f t="shared" si="41"/>
        <v>0</v>
      </c>
      <c r="I310">
        <f t="shared" si="42"/>
        <v>0</v>
      </c>
      <c r="J310">
        <v>56.9</v>
      </c>
      <c r="K310">
        <v>62.7</v>
      </c>
      <c r="L310">
        <v>50.1</v>
      </c>
      <c r="M310">
        <v>56.9</v>
      </c>
      <c r="N310">
        <v>48.5</v>
      </c>
      <c r="O310">
        <v>74.5</v>
      </c>
      <c r="S310">
        <f t="shared" si="43"/>
        <v>1</v>
      </c>
      <c r="T310">
        <f t="shared" si="44"/>
        <v>1</v>
      </c>
      <c r="U310">
        <f t="shared" si="45"/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10.3</v>
      </c>
      <c r="AG310">
        <f t="shared" si="46"/>
        <v>1</v>
      </c>
      <c r="AH310">
        <f t="shared" si="47"/>
        <v>0</v>
      </c>
      <c r="AI310">
        <f t="shared" si="48"/>
        <v>1</v>
      </c>
      <c r="AJ310">
        <v>279.7</v>
      </c>
      <c r="AK310">
        <v>1017.4</v>
      </c>
      <c r="AL310">
        <v>43.3</v>
      </c>
      <c r="AM310">
        <v>6.8</v>
      </c>
      <c r="AN310">
        <v>0</v>
      </c>
      <c r="AO310">
        <v>0</v>
      </c>
      <c r="AP310">
        <v>0</v>
      </c>
      <c r="AQ310">
        <v>0</v>
      </c>
      <c r="AR310" t="s">
        <v>1042</v>
      </c>
      <c r="AS310" t="s">
        <v>1043</v>
      </c>
      <c r="AT310">
        <v>0</v>
      </c>
      <c r="AU310" t="s">
        <v>43</v>
      </c>
      <c r="AV310" t="s">
        <v>44</v>
      </c>
      <c r="AW310" t="s">
        <v>45</v>
      </c>
      <c r="AX310" s="1">
        <v>0.45763888888888887</v>
      </c>
      <c r="AY310" t="s">
        <v>1044</v>
      </c>
      <c r="AZ310">
        <v>101.0000000044238</v>
      </c>
      <c r="BA310">
        <v>0</v>
      </c>
      <c r="BB310">
        <v>0</v>
      </c>
      <c r="BC310">
        <v>1.5</v>
      </c>
      <c r="BD310">
        <v>0</v>
      </c>
      <c r="BE310">
        <f t="shared" si="49"/>
        <v>0</v>
      </c>
    </row>
    <row r="311" spans="1:57" x14ac:dyDescent="0.25">
      <c r="A311" t="s">
        <v>39</v>
      </c>
      <c r="B311" t="s">
        <v>1045</v>
      </c>
      <c r="C311">
        <v>80.7</v>
      </c>
      <c r="D311">
        <v>71.7</v>
      </c>
      <c r="G311">
        <f t="shared" si="40"/>
        <v>1</v>
      </c>
      <c r="H311">
        <f t="shared" si="41"/>
        <v>0</v>
      </c>
      <c r="I311">
        <f t="shared" si="42"/>
        <v>1</v>
      </c>
      <c r="J311">
        <v>77.900000000000006</v>
      </c>
      <c r="K311">
        <v>83.4</v>
      </c>
      <c r="L311">
        <v>71.7</v>
      </c>
      <c r="M311">
        <v>78.5</v>
      </c>
      <c r="N311">
        <v>66.599999999999994</v>
      </c>
      <c r="O311">
        <v>68.7</v>
      </c>
      <c r="S311">
        <f t="shared" si="43"/>
        <v>1</v>
      </c>
      <c r="T311">
        <f t="shared" si="44"/>
        <v>1</v>
      </c>
      <c r="U311">
        <f t="shared" si="45"/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18.3</v>
      </c>
      <c r="AG311">
        <f t="shared" si="46"/>
        <v>0</v>
      </c>
      <c r="AH311">
        <f t="shared" si="47"/>
        <v>0</v>
      </c>
      <c r="AI311">
        <f t="shared" si="48"/>
        <v>0</v>
      </c>
      <c r="AJ311">
        <v>303</v>
      </c>
      <c r="AK311">
        <v>1011.3</v>
      </c>
      <c r="AL311">
        <v>50.9</v>
      </c>
      <c r="AM311">
        <v>6.7</v>
      </c>
      <c r="AN311">
        <v>0</v>
      </c>
      <c r="AO311">
        <v>0</v>
      </c>
      <c r="AP311">
        <v>0</v>
      </c>
      <c r="AQ311">
        <v>0</v>
      </c>
      <c r="AR311" t="s">
        <v>1046</v>
      </c>
      <c r="AS311" t="s">
        <v>1047</v>
      </c>
      <c r="AT311">
        <v>0.41</v>
      </c>
      <c r="AU311" t="s">
        <v>43</v>
      </c>
      <c r="AV311" t="s">
        <v>44</v>
      </c>
      <c r="AW311" t="s">
        <v>45</v>
      </c>
      <c r="AX311" s="1">
        <v>0.52083333333333337</v>
      </c>
      <c r="AY311" t="s">
        <v>1048</v>
      </c>
      <c r="AZ311">
        <v>479.99999999301508</v>
      </c>
      <c r="BA311">
        <v>1</v>
      </c>
      <c r="BB311">
        <v>0</v>
      </c>
      <c r="BC311">
        <v>20</v>
      </c>
      <c r="BD311">
        <v>0</v>
      </c>
      <c r="BE311">
        <f t="shared" si="49"/>
        <v>0</v>
      </c>
    </row>
    <row r="312" spans="1:57" x14ac:dyDescent="0.25">
      <c r="A312" t="s">
        <v>39</v>
      </c>
      <c r="B312" t="s">
        <v>1049</v>
      </c>
      <c r="C312">
        <v>77.099999999999994</v>
      </c>
      <c r="D312">
        <v>71.7</v>
      </c>
      <c r="G312">
        <f t="shared" si="40"/>
        <v>1</v>
      </c>
      <c r="H312">
        <f t="shared" si="41"/>
        <v>0</v>
      </c>
      <c r="I312">
        <f t="shared" si="42"/>
        <v>1</v>
      </c>
      <c r="J312">
        <v>74.2</v>
      </c>
      <c r="K312">
        <v>77.099999999999994</v>
      </c>
      <c r="L312">
        <v>71.7</v>
      </c>
      <c r="M312">
        <v>74.2</v>
      </c>
      <c r="N312">
        <v>60.8</v>
      </c>
      <c r="O312">
        <v>63.1</v>
      </c>
      <c r="S312">
        <f t="shared" si="43"/>
        <v>1</v>
      </c>
      <c r="T312">
        <f t="shared" si="44"/>
        <v>1</v>
      </c>
      <c r="U312">
        <f t="shared" si="45"/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18.3</v>
      </c>
      <c r="AG312">
        <f t="shared" si="46"/>
        <v>0</v>
      </c>
      <c r="AH312">
        <f t="shared" si="47"/>
        <v>0</v>
      </c>
      <c r="AI312">
        <f t="shared" si="48"/>
        <v>0</v>
      </c>
      <c r="AJ312">
        <v>296.89999999999998</v>
      </c>
      <c r="AK312">
        <v>1011.8</v>
      </c>
      <c r="AL312">
        <v>30</v>
      </c>
      <c r="AM312">
        <v>6.6</v>
      </c>
      <c r="AN312">
        <v>0</v>
      </c>
      <c r="AO312">
        <v>0</v>
      </c>
      <c r="AP312">
        <v>0</v>
      </c>
      <c r="AQ312">
        <v>0</v>
      </c>
      <c r="AR312" t="s">
        <v>1050</v>
      </c>
      <c r="AS312" t="s">
        <v>1051</v>
      </c>
      <c r="AT312">
        <v>0.12</v>
      </c>
      <c r="AU312" t="s">
        <v>43</v>
      </c>
      <c r="AV312" t="s">
        <v>44</v>
      </c>
      <c r="AW312" t="s">
        <v>45</v>
      </c>
      <c r="AX312" s="1">
        <v>0.47499999999999998</v>
      </c>
      <c r="AY312" t="s">
        <v>1052</v>
      </c>
      <c r="AZ312">
        <v>1336.0000000067521</v>
      </c>
      <c r="BA312">
        <v>1</v>
      </c>
      <c r="BB312">
        <v>0</v>
      </c>
      <c r="BC312">
        <v>20</v>
      </c>
      <c r="BD312">
        <v>0</v>
      </c>
      <c r="BE312">
        <f t="shared" si="49"/>
        <v>0</v>
      </c>
    </row>
    <row r="313" spans="1:57" x14ac:dyDescent="0.25">
      <c r="A313" t="s">
        <v>39</v>
      </c>
      <c r="B313" t="s">
        <v>1053</v>
      </c>
      <c r="C313">
        <v>75.3</v>
      </c>
      <c r="D313">
        <v>66.3</v>
      </c>
      <c r="G313">
        <f t="shared" si="40"/>
        <v>1</v>
      </c>
      <c r="H313">
        <f t="shared" si="41"/>
        <v>0</v>
      </c>
      <c r="I313">
        <f t="shared" si="42"/>
        <v>1</v>
      </c>
      <c r="J313">
        <v>70.099999999999994</v>
      </c>
      <c r="K313">
        <v>75.3</v>
      </c>
      <c r="L313">
        <v>66.3</v>
      </c>
      <c r="M313">
        <v>70.099999999999994</v>
      </c>
      <c r="N313">
        <v>62.2</v>
      </c>
      <c r="O313">
        <v>77.2</v>
      </c>
      <c r="S313">
        <f t="shared" si="43"/>
        <v>1</v>
      </c>
      <c r="T313">
        <f t="shared" si="44"/>
        <v>1</v>
      </c>
      <c r="U313">
        <f t="shared" si="45"/>
        <v>0</v>
      </c>
      <c r="V313">
        <v>1.2E-2</v>
      </c>
      <c r="W313">
        <v>100</v>
      </c>
      <c r="X313">
        <v>4.17</v>
      </c>
      <c r="Y313" t="s">
        <v>103</v>
      </c>
      <c r="Z313">
        <v>0</v>
      </c>
      <c r="AA313">
        <v>0</v>
      </c>
      <c r="AB313">
        <v>0</v>
      </c>
      <c r="AC313">
        <v>15</v>
      </c>
      <c r="AG313">
        <f t="shared" si="46"/>
        <v>1</v>
      </c>
      <c r="AH313">
        <f t="shared" si="47"/>
        <v>0</v>
      </c>
      <c r="AI313">
        <f t="shared" si="48"/>
        <v>1</v>
      </c>
      <c r="AJ313">
        <v>260.2</v>
      </c>
      <c r="AK313">
        <v>1015.3</v>
      </c>
      <c r="AL313">
        <v>69.099999999999994</v>
      </c>
      <c r="AM313">
        <v>6.8</v>
      </c>
      <c r="AN313">
        <v>0</v>
      </c>
      <c r="AO313">
        <v>0</v>
      </c>
      <c r="AP313">
        <v>0</v>
      </c>
      <c r="AQ313">
        <v>0</v>
      </c>
      <c r="AR313" t="s">
        <v>1054</v>
      </c>
      <c r="AS313" t="s">
        <v>1055</v>
      </c>
      <c r="AT313">
        <v>0.8</v>
      </c>
      <c r="AU313" t="s">
        <v>106</v>
      </c>
      <c r="AV313" t="s">
        <v>433</v>
      </c>
      <c r="AW313" t="s">
        <v>103</v>
      </c>
      <c r="AX313" s="1">
        <v>0.77708333333333335</v>
      </c>
      <c r="AY313" t="s">
        <v>1056</v>
      </c>
      <c r="AZ313">
        <v>139.99999999534339</v>
      </c>
      <c r="BA313">
        <v>0</v>
      </c>
      <c r="BB313">
        <v>0</v>
      </c>
      <c r="BC313">
        <v>0.5</v>
      </c>
      <c r="BD313">
        <v>0</v>
      </c>
      <c r="BE313">
        <f t="shared" si="49"/>
        <v>0</v>
      </c>
    </row>
    <row r="314" spans="1:57" x14ac:dyDescent="0.25">
      <c r="A314" t="s">
        <v>39</v>
      </c>
      <c r="B314" t="s">
        <v>1057</v>
      </c>
      <c r="C314">
        <v>62.7</v>
      </c>
      <c r="D314">
        <v>44.7</v>
      </c>
      <c r="G314">
        <f t="shared" si="40"/>
        <v>0</v>
      </c>
      <c r="H314">
        <f t="shared" si="41"/>
        <v>0</v>
      </c>
      <c r="I314">
        <f t="shared" si="42"/>
        <v>0</v>
      </c>
      <c r="J314">
        <v>54.2</v>
      </c>
      <c r="K314">
        <v>62.7</v>
      </c>
      <c r="L314">
        <v>38.9</v>
      </c>
      <c r="M314">
        <v>53.1</v>
      </c>
      <c r="N314">
        <v>41.3</v>
      </c>
      <c r="O314">
        <v>62.2</v>
      </c>
      <c r="S314">
        <f t="shared" si="43"/>
        <v>1</v>
      </c>
      <c r="T314">
        <f t="shared" si="44"/>
        <v>0</v>
      </c>
      <c r="U314">
        <f t="shared" si="45"/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11.4</v>
      </c>
      <c r="AG314">
        <f t="shared" si="46"/>
        <v>1</v>
      </c>
      <c r="AH314">
        <f t="shared" si="47"/>
        <v>0</v>
      </c>
      <c r="AI314">
        <f t="shared" si="48"/>
        <v>1</v>
      </c>
      <c r="AJ314">
        <v>186.8</v>
      </c>
      <c r="AK314">
        <v>1018.8</v>
      </c>
      <c r="AL314">
        <v>61.7</v>
      </c>
      <c r="AM314">
        <v>6.8</v>
      </c>
      <c r="AN314">
        <v>0</v>
      </c>
      <c r="AO314">
        <v>0</v>
      </c>
      <c r="AP314">
        <v>0</v>
      </c>
      <c r="AQ314">
        <v>0</v>
      </c>
      <c r="AR314" t="s">
        <v>1058</v>
      </c>
      <c r="AS314" t="s">
        <v>1059</v>
      </c>
      <c r="AT314">
        <v>0.63</v>
      </c>
      <c r="AU314" t="s">
        <v>43</v>
      </c>
      <c r="AV314" t="s">
        <v>44</v>
      </c>
      <c r="AW314" t="s">
        <v>45</v>
      </c>
      <c r="AX314" s="1">
        <v>0.62430555555555556</v>
      </c>
      <c r="AY314" t="s">
        <v>1060</v>
      </c>
      <c r="AZ314">
        <v>121.0000000067521</v>
      </c>
      <c r="BA314">
        <v>0</v>
      </c>
      <c r="BB314">
        <v>0</v>
      </c>
      <c r="BC314">
        <v>2</v>
      </c>
      <c r="BD314">
        <v>0</v>
      </c>
      <c r="BE314">
        <f t="shared" si="49"/>
        <v>0</v>
      </c>
    </row>
    <row r="315" spans="1:57" x14ac:dyDescent="0.25">
      <c r="A315" t="s">
        <v>39</v>
      </c>
      <c r="B315" t="s">
        <v>983</v>
      </c>
      <c r="C315">
        <v>57.3</v>
      </c>
      <c r="D315">
        <v>53.7</v>
      </c>
      <c r="G315">
        <f t="shared" si="40"/>
        <v>0</v>
      </c>
      <c r="H315">
        <f t="shared" si="41"/>
        <v>0</v>
      </c>
      <c r="I315">
        <f t="shared" si="42"/>
        <v>0</v>
      </c>
      <c r="J315">
        <v>55.2</v>
      </c>
      <c r="K315">
        <v>57.3</v>
      </c>
      <c r="L315">
        <v>53.7</v>
      </c>
      <c r="M315">
        <v>55.2</v>
      </c>
      <c r="N315">
        <v>43.2</v>
      </c>
      <c r="O315">
        <v>64.099999999999994</v>
      </c>
      <c r="S315">
        <f t="shared" si="43"/>
        <v>1</v>
      </c>
      <c r="T315">
        <f t="shared" si="44"/>
        <v>0</v>
      </c>
      <c r="U315">
        <f t="shared" si="45"/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20.8</v>
      </c>
      <c r="AG315">
        <f t="shared" si="46"/>
        <v>1</v>
      </c>
      <c r="AH315">
        <f t="shared" si="47"/>
        <v>1</v>
      </c>
      <c r="AI315">
        <f t="shared" si="48"/>
        <v>0</v>
      </c>
      <c r="AJ315">
        <v>317.2</v>
      </c>
      <c r="AK315">
        <v>1027.5999999999999</v>
      </c>
      <c r="AL315">
        <v>72.599999999999994</v>
      </c>
      <c r="AM315">
        <v>6.8</v>
      </c>
      <c r="AN315">
        <v>0</v>
      </c>
      <c r="AO315">
        <v>0</v>
      </c>
      <c r="AP315">
        <v>0</v>
      </c>
      <c r="AQ315">
        <v>0</v>
      </c>
      <c r="AR315" t="s">
        <v>984</v>
      </c>
      <c r="AS315" t="s">
        <v>985</v>
      </c>
      <c r="AT315">
        <v>0.17</v>
      </c>
      <c r="AU315" t="s">
        <v>43</v>
      </c>
      <c r="AV315" t="s">
        <v>44</v>
      </c>
      <c r="AW315" t="s">
        <v>45</v>
      </c>
      <c r="AX315" s="1">
        <v>0.59652777777777777</v>
      </c>
      <c r="AY315" t="s">
        <v>1061</v>
      </c>
      <c r="AZ315">
        <v>110.9999999951106</v>
      </c>
      <c r="BA315">
        <v>0</v>
      </c>
      <c r="BB315">
        <v>0</v>
      </c>
      <c r="BC315">
        <v>0.1</v>
      </c>
      <c r="BD315">
        <v>0</v>
      </c>
      <c r="BE315">
        <f t="shared" si="49"/>
        <v>0</v>
      </c>
    </row>
    <row r="316" spans="1:57" x14ac:dyDescent="0.25">
      <c r="A316" t="s">
        <v>39</v>
      </c>
      <c r="B316" t="s">
        <v>1062</v>
      </c>
      <c r="C316">
        <v>89.7</v>
      </c>
      <c r="D316">
        <v>66.3</v>
      </c>
      <c r="G316">
        <f t="shared" si="40"/>
        <v>1</v>
      </c>
      <c r="H316">
        <f t="shared" si="41"/>
        <v>1</v>
      </c>
      <c r="I316">
        <f t="shared" si="42"/>
        <v>0</v>
      </c>
      <c r="J316">
        <v>76</v>
      </c>
      <c r="K316">
        <v>87.5</v>
      </c>
      <c r="L316">
        <v>66.3</v>
      </c>
      <c r="M316">
        <v>75.7</v>
      </c>
      <c r="N316">
        <v>55</v>
      </c>
      <c r="O316">
        <v>49.6</v>
      </c>
      <c r="S316">
        <f t="shared" si="43"/>
        <v>1</v>
      </c>
      <c r="T316">
        <f t="shared" si="44"/>
        <v>0</v>
      </c>
      <c r="U316">
        <f t="shared" si="45"/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16.100000000000001</v>
      </c>
      <c r="AG316">
        <f t="shared" si="46"/>
        <v>0</v>
      </c>
      <c r="AH316">
        <f t="shared" si="47"/>
        <v>0</v>
      </c>
      <c r="AI316">
        <f t="shared" si="48"/>
        <v>0</v>
      </c>
      <c r="AJ316">
        <v>148</v>
      </c>
      <c r="AK316">
        <v>1016.4</v>
      </c>
      <c r="AL316">
        <v>52.5</v>
      </c>
      <c r="AM316">
        <v>6.4</v>
      </c>
      <c r="AN316">
        <v>0</v>
      </c>
      <c r="AO316">
        <v>0</v>
      </c>
      <c r="AP316">
        <v>0</v>
      </c>
      <c r="AQ316">
        <v>0</v>
      </c>
      <c r="AR316" t="s">
        <v>1063</v>
      </c>
      <c r="AS316" t="s">
        <v>1064</v>
      </c>
      <c r="AT316">
        <v>0.17</v>
      </c>
      <c r="AU316" t="s">
        <v>43</v>
      </c>
      <c r="AV316" t="s">
        <v>44</v>
      </c>
      <c r="AW316" t="s">
        <v>45</v>
      </c>
      <c r="AX316" s="1">
        <v>0.72569444444444442</v>
      </c>
      <c r="AY316" t="s">
        <v>1065</v>
      </c>
      <c r="AZ316">
        <v>49.999999995343387</v>
      </c>
      <c r="BA316">
        <v>0</v>
      </c>
      <c r="BB316">
        <v>0</v>
      </c>
      <c r="BC316">
        <v>0.1</v>
      </c>
      <c r="BD316">
        <v>0</v>
      </c>
      <c r="BE316">
        <f t="shared" si="49"/>
        <v>0</v>
      </c>
    </row>
    <row r="317" spans="1:57" x14ac:dyDescent="0.25">
      <c r="A317" t="s">
        <v>39</v>
      </c>
      <c r="B317" t="s">
        <v>1066</v>
      </c>
      <c r="C317">
        <v>73.5</v>
      </c>
      <c r="D317">
        <v>60.9</v>
      </c>
      <c r="G317">
        <f t="shared" si="40"/>
        <v>0</v>
      </c>
      <c r="H317">
        <f t="shared" si="41"/>
        <v>0</v>
      </c>
      <c r="I317">
        <f t="shared" si="42"/>
        <v>0</v>
      </c>
      <c r="J317">
        <v>66</v>
      </c>
      <c r="K317">
        <v>73.5</v>
      </c>
      <c r="L317">
        <v>60.9</v>
      </c>
      <c r="M317">
        <v>66</v>
      </c>
      <c r="N317">
        <v>54.6</v>
      </c>
      <c r="O317">
        <v>68.2</v>
      </c>
      <c r="S317">
        <f t="shared" si="43"/>
        <v>1</v>
      </c>
      <c r="T317">
        <f t="shared" si="44"/>
        <v>1</v>
      </c>
      <c r="U317">
        <f t="shared" si="45"/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23</v>
      </c>
      <c r="AG317">
        <f t="shared" si="46"/>
        <v>1</v>
      </c>
      <c r="AH317">
        <f t="shared" si="47"/>
        <v>1</v>
      </c>
      <c r="AI317">
        <f t="shared" si="48"/>
        <v>0</v>
      </c>
      <c r="AJ317">
        <v>277.89999999999998</v>
      </c>
      <c r="AK317">
        <v>1012.9</v>
      </c>
      <c r="AL317">
        <v>46</v>
      </c>
      <c r="AM317">
        <v>6.5</v>
      </c>
      <c r="AN317">
        <v>0</v>
      </c>
      <c r="AO317">
        <v>0</v>
      </c>
      <c r="AP317">
        <v>0</v>
      </c>
      <c r="AQ317">
        <v>0</v>
      </c>
      <c r="AR317" t="s">
        <v>1067</v>
      </c>
      <c r="AS317" t="s">
        <v>1068</v>
      </c>
      <c r="AT317">
        <v>0.03</v>
      </c>
      <c r="AU317" t="s">
        <v>43</v>
      </c>
      <c r="AV317" t="s">
        <v>44</v>
      </c>
      <c r="AW317" t="s">
        <v>45</v>
      </c>
      <c r="AX317" s="1">
        <v>0.46111111111111108</v>
      </c>
      <c r="AY317" t="s">
        <v>1069</v>
      </c>
      <c r="AZ317">
        <v>375.99999999976723</v>
      </c>
      <c r="BA317">
        <v>1</v>
      </c>
      <c r="BB317">
        <v>0</v>
      </c>
      <c r="BC317">
        <v>3</v>
      </c>
      <c r="BD317">
        <v>0</v>
      </c>
      <c r="BE317">
        <f t="shared" si="49"/>
        <v>1</v>
      </c>
    </row>
    <row r="318" spans="1:57" x14ac:dyDescent="0.25">
      <c r="A318" t="s">
        <v>39</v>
      </c>
      <c r="B318" t="s">
        <v>1070</v>
      </c>
      <c r="C318">
        <v>44.7</v>
      </c>
      <c r="D318">
        <v>37.5</v>
      </c>
      <c r="G318">
        <f t="shared" si="40"/>
        <v>1</v>
      </c>
      <c r="H318">
        <f t="shared" si="41"/>
        <v>0</v>
      </c>
      <c r="I318">
        <f t="shared" si="42"/>
        <v>1</v>
      </c>
      <c r="J318">
        <v>41.6</v>
      </c>
      <c r="K318">
        <v>34.799999999999997</v>
      </c>
      <c r="L318">
        <v>25.1</v>
      </c>
      <c r="M318">
        <v>30.8</v>
      </c>
      <c r="N318">
        <v>29.9</v>
      </c>
      <c r="O318">
        <v>64</v>
      </c>
      <c r="S318">
        <f t="shared" si="43"/>
        <v>1</v>
      </c>
      <c r="T318">
        <f t="shared" si="44"/>
        <v>0</v>
      </c>
      <c r="U318">
        <f t="shared" si="45"/>
        <v>1</v>
      </c>
      <c r="V318">
        <v>0.122</v>
      </c>
      <c r="W318">
        <v>100</v>
      </c>
      <c r="X318">
        <v>12.5</v>
      </c>
      <c r="Y318" t="s">
        <v>103</v>
      </c>
      <c r="Z318">
        <v>0</v>
      </c>
      <c r="AA318">
        <v>0</v>
      </c>
      <c r="AB318">
        <v>0</v>
      </c>
      <c r="AC318">
        <v>33.299999999999997</v>
      </c>
      <c r="AG318">
        <f t="shared" si="46"/>
        <v>1</v>
      </c>
      <c r="AH318">
        <f t="shared" si="47"/>
        <v>1</v>
      </c>
      <c r="AI318">
        <f t="shared" si="48"/>
        <v>0</v>
      </c>
      <c r="AJ318">
        <v>328.8</v>
      </c>
      <c r="AK318">
        <v>1017.1</v>
      </c>
      <c r="AL318">
        <v>89.6</v>
      </c>
      <c r="AM318">
        <v>5.9</v>
      </c>
      <c r="AN318">
        <v>0</v>
      </c>
      <c r="AO318">
        <v>0</v>
      </c>
      <c r="AP318">
        <v>0</v>
      </c>
      <c r="AQ318">
        <v>0</v>
      </c>
      <c r="AR318" t="s">
        <v>1071</v>
      </c>
      <c r="AS318" t="s">
        <v>1072</v>
      </c>
      <c r="AT318">
        <v>0.75</v>
      </c>
      <c r="AU318" t="s">
        <v>106</v>
      </c>
      <c r="AV318" t="s">
        <v>257</v>
      </c>
      <c r="AW318" t="s">
        <v>103</v>
      </c>
      <c r="AX318" s="1">
        <v>0.64861111111111114</v>
      </c>
      <c r="AY318" t="s">
        <v>1073</v>
      </c>
      <c r="AZ318">
        <v>240.9999999997672</v>
      </c>
      <c r="BA318">
        <v>0</v>
      </c>
      <c r="BB318">
        <v>0</v>
      </c>
      <c r="BC318">
        <v>1.5</v>
      </c>
      <c r="BD318">
        <v>0</v>
      </c>
      <c r="BE318">
        <f t="shared" si="49"/>
        <v>1</v>
      </c>
    </row>
    <row r="319" spans="1:57" x14ac:dyDescent="0.25">
      <c r="A319" t="s">
        <v>39</v>
      </c>
      <c r="B319" t="s">
        <v>1074</v>
      </c>
      <c r="C319">
        <v>51.9</v>
      </c>
      <c r="D319">
        <v>44.7</v>
      </c>
      <c r="G319">
        <f t="shared" si="40"/>
        <v>1</v>
      </c>
      <c r="H319">
        <f t="shared" si="41"/>
        <v>0</v>
      </c>
      <c r="I319">
        <f t="shared" si="42"/>
        <v>1</v>
      </c>
      <c r="J319">
        <v>48.9</v>
      </c>
      <c r="K319">
        <v>51.9</v>
      </c>
      <c r="L319">
        <v>35.4</v>
      </c>
      <c r="M319">
        <v>45</v>
      </c>
      <c r="N319">
        <v>34.799999999999997</v>
      </c>
      <c r="O319">
        <v>58.1</v>
      </c>
      <c r="S319">
        <f t="shared" si="43"/>
        <v>1</v>
      </c>
      <c r="T319">
        <f t="shared" si="44"/>
        <v>0</v>
      </c>
      <c r="U319">
        <f t="shared" si="45"/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26.4</v>
      </c>
      <c r="AG319">
        <f t="shared" si="46"/>
        <v>1</v>
      </c>
      <c r="AH319">
        <f t="shared" si="47"/>
        <v>1</v>
      </c>
      <c r="AI319">
        <f t="shared" si="48"/>
        <v>0</v>
      </c>
      <c r="AJ319">
        <v>338.7</v>
      </c>
      <c r="AK319">
        <v>1028</v>
      </c>
      <c r="AL319">
        <v>88.3</v>
      </c>
      <c r="AM319">
        <v>6.8</v>
      </c>
      <c r="AN319">
        <v>0</v>
      </c>
      <c r="AO319">
        <v>0</v>
      </c>
      <c r="AP319">
        <v>0</v>
      </c>
      <c r="AQ319">
        <v>0</v>
      </c>
      <c r="AR319" t="s">
        <v>1075</v>
      </c>
      <c r="AS319" t="s">
        <v>1076</v>
      </c>
      <c r="AT319">
        <v>0.89</v>
      </c>
      <c r="AU319" t="s">
        <v>43</v>
      </c>
      <c r="AV319" t="s">
        <v>44</v>
      </c>
      <c r="AW319" t="s">
        <v>45</v>
      </c>
      <c r="AX319" s="1">
        <v>0.67986111111111114</v>
      </c>
      <c r="AY319" t="s">
        <v>1077</v>
      </c>
      <c r="AZ319">
        <v>911.00000000442378</v>
      </c>
      <c r="BA319">
        <v>1</v>
      </c>
      <c r="BB319">
        <v>0</v>
      </c>
      <c r="BC319">
        <v>30</v>
      </c>
      <c r="BD319">
        <v>0</v>
      </c>
      <c r="BE319">
        <f t="shared" si="49"/>
        <v>1</v>
      </c>
    </row>
    <row r="320" spans="1:57" x14ac:dyDescent="0.25">
      <c r="A320" t="s">
        <v>39</v>
      </c>
      <c r="B320" t="s">
        <v>992</v>
      </c>
      <c r="C320">
        <v>84.3</v>
      </c>
      <c r="D320">
        <v>71.7</v>
      </c>
      <c r="G320">
        <f t="shared" si="40"/>
        <v>0</v>
      </c>
      <c r="H320">
        <f t="shared" si="41"/>
        <v>0</v>
      </c>
      <c r="I320">
        <f t="shared" si="42"/>
        <v>0</v>
      </c>
      <c r="J320">
        <v>79.400000000000006</v>
      </c>
      <c r="K320">
        <v>87.6</v>
      </c>
      <c r="L320">
        <v>71.7</v>
      </c>
      <c r="M320">
        <v>80.7</v>
      </c>
      <c r="N320">
        <v>62.5</v>
      </c>
      <c r="O320">
        <v>57</v>
      </c>
      <c r="S320">
        <f t="shared" si="43"/>
        <v>1</v>
      </c>
      <c r="T320">
        <f t="shared" si="44"/>
        <v>0</v>
      </c>
      <c r="U320">
        <f t="shared" si="45"/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15</v>
      </c>
      <c r="AG320">
        <f t="shared" si="46"/>
        <v>1</v>
      </c>
      <c r="AH320">
        <f t="shared" si="47"/>
        <v>0</v>
      </c>
      <c r="AI320">
        <f t="shared" si="48"/>
        <v>1</v>
      </c>
      <c r="AJ320">
        <v>298.3</v>
      </c>
      <c r="AK320">
        <v>1008.6</v>
      </c>
      <c r="AL320">
        <v>30</v>
      </c>
      <c r="AM320">
        <v>6.4</v>
      </c>
      <c r="AN320">
        <v>0</v>
      </c>
      <c r="AO320">
        <v>0</v>
      </c>
      <c r="AP320">
        <v>0</v>
      </c>
      <c r="AQ320">
        <v>0</v>
      </c>
      <c r="AR320" t="s">
        <v>993</v>
      </c>
      <c r="AS320" t="s">
        <v>994</v>
      </c>
      <c r="AT320">
        <v>0.02</v>
      </c>
      <c r="AU320" t="s">
        <v>43</v>
      </c>
      <c r="AV320" t="s">
        <v>44</v>
      </c>
      <c r="AW320" t="s">
        <v>45</v>
      </c>
      <c r="AX320" s="1">
        <v>0.67986111111111114</v>
      </c>
      <c r="AY320" t="s">
        <v>1078</v>
      </c>
      <c r="AZ320">
        <v>2773.000000007451</v>
      </c>
      <c r="BA320">
        <v>1</v>
      </c>
      <c r="BB320">
        <v>0</v>
      </c>
      <c r="BC320">
        <v>10</v>
      </c>
      <c r="BD320">
        <v>0</v>
      </c>
      <c r="BE320">
        <f t="shared" si="49"/>
        <v>0</v>
      </c>
    </row>
    <row r="321" spans="1:57" x14ac:dyDescent="0.25">
      <c r="A321" t="s">
        <v>39</v>
      </c>
      <c r="B321" t="s">
        <v>1079</v>
      </c>
      <c r="C321">
        <v>86.1</v>
      </c>
      <c r="D321">
        <v>71.7</v>
      </c>
      <c r="G321">
        <f t="shared" si="40"/>
        <v>1</v>
      </c>
      <c r="H321">
        <f t="shared" si="41"/>
        <v>1</v>
      </c>
      <c r="I321">
        <f t="shared" si="42"/>
        <v>0</v>
      </c>
      <c r="J321">
        <v>80.7</v>
      </c>
      <c r="K321">
        <v>92.1</v>
      </c>
      <c r="L321">
        <v>71.7</v>
      </c>
      <c r="M321">
        <v>82.8</v>
      </c>
      <c r="N321">
        <v>66.7</v>
      </c>
      <c r="O321">
        <v>64</v>
      </c>
      <c r="S321">
        <f t="shared" si="43"/>
        <v>1</v>
      </c>
      <c r="T321">
        <f t="shared" si="44"/>
        <v>1</v>
      </c>
      <c r="U321">
        <f t="shared" si="45"/>
        <v>0</v>
      </c>
      <c r="V321">
        <v>0.20100000000000001</v>
      </c>
      <c r="W321">
        <v>100</v>
      </c>
      <c r="X321">
        <v>4.17</v>
      </c>
      <c r="Y321" t="s">
        <v>103</v>
      </c>
      <c r="Z321">
        <v>0</v>
      </c>
      <c r="AA321">
        <v>0</v>
      </c>
      <c r="AB321">
        <v>0</v>
      </c>
      <c r="AC321">
        <v>21.9</v>
      </c>
      <c r="AG321">
        <f t="shared" si="46"/>
        <v>1</v>
      </c>
      <c r="AH321">
        <f t="shared" si="47"/>
        <v>1</v>
      </c>
      <c r="AI321">
        <f t="shared" si="48"/>
        <v>0</v>
      </c>
      <c r="AJ321">
        <v>92</v>
      </c>
      <c r="AK321">
        <v>1010.9</v>
      </c>
      <c r="AL321">
        <v>65.2</v>
      </c>
      <c r="AM321">
        <v>6.8</v>
      </c>
      <c r="AN321">
        <v>0</v>
      </c>
      <c r="AO321">
        <v>0</v>
      </c>
      <c r="AP321">
        <v>0</v>
      </c>
      <c r="AQ321">
        <v>0</v>
      </c>
      <c r="AR321" t="s">
        <v>1080</v>
      </c>
      <c r="AS321" t="s">
        <v>1081</v>
      </c>
      <c r="AT321">
        <v>0.63</v>
      </c>
      <c r="AU321" t="s">
        <v>106</v>
      </c>
      <c r="AV321" t="s">
        <v>296</v>
      </c>
      <c r="AW321" t="s">
        <v>103</v>
      </c>
      <c r="AX321" s="1">
        <v>0.85347222222222219</v>
      </c>
      <c r="AY321" t="s">
        <v>1082</v>
      </c>
      <c r="AZ321">
        <v>120.9999999962747</v>
      </c>
      <c r="BA321">
        <v>0</v>
      </c>
      <c r="BB321">
        <v>0</v>
      </c>
      <c r="BC321">
        <v>0.3</v>
      </c>
      <c r="BD321">
        <v>0</v>
      </c>
      <c r="BE321">
        <f t="shared" si="49"/>
        <v>1</v>
      </c>
    </row>
    <row r="322" spans="1:57" x14ac:dyDescent="0.25">
      <c r="A322" t="s">
        <v>39</v>
      </c>
      <c r="B322" t="s">
        <v>1083</v>
      </c>
      <c r="C322">
        <v>77.099999999999994</v>
      </c>
      <c r="D322">
        <v>71.7</v>
      </c>
      <c r="G322">
        <f t="shared" si="40"/>
        <v>1</v>
      </c>
      <c r="H322">
        <f t="shared" si="41"/>
        <v>0</v>
      </c>
      <c r="I322">
        <f t="shared" si="42"/>
        <v>1</v>
      </c>
      <c r="J322">
        <v>74.5</v>
      </c>
      <c r="K322">
        <v>77.099999999999994</v>
      </c>
      <c r="L322">
        <v>71.7</v>
      </c>
      <c r="M322">
        <v>74.5</v>
      </c>
      <c r="N322">
        <v>59.8</v>
      </c>
      <c r="O322">
        <v>60.7</v>
      </c>
      <c r="S322">
        <f t="shared" si="43"/>
        <v>0</v>
      </c>
      <c r="T322">
        <f t="shared" si="44"/>
        <v>0</v>
      </c>
      <c r="U322">
        <f t="shared" si="45"/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20.8</v>
      </c>
      <c r="AG322">
        <f t="shared" si="46"/>
        <v>1</v>
      </c>
      <c r="AH322">
        <f t="shared" si="47"/>
        <v>1</v>
      </c>
      <c r="AI322">
        <f t="shared" si="48"/>
        <v>0</v>
      </c>
      <c r="AJ322">
        <v>303.5</v>
      </c>
      <c r="AK322">
        <v>1015.4</v>
      </c>
      <c r="AL322">
        <v>31.1</v>
      </c>
      <c r="AM322">
        <v>6.8</v>
      </c>
      <c r="AN322">
        <v>0</v>
      </c>
      <c r="AO322">
        <v>0</v>
      </c>
      <c r="AP322">
        <v>0</v>
      </c>
      <c r="AQ322">
        <v>0</v>
      </c>
      <c r="AR322" t="s">
        <v>1084</v>
      </c>
      <c r="AS322" t="s">
        <v>1085</v>
      </c>
      <c r="AT322">
        <v>0.34</v>
      </c>
      <c r="AU322" t="s">
        <v>43</v>
      </c>
      <c r="AV322" t="s">
        <v>44</v>
      </c>
      <c r="AW322" t="s">
        <v>45</v>
      </c>
      <c r="AX322" s="1">
        <v>2.4305555555555559E-2</v>
      </c>
      <c r="AY322" t="s">
        <v>1086</v>
      </c>
      <c r="AZ322">
        <v>75.00000000349246</v>
      </c>
      <c r="BA322">
        <v>0</v>
      </c>
      <c r="BB322">
        <v>0</v>
      </c>
      <c r="BC322">
        <v>2</v>
      </c>
      <c r="BD322">
        <v>0</v>
      </c>
      <c r="BE322">
        <f t="shared" si="49"/>
        <v>0</v>
      </c>
    </row>
    <row r="323" spans="1:57" x14ac:dyDescent="0.25">
      <c r="A323" t="s">
        <v>39</v>
      </c>
      <c r="B323" t="s">
        <v>1087</v>
      </c>
      <c r="C323">
        <v>84.3</v>
      </c>
      <c r="D323">
        <v>80.7</v>
      </c>
      <c r="G323">
        <f t="shared" ref="G323:G386" si="50">IF(ABS(C323-INDEX($F$2:$F$13,MONTH(B323)))&gt;1.8,1,0)</f>
        <v>0</v>
      </c>
      <c r="H323">
        <f t="shared" ref="H323:H386" si="51">IF(C323&gt;=INDEX($F$2:$F$13,MONTH(B323))+1.8,1,0)</f>
        <v>0</v>
      </c>
      <c r="I323">
        <f t="shared" ref="I323:I386" si="52">IF(C323&lt;=INDEX($F$2:$F$13,MONTH(B323))-1.8,1,0)</f>
        <v>0</v>
      </c>
      <c r="J323">
        <v>82.8</v>
      </c>
      <c r="K323">
        <v>87.6</v>
      </c>
      <c r="L323">
        <v>81.2</v>
      </c>
      <c r="M323">
        <v>84.6</v>
      </c>
      <c r="N323">
        <v>64.2</v>
      </c>
      <c r="O323">
        <v>54.1</v>
      </c>
      <c r="S323">
        <f t="shared" ref="S323:S386" si="53">IF(OR(O323&lt;INDEX($Q$2:$Q$13,MONTH(B323)),O323&gt;INDEX($R$2:$R$13,MONTH(B323))),1,0)</f>
        <v>1</v>
      </c>
      <c r="T323">
        <f t="shared" ref="T323:T386" si="54">IF(O323&gt;INDEX($R$2:$R$13,MONTH(B323)),1,0)</f>
        <v>0</v>
      </c>
      <c r="U323">
        <f t="shared" ref="U323:U386" si="55">IF(O323&lt;INDEX($Q$2:$Q$13,MONTH(B323)),1,0)</f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28.9</v>
      </c>
      <c r="AG323">
        <f t="shared" ref="AG323:AG386" si="56">IF(OR(AC323&lt;INDEX($AE$2:$AE$13,MONTH(B323)),AC323&gt;INDEX($AF$2:$AF$13,MONTH(B323))),1,0)</f>
        <v>1</v>
      </c>
      <c r="AH323">
        <f t="shared" ref="AH323:AH386" si="57">IF(AC323&gt;INDEX($AF$2:$AF$13,MONTH(B323)),1,0)</f>
        <v>1</v>
      </c>
      <c r="AI323">
        <f t="shared" ref="AI323:AI386" si="58">IF(AC323&lt;INDEX($AE$2:$AE$13,MONTH(B323)),1,0)</f>
        <v>0</v>
      </c>
      <c r="AJ323">
        <v>287.89999999999998</v>
      </c>
      <c r="AK323">
        <v>1005.8</v>
      </c>
      <c r="AL323">
        <v>30</v>
      </c>
      <c r="AM323">
        <v>6.4</v>
      </c>
      <c r="AN323">
        <v>0</v>
      </c>
      <c r="AO323">
        <v>0</v>
      </c>
      <c r="AP323">
        <v>0</v>
      </c>
      <c r="AQ323">
        <v>0</v>
      </c>
      <c r="AR323" t="s">
        <v>1088</v>
      </c>
      <c r="AS323" t="s">
        <v>1089</v>
      </c>
      <c r="AT323">
        <v>0</v>
      </c>
      <c r="AU323" t="s">
        <v>43</v>
      </c>
      <c r="AV323" t="s">
        <v>44</v>
      </c>
      <c r="AW323" t="s">
        <v>45</v>
      </c>
      <c r="AX323" s="1">
        <v>0.51388888888888884</v>
      </c>
      <c r="AY323" t="s">
        <v>1090</v>
      </c>
      <c r="AZ323">
        <v>12849.99999999767</v>
      </c>
      <c r="BA323">
        <v>1</v>
      </c>
      <c r="BB323">
        <v>0</v>
      </c>
      <c r="BC323">
        <v>2000</v>
      </c>
      <c r="BD323">
        <v>0</v>
      </c>
      <c r="BE323">
        <f t="shared" ref="BE323:BE386" si="59">IF((3*AH323+3*H323+2*U323+2*BA323-(2*(1-T323)+2*(1-I323)+2*(1-AI323)))&gt;=1,1,0)</f>
        <v>1</v>
      </c>
    </row>
    <row r="324" spans="1:57" x14ac:dyDescent="0.25">
      <c r="A324" t="s">
        <v>39</v>
      </c>
      <c r="B324" t="s">
        <v>1091</v>
      </c>
      <c r="C324">
        <v>84.3</v>
      </c>
      <c r="D324">
        <v>73.5</v>
      </c>
      <c r="G324">
        <f t="shared" si="50"/>
        <v>0</v>
      </c>
      <c r="H324">
        <f t="shared" si="51"/>
        <v>0</v>
      </c>
      <c r="I324">
        <f t="shared" si="52"/>
        <v>0</v>
      </c>
      <c r="J324">
        <v>80.599999999999994</v>
      </c>
      <c r="K324">
        <v>92.7</v>
      </c>
      <c r="L324">
        <v>73.5</v>
      </c>
      <c r="M324">
        <v>83.8</v>
      </c>
      <c r="N324">
        <v>68.900000000000006</v>
      </c>
      <c r="O324">
        <v>68.599999999999994</v>
      </c>
      <c r="S324">
        <f t="shared" si="53"/>
        <v>1</v>
      </c>
      <c r="T324">
        <f t="shared" si="54"/>
        <v>1</v>
      </c>
      <c r="U324">
        <f t="shared" si="55"/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13.9</v>
      </c>
      <c r="AG324">
        <f t="shared" si="56"/>
        <v>1</v>
      </c>
      <c r="AH324">
        <f t="shared" si="57"/>
        <v>0</v>
      </c>
      <c r="AI324">
        <f t="shared" si="58"/>
        <v>1</v>
      </c>
      <c r="AJ324">
        <v>61.6</v>
      </c>
      <c r="AK324">
        <v>1008.8</v>
      </c>
      <c r="AL324">
        <v>56.2</v>
      </c>
      <c r="AM324">
        <v>6.7</v>
      </c>
      <c r="AN324">
        <v>0</v>
      </c>
      <c r="AO324">
        <v>0</v>
      </c>
      <c r="AP324">
        <v>0</v>
      </c>
      <c r="AQ324">
        <v>0</v>
      </c>
      <c r="AR324" t="s">
        <v>1092</v>
      </c>
      <c r="AS324" t="s">
        <v>1093</v>
      </c>
      <c r="AT324">
        <v>0.6</v>
      </c>
      <c r="AU324" t="s">
        <v>43</v>
      </c>
      <c r="AV324" t="s">
        <v>44</v>
      </c>
      <c r="AW324" t="s">
        <v>45</v>
      </c>
      <c r="AX324" s="1">
        <v>0.73611111111111116</v>
      </c>
      <c r="AY324" t="s">
        <v>1094</v>
      </c>
      <c r="AZ324">
        <v>1220.000000005821</v>
      </c>
      <c r="BA324">
        <v>1</v>
      </c>
      <c r="BB324">
        <v>0</v>
      </c>
      <c r="BC324">
        <v>40</v>
      </c>
      <c r="BD324">
        <v>0</v>
      </c>
      <c r="BE324">
        <f t="shared" si="59"/>
        <v>0</v>
      </c>
    </row>
    <row r="325" spans="1:57" x14ac:dyDescent="0.25">
      <c r="A325" t="s">
        <v>39</v>
      </c>
      <c r="B325" t="s">
        <v>1095</v>
      </c>
      <c r="C325">
        <v>82.5</v>
      </c>
      <c r="D325">
        <v>66.3</v>
      </c>
      <c r="G325">
        <f t="shared" si="50"/>
        <v>0</v>
      </c>
      <c r="H325">
        <f t="shared" si="51"/>
        <v>0</v>
      </c>
      <c r="I325">
        <f t="shared" si="52"/>
        <v>0</v>
      </c>
      <c r="J325">
        <v>77.599999999999994</v>
      </c>
      <c r="K325">
        <v>86.4</v>
      </c>
      <c r="L325">
        <v>66.3</v>
      </c>
      <c r="M325">
        <v>78.5</v>
      </c>
      <c r="N325">
        <v>66.8</v>
      </c>
      <c r="O325">
        <v>70.099999999999994</v>
      </c>
      <c r="S325">
        <f t="shared" si="53"/>
        <v>1</v>
      </c>
      <c r="T325">
        <f t="shared" si="54"/>
        <v>1</v>
      </c>
      <c r="U325">
        <f t="shared" si="55"/>
        <v>0</v>
      </c>
      <c r="V325">
        <v>0.161</v>
      </c>
      <c r="W325">
        <v>100</v>
      </c>
      <c r="X325">
        <v>8.33</v>
      </c>
      <c r="Y325" t="s">
        <v>103</v>
      </c>
      <c r="Z325">
        <v>0</v>
      </c>
      <c r="AA325">
        <v>0</v>
      </c>
      <c r="AB325">
        <v>0</v>
      </c>
      <c r="AC325">
        <v>19.5</v>
      </c>
      <c r="AG325">
        <f t="shared" si="56"/>
        <v>1</v>
      </c>
      <c r="AH325">
        <f t="shared" si="57"/>
        <v>1</v>
      </c>
      <c r="AI325">
        <f t="shared" si="58"/>
        <v>0</v>
      </c>
      <c r="AJ325">
        <v>299</v>
      </c>
      <c r="AK325">
        <v>1010.2</v>
      </c>
      <c r="AL325">
        <v>47.4</v>
      </c>
      <c r="AM325">
        <v>6.7</v>
      </c>
      <c r="AN325">
        <v>0</v>
      </c>
      <c r="AO325">
        <v>0</v>
      </c>
      <c r="AP325">
        <v>0</v>
      </c>
      <c r="AQ325">
        <v>0</v>
      </c>
      <c r="AR325" t="s">
        <v>1096</v>
      </c>
      <c r="AS325" t="s">
        <v>1097</v>
      </c>
      <c r="AT325">
        <v>0.37</v>
      </c>
      <c r="AU325" t="s">
        <v>106</v>
      </c>
      <c r="AV325" t="s">
        <v>1098</v>
      </c>
      <c r="AW325" t="s">
        <v>103</v>
      </c>
      <c r="AX325" s="1">
        <v>0.4513888888888889</v>
      </c>
      <c r="AY325" t="s">
        <v>1099</v>
      </c>
      <c r="AZ325">
        <v>190.00000000116421</v>
      </c>
      <c r="BA325">
        <v>0</v>
      </c>
      <c r="BB325">
        <v>0</v>
      </c>
      <c r="BC325">
        <v>0.1</v>
      </c>
      <c r="BD325">
        <v>0</v>
      </c>
      <c r="BE325">
        <f t="shared" si="59"/>
        <v>0</v>
      </c>
    </row>
    <row r="326" spans="1:57" x14ac:dyDescent="0.25">
      <c r="A326" t="s">
        <v>39</v>
      </c>
      <c r="B326" t="s">
        <v>1100</v>
      </c>
      <c r="C326">
        <v>84.3</v>
      </c>
      <c r="D326">
        <v>78.900000000000006</v>
      </c>
      <c r="G326">
        <f t="shared" si="50"/>
        <v>0</v>
      </c>
      <c r="H326">
        <f t="shared" si="51"/>
        <v>0</v>
      </c>
      <c r="I326">
        <f t="shared" si="52"/>
        <v>0</v>
      </c>
      <c r="J326">
        <v>81.7</v>
      </c>
      <c r="K326">
        <v>88.6</v>
      </c>
      <c r="L326">
        <v>78.900000000000006</v>
      </c>
      <c r="M326">
        <v>85</v>
      </c>
      <c r="N326">
        <v>69.2</v>
      </c>
      <c r="O326">
        <v>66</v>
      </c>
      <c r="S326">
        <f t="shared" si="53"/>
        <v>1</v>
      </c>
      <c r="T326">
        <f t="shared" si="54"/>
        <v>1</v>
      </c>
      <c r="U326">
        <f t="shared" si="55"/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21.9</v>
      </c>
      <c r="AG326">
        <f t="shared" si="56"/>
        <v>1</v>
      </c>
      <c r="AH326">
        <f t="shared" si="57"/>
        <v>1</v>
      </c>
      <c r="AI326">
        <f t="shared" si="58"/>
        <v>0</v>
      </c>
      <c r="AJ326">
        <v>297.7</v>
      </c>
      <c r="AK326">
        <v>1009.1</v>
      </c>
      <c r="AL326">
        <v>30</v>
      </c>
      <c r="AM326">
        <v>6.5</v>
      </c>
      <c r="AN326">
        <v>0</v>
      </c>
      <c r="AO326">
        <v>0</v>
      </c>
      <c r="AP326">
        <v>0</v>
      </c>
      <c r="AQ326">
        <v>0</v>
      </c>
      <c r="AR326" t="s">
        <v>1101</v>
      </c>
      <c r="AS326" t="s">
        <v>1102</v>
      </c>
      <c r="AT326">
        <v>0.11</v>
      </c>
      <c r="AU326" t="s">
        <v>43</v>
      </c>
      <c r="AV326" t="s">
        <v>44</v>
      </c>
      <c r="AW326" t="s">
        <v>45</v>
      </c>
      <c r="AX326" s="1">
        <v>0.50277777777777777</v>
      </c>
      <c r="AY326" t="s">
        <v>1103</v>
      </c>
      <c r="AZ326">
        <v>235.9999999939464</v>
      </c>
      <c r="BA326">
        <v>0</v>
      </c>
      <c r="BB326">
        <v>0</v>
      </c>
      <c r="BC326">
        <v>3</v>
      </c>
      <c r="BD326">
        <v>0</v>
      </c>
      <c r="BE326">
        <f t="shared" si="59"/>
        <v>0</v>
      </c>
    </row>
    <row r="327" spans="1:57" x14ac:dyDescent="0.25">
      <c r="A327" t="s">
        <v>39</v>
      </c>
      <c r="B327" t="s">
        <v>911</v>
      </c>
      <c r="C327">
        <v>84.3</v>
      </c>
      <c r="D327">
        <v>73.5</v>
      </c>
      <c r="G327">
        <f t="shared" si="50"/>
        <v>0</v>
      </c>
      <c r="H327">
        <f t="shared" si="51"/>
        <v>0</v>
      </c>
      <c r="I327">
        <f t="shared" si="52"/>
        <v>0</v>
      </c>
      <c r="J327">
        <v>80</v>
      </c>
      <c r="K327">
        <v>91.1</v>
      </c>
      <c r="L327">
        <v>73.5</v>
      </c>
      <c r="M327">
        <v>82.3</v>
      </c>
      <c r="N327">
        <v>65</v>
      </c>
      <c r="O327">
        <v>61.3</v>
      </c>
      <c r="S327">
        <f t="shared" si="53"/>
        <v>0</v>
      </c>
      <c r="T327">
        <f t="shared" si="54"/>
        <v>0</v>
      </c>
      <c r="U327">
        <f t="shared" si="55"/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18.3</v>
      </c>
      <c r="AG327">
        <f t="shared" si="56"/>
        <v>0</v>
      </c>
      <c r="AH327">
        <f t="shared" si="57"/>
        <v>0</v>
      </c>
      <c r="AI327">
        <f t="shared" si="58"/>
        <v>0</v>
      </c>
      <c r="AJ327">
        <v>295.10000000000002</v>
      </c>
      <c r="AK327">
        <v>1007.5</v>
      </c>
      <c r="AL327">
        <v>30</v>
      </c>
      <c r="AM327">
        <v>6.3</v>
      </c>
      <c r="AN327">
        <v>0</v>
      </c>
      <c r="AO327">
        <v>0</v>
      </c>
      <c r="AP327">
        <v>0</v>
      </c>
      <c r="AQ327">
        <v>0</v>
      </c>
      <c r="AR327" t="s">
        <v>912</v>
      </c>
      <c r="AS327" t="s">
        <v>913</v>
      </c>
      <c r="AT327">
        <v>0.93</v>
      </c>
      <c r="AU327" t="s">
        <v>43</v>
      </c>
      <c r="AV327" t="s">
        <v>44</v>
      </c>
      <c r="AW327" t="s">
        <v>45</v>
      </c>
      <c r="AX327" s="1">
        <v>0.8569444444444444</v>
      </c>
      <c r="AY327" t="s">
        <v>1104</v>
      </c>
      <c r="AZ327">
        <v>146.00000000442381</v>
      </c>
      <c r="BA327">
        <v>0</v>
      </c>
      <c r="BB327">
        <v>0</v>
      </c>
      <c r="BC327">
        <v>0.3</v>
      </c>
      <c r="BD327">
        <v>0</v>
      </c>
      <c r="BE327">
        <f t="shared" si="59"/>
        <v>0</v>
      </c>
    </row>
    <row r="328" spans="1:57" x14ac:dyDescent="0.25">
      <c r="A328" t="s">
        <v>39</v>
      </c>
      <c r="B328" t="s">
        <v>1105</v>
      </c>
      <c r="C328">
        <v>71.7</v>
      </c>
      <c r="D328">
        <v>59.1</v>
      </c>
      <c r="G328">
        <f t="shared" si="50"/>
        <v>1</v>
      </c>
      <c r="H328">
        <f t="shared" si="51"/>
        <v>0</v>
      </c>
      <c r="I328">
        <f t="shared" si="52"/>
        <v>1</v>
      </c>
      <c r="J328">
        <v>66.400000000000006</v>
      </c>
      <c r="K328">
        <v>71.7</v>
      </c>
      <c r="L328">
        <v>59.1</v>
      </c>
      <c r="M328">
        <v>66.400000000000006</v>
      </c>
      <c r="N328">
        <v>56.9</v>
      </c>
      <c r="O328">
        <v>72.5</v>
      </c>
      <c r="S328">
        <f t="shared" si="53"/>
        <v>1</v>
      </c>
      <c r="T328">
        <f t="shared" si="54"/>
        <v>1</v>
      </c>
      <c r="U328">
        <f t="shared" si="55"/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16.100000000000001</v>
      </c>
      <c r="AG328">
        <f t="shared" si="56"/>
        <v>0</v>
      </c>
      <c r="AH328">
        <f t="shared" si="57"/>
        <v>0</v>
      </c>
      <c r="AI328">
        <f t="shared" si="58"/>
        <v>0</v>
      </c>
      <c r="AJ328">
        <v>325.60000000000002</v>
      </c>
      <c r="AK328">
        <v>1018.4</v>
      </c>
      <c r="AL328">
        <v>50.8</v>
      </c>
      <c r="AM328">
        <v>6.8</v>
      </c>
      <c r="AN328">
        <v>0</v>
      </c>
      <c r="AO328">
        <v>0</v>
      </c>
      <c r="AP328">
        <v>0</v>
      </c>
      <c r="AQ328">
        <v>0</v>
      </c>
      <c r="AR328" t="s">
        <v>1106</v>
      </c>
      <c r="AS328" t="s">
        <v>1107</v>
      </c>
      <c r="AT328">
        <v>0.71</v>
      </c>
      <c r="AU328" t="s">
        <v>43</v>
      </c>
      <c r="AV328" t="s">
        <v>44</v>
      </c>
      <c r="AW328" t="s">
        <v>45</v>
      </c>
      <c r="AX328" s="1">
        <v>0.54166666666666663</v>
      </c>
      <c r="AY328" t="s">
        <v>1108</v>
      </c>
      <c r="AZ328">
        <v>235.00000000116421</v>
      </c>
      <c r="BA328">
        <v>0</v>
      </c>
      <c r="BB328">
        <v>0</v>
      </c>
      <c r="BC328">
        <v>2</v>
      </c>
      <c r="BD328">
        <v>0</v>
      </c>
      <c r="BE328">
        <f t="shared" si="59"/>
        <v>0</v>
      </c>
    </row>
    <row r="329" spans="1:57" x14ac:dyDescent="0.25">
      <c r="A329" t="s">
        <v>39</v>
      </c>
      <c r="B329" t="s">
        <v>1109</v>
      </c>
      <c r="C329">
        <v>73.5</v>
      </c>
      <c r="D329">
        <v>60.9</v>
      </c>
      <c r="G329">
        <f t="shared" si="50"/>
        <v>0</v>
      </c>
      <c r="H329">
        <f t="shared" si="51"/>
        <v>0</v>
      </c>
      <c r="I329">
        <f t="shared" si="52"/>
        <v>0</v>
      </c>
      <c r="J329">
        <v>69</v>
      </c>
      <c r="K329">
        <v>73.5</v>
      </c>
      <c r="L329">
        <v>60.9</v>
      </c>
      <c r="M329">
        <v>69</v>
      </c>
      <c r="N329">
        <v>52.6</v>
      </c>
      <c r="O329">
        <v>56.3</v>
      </c>
      <c r="S329">
        <f t="shared" si="53"/>
        <v>1</v>
      </c>
      <c r="T329">
        <f t="shared" si="54"/>
        <v>0</v>
      </c>
      <c r="U329">
        <f t="shared" si="55"/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17.2</v>
      </c>
      <c r="AG329">
        <f t="shared" si="56"/>
        <v>0</v>
      </c>
      <c r="AH329">
        <f t="shared" si="57"/>
        <v>0</v>
      </c>
      <c r="AI329">
        <f t="shared" si="58"/>
        <v>0</v>
      </c>
      <c r="AJ329">
        <v>309</v>
      </c>
      <c r="AK329">
        <v>1019</v>
      </c>
      <c r="AL329">
        <v>66.5</v>
      </c>
      <c r="AM329">
        <v>6.8</v>
      </c>
      <c r="AN329">
        <v>0</v>
      </c>
      <c r="AO329">
        <v>0</v>
      </c>
      <c r="AP329">
        <v>0</v>
      </c>
      <c r="AQ329">
        <v>0</v>
      </c>
      <c r="AR329" t="s">
        <v>1110</v>
      </c>
      <c r="AS329" t="s">
        <v>1111</v>
      </c>
      <c r="AT329">
        <v>0.93</v>
      </c>
      <c r="AU329" t="s">
        <v>43</v>
      </c>
      <c r="AV329" t="s">
        <v>44</v>
      </c>
      <c r="AW329" t="s">
        <v>45</v>
      </c>
      <c r="AX329" s="1">
        <v>0.1243055555555556</v>
      </c>
      <c r="AY329" t="s">
        <v>1112</v>
      </c>
      <c r="AZ329">
        <v>536.00000000791624</v>
      </c>
      <c r="BA329">
        <v>1</v>
      </c>
      <c r="BB329">
        <v>2</v>
      </c>
      <c r="BC329">
        <v>0</v>
      </c>
      <c r="BD329">
        <v>0</v>
      </c>
      <c r="BE329">
        <f t="shared" si="59"/>
        <v>0</v>
      </c>
    </row>
    <row r="330" spans="1:57" x14ac:dyDescent="0.25">
      <c r="A330" t="s">
        <v>39</v>
      </c>
      <c r="B330" t="s">
        <v>1113</v>
      </c>
      <c r="C330">
        <v>82.5</v>
      </c>
      <c r="D330">
        <v>69.900000000000006</v>
      </c>
      <c r="G330">
        <f t="shared" si="50"/>
        <v>1</v>
      </c>
      <c r="H330">
        <f t="shared" si="51"/>
        <v>1</v>
      </c>
      <c r="I330">
        <f t="shared" si="52"/>
        <v>0</v>
      </c>
      <c r="J330">
        <v>76.3</v>
      </c>
      <c r="K330">
        <v>83.5</v>
      </c>
      <c r="L330">
        <v>69.900000000000006</v>
      </c>
      <c r="M330">
        <v>76.5</v>
      </c>
      <c r="N330">
        <v>60.9</v>
      </c>
      <c r="O330">
        <v>59.8</v>
      </c>
      <c r="S330">
        <f t="shared" si="53"/>
        <v>1</v>
      </c>
      <c r="T330">
        <f t="shared" si="54"/>
        <v>0</v>
      </c>
      <c r="U330">
        <f t="shared" si="55"/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28.9</v>
      </c>
      <c r="AG330">
        <f t="shared" si="56"/>
        <v>1</v>
      </c>
      <c r="AH330">
        <f t="shared" si="57"/>
        <v>1</v>
      </c>
      <c r="AI330">
        <f t="shared" si="58"/>
        <v>0</v>
      </c>
      <c r="AJ330">
        <v>164.3</v>
      </c>
      <c r="AK330">
        <v>1010.1</v>
      </c>
      <c r="AL330">
        <v>78.599999999999994</v>
      </c>
      <c r="AM330">
        <v>6.7</v>
      </c>
      <c r="AN330">
        <v>0</v>
      </c>
      <c r="AO330">
        <v>0</v>
      </c>
      <c r="AP330">
        <v>0</v>
      </c>
      <c r="AQ330">
        <v>0</v>
      </c>
      <c r="AR330" t="s">
        <v>1114</v>
      </c>
      <c r="AS330" t="s">
        <v>1115</v>
      </c>
      <c r="AT330">
        <v>0.2</v>
      </c>
      <c r="AU330" t="s">
        <v>43</v>
      </c>
      <c r="AV330" t="s">
        <v>44</v>
      </c>
      <c r="AW330" t="s">
        <v>45</v>
      </c>
      <c r="AX330" s="1">
        <v>0.77430555555555558</v>
      </c>
      <c r="AY330" t="s">
        <v>1116</v>
      </c>
      <c r="AZ330">
        <v>45</v>
      </c>
      <c r="BA330">
        <v>0</v>
      </c>
      <c r="BB330">
        <v>0</v>
      </c>
      <c r="BC330">
        <v>0.5</v>
      </c>
      <c r="BD330">
        <v>0</v>
      </c>
      <c r="BE330">
        <f t="shared" si="59"/>
        <v>1</v>
      </c>
    </row>
    <row r="331" spans="1:57" x14ac:dyDescent="0.25">
      <c r="A331" t="s">
        <v>39</v>
      </c>
      <c r="B331" t="s">
        <v>1117</v>
      </c>
      <c r="C331">
        <v>69.900000000000006</v>
      </c>
      <c r="D331">
        <v>64.5</v>
      </c>
      <c r="G331">
        <f t="shared" si="50"/>
        <v>1</v>
      </c>
      <c r="H331">
        <f t="shared" si="51"/>
        <v>0</v>
      </c>
      <c r="I331">
        <f t="shared" si="52"/>
        <v>1</v>
      </c>
      <c r="J331">
        <v>67.7</v>
      </c>
      <c r="K331">
        <v>69.900000000000006</v>
      </c>
      <c r="L331">
        <v>64.5</v>
      </c>
      <c r="M331">
        <v>67.7</v>
      </c>
      <c r="N331">
        <v>52</v>
      </c>
      <c r="O331">
        <v>57.6</v>
      </c>
      <c r="S331">
        <f t="shared" si="53"/>
        <v>1</v>
      </c>
      <c r="T331">
        <f t="shared" si="54"/>
        <v>0</v>
      </c>
      <c r="U331">
        <f t="shared" si="55"/>
        <v>1</v>
      </c>
      <c r="V331">
        <v>0.02</v>
      </c>
      <c r="W331">
        <v>100</v>
      </c>
      <c r="X331">
        <v>4.17</v>
      </c>
      <c r="Y331" t="s">
        <v>103</v>
      </c>
      <c r="Z331">
        <v>0</v>
      </c>
      <c r="AA331">
        <v>0</v>
      </c>
      <c r="AB331">
        <v>0</v>
      </c>
      <c r="AC331">
        <v>20.8</v>
      </c>
      <c r="AG331">
        <f t="shared" si="56"/>
        <v>1</v>
      </c>
      <c r="AH331">
        <f t="shared" si="57"/>
        <v>1</v>
      </c>
      <c r="AI331">
        <f t="shared" si="58"/>
        <v>0</v>
      </c>
      <c r="AJ331">
        <v>330.8</v>
      </c>
      <c r="AK331">
        <v>1020.9</v>
      </c>
      <c r="AL331">
        <v>81.8</v>
      </c>
      <c r="AM331">
        <v>6.8</v>
      </c>
      <c r="AN331">
        <v>0</v>
      </c>
      <c r="AO331">
        <v>0</v>
      </c>
      <c r="AP331">
        <v>0</v>
      </c>
      <c r="AQ331">
        <v>0</v>
      </c>
      <c r="AR331" t="s">
        <v>1118</v>
      </c>
      <c r="AS331" t="s">
        <v>1119</v>
      </c>
      <c r="AT331">
        <v>0.9</v>
      </c>
      <c r="AU331" t="s">
        <v>106</v>
      </c>
      <c r="AV331" t="s">
        <v>433</v>
      </c>
      <c r="AW331" t="s">
        <v>103</v>
      </c>
      <c r="AX331" s="1">
        <v>0.41597222222222219</v>
      </c>
      <c r="AY331" t="s">
        <v>1120</v>
      </c>
      <c r="AZ331">
        <v>508.99999999324791</v>
      </c>
      <c r="BA331">
        <v>1</v>
      </c>
      <c r="BB331">
        <v>3.5</v>
      </c>
      <c r="BC331">
        <v>0</v>
      </c>
      <c r="BD331">
        <v>0</v>
      </c>
      <c r="BE331">
        <f t="shared" si="59"/>
        <v>1</v>
      </c>
    </row>
    <row r="332" spans="1:57" x14ac:dyDescent="0.25">
      <c r="A332" t="s">
        <v>39</v>
      </c>
      <c r="B332" t="s">
        <v>1121</v>
      </c>
      <c r="C332">
        <v>78.900000000000006</v>
      </c>
      <c r="D332">
        <v>59.1</v>
      </c>
      <c r="G332">
        <f t="shared" si="50"/>
        <v>1</v>
      </c>
      <c r="H332">
        <f t="shared" si="51"/>
        <v>1</v>
      </c>
      <c r="I332">
        <f t="shared" si="52"/>
        <v>0</v>
      </c>
      <c r="J332">
        <v>69.8</v>
      </c>
      <c r="K332">
        <v>78.900000000000006</v>
      </c>
      <c r="L332">
        <v>59.1</v>
      </c>
      <c r="M332">
        <v>69.8</v>
      </c>
      <c r="N332">
        <v>40.1</v>
      </c>
      <c r="O332">
        <v>41.2</v>
      </c>
      <c r="S332">
        <f t="shared" si="53"/>
        <v>1</v>
      </c>
      <c r="T332">
        <f t="shared" si="54"/>
        <v>0</v>
      </c>
      <c r="U332">
        <f t="shared" si="55"/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32.200000000000003</v>
      </c>
      <c r="AG332">
        <f t="shared" si="56"/>
        <v>1</v>
      </c>
      <c r="AH332">
        <f t="shared" si="57"/>
        <v>1</v>
      </c>
      <c r="AI332">
        <f t="shared" si="58"/>
        <v>0</v>
      </c>
      <c r="AJ332">
        <v>179.3</v>
      </c>
      <c r="AK332">
        <v>1010.4</v>
      </c>
      <c r="AL332">
        <v>90</v>
      </c>
      <c r="AM332">
        <v>6.3</v>
      </c>
      <c r="AN332">
        <v>0</v>
      </c>
      <c r="AO332">
        <v>0</v>
      </c>
      <c r="AP332">
        <v>0</v>
      </c>
      <c r="AQ332">
        <v>0</v>
      </c>
      <c r="AR332" t="s">
        <v>1122</v>
      </c>
      <c r="AS332" t="s">
        <v>1123</v>
      </c>
      <c r="AT332">
        <v>0.88</v>
      </c>
      <c r="AU332" t="s">
        <v>43</v>
      </c>
      <c r="AV332" t="s">
        <v>44</v>
      </c>
      <c r="AW332" t="s">
        <v>419</v>
      </c>
      <c r="AX332" s="1">
        <v>0.72152777777777777</v>
      </c>
      <c r="AY332" t="s">
        <v>1124</v>
      </c>
      <c r="AZ332">
        <v>71.000000000931323</v>
      </c>
      <c r="BA332">
        <v>0</v>
      </c>
      <c r="BB332">
        <v>0</v>
      </c>
      <c r="BC332">
        <v>1</v>
      </c>
      <c r="BD332">
        <v>0</v>
      </c>
      <c r="BE332">
        <f t="shared" si="59"/>
        <v>1</v>
      </c>
    </row>
    <row r="333" spans="1:57" x14ac:dyDescent="0.25">
      <c r="A333" t="s">
        <v>39</v>
      </c>
      <c r="B333" t="s">
        <v>1125</v>
      </c>
      <c r="C333">
        <v>75.3</v>
      </c>
      <c r="D333">
        <v>69.900000000000006</v>
      </c>
      <c r="G333">
        <f t="shared" si="50"/>
        <v>1</v>
      </c>
      <c r="H333">
        <f t="shared" si="51"/>
        <v>0</v>
      </c>
      <c r="I333">
        <f t="shared" si="52"/>
        <v>1</v>
      </c>
      <c r="J333">
        <v>72.8</v>
      </c>
      <c r="K333">
        <v>75.3</v>
      </c>
      <c r="L333">
        <v>69.900000000000006</v>
      </c>
      <c r="M333">
        <v>72.8</v>
      </c>
      <c r="N333">
        <v>57</v>
      </c>
      <c r="O333">
        <v>57.9</v>
      </c>
      <c r="S333">
        <f t="shared" si="53"/>
        <v>1</v>
      </c>
      <c r="T333">
        <f t="shared" si="54"/>
        <v>0</v>
      </c>
      <c r="U333">
        <f t="shared" si="55"/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23</v>
      </c>
      <c r="AG333">
        <f t="shared" si="56"/>
        <v>1</v>
      </c>
      <c r="AH333">
        <f t="shared" si="57"/>
        <v>1</v>
      </c>
      <c r="AI333">
        <f t="shared" si="58"/>
        <v>0</v>
      </c>
      <c r="AJ333">
        <v>285</v>
      </c>
      <c r="AK333">
        <v>1008.4</v>
      </c>
      <c r="AL333">
        <v>30.9</v>
      </c>
      <c r="AM333">
        <v>6.8</v>
      </c>
      <c r="AN333">
        <v>0</v>
      </c>
      <c r="AO333">
        <v>0</v>
      </c>
      <c r="AP333">
        <v>0</v>
      </c>
      <c r="AQ333">
        <v>0</v>
      </c>
      <c r="AR333" t="s">
        <v>1126</v>
      </c>
      <c r="AS333" t="s">
        <v>1127</v>
      </c>
      <c r="AT333">
        <v>0</v>
      </c>
      <c r="AU333" t="s">
        <v>43</v>
      </c>
      <c r="AV333" t="s">
        <v>44</v>
      </c>
      <c r="AW333" t="s">
        <v>45</v>
      </c>
      <c r="AX333" s="1">
        <v>0.52361111111111114</v>
      </c>
      <c r="AY333" t="s">
        <v>1128</v>
      </c>
      <c r="AZ333">
        <v>105.9999999997672</v>
      </c>
      <c r="BA333">
        <v>0</v>
      </c>
      <c r="BB333">
        <v>0.5</v>
      </c>
      <c r="BC333">
        <v>0</v>
      </c>
      <c r="BD333">
        <v>0</v>
      </c>
      <c r="BE333">
        <f t="shared" si="59"/>
        <v>1</v>
      </c>
    </row>
    <row r="334" spans="1:57" x14ac:dyDescent="0.25">
      <c r="A334" t="s">
        <v>39</v>
      </c>
      <c r="B334" t="s">
        <v>1129</v>
      </c>
      <c r="C334">
        <v>87.9</v>
      </c>
      <c r="D334">
        <v>77.099999999999994</v>
      </c>
      <c r="G334">
        <f t="shared" si="50"/>
        <v>1</v>
      </c>
      <c r="H334">
        <f t="shared" si="51"/>
        <v>1</v>
      </c>
      <c r="I334">
        <f t="shared" si="52"/>
        <v>0</v>
      </c>
      <c r="J334">
        <v>82.4</v>
      </c>
      <c r="K334">
        <v>90.5</v>
      </c>
      <c r="L334">
        <v>77.099999999999994</v>
      </c>
      <c r="M334">
        <v>84.4</v>
      </c>
      <c r="N334">
        <v>67.5</v>
      </c>
      <c r="O334">
        <v>61.3</v>
      </c>
      <c r="S334">
        <f t="shared" si="53"/>
        <v>0</v>
      </c>
      <c r="T334">
        <f t="shared" si="54"/>
        <v>0</v>
      </c>
      <c r="U334">
        <f t="shared" si="55"/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23</v>
      </c>
      <c r="AG334">
        <f t="shared" si="56"/>
        <v>1</v>
      </c>
      <c r="AH334">
        <f t="shared" si="57"/>
        <v>1</v>
      </c>
      <c r="AI334">
        <f t="shared" si="58"/>
        <v>0</v>
      </c>
      <c r="AJ334">
        <v>323.10000000000002</v>
      </c>
      <c r="AK334">
        <v>1008.6</v>
      </c>
      <c r="AL334">
        <v>30</v>
      </c>
      <c r="AM334">
        <v>6.7</v>
      </c>
      <c r="AN334">
        <v>0</v>
      </c>
      <c r="AO334">
        <v>0</v>
      </c>
      <c r="AP334">
        <v>0</v>
      </c>
      <c r="AQ334">
        <v>0</v>
      </c>
      <c r="AR334" t="s">
        <v>1130</v>
      </c>
      <c r="AS334" t="s">
        <v>1131</v>
      </c>
      <c r="AT334">
        <v>0.43</v>
      </c>
      <c r="AU334" t="s">
        <v>43</v>
      </c>
      <c r="AV334" t="s">
        <v>44</v>
      </c>
      <c r="AW334" t="s">
        <v>45</v>
      </c>
      <c r="AX334" s="1">
        <v>0.52013888888888893</v>
      </c>
      <c r="AY334" t="s">
        <v>1132</v>
      </c>
      <c r="AZ334">
        <v>510.99999999976723</v>
      </c>
      <c r="BA334">
        <v>1</v>
      </c>
      <c r="BB334">
        <v>0</v>
      </c>
      <c r="BC334">
        <v>15</v>
      </c>
      <c r="BD334">
        <v>0</v>
      </c>
      <c r="BE334">
        <f t="shared" si="59"/>
        <v>1</v>
      </c>
    </row>
    <row r="335" spans="1:57" x14ac:dyDescent="0.25">
      <c r="A335" t="s">
        <v>39</v>
      </c>
      <c r="B335" t="s">
        <v>1133</v>
      </c>
      <c r="C335">
        <v>82.5</v>
      </c>
      <c r="D335">
        <v>73.5</v>
      </c>
      <c r="G335">
        <f t="shared" si="50"/>
        <v>1</v>
      </c>
      <c r="H335">
        <f t="shared" si="51"/>
        <v>1</v>
      </c>
      <c r="I335">
        <f t="shared" si="52"/>
        <v>0</v>
      </c>
      <c r="J335">
        <v>78.599999999999994</v>
      </c>
      <c r="K335">
        <v>86.4</v>
      </c>
      <c r="L335">
        <v>73.5</v>
      </c>
      <c r="M335">
        <v>79.2</v>
      </c>
      <c r="N335">
        <v>62.6</v>
      </c>
      <c r="O335">
        <v>60</v>
      </c>
      <c r="S335">
        <f t="shared" si="53"/>
        <v>1</v>
      </c>
      <c r="T335">
        <f t="shared" si="54"/>
        <v>0</v>
      </c>
      <c r="U335">
        <f t="shared" si="55"/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11.4</v>
      </c>
      <c r="AG335">
        <f t="shared" si="56"/>
        <v>1</v>
      </c>
      <c r="AH335">
        <f t="shared" si="57"/>
        <v>0</v>
      </c>
      <c r="AI335">
        <f t="shared" si="58"/>
        <v>1</v>
      </c>
      <c r="AJ335">
        <v>289</v>
      </c>
      <c r="AK335">
        <v>1009.8</v>
      </c>
      <c r="AL335">
        <v>51</v>
      </c>
      <c r="AM335">
        <v>6.7</v>
      </c>
      <c r="AN335">
        <v>0</v>
      </c>
      <c r="AO335">
        <v>0</v>
      </c>
      <c r="AP335">
        <v>0</v>
      </c>
      <c r="AQ335">
        <v>0</v>
      </c>
      <c r="AR335" t="s">
        <v>1134</v>
      </c>
      <c r="AS335" t="s">
        <v>1135</v>
      </c>
      <c r="AT335">
        <v>0.66</v>
      </c>
      <c r="AU335" t="s">
        <v>43</v>
      </c>
      <c r="AV335" t="s">
        <v>44</v>
      </c>
      <c r="AW335" t="s">
        <v>45</v>
      </c>
      <c r="AX335" s="1">
        <v>0.50277777777777777</v>
      </c>
      <c r="AY335" t="s">
        <v>1136</v>
      </c>
      <c r="AZ335">
        <v>570.99999999627471</v>
      </c>
      <c r="BA335">
        <v>1</v>
      </c>
      <c r="BB335">
        <v>0</v>
      </c>
      <c r="BC335">
        <v>20</v>
      </c>
      <c r="BD335">
        <v>0</v>
      </c>
      <c r="BE335">
        <f t="shared" si="59"/>
        <v>1</v>
      </c>
    </row>
    <row r="336" spans="1:57" x14ac:dyDescent="0.25">
      <c r="A336" t="s">
        <v>39</v>
      </c>
      <c r="B336" t="s">
        <v>1137</v>
      </c>
      <c r="C336">
        <v>89.7</v>
      </c>
      <c r="D336">
        <v>80.7</v>
      </c>
      <c r="G336">
        <f t="shared" si="50"/>
        <v>1</v>
      </c>
      <c r="H336">
        <f t="shared" si="51"/>
        <v>1</v>
      </c>
      <c r="I336">
        <f t="shared" si="52"/>
        <v>0</v>
      </c>
      <c r="J336">
        <v>84.7</v>
      </c>
      <c r="K336">
        <v>90.5</v>
      </c>
      <c r="L336">
        <v>80.400000000000006</v>
      </c>
      <c r="M336">
        <v>85.2</v>
      </c>
      <c r="N336">
        <v>59.7</v>
      </c>
      <c r="O336">
        <v>43.9</v>
      </c>
      <c r="S336">
        <f t="shared" si="53"/>
        <v>1</v>
      </c>
      <c r="T336">
        <f t="shared" si="54"/>
        <v>0</v>
      </c>
      <c r="U336">
        <f t="shared" si="55"/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18.3</v>
      </c>
      <c r="AG336">
        <f t="shared" si="56"/>
        <v>0</v>
      </c>
      <c r="AH336">
        <f t="shared" si="57"/>
        <v>0</v>
      </c>
      <c r="AI336">
        <f t="shared" si="58"/>
        <v>0</v>
      </c>
      <c r="AJ336">
        <v>295.2</v>
      </c>
      <c r="AK336">
        <v>1008.3</v>
      </c>
      <c r="AL336">
        <v>0</v>
      </c>
      <c r="AM336">
        <v>6.2</v>
      </c>
      <c r="AN336">
        <v>0</v>
      </c>
      <c r="AO336">
        <v>0</v>
      </c>
      <c r="AP336">
        <v>0</v>
      </c>
      <c r="AQ336">
        <v>0</v>
      </c>
      <c r="AR336" t="s">
        <v>1138</v>
      </c>
      <c r="AS336" t="s">
        <v>1139</v>
      </c>
      <c r="AT336">
        <v>0.28000000000000003</v>
      </c>
      <c r="AU336" t="s">
        <v>74</v>
      </c>
      <c r="AV336" t="s">
        <v>44</v>
      </c>
      <c r="AW336" t="s">
        <v>75</v>
      </c>
      <c r="AX336" s="1">
        <v>0.58263888888888893</v>
      </c>
      <c r="AY336" t="s">
        <v>1140</v>
      </c>
      <c r="AZ336">
        <v>407.99999999930151</v>
      </c>
      <c r="BA336">
        <v>1</v>
      </c>
      <c r="BB336">
        <v>0</v>
      </c>
      <c r="BC336">
        <v>2</v>
      </c>
      <c r="BD336">
        <v>0</v>
      </c>
      <c r="BE336">
        <f t="shared" si="59"/>
        <v>1</v>
      </c>
    </row>
    <row r="337" spans="1:57" x14ac:dyDescent="0.25">
      <c r="A337" t="s">
        <v>39</v>
      </c>
      <c r="B337" t="s">
        <v>1141</v>
      </c>
      <c r="C337">
        <v>69.900000000000006</v>
      </c>
      <c r="D337">
        <v>59.1</v>
      </c>
      <c r="G337">
        <f t="shared" si="50"/>
        <v>1</v>
      </c>
      <c r="H337">
        <f t="shared" si="51"/>
        <v>0</v>
      </c>
      <c r="I337">
        <f t="shared" si="52"/>
        <v>1</v>
      </c>
      <c r="J337">
        <v>65.3</v>
      </c>
      <c r="K337">
        <v>69.900000000000006</v>
      </c>
      <c r="L337">
        <v>59.1</v>
      </c>
      <c r="M337">
        <v>65.3</v>
      </c>
      <c r="N337">
        <v>54.8</v>
      </c>
      <c r="O337">
        <v>69.400000000000006</v>
      </c>
      <c r="S337">
        <f t="shared" si="53"/>
        <v>1</v>
      </c>
      <c r="T337">
        <f t="shared" si="54"/>
        <v>1</v>
      </c>
      <c r="U337">
        <f t="shared" si="55"/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12.8</v>
      </c>
      <c r="AG337">
        <f t="shared" si="56"/>
        <v>1</v>
      </c>
      <c r="AH337">
        <f t="shared" si="57"/>
        <v>0</v>
      </c>
      <c r="AI337">
        <f t="shared" si="58"/>
        <v>1</v>
      </c>
      <c r="AJ337">
        <v>305.89999999999998</v>
      </c>
      <c r="AK337">
        <v>1016.8</v>
      </c>
      <c r="AL337">
        <v>0</v>
      </c>
      <c r="AM337">
        <v>6.2</v>
      </c>
      <c r="AN337">
        <v>0</v>
      </c>
      <c r="AO337">
        <v>0</v>
      </c>
      <c r="AP337">
        <v>0</v>
      </c>
      <c r="AQ337">
        <v>0</v>
      </c>
      <c r="AR337" t="s">
        <v>1142</v>
      </c>
      <c r="AS337" t="s">
        <v>1143</v>
      </c>
      <c r="AT337">
        <v>0.83</v>
      </c>
      <c r="AU337" t="s">
        <v>74</v>
      </c>
      <c r="AV337" t="s">
        <v>44</v>
      </c>
      <c r="AW337" t="s">
        <v>75</v>
      </c>
      <c r="AX337" s="1">
        <v>0.80833333333333335</v>
      </c>
      <c r="AY337" t="s">
        <v>1144</v>
      </c>
      <c r="AZ337">
        <v>53.999999997904517</v>
      </c>
      <c r="BA337">
        <v>0</v>
      </c>
      <c r="BB337">
        <v>0</v>
      </c>
      <c r="BC337">
        <v>0.2</v>
      </c>
      <c r="BD337">
        <v>0</v>
      </c>
      <c r="BE337">
        <f t="shared" si="59"/>
        <v>0</v>
      </c>
    </row>
    <row r="338" spans="1:57" x14ac:dyDescent="0.25">
      <c r="A338" t="s">
        <v>39</v>
      </c>
      <c r="B338" t="s">
        <v>927</v>
      </c>
      <c r="C338">
        <v>60.9</v>
      </c>
      <c r="D338">
        <v>44.7</v>
      </c>
      <c r="G338">
        <f t="shared" si="50"/>
        <v>1</v>
      </c>
      <c r="H338">
        <f t="shared" si="51"/>
        <v>1</v>
      </c>
      <c r="I338">
        <f t="shared" si="52"/>
        <v>0</v>
      </c>
      <c r="J338">
        <v>53.2</v>
      </c>
      <c r="K338">
        <v>60.9</v>
      </c>
      <c r="L338">
        <v>40.799999999999997</v>
      </c>
      <c r="M338">
        <v>52</v>
      </c>
      <c r="N338">
        <v>44.9</v>
      </c>
      <c r="O338">
        <v>74.099999999999994</v>
      </c>
      <c r="S338">
        <f t="shared" si="53"/>
        <v>1</v>
      </c>
      <c r="T338">
        <f t="shared" si="54"/>
        <v>1</v>
      </c>
      <c r="U338">
        <f t="shared" si="55"/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9.1999999999999993</v>
      </c>
      <c r="AG338">
        <f t="shared" si="56"/>
        <v>1</v>
      </c>
      <c r="AH338">
        <f t="shared" si="57"/>
        <v>0</v>
      </c>
      <c r="AI338">
        <f t="shared" si="58"/>
        <v>1</v>
      </c>
      <c r="AJ338">
        <v>143.19999999999999</v>
      </c>
      <c r="AK338">
        <v>1019.5</v>
      </c>
      <c r="AL338">
        <v>32.700000000000003</v>
      </c>
      <c r="AM338">
        <v>6.8</v>
      </c>
      <c r="AN338">
        <v>0</v>
      </c>
      <c r="AO338">
        <v>0</v>
      </c>
      <c r="AP338">
        <v>0</v>
      </c>
      <c r="AQ338">
        <v>0</v>
      </c>
      <c r="AR338" t="s">
        <v>928</v>
      </c>
      <c r="AS338" t="s">
        <v>929</v>
      </c>
      <c r="AT338">
        <v>0.83</v>
      </c>
      <c r="AU338" t="s">
        <v>43</v>
      </c>
      <c r="AV338" t="s">
        <v>44</v>
      </c>
      <c r="AW338" t="s">
        <v>45</v>
      </c>
      <c r="AX338" s="1">
        <v>0.68680555555555556</v>
      </c>
      <c r="AY338" t="s">
        <v>1145</v>
      </c>
      <c r="AZ338">
        <v>201.00000000558791</v>
      </c>
      <c r="BA338">
        <v>0</v>
      </c>
      <c r="BB338">
        <v>8</v>
      </c>
      <c r="BC338">
        <v>0</v>
      </c>
      <c r="BD338">
        <v>0</v>
      </c>
      <c r="BE338">
        <f t="shared" si="59"/>
        <v>1</v>
      </c>
    </row>
    <row r="339" spans="1:57" x14ac:dyDescent="0.25">
      <c r="A339" t="s">
        <v>39</v>
      </c>
      <c r="B339" t="s">
        <v>1146</v>
      </c>
      <c r="C339">
        <v>68.099999999999994</v>
      </c>
      <c r="D339">
        <v>59.1</v>
      </c>
      <c r="G339">
        <f t="shared" si="50"/>
        <v>1</v>
      </c>
      <c r="H339">
        <f t="shared" si="51"/>
        <v>1</v>
      </c>
      <c r="I339">
        <f t="shared" si="52"/>
        <v>0</v>
      </c>
      <c r="J339">
        <v>62.9</v>
      </c>
      <c r="K339">
        <v>68.099999999999994</v>
      </c>
      <c r="L339">
        <v>59.1</v>
      </c>
      <c r="M339">
        <v>62.9</v>
      </c>
      <c r="N339">
        <v>55.6</v>
      </c>
      <c r="O339">
        <v>77.599999999999994</v>
      </c>
      <c r="S339">
        <f t="shared" si="53"/>
        <v>1</v>
      </c>
      <c r="T339">
        <f t="shared" si="54"/>
        <v>1</v>
      </c>
      <c r="U339">
        <f t="shared" si="55"/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6.9</v>
      </c>
      <c r="AG339">
        <f t="shared" si="56"/>
        <v>1</v>
      </c>
      <c r="AH339">
        <f t="shared" si="57"/>
        <v>0</v>
      </c>
      <c r="AI339">
        <f t="shared" si="58"/>
        <v>1</v>
      </c>
      <c r="AJ339">
        <v>169.4</v>
      </c>
      <c r="AK339">
        <v>1017.5</v>
      </c>
      <c r="AL339">
        <v>90</v>
      </c>
      <c r="AM339">
        <v>6.2</v>
      </c>
      <c r="AN339">
        <v>0</v>
      </c>
      <c r="AO339">
        <v>0</v>
      </c>
      <c r="AP339">
        <v>0</v>
      </c>
      <c r="AQ339">
        <v>0</v>
      </c>
      <c r="AR339" t="s">
        <v>1147</v>
      </c>
      <c r="AS339" t="s">
        <v>1148</v>
      </c>
      <c r="AT339">
        <v>0.84</v>
      </c>
      <c r="AU339" t="s">
        <v>43</v>
      </c>
      <c r="AV339" t="s">
        <v>44</v>
      </c>
      <c r="AW339" t="s">
        <v>45</v>
      </c>
      <c r="AX339" s="1">
        <v>0.64652777777777781</v>
      </c>
      <c r="AY339" t="s">
        <v>1149</v>
      </c>
      <c r="AZ339">
        <v>114.0000000048894</v>
      </c>
      <c r="BA339">
        <v>0</v>
      </c>
      <c r="BB339">
        <v>0</v>
      </c>
      <c r="BC339">
        <v>6</v>
      </c>
      <c r="BD339">
        <v>0</v>
      </c>
      <c r="BE339">
        <f t="shared" si="59"/>
        <v>1</v>
      </c>
    </row>
    <row r="340" spans="1:57" x14ac:dyDescent="0.25">
      <c r="A340" t="s">
        <v>39</v>
      </c>
      <c r="B340" t="s">
        <v>970</v>
      </c>
      <c r="C340">
        <v>80.7</v>
      </c>
      <c r="D340">
        <v>73.5</v>
      </c>
      <c r="G340">
        <f t="shared" si="50"/>
        <v>0</v>
      </c>
      <c r="H340">
        <f t="shared" si="51"/>
        <v>0</v>
      </c>
      <c r="I340">
        <f t="shared" si="52"/>
        <v>0</v>
      </c>
      <c r="J340">
        <v>76.599999999999994</v>
      </c>
      <c r="K340">
        <v>81.2</v>
      </c>
      <c r="L340">
        <v>73.5</v>
      </c>
      <c r="M340">
        <v>76.599999999999994</v>
      </c>
      <c r="N340">
        <v>61.1</v>
      </c>
      <c r="O340">
        <v>59.5</v>
      </c>
      <c r="S340">
        <f t="shared" si="53"/>
        <v>0</v>
      </c>
      <c r="T340">
        <f t="shared" si="54"/>
        <v>0</v>
      </c>
      <c r="U340">
        <f t="shared" si="55"/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21.9</v>
      </c>
      <c r="AG340">
        <f t="shared" si="56"/>
        <v>1</v>
      </c>
      <c r="AH340">
        <f t="shared" si="57"/>
        <v>1</v>
      </c>
      <c r="AI340">
        <f t="shared" si="58"/>
        <v>0</v>
      </c>
      <c r="AJ340">
        <v>293.89999999999998</v>
      </c>
      <c r="AK340">
        <v>1013.2</v>
      </c>
      <c r="AL340">
        <v>30</v>
      </c>
      <c r="AM340">
        <v>6.6</v>
      </c>
      <c r="AN340">
        <v>0</v>
      </c>
      <c r="AO340">
        <v>0</v>
      </c>
      <c r="AP340">
        <v>0</v>
      </c>
      <c r="AQ340">
        <v>0</v>
      </c>
      <c r="AR340" t="s">
        <v>971</v>
      </c>
      <c r="AS340" t="s">
        <v>972</v>
      </c>
      <c r="AT340">
        <v>0.61</v>
      </c>
      <c r="AU340" t="s">
        <v>43</v>
      </c>
      <c r="AV340" t="s">
        <v>44</v>
      </c>
      <c r="AW340" t="s">
        <v>45</v>
      </c>
      <c r="AX340" s="1">
        <v>0.45555555555555549</v>
      </c>
      <c r="AY340" t="s">
        <v>1150</v>
      </c>
      <c r="AZ340">
        <v>248.99999999441209</v>
      </c>
      <c r="BA340">
        <v>0</v>
      </c>
      <c r="BB340">
        <v>0</v>
      </c>
      <c r="BC340">
        <v>0</v>
      </c>
      <c r="BD340">
        <v>1</v>
      </c>
      <c r="BE340">
        <f t="shared" si="59"/>
        <v>0</v>
      </c>
    </row>
    <row r="341" spans="1:57" x14ac:dyDescent="0.25">
      <c r="A341" t="s">
        <v>39</v>
      </c>
      <c r="B341" t="s">
        <v>1151</v>
      </c>
      <c r="C341">
        <v>93.3</v>
      </c>
      <c r="D341">
        <v>68.099999999999994</v>
      </c>
      <c r="G341">
        <f t="shared" si="50"/>
        <v>1</v>
      </c>
      <c r="H341">
        <f t="shared" si="51"/>
        <v>1</v>
      </c>
      <c r="I341">
        <f t="shared" si="52"/>
        <v>0</v>
      </c>
      <c r="J341">
        <v>80.400000000000006</v>
      </c>
      <c r="K341">
        <v>92.4</v>
      </c>
      <c r="L341">
        <v>68.099999999999994</v>
      </c>
      <c r="M341">
        <v>79.7</v>
      </c>
      <c r="N341">
        <v>58.4</v>
      </c>
      <c r="O341">
        <v>51.6</v>
      </c>
      <c r="S341">
        <f t="shared" si="53"/>
        <v>1</v>
      </c>
      <c r="T341">
        <f t="shared" si="54"/>
        <v>0</v>
      </c>
      <c r="U341">
        <f t="shared" si="55"/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23</v>
      </c>
      <c r="AG341">
        <f t="shared" si="56"/>
        <v>1</v>
      </c>
      <c r="AH341">
        <f t="shared" si="57"/>
        <v>1</v>
      </c>
      <c r="AI341">
        <f t="shared" si="58"/>
        <v>0</v>
      </c>
      <c r="AJ341">
        <v>152.9</v>
      </c>
      <c r="AK341">
        <v>1010.1</v>
      </c>
      <c r="AL341">
        <v>0</v>
      </c>
      <c r="AM341">
        <v>6.2</v>
      </c>
      <c r="AN341">
        <v>0</v>
      </c>
      <c r="AO341">
        <v>0</v>
      </c>
      <c r="AP341">
        <v>0</v>
      </c>
      <c r="AQ341">
        <v>0</v>
      </c>
      <c r="AR341" t="s">
        <v>1152</v>
      </c>
      <c r="AS341" t="s">
        <v>1153</v>
      </c>
      <c r="AT341">
        <v>0.56000000000000005</v>
      </c>
      <c r="AU341" t="s">
        <v>74</v>
      </c>
      <c r="AV341" t="s">
        <v>44</v>
      </c>
      <c r="AW341" t="s">
        <v>75</v>
      </c>
      <c r="AX341" s="1">
        <v>0.47916666666666669</v>
      </c>
      <c r="AY341" t="s">
        <v>1154</v>
      </c>
      <c r="AZ341">
        <v>240.00000000698489</v>
      </c>
      <c r="BA341">
        <v>0</v>
      </c>
      <c r="BB341">
        <v>0</v>
      </c>
      <c r="BC341">
        <v>3</v>
      </c>
      <c r="BD341">
        <v>0</v>
      </c>
      <c r="BE341">
        <f t="shared" si="59"/>
        <v>1</v>
      </c>
    </row>
    <row r="342" spans="1:57" x14ac:dyDescent="0.25">
      <c r="A342" t="s">
        <v>39</v>
      </c>
      <c r="B342" t="s">
        <v>996</v>
      </c>
      <c r="C342">
        <v>84.3</v>
      </c>
      <c r="D342">
        <v>69.900000000000006</v>
      </c>
      <c r="G342">
        <f t="shared" si="50"/>
        <v>0</v>
      </c>
      <c r="H342">
        <f t="shared" si="51"/>
        <v>0</v>
      </c>
      <c r="I342">
        <f t="shared" si="52"/>
        <v>0</v>
      </c>
      <c r="J342">
        <v>78.5</v>
      </c>
      <c r="K342">
        <v>89.8</v>
      </c>
      <c r="L342">
        <v>69.900000000000006</v>
      </c>
      <c r="M342">
        <v>80.400000000000006</v>
      </c>
      <c r="N342">
        <v>66.599999999999994</v>
      </c>
      <c r="O342">
        <v>67.7</v>
      </c>
      <c r="S342">
        <f t="shared" si="53"/>
        <v>1</v>
      </c>
      <c r="T342">
        <f t="shared" si="54"/>
        <v>1</v>
      </c>
      <c r="U342">
        <f t="shared" si="55"/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19.5</v>
      </c>
      <c r="AG342">
        <f t="shared" si="56"/>
        <v>1</v>
      </c>
      <c r="AH342">
        <f t="shared" si="57"/>
        <v>1</v>
      </c>
      <c r="AI342">
        <f t="shared" si="58"/>
        <v>0</v>
      </c>
      <c r="AJ342">
        <v>281.7</v>
      </c>
      <c r="AK342">
        <v>1010.6</v>
      </c>
      <c r="AL342">
        <v>30</v>
      </c>
      <c r="AM342">
        <v>6.4</v>
      </c>
      <c r="AN342">
        <v>0</v>
      </c>
      <c r="AO342">
        <v>0</v>
      </c>
      <c r="AP342">
        <v>0</v>
      </c>
      <c r="AQ342">
        <v>0</v>
      </c>
      <c r="AR342" t="s">
        <v>997</v>
      </c>
      <c r="AS342" t="s">
        <v>998</v>
      </c>
      <c r="AT342">
        <v>0.36</v>
      </c>
      <c r="AU342" t="s">
        <v>43</v>
      </c>
      <c r="AV342" t="s">
        <v>44</v>
      </c>
      <c r="AW342" t="s">
        <v>45</v>
      </c>
      <c r="AX342" s="1">
        <v>0.84375</v>
      </c>
      <c r="AY342" t="s">
        <v>1155</v>
      </c>
      <c r="AZ342">
        <v>130.00000000465661</v>
      </c>
      <c r="BA342">
        <v>0</v>
      </c>
      <c r="BB342">
        <v>0</v>
      </c>
      <c r="BC342">
        <v>1</v>
      </c>
      <c r="BD342">
        <v>0</v>
      </c>
      <c r="BE342">
        <f t="shared" si="59"/>
        <v>0</v>
      </c>
    </row>
    <row r="343" spans="1:57" x14ac:dyDescent="0.25">
      <c r="A343" t="s">
        <v>39</v>
      </c>
      <c r="B343" t="s">
        <v>1156</v>
      </c>
      <c r="C343">
        <v>111.3</v>
      </c>
      <c r="D343">
        <v>82.5</v>
      </c>
      <c r="G343">
        <f t="shared" si="50"/>
        <v>1</v>
      </c>
      <c r="H343">
        <f t="shared" si="51"/>
        <v>1</v>
      </c>
      <c r="I343">
        <f t="shared" si="52"/>
        <v>0</v>
      </c>
      <c r="J343">
        <v>96.1</v>
      </c>
      <c r="K343">
        <v>111.3</v>
      </c>
      <c r="L343">
        <v>85.5</v>
      </c>
      <c r="M343">
        <v>95.3</v>
      </c>
      <c r="N343">
        <v>54</v>
      </c>
      <c r="O343">
        <v>28.7</v>
      </c>
      <c r="S343">
        <f t="shared" si="53"/>
        <v>1</v>
      </c>
      <c r="T343">
        <f t="shared" si="54"/>
        <v>0</v>
      </c>
      <c r="U343">
        <f t="shared" si="55"/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27.5</v>
      </c>
      <c r="AG343">
        <f t="shared" si="56"/>
        <v>1</v>
      </c>
      <c r="AH343">
        <f t="shared" si="57"/>
        <v>1</v>
      </c>
      <c r="AI343">
        <f t="shared" si="58"/>
        <v>0</v>
      </c>
      <c r="AJ343">
        <v>165.6</v>
      </c>
      <c r="AK343">
        <v>1007.1</v>
      </c>
      <c r="AL343">
        <v>53.5</v>
      </c>
      <c r="AM343">
        <v>6.6</v>
      </c>
      <c r="AN343">
        <v>0</v>
      </c>
      <c r="AO343">
        <v>0</v>
      </c>
      <c r="AP343">
        <v>0</v>
      </c>
      <c r="AQ343">
        <v>0</v>
      </c>
      <c r="AR343" t="s">
        <v>1157</v>
      </c>
      <c r="AS343" t="s">
        <v>1158</v>
      </c>
      <c r="AT343">
        <v>0.13</v>
      </c>
      <c r="AU343" t="s">
        <v>43</v>
      </c>
      <c r="AV343" t="s">
        <v>44</v>
      </c>
      <c r="AW343" t="s">
        <v>45</v>
      </c>
      <c r="AX343" s="1">
        <v>0.61736111111111114</v>
      </c>
      <c r="AY343" t="s">
        <v>1159</v>
      </c>
      <c r="AZ343">
        <v>1131.0000000090799</v>
      </c>
      <c r="BA343">
        <v>1</v>
      </c>
      <c r="BB343">
        <v>0</v>
      </c>
      <c r="BC343">
        <v>15</v>
      </c>
      <c r="BD343">
        <v>0</v>
      </c>
      <c r="BE343">
        <f t="shared" si="59"/>
        <v>1</v>
      </c>
    </row>
    <row r="344" spans="1:57" x14ac:dyDescent="0.25">
      <c r="A344" t="s">
        <v>39</v>
      </c>
      <c r="B344" t="s">
        <v>915</v>
      </c>
      <c r="C344">
        <v>84.3</v>
      </c>
      <c r="D344">
        <v>73.5</v>
      </c>
      <c r="G344">
        <f t="shared" si="50"/>
        <v>0</v>
      </c>
      <c r="H344">
        <f t="shared" si="51"/>
        <v>0</v>
      </c>
      <c r="I344">
        <f t="shared" si="52"/>
        <v>0</v>
      </c>
      <c r="J344">
        <v>79.599999999999994</v>
      </c>
      <c r="K344">
        <v>89.7</v>
      </c>
      <c r="L344">
        <v>73.5</v>
      </c>
      <c r="M344">
        <v>81.900000000000006</v>
      </c>
      <c r="N344">
        <v>66.400000000000006</v>
      </c>
      <c r="O344">
        <v>64.599999999999994</v>
      </c>
      <c r="S344">
        <f t="shared" si="53"/>
        <v>1</v>
      </c>
      <c r="T344">
        <f t="shared" si="54"/>
        <v>1</v>
      </c>
      <c r="U344">
        <f t="shared" si="55"/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16.100000000000001</v>
      </c>
      <c r="AG344">
        <f t="shared" si="56"/>
        <v>0</v>
      </c>
      <c r="AH344">
        <f t="shared" si="57"/>
        <v>0</v>
      </c>
      <c r="AI344">
        <f t="shared" si="58"/>
        <v>0</v>
      </c>
      <c r="AJ344">
        <v>293.60000000000002</v>
      </c>
      <c r="AK344">
        <v>1008</v>
      </c>
      <c r="AL344">
        <v>30</v>
      </c>
      <c r="AM344">
        <v>6.5</v>
      </c>
      <c r="AN344">
        <v>0</v>
      </c>
      <c r="AO344">
        <v>0</v>
      </c>
      <c r="AP344">
        <v>0</v>
      </c>
      <c r="AQ344">
        <v>0</v>
      </c>
      <c r="AR344" t="s">
        <v>916</v>
      </c>
      <c r="AS344" t="s">
        <v>917</v>
      </c>
      <c r="AT344">
        <v>0.03</v>
      </c>
      <c r="AU344" t="s">
        <v>43</v>
      </c>
      <c r="AV344" t="s">
        <v>44</v>
      </c>
      <c r="AW344" t="s">
        <v>45</v>
      </c>
      <c r="AX344" s="1">
        <v>0.85347222222222219</v>
      </c>
      <c r="AY344" t="s">
        <v>1160</v>
      </c>
      <c r="AZ344">
        <v>140.99999999860299</v>
      </c>
      <c r="BA344">
        <v>0</v>
      </c>
      <c r="BB344">
        <v>0.1</v>
      </c>
      <c r="BC344">
        <v>0.5</v>
      </c>
      <c r="BD344">
        <v>0</v>
      </c>
      <c r="BE344">
        <f t="shared" si="59"/>
        <v>0</v>
      </c>
    </row>
    <row r="345" spans="1:57" x14ac:dyDescent="0.25">
      <c r="A345" t="s">
        <v>39</v>
      </c>
      <c r="B345" t="s">
        <v>1161</v>
      </c>
      <c r="C345">
        <v>84.3</v>
      </c>
      <c r="D345">
        <v>77.099999999999994</v>
      </c>
      <c r="G345">
        <f t="shared" si="50"/>
        <v>0</v>
      </c>
      <c r="H345">
        <f t="shared" si="51"/>
        <v>0</v>
      </c>
      <c r="I345">
        <f t="shared" si="52"/>
        <v>0</v>
      </c>
      <c r="J345">
        <v>81.099999999999994</v>
      </c>
      <c r="K345">
        <v>87.4</v>
      </c>
      <c r="L345">
        <v>77.099999999999994</v>
      </c>
      <c r="M345">
        <v>82.1</v>
      </c>
      <c r="N345">
        <v>64.400000000000006</v>
      </c>
      <c r="O345">
        <v>57.2</v>
      </c>
      <c r="S345">
        <f t="shared" si="53"/>
        <v>1</v>
      </c>
      <c r="T345">
        <f t="shared" si="54"/>
        <v>0</v>
      </c>
      <c r="U345">
        <f t="shared" si="55"/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27.5</v>
      </c>
      <c r="AG345">
        <f t="shared" si="56"/>
        <v>1</v>
      </c>
      <c r="AH345">
        <f t="shared" si="57"/>
        <v>1</v>
      </c>
      <c r="AI345">
        <f t="shared" si="58"/>
        <v>0</v>
      </c>
      <c r="AJ345">
        <v>293.39999999999998</v>
      </c>
      <c r="AK345">
        <v>1008.6</v>
      </c>
      <c r="AL345">
        <v>31.1</v>
      </c>
      <c r="AM345">
        <v>6.7</v>
      </c>
      <c r="AN345">
        <v>0</v>
      </c>
      <c r="AO345">
        <v>0</v>
      </c>
      <c r="AP345">
        <v>0</v>
      </c>
      <c r="AQ345">
        <v>0</v>
      </c>
      <c r="AR345" t="s">
        <v>1162</v>
      </c>
      <c r="AS345" t="s">
        <v>1163</v>
      </c>
      <c r="AT345">
        <v>0.16</v>
      </c>
      <c r="AU345" t="s">
        <v>43</v>
      </c>
      <c r="AV345" t="s">
        <v>44</v>
      </c>
      <c r="AW345" t="s">
        <v>45</v>
      </c>
      <c r="AX345" s="1">
        <v>9.3055555555555558E-2</v>
      </c>
      <c r="AY345" t="s">
        <v>1164</v>
      </c>
      <c r="AZ345">
        <v>416.00000000442378</v>
      </c>
      <c r="BA345">
        <v>1</v>
      </c>
      <c r="BB345">
        <v>0</v>
      </c>
      <c r="BC345">
        <v>8</v>
      </c>
      <c r="BD345">
        <v>0</v>
      </c>
      <c r="BE345">
        <f t="shared" si="59"/>
        <v>1</v>
      </c>
    </row>
    <row r="346" spans="1:57" x14ac:dyDescent="0.25">
      <c r="A346" t="s">
        <v>39</v>
      </c>
      <c r="B346" t="s">
        <v>1165</v>
      </c>
      <c r="C346">
        <v>91.5</v>
      </c>
      <c r="D346">
        <v>68.099999999999994</v>
      </c>
      <c r="G346">
        <f t="shared" si="50"/>
        <v>1</v>
      </c>
      <c r="H346">
        <f t="shared" si="51"/>
        <v>1</v>
      </c>
      <c r="I346">
        <f t="shared" si="52"/>
        <v>0</v>
      </c>
      <c r="J346">
        <v>81.7</v>
      </c>
      <c r="K346">
        <v>94.4</v>
      </c>
      <c r="L346">
        <v>68.099999999999994</v>
      </c>
      <c r="M346">
        <v>83.3</v>
      </c>
      <c r="N346">
        <v>60.4</v>
      </c>
      <c r="O346">
        <v>50.3</v>
      </c>
      <c r="S346">
        <f t="shared" si="53"/>
        <v>1</v>
      </c>
      <c r="T346">
        <f t="shared" si="54"/>
        <v>0</v>
      </c>
      <c r="U346">
        <f t="shared" si="55"/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11.4</v>
      </c>
      <c r="AG346">
        <f t="shared" si="56"/>
        <v>1</v>
      </c>
      <c r="AH346">
        <f t="shared" si="57"/>
        <v>0</v>
      </c>
      <c r="AI346">
        <f t="shared" si="58"/>
        <v>1</v>
      </c>
      <c r="AJ346">
        <v>119.4</v>
      </c>
      <c r="AK346">
        <v>1007.7</v>
      </c>
      <c r="AL346">
        <v>0</v>
      </c>
      <c r="AM346">
        <v>6.2</v>
      </c>
      <c r="AN346">
        <v>0</v>
      </c>
      <c r="AO346">
        <v>0</v>
      </c>
      <c r="AP346">
        <v>0</v>
      </c>
      <c r="AQ346">
        <v>0</v>
      </c>
      <c r="AR346" t="s">
        <v>1166</v>
      </c>
      <c r="AS346" t="s">
        <v>1167</v>
      </c>
      <c r="AT346">
        <v>0.53</v>
      </c>
      <c r="AU346" t="s">
        <v>74</v>
      </c>
      <c r="AV346" t="s">
        <v>44</v>
      </c>
      <c r="AW346" t="s">
        <v>75</v>
      </c>
      <c r="AX346" s="1">
        <v>0.71388888888888891</v>
      </c>
      <c r="AY346" t="s">
        <v>1168</v>
      </c>
      <c r="AZ346">
        <v>506.00000000442378</v>
      </c>
      <c r="BA346">
        <v>1</v>
      </c>
      <c r="BB346">
        <v>0</v>
      </c>
      <c r="BC346">
        <v>1</v>
      </c>
      <c r="BD346">
        <v>0</v>
      </c>
      <c r="BE346">
        <f t="shared" si="59"/>
        <v>1</v>
      </c>
    </row>
    <row r="347" spans="1:57" x14ac:dyDescent="0.25">
      <c r="A347" t="s">
        <v>39</v>
      </c>
      <c r="B347" t="s">
        <v>1169</v>
      </c>
      <c r="C347">
        <v>62.7</v>
      </c>
      <c r="D347">
        <v>51.9</v>
      </c>
      <c r="G347">
        <f t="shared" si="50"/>
        <v>1</v>
      </c>
      <c r="H347">
        <f t="shared" si="51"/>
        <v>1</v>
      </c>
      <c r="I347">
        <f t="shared" si="52"/>
        <v>0</v>
      </c>
      <c r="J347">
        <v>57.3</v>
      </c>
      <c r="K347">
        <v>62.7</v>
      </c>
      <c r="L347">
        <v>51.9</v>
      </c>
      <c r="M347">
        <v>57.3</v>
      </c>
      <c r="N347">
        <v>50.9</v>
      </c>
      <c r="O347">
        <v>79.400000000000006</v>
      </c>
      <c r="S347">
        <f t="shared" si="53"/>
        <v>1</v>
      </c>
      <c r="T347">
        <f t="shared" si="54"/>
        <v>1</v>
      </c>
      <c r="U347">
        <f t="shared" si="55"/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8.1</v>
      </c>
      <c r="AG347">
        <f t="shared" si="56"/>
        <v>1</v>
      </c>
      <c r="AH347">
        <f t="shared" si="57"/>
        <v>0</v>
      </c>
      <c r="AI347">
        <f t="shared" si="58"/>
        <v>1</v>
      </c>
      <c r="AJ347">
        <v>267.2</v>
      </c>
      <c r="AK347">
        <v>1026.9000000000001</v>
      </c>
      <c r="AL347">
        <v>79.2</v>
      </c>
      <c r="AM347">
        <v>6.8</v>
      </c>
      <c r="AN347">
        <v>0</v>
      </c>
      <c r="AO347">
        <v>0</v>
      </c>
      <c r="AP347">
        <v>0</v>
      </c>
      <c r="AQ347">
        <v>0</v>
      </c>
      <c r="AR347" t="s">
        <v>1170</v>
      </c>
      <c r="AS347" t="s">
        <v>1171</v>
      </c>
      <c r="AT347">
        <v>0.69</v>
      </c>
      <c r="AU347" t="s">
        <v>43</v>
      </c>
      <c r="AV347" t="s">
        <v>44</v>
      </c>
      <c r="AW347" t="s">
        <v>45</v>
      </c>
      <c r="AX347" s="1">
        <v>0.3125</v>
      </c>
      <c r="AY347" t="s">
        <v>1172</v>
      </c>
      <c r="AZ347">
        <v>149.99999999650751</v>
      </c>
      <c r="BA347">
        <v>0</v>
      </c>
      <c r="BB347">
        <v>0</v>
      </c>
      <c r="BC347">
        <v>3</v>
      </c>
      <c r="BD347">
        <v>0</v>
      </c>
      <c r="BE347">
        <f t="shared" si="59"/>
        <v>1</v>
      </c>
    </row>
    <row r="348" spans="1:57" x14ac:dyDescent="0.25">
      <c r="A348" t="s">
        <v>39</v>
      </c>
      <c r="B348" t="s">
        <v>1173</v>
      </c>
      <c r="C348">
        <v>84.3</v>
      </c>
      <c r="D348">
        <v>77.099999999999994</v>
      </c>
      <c r="G348">
        <f t="shared" si="50"/>
        <v>0</v>
      </c>
      <c r="H348">
        <f t="shared" si="51"/>
        <v>0</v>
      </c>
      <c r="I348">
        <f t="shared" si="52"/>
        <v>0</v>
      </c>
      <c r="J348">
        <v>79.599999999999994</v>
      </c>
      <c r="K348">
        <v>85.8</v>
      </c>
      <c r="L348">
        <v>77.099999999999994</v>
      </c>
      <c r="M348">
        <v>80.599999999999994</v>
      </c>
      <c r="N348">
        <v>65.400000000000006</v>
      </c>
      <c r="O348">
        <v>62.1</v>
      </c>
      <c r="S348">
        <f t="shared" si="53"/>
        <v>1</v>
      </c>
      <c r="T348">
        <f t="shared" si="54"/>
        <v>1</v>
      </c>
      <c r="U348">
        <f t="shared" si="55"/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21.9</v>
      </c>
      <c r="AG348">
        <f t="shared" si="56"/>
        <v>1</v>
      </c>
      <c r="AH348">
        <f t="shared" si="57"/>
        <v>1</v>
      </c>
      <c r="AI348">
        <f t="shared" si="58"/>
        <v>0</v>
      </c>
      <c r="AJ348">
        <v>297.10000000000002</v>
      </c>
      <c r="AK348">
        <v>1014.5</v>
      </c>
      <c r="AL348">
        <v>34.200000000000003</v>
      </c>
      <c r="AM348">
        <v>6.7</v>
      </c>
      <c r="AN348">
        <v>0</v>
      </c>
      <c r="AO348">
        <v>0</v>
      </c>
      <c r="AP348">
        <v>0</v>
      </c>
      <c r="AQ348">
        <v>0</v>
      </c>
      <c r="AR348" t="s">
        <v>1174</v>
      </c>
      <c r="AS348" t="s">
        <v>1175</v>
      </c>
      <c r="AT348">
        <v>0.57999999999999996</v>
      </c>
      <c r="AU348" t="s">
        <v>43</v>
      </c>
      <c r="AV348" t="s">
        <v>44</v>
      </c>
      <c r="AW348" t="s">
        <v>45</v>
      </c>
      <c r="AX348" s="1">
        <v>0.1173611111111111</v>
      </c>
      <c r="AY348" t="s">
        <v>1176</v>
      </c>
      <c r="AZ348">
        <v>267.00000000069849</v>
      </c>
      <c r="BA348">
        <v>0</v>
      </c>
      <c r="BB348">
        <v>0</v>
      </c>
      <c r="BC348">
        <v>5</v>
      </c>
      <c r="BD348">
        <v>0</v>
      </c>
      <c r="BE348">
        <f t="shared" si="59"/>
        <v>0</v>
      </c>
    </row>
    <row r="349" spans="1:57" x14ac:dyDescent="0.25">
      <c r="A349" t="s">
        <v>39</v>
      </c>
      <c r="B349" t="s">
        <v>1177</v>
      </c>
      <c r="C349">
        <v>66.3</v>
      </c>
      <c r="D349">
        <v>55.5</v>
      </c>
      <c r="G349">
        <f t="shared" si="50"/>
        <v>0</v>
      </c>
      <c r="H349">
        <f t="shared" si="51"/>
        <v>0</v>
      </c>
      <c r="I349">
        <f t="shared" si="52"/>
        <v>0</v>
      </c>
      <c r="J349">
        <v>61.1</v>
      </c>
      <c r="K349">
        <v>66.3</v>
      </c>
      <c r="L349">
        <v>55.5</v>
      </c>
      <c r="M349">
        <v>61.1</v>
      </c>
      <c r="N349">
        <v>46</v>
      </c>
      <c r="O349">
        <v>58.4</v>
      </c>
      <c r="S349">
        <f t="shared" si="53"/>
        <v>1</v>
      </c>
      <c r="T349">
        <f t="shared" si="54"/>
        <v>0</v>
      </c>
      <c r="U349">
        <f t="shared" si="55"/>
        <v>1</v>
      </c>
      <c r="V349">
        <v>4.0000000000000001E-3</v>
      </c>
      <c r="W349">
        <v>100</v>
      </c>
      <c r="X349">
        <v>4.17</v>
      </c>
      <c r="Y349" t="s">
        <v>103</v>
      </c>
      <c r="Z349">
        <v>0</v>
      </c>
      <c r="AA349">
        <v>0</v>
      </c>
      <c r="AB349">
        <v>0</v>
      </c>
      <c r="AC349">
        <v>25.3</v>
      </c>
      <c r="AG349">
        <f t="shared" si="56"/>
        <v>1</v>
      </c>
      <c r="AH349">
        <f t="shared" si="57"/>
        <v>1</v>
      </c>
      <c r="AI349">
        <f t="shared" si="58"/>
        <v>0</v>
      </c>
      <c r="AJ349">
        <v>261</v>
      </c>
      <c r="AK349">
        <v>1007.1</v>
      </c>
      <c r="AL349">
        <v>37</v>
      </c>
      <c r="AM349">
        <v>6.5</v>
      </c>
      <c r="AN349">
        <v>0</v>
      </c>
      <c r="AO349">
        <v>0</v>
      </c>
      <c r="AP349">
        <v>0</v>
      </c>
      <c r="AQ349">
        <v>0</v>
      </c>
      <c r="AR349" t="s">
        <v>1178</v>
      </c>
      <c r="AS349" t="s">
        <v>1179</v>
      </c>
      <c r="AT349">
        <v>0.79</v>
      </c>
      <c r="AU349" t="s">
        <v>106</v>
      </c>
      <c r="AV349" t="s">
        <v>1180</v>
      </c>
      <c r="AW349" t="s">
        <v>103</v>
      </c>
      <c r="AX349" s="1">
        <v>0.4597222222222222</v>
      </c>
      <c r="AY349" t="s">
        <v>1181</v>
      </c>
      <c r="AZ349">
        <v>148.00000000046569</v>
      </c>
      <c r="BA349">
        <v>0</v>
      </c>
      <c r="BB349">
        <v>0</v>
      </c>
      <c r="BC349">
        <v>0.1</v>
      </c>
      <c r="BD349">
        <v>0</v>
      </c>
      <c r="BE349">
        <f t="shared" si="59"/>
        <v>0</v>
      </c>
    </row>
    <row r="350" spans="1:57" x14ac:dyDescent="0.25">
      <c r="A350" t="s">
        <v>39</v>
      </c>
      <c r="B350" t="s">
        <v>1008</v>
      </c>
      <c r="C350">
        <v>82.5</v>
      </c>
      <c r="D350">
        <v>69.900000000000006</v>
      </c>
      <c r="G350">
        <f t="shared" si="50"/>
        <v>1</v>
      </c>
      <c r="H350">
        <f t="shared" si="51"/>
        <v>1</v>
      </c>
      <c r="I350">
        <f t="shared" si="52"/>
        <v>0</v>
      </c>
      <c r="J350">
        <v>76.3</v>
      </c>
      <c r="K350">
        <v>85.5</v>
      </c>
      <c r="L350">
        <v>69.900000000000006</v>
      </c>
      <c r="M350">
        <v>77.099999999999994</v>
      </c>
      <c r="N350">
        <v>63.5</v>
      </c>
      <c r="O350">
        <v>65</v>
      </c>
      <c r="S350">
        <f t="shared" si="53"/>
        <v>1</v>
      </c>
      <c r="T350">
        <f t="shared" si="54"/>
        <v>1</v>
      </c>
      <c r="U350">
        <f t="shared" si="55"/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17.2</v>
      </c>
      <c r="AG350">
        <f t="shared" si="56"/>
        <v>0</v>
      </c>
      <c r="AH350">
        <f t="shared" si="57"/>
        <v>0</v>
      </c>
      <c r="AI350">
        <f t="shared" si="58"/>
        <v>0</v>
      </c>
      <c r="AJ350">
        <v>227.2</v>
      </c>
      <c r="AK350">
        <v>1013.1</v>
      </c>
      <c r="AL350">
        <v>30</v>
      </c>
      <c r="AM350">
        <v>6.3</v>
      </c>
      <c r="AN350">
        <v>0</v>
      </c>
      <c r="AO350">
        <v>0</v>
      </c>
      <c r="AP350">
        <v>0</v>
      </c>
      <c r="AQ350">
        <v>0</v>
      </c>
      <c r="AR350" t="s">
        <v>1009</v>
      </c>
      <c r="AS350" t="s">
        <v>1010</v>
      </c>
      <c r="AT350">
        <v>0.48</v>
      </c>
      <c r="AU350" t="s">
        <v>43</v>
      </c>
      <c r="AV350" t="s">
        <v>44</v>
      </c>
      <c r="AW350" t="s">
        <v>45</v>
      </c>
      <c r="AX350" s="1">
        <v>0.48958333333333331</v>
      </c>
      <c r="AY350" t="s">
        <v>1182</v>
      </c>
      <c r="AZ350">
        <v>129.99999999417921</v>
      </c>
      <c r="BA350">
        <v>0</v>
      </c>
      <c r="BB350">
        <v>1</v>
      </c>
      <c r="BC350">
        <v>0</v>
      </c>
      <c r="BD350">
        <v>0</v>
      </c>
      <c r="BE350">
        <f t="shared" si="59"/>
        <v>0</v>
      </c>
    </row>
    <row r="351" spans="1:57" x14ac:dyDescent="0.25">
      <c r="A351" t="s">
        <v>39</v>
      </c>
      <c r="B351" t="s">
        <v>1183</v>
      </c>
      <c r="C351">
        <v>78.900000000000006</v>
      </c>
      <c r="D351">
        <v>73.5</v>
      </c>
      <c r="G351">
        <f t="shared" si="50"/>
        <v>0</v>
      </c>
      <c r="H351">
        <f t="shared" si="51"/>
        <v>0</v>
      </c>
      <c r="I351">
        <f t="shared" si="52"/>
        <v>0</v>
      </c>
      <c r="J351">
        <v>76</v>
      </c>
      <c r="K351">
        <v>78.900000000000006</v>
      </c>
      <c r="L351">
        <v>73.5</v>
      </c>
      <c r="M351">
        <v>76</v>
      </c>
      <c r="N351">
        <v>62.5</v>
      </c>
      <c r="O351">
        <v>63</v>
      </c>
      <c r="S351">
        <f t="shared" si="53"/>
        <v>1</v>
      </c>
      <c r="T351">
        <f t="shared" si="54"/>
        <v>1</v>
      </c>
      <c r="U351">
        <f t="shared" si="55"/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19.5</v>
      </c>
      <c r="AG351">
        <f t="shared" si="56"/>
        <v>1</v>
      </c>
      <c r="AH351">
        <f t="shared" si="57"/>
        <v>1</v>
      </c>
      <c r="AI351">
        <f t="shared" si="58"/>
        <v>0</v>
      </c>
      <c r="AJ351">
        <v>293.10000000000002</v>
      </c>
      <c r="AK351">
        <v>1011.2</v>
      </c>
      <c r="AL351">
        <v>31</v>
      </c>
      <c r="AM351">
        <v>6.7</v>
      </c>
      <c r="AN351">
        <v>0</v>
      </c>
      <c r="AO351">
        <v>0</v>
      </c>
      <c r="AP351">
        <v>0</v>
      </c>
      <c r="AQ351">
        <v>0</v>
      </c>
      <c r="AR351" t="s">
        <v>1184</v>
      </c>
      <c r="AS351" t="s">
        <v>1185</v>
      </c>
      <c r="AT351">
        <v>0.41</v>
      </c>
      <c r="AU351" t="s">
        <v>43</v>
      </c>
      <c r="AV351" t="s">
        <v>44</v>
      </c>
      <c r="AW351" t="s">
        <v>45</v>
      </c>
      <c r="AX351" s="1">
        <v>0.63749999999999996</v>
      </c>
      <c r="AY351" t="s">
        <v>1186</v>
      </c>
      <c r="AZ351">
        <v>192.00000000768341</v>
      </c>
      <c r="BA351">
        <v>0</v>
      </c>
      <c r="BB351">
        <v>0</v>
      </c>
      <c r="BC351">
        <v>3</v>
      </c>
      <c r="BD351">
        <v>0</v>
      </c>
      <c r="BE351">
        <f t="shared" si="59"/>
        <v>0</v>
      </c>
    </row>
    <row r="352" spans="1:57" x14ac:dyDescent="0.25">
      <c r="A352" t="s">
        <v>39</v>
      </c>
      <c r="B352" t="s">
        <v>1187</v>
      </c>
      <c r="C352">
        <v>69.900000000000006</v>
      </c>
      <c r="D352">
        <v>57.3</v>
      </c>
      <c r="G352">
        <f t="shared" si="50"/>
        <v>1</v>
      </c>
      <c r="H352">
        <f t="shared" si="51"/>
        <v>1</v>
      </c>
      <c r="I352">
        <f t="shared" si="52"/>
        <v>0</v>
      </c>
      <c r="J352">
        <v>61.7</v>
      </c>
      <c r="K352">
        <v>69.900000000000006</v>
      </c>
      <c r="L352">
        <v>57.3</v>
      </c>
      <c r="M352">
        <v>61.7</v>
      </c>
      <c r="N352">
        <v>44.5</v>
      </c>
      <c r="O352">
        <v>54.9</v>
      </c>
      <c r="S352">
        <f t="shared" si="53"/>
        <v>1</v>
      </c>
      <c r="T352">
        <f t="shared" si="54"/>
        <v>0</v>
      </c>
      <c r="U352">
        <f t="shared" si="55"/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26.4</v>
      </c>
      <c r="AG352">
        <f t="shared" si="56"/>
        <v>1</v>
      </c>
      <c r="AH352">
        <f t="shared" si="57"/>
        <v>1</v>
      </c>
      <c r="AI352">
        <f t="shared" si="58"/>
        <v>0</v>
      </c>
      <c r="AJ352">
        <v>166.7</v>
      </c>
      <c r="AK352">
        <v>1016.4</v>
      </c>
      <c r="AL352">
        <v>87.5</v>
      </c>
      <c r="AM352">
        <v>6.6</v>
      </c>
      <c r="AN352">
        <v>0</v>
      </c>
      <c r="AO352">
        <v>0</v>
      </c>
      <c r="AP352">
        <v>0</v>
      </c>
      <c r="AQ352">
        <v>0</v>
      </c>
      <c r="AR352" t="s">
        <v>1188</v>
      </c>
      <c r="AS352" t="s">
        <v>1189</v>
      </c>
      <c r="AT352">
        <v>0.25</v>
      </c>
      <c r="AU352" t="s">
        <v>43</v>
      </c>
      <c r="AV352" t="s">
        <v>44</v>
      </c>
      <c r="AW352" t="s">
        <v>45</v>
      </c>
      <c r="AX352" s="1">
        <v>0.67708333333333337</v>
      </c>
      <c r="AY352" t="s">
        <v>1190</v>
      </c>
      <c r="AZ352">
        <v>135</v>
      </c>
      <c r="BA352">
        <v>0</v>
      </c>
      <c r="BB352">
        <v>0</v>
      </c>
      <c r="BC352">
        <v>1</v>
      </c>
      <c r="BD352">
        <v>0</v>
      </c>
      <c r="BE352">
        <f t="shared" si="59"/>
        <v>1</v>
      </c>
    </row>
    <row r="353" spans="1:57" x14ac:dyDescent="0.25">
      <c r="A353" t="s">
        <v>39</v>
      </c>
      <c r="B353" t="s">
        <v>1191</v>
      </c>
      <c r="C353">
        <v>82.5</v>
      </c>
      <c r="D353">
        <v>73.5</v>
      </c>
      <c r="G353">
        <f t="shared" si="50"/>
        <v>0</v>
      </c>
      <c r="H353">
        <f t="shared" si="51"/>
        <v>0</v>
      </c>
      <c r="I353">
        <f t="shared" si="52"/>
        <v>0</v>
      </c>
      <c r="J353">
        <v>77.900000000000006</v>
      </c>
      <c r="K353">
        <v>84.8</v>
      </c>
      <c r="L353">
        <v>73.5</v>
      </c>
      <c r="M353">
        <v>78.400000000000006</v>
      </c>
      <c r="N353">
        <v>65</v>
      </c>
      <c r="O353">
        <v>65.099999999999994</v>
      </c>
      <c r="S353">
        <f t="shared" si="53"/>
        <v>1</v>
      </c>
      <c r="T353">
        <f t="shared" si="54"/>
        <v>1</v>
      </c>
      <c r="U353">
        <f t="shared" si="55"/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19.5</v>
      </c>
      <c r="AG353">
        <f t="shared" si="56"/>
        <v>1</v>
      </c>
      <c r="AH353">
        <f t="shared" si="57"/>
        <v>1</v>
      </c>
      <c r="AI353">
        <f t="shared" si="58"/>
        <v>0</v>
      </c>
      <c r="AJ353">
        <v>300.7</v>
      </c>
      <c r="AK353">
        <v>1013.2</v>
      </c>
      <c r="AL353">
        <v>33.299999999999997</v>
      </c>
      <c r="AM353">
        <v>6.6</v>
      </c>
      <c r="AN353">
        <v>0</v>
      </c>
      <c r="AO353">
        <v>0</v>
      </c>
      <c r="AP353">
        <v>0</v>
      </c>
      <c r="AQ353">
        <v>0</v>
      </c>
      <c r="AR353" t="s">
        <v>1192</v>
      </c>
      <c r="AS353" t="s">
        <v>1193</v>
      </c>
      <c r="AT353">
        <v>0.75</v>
      </c>
      <c r="AU353" t="s">
        <v>43</v>
      </c>
      <c r="AV353" t="s">
        <v>44</v>
      </c>
      <c r="AW353" t="s">
        <v>45</v>
      </c>
      <c r="AX353" s="1">
        <v>0.76041666666666663</v>
      </c>
      <c r="AY353" t="s">
        <v>1194</v>
      </c>
      <c r="AZ353">
        <v>210.00000000349249</v>
      </c>
      <c r="BA353">
        <v>0</v>
      </c>
      <c r="BB353">
        <v>2</v>
      </c>
      <c r="BC353">
        <v>0</v>
      </c>
      <c r="BD353">
        <v>0</v>
      </c>
      <c r="BE353">
        <f t="shared" si="59"/>
        <v>0</v>
      </c>
    </row>
    <row r="354" spans="1:57" x14ac:dyDescent="0.25">
      <c r="A354" t="s">
        <v>39</v>
      </c>
      <c r="B354" t="s">
        <v>1195</v>
      </c>
      <c r="C354">
        <v>84.3</v>
      </c>
      <c r="D354">
        <v>69.900000000000006</v>
      </c>
      <c r="G354">
        <f t="shared" si="50"/>
        <v>1</v>
      </c>
      <c r="H354">
        <f t="shared" si="51"/>
        <v>1</v>
      </c>
      <c r="I354">
        <f t="shared" si="52"/>
        <v>0</v>
      </c>
      <c r="J354">
        <v>77</v>
      </c>
      <c r="K354">
        <v>86.6</v>
      </c>
      <c r="L354">
        <v>69.900000000000006</v>
      </c>
      <c r="M354">
        <v>77.900000000000006</v>
      </c>
      <c r="N354">
        <v>62.8</v>
      </c>
      <c r="O354">
        <v>61.8</v>
      </c>
      <c r="S354">
        <f t="shared" si="53"/>
        <v>1</v>
      </c>
      <c r="T354">
        <f t="shared" si="54"/>
        <v>1</v>
      </c>
      <c r="U354">
        <f t="shared" si="55"/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15</v>
      </c>
      <c r="AG354">
        <f t="shared" si="56"/>
        <v>1</v>
      </c>
      <c r="AH354">
        <f t="shared" si="57"/>
        <v>0</v>
      </c>
      <c r="AI354">
        <f t="shared" si="58"/>
        <v>1</v>
      </c>
      <c r="AJ354">
        <v>295.7</v>
      </c>
      <c r="AK354">
        <v>1012.3</v>
      </c>
      <c r="AL354">
        <v>0</v>
      </c>
      <c r="AM354">
        <v>6.2</v>
      </c>
      <c r="AN354">
        <v>0</v>
      </c>
      <c r="AO354">
        <v>0</v>
      </c>
      <c r="AP354">
        <v>0</v>
      </c>
      <c r="AQ354">
        <v>0</v>
      </c>
      <c r="AR354" t="s">
        <v>1196</v>
      </c>
      <c r="AS354" t="s">
        <v>1197</v>
      </c>
      <c r="AT354">
        <v>0.55000000000000004</v>
      </c>
      <c r="AU354" t="s">
        <v>74</v>
      </c>
      <c r="AV354" t="s">
        <v>44</v>
      </c>
      <c r="AW354" t="s">
        <v>75</v>
      </c>
      <c r="AX354" s="1">
        <v>0.5756944444444444</v>
      </c>
      <c r="AY354" t="s">
        <v>1198</v>
      </c>
      <c r="AZ354">
        <v>1570.9999999974391</v>
      </c>
      <c r="BA354">
        <v>1</v>
      </c>
      <c r="BB354">
        <v>0</v>
      </c>
      <c r="BC354">
        <v>590</v>
      </c>
      <c r="BD354">
        <v>0</v>
      </c>
      <c r="BE354">
        <f t="shared" si="59"/>
        <v>1</v>
      </c>
    </row>
    <row r="355" spans="1:57" x14ac:dyDescent="0.25">
      <c r="A355" t="s">
        <v>39</v>
      </c>
      <c r="B355" t="s">
        <v>1199</v>
      </c>
      <c r="C355">
        <v>68.099999999999994</v>
      </c>
      <c r="D355">
        <v>55.5</v>
      </c>
      <c r="G355">
        <f t="shared" si="50"/>
        <v>1</v>
      </c>
      <c r="H355">
        <f t="shared" si="51"/>
        <v>0</v>
      </c>
      <c r="I355">
        <f t="shared" si="52"/>
        <v>1</v>
      </c>
      <c r="J355">
        <v>63.2</v>
      </c>
      <c r="K355">
        <v>68.099999999999994</v>
      </c>
      <c r="L355">
        <v>55.5</v>
      </c>
      <c r="M355">
        <v>63.2</v>
      </c>
      <c r="N355">
        <v>50.9</v>
      </c>
      <c r="O355">
        <v>64.8</v>
      </c>
      <c r="S355">
        <f t="shared" si="53"/>
        <v>0</v>
      </c>
      <c r="T355">
        <f t="shared" si="54"/>
        <v>0</v>
      </c>
      <c r="U355">
        <f t="shared" si="55"/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12.8</v>
      </c>
      <c r="AG355">
        <f t="shared" si="56"/>
        <v>1</v>
      </c>
      <c r="AH355">
        <f t="shared" si="57"/>
        <v>0</v>
      </c>
      <c r="AI355">
        <f t="shared" si="58"/>
        <v>1</v>
      </c>
      <c r="AJ355">
        <v>295.3</v>
      </c>
      <c r="AK355">
        <v>1013.4</v>
      </c>
      <c r="AL355">
        <v>0</v>
      </c>
      <c r="AM355">
        <v>6.2</v>
      </c>
      <c r="AN355">
        <v>0</v>
      </c>
      <c r="AO355">
        <v>0</v>
      </c>
      <c r="AP355">
        <v>0</v>
      </c>
      <c r="AQ355">
        <v>0</v>
      </c>
      <c r="AR355" t="s">
        <v>1200</v>
      </c>
      <c r="AS355" t="s">
        <v>1201</v>
      </c>
      <c r="AT355">
        <v>0.77</v>
      </c>
      <c r="AU355" t="s">
        <v>74</v>
      </c>
      <c r="AV355" t="s">
        <v>44</v>
      </c>
      <c r="AW355" t="s">
        <v>75</v>
      </c>
      <c r="AX355" s="1">
        <v>0.45763888888888887</v>
      </c>
      <c r="AY355" t="s">
        <v>1202</v>
      </c>
      <c r="AZ355">
        <v>46.000000003259629</v>
      </c>
      <c r="BA355">
        <v>0</v>
      </c>
      <c r="BB355">
        <v>0</v>
      </c>
      <c r="BC355">
        <v>0.2</v>
      </c>
      <c r="BD355">
        <v>0</v>
      </c>
      <c r="BE355">
        <f t="shared" si="59"/>
        <v>0</v>
      </c>
    </row>
    <row r="356" spans="1:57" x14ac:dyDescent="0.25">
      <c r="A356" t="s">
        <v>39</v>
      </c>
      <c r="B356" t="s">
        <v>1203</v>
      </c>
      <c r="C356">
        <v>84.3</v>
      </c>
      <c r="D356">
        <v>75.3</v>
      </c>
      <c r="G356">
        <f t="shared" si="50"/>
        <v>0</v>
      </c>
      <c r="H356">
        <f t="shared" si="51"/>
        <v>0</v>
      </c>
      <c r="I356">
        <f t="shared" si="52"/>
        <v>0</v>
      </c>
      <c r="J356">
        <v>79.400000000000006</v>
      </c>
      <c r="K356">
        <v>84.1</v>
      </c>
      <c r="L356">
        <v>75.3</v>
      </c>
      <c r="M356">
        <v>79.7</v>
      </c>
      <c r="N356">
        <v>62.3</v>
      </c>
      <c r="O356">
        <v>56.5</v>
      </c>
      <c r="S356">
        <f t="shared" si="53"/>
        <v>1</v>
      </c>
      <c r="T356">
        <f t="shared" si="54"/>
        <v>0</v>
      </c>
      <c r="U356">
        <f t="shared" si="55"/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23</v>
      </c>
      <c r="AG356">
        <f t="shared" si="56"/>
        <v>1</v>
      </c>
      <c r="AH356">
        <f t="shared" si="57"/>
        <v>1</v>
      </c>
      <c r="AI356">
        <f t="shared" si="58"/>
        <v>0</v>
      </c>
      <c r="AJ356">
        <v>295.2</v>
      </c>
      <c r="AK356">
        <v>1014.8</v>
      </c>
      <c r="AL356">
        <v>30</v>
      </c>
      <c r="AM356">
        <v>6.5</v>
      </c>
      <c r="AN356">
        <v>0</v>
      </c>
      <c r="AO356">
        <v>0</v>
      </c>
      <c r="AP356">
        <v>0</v>
      </c>
      <c r="AQ356">
        <v>0</v>
      </c>
      <c r="AR356" t="s">
        <v>1204</v>
      </c>
      <c r="AS356" t="s">
        <v>1205</v>
      </c>
      <c r="AT356">
        <v>0.77</v>
      </c>
      <c r="AU356" t="s">
        <v>43</v>
      </c>
      <c r="AV356" t="s">
        <v>44</v>
      </c>
      <c r="AW356" t="s">
        <v>45</v>
      </c>
      <c r="AX356" s="1">
        <v>0.28472222222222221</v>
      </c>
      <c r="AY356" t="s">
        <v>1206</v>
      </c>
      <c r="AZ356">
        <v>220.00000000465661</v>
      </c>
      <c r="BA356">
        <v>0</v>
      </c>
      <c r="BB356">
        <v>2.5</v>
      </c>
      <c r="BC356">
        <v>0</v>
      </c>
      <c r="BD356">
        <v>0</v>
      </c>
      <c r="BE356">
        <f t="shared" si="59"/>
        <v>0</v>
      </c>
    </row>
    <row r="357" spans="1:57" x14ac:dyDescent="0.25">
      <c r="A357" t="s">
        <v>39</v>
      </c>
      <c r="B357" t="s">
        <v>1207</v>
      </c>
      <c r="C357">
        <v>73.5</v>
      </c>
      <c r="D357">
        <v>62.7</v>
      </c>
      <c r="G357">
        <f t="shared" si="50"/>
        <v>0</v>
      </c>
      <c r="H357">
        <f t="shared" si="51"/>
        <v>0</v>
      </c>
      <c r="I357">
        <f t="shared" si="52"/>
        <v>0</v>
      </c>
      <c r="J357">
        <v>68.400000000000006</v>
      </c>
      <c r="K357">
        <v>73.5</v>
      </c>
      <c r="L357">
        <v>62.7</v>
      </c>
      <c r="M357">
        <v>68.400000000000006</v>
      </c>
      <c r="N357">
        <v>60.2</v>
      </c>
      <c r="O357">
        <v>75.400000000000006</v>
      </c>
      <c r="S357">
        <f t="shared" si="53"/>
        <v>1</v>
      </c>
      <c r="T357">
        <f t="shared" si="54"/>
        <v>1</v>
      </c>
      <c r="U357">
        <f t="shared" si="55"/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11.4</v>
      </c>
      <c r="AG357">
        <f t="shared" si="56"/>
        <v>1</v>
      </c>
      <c r="AH357">
        <f t="shared" si="57"/>
        <v>0</v>
      </c>
      <c r="AI357">
        <f t="shared" si="58"/>
        <v>1</v>
      </c>
      <c r="AJ357">
        <v>277.3</v>
      </c>
      <c r="AK357">
        <v>1015.2</v>
      </c>
      <c r="AL357">
        <v>41.7</v>
      </c>
      <c r="AM357">
        <v>6.8</v>
      </c>
      <c r="AN357">
        <v>0</v>
      </c>
      <c r="AO357">
        <v>0</v>
      </c>
      <c r="AP357">
        <v>0</v>
      </c>
      <c r="AQ357">
        <v>0</v>
      </c>
      <c r="AR357" t="s">
        <v>1208</v>
      </c>
      <c r="AS357" t="s">
        <v>1209</v>
      </c>
      <c r="AT357">
        <v>0.37</v>
      </c>
      <c r="AU357" t="s">
        <v>43</v>
      </c>
      <c r="AV357" t="s">
        <v>44</v>
      </c>
      <c r="AW357" t="s">
        <v>45</v>
      </c>
      <c r="AX357" s="1">
        <v>0.65208333333333335</v>
      </c>
      <c r="AY357" t="s">
        <v>1210</v>
      </c>
      <c r="AZ357">
        <v>100.9999999939464</v>
      </c>
      <c r="BA357">
        <v>0</v>
      </c>
      <c r="BB357">
        <v>0.1</v>
      </c>
      <c r="BC357">
        <v>0</v>
      </c>
      <c r="BD357">
        <v>0</v>
      </c>
      <c r="BE357">
        <f t="shared" si="59"/>
        <v>0</v>
      </c>
    </row>
    <row r="358" spans="1:57" x14ac:dyDescent="0.25">
      <c r="A358" t="s">
        <v>39</v>
      </c>
      <c r="B358" t="s">
        <v>939</v>
      </c>
      <c r="C358">
        <v>80.7</v>
      </c>
      <c r="D358">
        <v>75.3</v>
      </c>
      <c r="G358">
        <f t="shared" si="50"/>
        <v>1</v>
      </c>
      <c r="H358">
        <f t="shared" si="51"/>
        <v>0</v>
      </c>
      <c r="I358">
        <f t="shared" si="52"/>
        <v>1</v>
      </c>
      <c r="J358">
        <v>77.400000000000006</v>
      </c>
      <c r="K358">
        <v>81.5</v>
      </c>
      <c r="L358">
        <v>75.3</v>
      </c>
      <c r="M358">
        <v>77.599999999999994</v>
      </c>
      <c r="N358">
        <v>62.3</v>
      </c>
      <c r="O358">
        <v>60.3</v>
      </c>
      <c r="S358">
        <f t="shared" si="53"/>
        <v>0</v>
      </c>
      <c r="T358">
        <f t="shared" si="54"/>
        <v>0</v>
      </c>
      <c r="U358">
        <f t="shared" si="55"/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20.8</v>
      </c>
      <c r="AG358">
        <f t="shared" si="56"/>
        <v>1</v>
      </c>
      <c r="AH358">
        <f t="shared" si="57"/>
        <v>1</v>
      </c>
      <c r="AI358">
        <f t="shared" si="58"/>
        <v>0</v>
      </c>
      <c r="AJ358">
        <v>298.8</v>
      </c>
      <c r="AK358">
        <v>1012.5</v>
      </c>
      <c r="AL358">
        <v>34.200000000000003</v>
      </c>
      <c r="AM358">
        <v>6.8</v>
      </c>
      <c r="AN358">
        <v>0</v>
      </c>
      <c r="AO358">
        <v>0</v>
      </c>
      <c r="AP358">
        <v>0</v>
      </c>
      <c r="AQ358">
        <v>0</v>
      </c>
      <c r="AR358" t="s">
        <v>940</v>
      </c>
      <c r="AS358" t="s">
        <v>941</v>
      </c>
      <c r="AT358">
        <v>0.68</v>
      </c>
      <c r="AU358" t="s">
        <v>43</v>
      </c>
      <c r="AV358" t="s">
        <v>44</v>
      </c>
      <c r="AW358" t="s">
        <v>45</v>
      </c>
      <c r="AX358" s="1">
        <v>0.87152777777777779</v>
      </c>
      <c r="AY358" t="s">
        <v>1211</v>
      </c>
      <c r="AZ358">
        <v>69.999999997671694</v>
      </c>
      <c r="BA358">
        <v>0</v>
      </c>
      <c r="BB358">
        <v>0</v>
      </c>
      <c r="BC358">
        <v>0.3</v>
      </c>
      <c r="BD358">
        <v>0</v>
      </c>
      <c r="BE358">
        <f t="shared" si="59"/>
        <v>0</v>
      </c>
    </row>
    <row r="359" spans="1:57" x14ac:dyDescent="0.25">
      <c r="A359" t="s">
        <v>39</v>
      </c>
      <c r="B359" t="s">
        <v>1212</v>
      </c>
      <c r="C359">
        <v>68.099999999999994</v>
      </c>
      <c r="D359">
        <v>53.7</v>
      </c>
      <c r="G359">
        <f t="shared" si="50"/>
        <v>0</v>
      </c>
      <c r="H359">
        <f t="shared" si="51"/>
        <v>0</v>
      </c>
      <c r="I359">
        <f t="shared" si="52"/>
        <v>0</v>
      </c>
      <c r="J359">
        <v>60.5</v>
      </c>
      <c r="K359">
        <v>68.099999999999994</v>
      </c>
      <c r="L359">
        <v>53.7</v>
      </c>
      <c r="M359">
        <v>60.5</v>
      </c>
      <c r="N359">
        <v>52.9</v>
      </c>
      <c r="O359">
        <v>76.8</v>
      </c>
      <c r="S359">
        <f t="shared" si="53"/>
        <v>1</v>
      </c>
      <c r="T359">
        <f t="shared" si="54"/>
        <v>1</v>
      </c>
      <c r="U359">
        <f t="shared" si="55"/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9.1999999999999993</v>
      </c>
      <c r="AG359">
        <f t="shared" si="56"/>
        <v>1</v>
      </c>
      <c r="AH359">
        <f t="shared" si="57"/>
        <v>0</v>
      </c>
      <c r="AI359">
        <f t="shared" si="58"/>
        <v>1</v>
      </c>
      <c r="AJ359">
        <v>151.30000000000001</v>
      </c>
      <c r="AK359">
        <v>1020.5</v>
      </c>
      <c r="AL359">
        <v>70</v>
      </c>
      <c r="AM359">
        <v>6.4</v>
      </c>
      <c r="AN359">
        <v>0</v>
      </c>
      <c r="AO359">
        <v>0</v>
      </c>
      <c r="AP359">
        <v>0</v>
      </c>
      <c r="AQ359">
        <v>0</v>
      </c>
      <c r="AR359" t="s">
        <v>1213</v>
      </c>
      <c r="AS359" t="s">
        <v>1214</v>
      </c>
      <c r="AT359">
        <v>0.31</v>
      </c>
      <c r="AU359" t="s">
        <v>43</v>
      </c>
      <c r="AV359" t="s">
        <v>44</v>
      </c>
      <c r="AW359" t="s">
        <v>45</v>
      </c>
      <c r="AX359" s="1">
        <v>0.51041666666666663</v>
      </c>
      <c r="AY359" t="s">
        <v>1215</v>
      </c>
      <c r="AZ359">
        <v>349.99999999883579</v>
      </c>
      <c r="BA359">
        <v>0</v>
      </c>
      <c r="BB359">
        <v>1</v>
      </c>
      <c r="BC359">
        <v>0</v>
      </c>
      <c r="BD359">
        <v>0</v>
      </c>
      <c r="BE359">
        <f t="shared" si="59"/>
        <v>0</v>
      </c>
    </row>
    <row r="360" spans="1:57" x14ac:dyDescent="0.25">
      <c r="A360" t="s">
        <v>39</v>
      </c>
      <c r="B360" t="s">
        <v>1216</v>
      </c>
      <c r="C360">
        <v>71.7</v>
      </c>
      <c r="D360">
        <v>57.3</v>
      </c>
      <c r="G360">
        <f t="shared" si="50"/>
        <v>1</v>
      </c>
      <c r="H360">
        <f t="shared" si="51"/>
        <v>0</v>
      </c>
      <c r="I360">
        <f t="shared" si="52"/>
        <v>1</v>
      </c>
      <c r="J360">
        <v>65.099999999999994</v>
      </c>
      <c r="K360">
        <v>71.7</v>
      </c>
      <c r="L360">
        <v>57.3</v>
      </c>
      <c r="M360">
        <v>65.099999999999994</v>
      </c>
      <c r="N360">
        <v>50</v>
      </c>
      <c r="O360">
        <v>59.3</v>
      </c>
      <c r="S360">
        <f t="shared" si="53"/>
        <v>1</v>
      </c>
      <c r="T360">
        <f t="shared" si="54"/>
        <v>0</v>
      </c>
      <c r="U360">
        <f t="shared" si="55"/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20.8</v>
      </c>
      <c r="AG360">
        <f t="shared" si="56"/>
        <v>1</v>
      </c>
      <c r="AH360">
        <f t="shared" si="57"/>
        <v>1</v>
      </c>
      <c r="AI360">
        <f t="shared" si="58"/>
        <v>0</v>
      </c>
      <c r="AJ360">
        <v>337.6</v>
      </c>
      <c r="AK360">
        <v>1017.3</v>
      </c>
      <c r="AL360">
        <v>43</v>
      </c>
      <c r="AM360">
        <v>6.8</v>
      </c>
      <c r="AN360">
        <v>0</v>
      </c>
      <c r="AO360">
        <v>0</v>
      </c>
      <c r="AP360">
        <v>0</v>
      </c>
      <c r="AQ360">
        <v>0</v>
      </c>
      <c r="AR360" t="s">
        <v>1217</v>
      </c>
      <c r="AS360" t="s">
        <v>1218</v>
      </c>
      <c r="AT360">
        <v>0.75</v>
      </c>
      <c r="AU360" t="s">
        <v>43</v>
      </c>
      <c r="AV360" t="s">
        <v>44</v>
      </c>
      <c r="AW360" t="s">
        <v>45</v>
      </c>
      <c r="AX360" s="1">
        <v>0.75694444444444442</v>
      </c>
      <c r="AY360" t="s">
        <v>1219</v>
      </c>
      <c r="AZ360">
        <v>1249.9999999988361</v>
      </c>
      <c r="BA360">
        <v>1</v>
      </c>
      <c r="BB360">
        <v>10</v>
      </c>
      <c r="BC360">
        <v>0</v>
      </c>
      <c r="BD360">
        <v>0</v>
      </c>
      <c r="BE360">
        <f t="shared" si="59"/>
        <v>1</v>
      </c>
    </row>
    <row r="361" spans="1:57" x14ac:dyDescent="0.25">
      <c r="A361" t="s">
        <v>39</v>
      </c>
      <c r="B361" t="s">
        <v>1220</v>
      </c>
      <c r="C361">
        <v>78.900000000000006</v>
      </c>
      <c r="D361">
        <v>66.3</v>
      </c>
      <c r="G361">
        <f t="shared" si="50"/>
        <v>0</v>
      </c>
      <c r="H361">
        <f t="shared" si="51"/>
        <v>0</v>
      </c>
      <c r="I361">
        <f t="shared" si="52"/>
        <v>0</v>
      </c>
      <c r="J361">
        <v>72.900000000000006</v>
      </c>
      <c r="K361">
        <v>78.900000000000006</v>
      </c>
      <c r="L361">
        <v>66.3</v>
      </c>
      <c r="M361">
        <v>72.900000000000006</v>
      </c>
      <c r="N361">
        <v>59.8</v>
      </c>
      <c r="O361">
        <v>64.7</v>
      </c>
      <c r="S361">
        <f t="shared" si="53"/>
        <v>0</v>
      </c>
      <c r="T361">
        <f t="shared" si="54"/>
        <v>0</v>
      </c>
      <c r="U361">
        <f t="shared" si="55"/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8.1</v>
      </c>
      <c r="AG361">
        <f t="shared" si="56"/>
        <v>1</v>
      </c>
      <c r="AH361">
        <f t="shared" si="57"/>
        <v>0</v>
      </c>
      <c r="AI361">
        <f t="shared" si="58"/>
        <v>1</v>
      </c>
      <c r="AJ361">
        <v>338.7</v>
      </c>
      <c r="AK361">
        <v>1016.8</v>
      </c>
      <c r="AL361">
        <v>40.799999999999997</v>
      </c>
      <c r="AM361">
        <v>6.8</v>
      </c>
      <c r="AN361">
        <v>0</v>
      </c>
      <c r="AO361">
        <v>0</v>
      </c>
      <c r="AP361">
        <v>0</v>
      </c>
      <c r="AQ361">
        <v>0</v>
      </c>
      <c r="AR361" t="s">
        <v>1221</v>
      </c>
      <c r="AS361" t="s">
        <v>1222</v>
      </c>
      <c r="AT361">
        <v>0.42</v>
      </c>
      <c r="AU361" t="s">
        <v>43</v>
      </c>
      <c r="AV361" t="s">
        <v>44</v>
      </c>
      <c r="AW361" t="s">
        <v>45</v>
      </c>
      <c r="AX361" s="1">
        <v>0.3611111111111111</v>
      </c>
      <c r="AY361" t="s">
        <v>1223</v>
      </c>
      <c r="AZ361">
        <v>130.00000000465661</v>
      </c>
      <c r="BA361">
        <v>0</v>
      </c>
      <c r="BB361">
        <v>0.1</v>
      </c>
      <c r="BC361">
        <v>0</v>
      </c>
      <c r="BD361">
        <v>0</v>
      </c>
      <c r="BE361">
        <f t="shared" si="59"/>
        <v>0</v>
      </c>
    </row>
    <row r="362" spans="1:57" x14ac:dyDescent="0.25">
      <c r="A362" t="s">
        <v>39</v>
      </c>
      <c r="B362" t="s">
        <v>1224</v>
      </c>
      <c r="C362">
        <v>89.7</v>
      </c>
      <c r="D362">
        <v>78.900000000000006</v>
      </c>
      <c r="G362">
        <f t="shared" si="50"/>
        <v>1</v>
      </c>
      <c r="H362">
        <f t="shared" si="51"/>
        <v>1</v>
      </c>
      <c r="I362">
        <f t="shared" si="52"/>
        <v>0</v>
      </c>
      <c r="J362">
        <v>82.4</v>
      </c>
      <c r="K362">
        <v>88.4</v>
      </c>
      <c r="L362">
        <v>78.900000000000006</v>
      </c>
      <c r="M362">
        <v>83</v>
      </c>
      <c r="N362">
        <v>60.5</v>
      </c>
      <c r="O362">
        <v>48.5</v>
      </c>
      <c r="S362">
        <f t="shared" si="53"/>
        <v>1</v>
      </c>
      <c r="T362">
        <f t="shared" si="54"/>
        <v>0</v>
      </c>
      <c r="U362">
        <f t="shared" si="55"/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28.9</v>
      </c>
      <c r="AG362">
        <f t="shared" si="56"/>
        <v>1</v>
      </c>
      <c r="AH362">
        <f t="shared" si="57"/>
        <v>1</v>
      </c>
      <c r="AI362">
        <f t="shared" si="58"/>
        <v>0</v>
      </c>
      <c r="AJ362">
        <v>167.4</v>
      </c>
      <c r="AK362">
        <v>1010.9</v>
      </c>
      <c r="AL362">
        <v>85.3</v>
      </c>
      <c r="AM362">
        <v>6.6</v>
      </c>
      <c r="AN362">
        <v>0</v>
      </c>
      <c r="AO362">
        <v>0</v>
      </c>
      <c r="AP362">
        <v>0</v>
      </c>
      <c r="AQ362">
        <v>0</v>
      </c>
      <c r="AR362" t="s">
        <v>1225</v>
      </c>
      <c r="AS362" t="s">
        <v>1226</v>
      </c>
      <c r="AT362">
        <v>0.59</v>
      </c>
      <c r="AU362" t="s">
        <v>43</v>
      </c>
      <c r="AV362" t="s">
        <v>44</v>
      </c>
      <c r="AW362" t="s">
        <v>45</v>
      </c>
      <c r="AX362" s="1">
        <v>0.4375</v>
      </c>
      <c r="AY362" t="s">
        <v>1227</v>
      </c>
      <c r="AZ362">
        <v>1350</v>
      </c>
      <c r="BA362">
        <v>1</v>
      </c>
      <c r="BB362">
        <v>10</v>
      </c>
      <c r="BC362">
        <v>0</v>
      </c>
      <c r="BD362">
        <v>0</v>
      </c>
      <c r="BE362">
        <f t="shared" si="59"/>
        <v>1</v>
      </c>
    </row>
    <row r="363" spans="1:57" x14ac:dyDescent="0.25">
      <c r="A363" t="s">
        <v>39</v>
      </c>
      <c r="B363" t="s">
        <v>923</v>
      </c>
      <c r="C363">
        <v>107.7</v>
      </c>
      <c r="D363">
        <v>80.7</v>
      </c>
      <c r="G363">
        <f t="shared" si="50"/>
        <v>1</v>
      </c>
      <c r="H363">
        <f t="shared" si="51"/>
        <v>1</v>
      </c>
      <c r="I363">
        <f t="shared" si="52"/>
        <v>0</v>
      </c>
      <c r="J363">
        <v>92</v>
      </c>
      <c r="K363">
        <v>107.7</v>
      </c>
      <c r="L363">
        <v>80.099999999999994</v>
      </c>
      <c r="M363">
        <v>92.2</v>
      </c>
      <c r="N363">
        <v>55</v>
      </c>
      <c r="O363">
        <v>31</v>
      </c>
      <c r="S363">
        <f t="shared" si="53"/>
        <v>1</v>
      </c>
      <c r="T363">
        <f t="shared" si="54"/>
        <v>0</v>
      </c>
      <c r="U363">
        <f t="shared" si="55"/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17.2</v>
      </c>
      <c r="AG363">
        <f t="shared" si="56"/>
        <v>0</v>
      </c>
      <c r="AH363">
        <f t="shared" si="57"/>
        <v>0</v>
      </c>
      <c r="AI363">
        <f t="shared" si="58"/>
        <v>0</v>
      </c>
      <c r="AJ363">
        <v>147.19999999999999</v>
      </c>
      <c r="AK363">
        <v>1008.7</v>
      </c>
      <c r="AL363">
        <v>0</v>
      </c>
      <c r="AM363">
        <v>6.2</v>
      </c>
      <c r="AN363">
        <v>0</v>
      </c>
      <c r="AO363">
        <v>0</v>
      </c>
      <c r="AP363">
        <v>0</v>
      </c>
      <c r="AQ363">
        <v>0</v>
      </c>
      <c r="AR363" t="s">
        <v>924</v>
      </c>
      <c r="AS363" t="s">
        <v>925</v>
      </c>
      <c r="AT363">
        <v>0.09</v>
      </c>
      <c r="AU363" t="s">
        <v>74</v>
      </c>
      <c r="AV363" t="s">
        <v>44</v>
      </c>
      <c r="AW363" t="s">
        <v>75</v>
      </c>
      <c r="AX363" s="1">
        <v>0.48888888888888887</v>
      </c>
      <c r="AY363" t="s">
        <v>1228</v>
      </c>
      <c r="AZ363">
        <v>496.00000000325957</v>
      </c>
      <c r="BA363">
        <v>1</v>
      </c>
      <c r="BB363">
        <v>0</v>
      </c>
      <c r="BC363">
        <v>2</v>
      </c>
      <c r="BD363">
        <v>0</v>
      </c>
      <c r="BE363">
        <f t="shared" si="59"/>
        <v>1</v>
      </c>
    </row>
    <row r="364" spans="1:57" x14ac:dyDescent="0.25">
      <c r="A364" t="s">
        <v>39</v>
      </c>
      <c r="B364" t="s">
        <v>1121</v>
      </c>
      <c r="C364">
        <v>78.900000000000006</v>
      </c>
      <c r="D364">
        <v>59.1</v>
      </c>
      <c r="G364">
        <f t="shared" si="50"/>
        <v>1</v>
      </c>
      <c r="H364">
        <f t="shared" si="51"/>
        <v>1</v>
      </c>
      <c r="I364">
        <f t="shared" si="52"/>
        <v>0</v>
      </c>
      <c r="J364">
        <v>69.8</v>
      </c>
      <c r="K364">
        <v>78.900000000000006</v>
      </c>
      <c r="L364">
        <v>59.1</v>
      </c>
      <c r="M364">
        <v>69.8</v>
      </c>
      <c r="N364">
        <v>40.1</v>
      </c>
      <c r="O364">
        <v>41.2</v>
      </c>
      <c r="S364">
        <f t="shared" si="53"/>
        <v>1</v>
      </c>
      <c r="T364">
        <f t="shared" si="54"/>
        <v>0</v>
      </c>
      <c r="U364">
        <f t="shared" si="55"/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32.200000000000003</v>
      </c>
      <c r="AG364">
        <f t="shared" si="56"/>
        <v>1</v>
      </c>
      <c r="AH364">
        <f t="shared" si="57"/>
        <v>1</v>
      </c>
      <c r="AI364">
        <f t="shared" si="58"/>
        <v>0</v>
      </c>
      <c r="AJ364">
        <v>179.3</v>
      </c>
      <c r="AK364">
        <v>1010.4</v>
      </c>
      <c r="AL364">
        <v>90</v>
      </c>
      <c r="AM364">
        <v>6.3</v>
      </c>
      <c r="AN364">
        <v>0</v>
      </c>
      <c r="AO364">
        <v>0</v>
      </c>
      <c r="AP364">
        <v>0</v>
      </c>
      <c r="AQ364">
        <v>0</v>
      </c>
      <c r="AR364" t="s">
        <v>1122</v>
      </c>
      <c r="AS364" t="s">
        <v>1123</v>
      </c>
      <c r="AT364">
        <v>0.88</v>
      </c>
      <c r="AU364" t="s">
        <v>43</v>
      </c>
      <c r="AV364" t="s">
        <v>44</v>
      </c>
      <c r="AW364" t="s">
        <v>419</v>
      </c>
      <c r="AX364" s="1">
        <v>0.625</v>
      </c>
      <c r="AY364" t="s">
        <v>1229</v>
      </c>
      <c r="AZ364">
        <v>120.0000000034925</v>
      </c>
      <c r="BA364">
        <v>0</v>
      </c>
      <c r="BB364">
        <v>0</v>
      </c>
      <c r="BC364">
        <v>0.5</v>
      </c>
      <c r="BD364">
        <v>0</v>
      </c>
      <c r="BE364">
        <f t="shared" si="59"/>
        <v>1</v>
      </c>
    </row>
    <row r="365" spans="1:57" x14ac:dyDescent="0.25">
      <c r="A365" t="s">
        <v>39</v>
      </c>
      <c r="B365" t="s">
        <v>1079</v>
      </c>
      <c r="C365">
        <v>86.1</v>
      </c>
      <c r="D365">
        <v>71.7</v>
      </c>
      <c r="G365">
        <f t="shared" si="50"/>
        <v>1</v>
      </c>
      <c r="H365">
        <f t="shared" si="51"/>
        <v>1</v>
      </c>
      <c r="I365">
        <f t="shared" si="52"/>
        <v>0</v>
      </c>
      <c r="J365">
        <v>80.7</v>
      </c>
      <c r="K365">
        <v>92.1</v>
      </c>
      <c r="L365">
        <v>71.7</v>
      </c>
      <c r="M365">
        <v>82.8</v>
      </c>
      <c r="N365">
        <v>66.7</v>
      </c>
      <c r="O365">
        <v>64</v>
      </c>
      <c r="S365">
        <f t="shared" si="53"/>
        <v>1</v>
      </c>
      <c r="T365">
        <f t="shared" si="54"/>
        <v>1</v>
      </c>
      <c r="U365">
        <f t="shared" si="55"/>
        <v>0</v>
      </c>
      <c r="V365">
        <v>0.20100000000000001</v>
      </c>
      <c r="W365">
        <v>100</v>
      </c>
      <c r="X365">
        <v>4.17</v>
      </c>
      <c r="Y365" t="s">
        <v>103</v>
      </c>
      <c r="Z365">
        <v>0</v>
      </c>
      <c r="AA365">
        <v>0</v>
      </c>
      <c r="AB365">
        <v>0</v>
      </c>
      <c r="AC365">
        <v>21.9</v>
      </c>
      <c r="AG365">
        <f t="shared" si="56"/>
        <v>1</v>
      </c>
      <c r="AH365">
        <f t="shared" si="57"/>
        <v>1</v>
      </c>
      <c r="AI365">
        <f t="shared" si="58"/>
        <v>0</v>
      </c>
      <c r="AJ365">
        <v>92</v>
      </c>
      <c r="AK365">
        <v>1010.9</v>
      </c>
      <c r="AL365">
        <v>65.2</v>
      </c>
      <c r="AM365">
        <v>6.8</v>
      </c>
      <c r="AN365">
        <v>0</v>
      </c>
      <c r="AO365">
        <v>0</v>
      </c>
      <c r="AP365">
        <v>0</v>
      </c>
      <c r="AQ365">
        <v>0</v>
      </c>
      <c r="AR365" t="s">
        <v>1080</v>
      </c>
      <c r="AS365" t="s">
        <v>1081</v>
      </c>
      <c r="AT365">
        <v>0.63</v>
      </c>
      <c r="AU365" t="s">
        <v>106</v>
      </c>
      <c r="AV365" t="s">
        <v>296</v>
      </c>
      <c r="AW365" t="s">
        <v>103</v>
      </c>
      <c r="AX365" s="1">
        <v>0.2388888888888889</v>
      </c>
      <c r="AY365" t="s">
        <v>1230</v>
      </c>
      <c r="AZ365">
        <v>975.99999999627471</v>
      </c>
      <c r="BA365">
        <v>1</v>
      </c>
      <c r="BB365">
        <v>0.5</v>
      </c>
      <c r="BC365">
        <v>0</v>
      </c>
      <c r="BD365">
        <v>0</v>
      </c>
      <c r="BE365">
        <f t="shared" si="59"/>
        <v>1</v>
      </c>
    </row>
    <row r="366" spans="1:57" x14ac:dyDescent="0.25">
      <c r="A366" t="s">
        <v>39</v>
      </c>
      <c r="B366" t="s">
        <v>1231</v>
      </c>
      <c r="C366">
        <v>71.7</v>
      </c>
      <c r="D366">
        <v>59.1</v>
      </c>
      <c r="G366">
        <f t="shared" si="50"/>
        <v>0</v>
      </c>
      <c r="H366">
        <f t="shared" si="51"/>
        <v>0</v>
      </c>
      <c r="I366">
        <f t="shared" si="52"/>
        <v>0</v>
      </c>
      <c r="J366">
        <v>67.400000000000006</v>
      </c>
      <c r="K366">
        <v>71.7</v>
      </c>
      <c r="L366">
        <v>59.1</v>
      </c>
      <c r="M366">
        <v>67.400000000000006</v>
      </c>
      <c r="N366">
        <v>54.9</v>
      </c>
      <c r="O366">
        <v>64.900000000000006</v>
      </c>
      <c r="S366">
        <f t="shared" si="53"/>
        <v>0</v>
      </c>
      <c r="T366">
        <f t="shared" si="54"/>
        <v>0</v>
      </c>
      <c r="U366">
        <f t="shared" si="55"/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23</v>
      </c>
      <c r="AG366">
        <f t="shared" si="56"/>
        <v>1</v>
      </c>
      <c r="AH366">
        <f t="shared" si="57"/>
        <v>1</v>
      </c>
      <c r="AI366">
        <f t="shared" si="58"/>
        <v>0</v>
      </c>
      <c r="AJ366">
        <v>297.5</v>
      </c>
      <c r="AK366">
        <v>1015.2</v>
      </c>
      <c r="AL366">
        <v>43.3</v>
      </c>
      <c r="AM366">
        <v>6.4</v>
      </c>
      <c r="AN366">
        <v>0</v>
      </c>
      <c r="AO366">
        <v>0</v>
      </c>
      <c r="AP366">
        <v>0</v>
      </c>
      <c r="AQ366">
        <v>0</v>
      </c>
      <c r="AR366" t="s">
        <v>1232</v>
      </c>
      <c r="AS366" t="s">
        <v>1233</v>
      </c>
      <c r="AT366">
        <v>0.17</v>
      </c>
      <c r="AU366" t="s">
        <v>43</v>
      </c>
      <c r="AV366" t="s">
        <v>44</v>
      </c>
      <c r="AW366" t="s">
        <v>45</v>
      </c>
      <c r="AX366" s="1">
        <v>0.5444444444444444</v>
      </c>
      <c r="AY366" t="s">
        <v>1234</v>
      </c>
      <c r="AZ366">
        <v>670.99999999743886</v>
      </c>
      <c r="BA366">
        <v>1</v>
      </c>
      <c r="BB366">
        <v>70</v>
      </c>
      <c r="BC366">
        <v>0</v>
      </c>
      <c r="BD366">
        <v>0</v>
      </c>
      <c r="BE366">
        <f t="shared" si="59"/>
        <v>0</v>
      </c>
    </row>
    <row r="367" spans="1:57" x14ac:dyDescent="0.25">
      <c r="A367" t="s">
        <v>39</v>
      </c>
      <c r="B367" t="s">
        <v>1235</v>
      </c>
      <c r="C367">
        <v>69.900000000000006</v>
      </c>
      <c r="D367">
        <v>60.9</v>
      </c>
      <c r="G367">
        <f t="shared" si="50"/>
        <v>1</v>
      </c>
      <c r="H367">
        <f t="shared" si="51"/>
        <v>0</v>
      </c>
      <c r="I367">
        <f t="shared" si="52"/>
        <v>1</v>
      </c>
      <c r="J367">
        <v>66.5</v>
      </c>
      <c r="K367">
        <v>69.900000000000006</v>
      </c>
      <c r="L367">
        <v>60.9</v>
      </c>
      <c r="M367">
        <v>66.5</v>
      </c>
      <c r="N367">
        <v>52.9</v>
      </c>
      <c r="O367">
        <v>61.7</v>
      </c>
      <c r="S367">
        <f t="shared" si="53"/>
        <v>1</v>
      </c>
      <c r="T367">
        <f t="shared" si="54"/>
        <v>0</v>
      </c>
      <c r="U367">
        <f t="shared" si="55"/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21.9</v>
      </c>
      <c r="AG367">
        <f t="shared" si="56"/>
        <v>1</v>
      </c>
      <c r="AH367">
        <f t="shared" si="57"/>
        <v>1</v>
      </c>
      <c r="AI367">
        <f t="shared" si="58"/>
        <v>0</v>
      </c>
      <c r="AJ367">
        <v>299.8</v>
      </c>
      <c r="AK367">
        <v>1016.4</v>
      </c>
      <c r="AL367">
        <v>0</v>
      </c>
      <c r="AM367">
        <v>6.2</v>
      </c>
      <c r="AN367">
        <v>0</v>
      </c>
      <c r="AO367">
        <v>0</v>
      </c>
      <c r="AP367">
        <v>0</v>
      </c>
      <c r="AQ367">
        <v>0</v>
      </c>
      <c r="AR367" t="s">
        <v>1236</v>
      </c>
      <c r="AS367" t="s">
        <v>1237</v>
      </c>
      <c r="AT367">
        <v>0.2</v>
      </c>
      <c r="AU367" t="s">
        <v>74</v>
      </c>
      <c r="AV367" t="s">
        <v>44</v>
      </c>
      <c r="AW367" t="s">
        <v>75</v>
      </c>
      <c r="AX367" s="1">
        <v>0.25</v>
      </c>
      <c r="AY367" t="s">
        <v>1238</v>
      </c>
      <c r="AZ367">
        <v>5140.0000000011642</v>
      </c>
      <c r="BA367">
        <v>1</v>
      </c>
      <c r="BB367">
        <v>50</v>
      </c>
      <c r="BC367">
        <v>0</v>
      </c>
      <c r="BD367">
        <v>0</v>
      </c>
      <c r="BE367">
        <f t="shared" si="59"/>
        <v>1</v>
      </c>
    </row>
    <row r="368" spans="1:57" x14ac:dyDescent="0.25">
      <c r="A368" t="s">
        <v>39</v>
      </c>
      <c r="B368" t="s">
        <v>1239</v>
      </c>
      <c r="C368">
        <v>86.1</v>
      </c>
      <c r="D368">
        <v>73.5</v>
      </c>
      <c r="G368">
        <f t="shared" si="50"/>
        <v>1</v>
      </c>
      <c r="H368">
        <f t="shared" si="51"/>
        <v>1</v>
      </c>
      <c r="I368">
        <f t="shared" si="52"/>
        <v>0</v>
      </c>
      <c r="J368">
        <v>80.5</v>
      </c>
      <c r="K368">
        <v>88.5</v>
      </c>
      <c r="L368">
        <v>73.5</v>
      </c>
      <c r="M368">
        <v>81.900000000000006</v>
      </c>
      <c r="N368">
        <v>66.2</v>
      </c>
      <c r="O368">
        <v>62.4</v>
      </c>
      <c r="S368">
        <f t="shared" si="53"/>
        <v>1</v>
      </c>
      <c r="T368">
        <f t="shared" si="54"/>
        <v>1</v>
      </c>
      <c r="U368">
        <f t="shared" si="55"/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21.9</v>
      </c>
      <c r="AG368">
        <f t="shared" si="56"/>
        <v>1</v>
      </c>
      <c r="AH368">
        <f t="shared" si="57"/>
        <v>1</v>
      </c>
      <c r="AI368">
        <f t="shared" si="58"/>
        <v>0</v>
      </c>
      <c r="AJ368">
        <v>306.89999999999998</v>
      </c>
      <c r="AK368">
        <v>1008.8</v>
      </c>
      <c r="AL368">
        <v>30</v>
      </c>
      <c r="AM368">
        <v>6.2</v>
      </c>
      <c r="AN368">
        <v>0</v>
      </c>
      <c r="AO368">
        <v>0</v>
      </c>
      <c r="AP368">
        <v>0</v>
      </c>
      <c r="AQ368">
        <v>0</v>
      </c>
      <c r="AR368" t="s">
        <v>1240</v>
      </c>
      <c r="AS368" t="s">
        <v>1241</v>
      </c>
      <c r="AT368">
        <v>0.91</v>
      </c>
      <c r="AU368" t="s">
        <v>43</v>
      </c>
      <c r="AV368" t="s">
        <v>44</v>
      </c>
      <c r="AW368" t="s">
        <v>45</v>
      </c>
      <c r="AX368" s="1">
        <v>0.4861111111111111</v>
      </c>
      <c r="AY368" t="s">
        <v>1242</v>
      </c>
      <c r="AZ368">
        <v>1400.000000005821</v>
      </c>
      <c r="BA368">
        <v>1</v>
      </c>
      <c r="BB368">
        <v>0.5</v>
      </c>
      <c r="BC368">
        <v>0</v>
      </c>
      <c r="BD368">
        <v>0</v>
      </c>
      <c r="BE368">
        <f t="shared" si="59"/>
        <v>1</v>
      </c>
    </row>
    <row r="369" spans="1:57" x14ac:dyDescent="0.25">
      <c r="A369" t="s">
        <v>39</v>
      </c>
      <c r="B369" t="s">
        <v>1243</v>
      </c>
      <c r="C369">
        <v>82.5</v>
      </c>
      <c r="D369">
        <v>69.900000000000006</v>
      </c>
      <c r="G369">
        <f t="shared" si="50"/>
        <v>1</v>
      </c>
      <c r="H369">
        <f t="shared" si="51"/>
        <v>1</v>
      </c>
      <c r="I369">
        <f t="shared" si="52"/>
        <v>0</v>
      </c>
      <c r="J369">
        <v>75.599999999999994</v>
      </c>
      <c r="K369">
        <v>83.4</v>
      </c>
      <c r="L369">
        <v>69.900000000000006</v>
      </c>
      <c r="M369">
        <v>75.900000000000006</v>
      </c>
      <c r="N369">
        <v>62.6</v>
      </c>
      <c r="O369">
        <v>65</v>
      </c>
      <c r="S369">
        <f t="shared" si="53"/>
        <v>0</v>
      </c>
      <c r="T369">
        <f t="shared" si="54"/>
        <v>0</v>
      </c>
      <c r="U369">
        <f t="shared" si="55"/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25.3</v>
      </c>
      <c r="AG369">
        <f t="shared" si="56"/>
        <v>1</v>
      </c>
      <c r="AH369">
        <f t="shared" si="57"/>
        <v>1</v>
      </c>
      <c r="AI369">
        <f t="shared" si="58"/>
        <v>0</v>
      </c>
      <c r="AJ369">
        <v>276.10000000000002</v>
      </c>
      <c r="AK369">
        <v>1015</v>
      </c>
      <c r="AL369">
        <v>0</v>
      </c>
      <c r="AM369">
        <v>6.2</v>
      </c>
      <c r="AN369">
        <v>0</v>
      </c>
      <c r="AO369">
        <v>0</v>
      </c>
      <c r="AP369">
        <v>0</v>
      </c>
      <c r="AQ369">
        <v>0</v>
      </c>
      <c r="AR369" t="s">
        <v>1244</v>
      </c>
      <c r="AS369" t="s">
        <v>1245</v>
      </c>
      <c r="AT369">
        <v>0.4</v>
      </c>
      <c r="AU369" t="s">
        <v>74</v>
      </c>
      <c r="AV369" t="s">
        <v>44</v>
      </c>
      <c r="AW369" t="s">
        <v>75</v>
      </c>
      <c r="AX369" s="1">
        <v>0.65625</v>
      </c>
      <c r="AY369" t="s">
        <v>1246</v>
      </c>
      <c r="AZ369">
        <v>464.00000000372529</v>
      </c>
      <c r="BA369">
        <v>1</v>
      </c>
      <c r="BB369">
        <v>0.5</v>
      </c>
      <c r="BC369">
        <v>0</v>
      </c>
      <c r="BD369">
        <v>0</v>
      </c>
      <c r="BE369">
        <f t="shared" si="59"/>
        <v>1</v>
      </c>
    </row>
    <row r="370" spans="1:57" x14ac:dyDescent="0.25">
      <c r="A370" t="s">
        <v>39</v>
      </c>
      <c r="B370" t="s">
        <v>1247</v>
      </c>
      <c r="C370">
        <v>86.1</v>
      </c>
      <c r="D370">
        <v>78.900000000000006</v>
      </c>
      <c r="G370">
        <f t="shared" si="50"/>
        <v>1</v>
      </c>
      <c r="H370">
        <f t="shared" si="51"/>
        <v>1</v>
      </c>
      <c r="I370">
        <f t="shared" si="52"/>
        <v>0</v>
      </c>
      <c r="J370">
        <v>82.4</v>
      </c>
      <c r="K370">
        <v>87.6</v>
      </c>
      <c r="L370">
        <v>78.900000000000006</v>
      </c>
      <c r="M370">
        <v>84.1</v>
      </c>
      <c r="N370">
        <v>64.900000000000006</v>
      </c>
      <c r="O370">
        <v>55.8</v>
      </c>
      <c r="S370">
        <f t="shared" si="53"/>
        <v>1</v>
      </c>
      <c r="T370">
        <f t="shared" si="54"/>
        <v>0</v>
      </c>
      <c r="U370">
        <f t="shared" si="55"/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21.9</v>
      </c>
      <c r="AG370">
        <f t="shared" si="56"/>
        <v>1</v>
      </c>
      <c r="AH370">
        <f t="shared" si="57"/>
        <v>1</v>
      </c>
      <c r="AI370">
        <f t="shared" si="58"/>
        <v>0</v>
      </c>
      <c r="AJ370">
        <v>292.8</v>
      </c>
      <c r="AK370">
        <v>1011.5</v>
      </c>
      <c r="AL370">
        <v>30</v>
      </c>
      <c r="AM370">
        <v>6.6</v>
      </c>
      <c r="AN370">
        <v>0</v>
      </c>
      <c r="AO370">
        <v>0</v>
      </c>
      <c r="AP370">
        <v>0</v>
      </c>
      <c r="AQ370">
        <v>0</v>
      </c>
      <c r="AR370" t="s">
        <v>1248</v>
      </c>
      <c r="AS370" t="s">
        <v>1249</v>
      </c>
      <c r="AT370">
        <v>0.25</v>
      </c>
      <c r="AU370" t="s">
        <v>43</v>
      </c>
      <c r="AV370" t="s">
        <v>44</v>
      </c>
      <c r="AW370" t="s">
        <v>45</v>
      </c>
      <c r="AX370" s="1">
        <v>0.90972222222222221</v>
      </c>
      <c r="AY370" t="s">
        <v>1250</v>
      </c>
      <c r="AZ370">
        <v>520.00000000814907</v>
      </c>
      <c r="BA370">
        <v>1</v>
      </c>
      <c r="BB370">
        <v>0</v>
      </c>
      <c r="BC370">
        <v>0</v>
      </c>
      <c r="BD370">
        <v>1</v>
      </c>
      <c r="BE370">
        <f t="shared" si="59"/>
        <v>1</v>
      </c>
    </row>
    <row r="371" spans="1:57" x14ac:dyDescent="0.25">
      <c r="A371" t="s">
        <v>39</v>
      </c>
      <c r="B371" t="s">
        <v>1251</v>
      </c>
      <c r="C371">
        <v>91.5</v>
      </c>
      <c r="D371">
        <v>78.900000000000006</v>
      </c>
      <c r="G371">
        <f t="shared" si="50"/>
        <v>1</v>
      </c>
      <c r="H371">
        <f t="shared" si="51"/>
        <v>1</v>
      </c>
      <c r="I371">
        <f t="shared" si="52"/>
        <v>0</v>
      </c>
      <c r="J371">
        <v>84.9</v>
      </c>
      <c r="K371">
        <v>88</v>
      </c>
      <c r="L371">
        <v>78.900000000000006</v>
      </c>
      <c r="M371">
        <v>82.6</v>
      </c>
      <c r="N371">
        <v>44.2</v>
      </c>
      <c r="O371">
        <v>24.2</v>
      </c>
      <c r="S371">
        <f t="shared" si="53"/>
        <v>1</v>
      </c>
      <c r="T371">
        <f t="shared" si="54"/>
        <v>0</v>
      </c>
      <c r="U371">
        <f t="shared" si="55"/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28.9</v>
      </c>
      <c r="AG371">
        <f t="shared" si="56"/>
        <v>1</v>
      </c>
      <c r="AH371">
        <f t="shared" si="57"/>
        <v>1</v>
      </c>
      <c r="AI371">
        <f t="shared" si="58"/>
        <v>0</v>
      </c>
      <c r="AJ371">
        <v>170.6</v>
      </c>
      <c r="AK371">
        <v>1014.1</v>
      </c>
      <c r="AL371">
        <v>30</v>
      </c>
      <c r="AM371">
        <v>6.2</v>
      </c>
      <c r="AN371">
        <v>0</v>
      </c>
      <c r="AO371">
        <v>0</v>
      </c>
      <c r="AP371">
        <v>0</v>
      </c>
      <c r="AQ371">
        <v>0</v>
      </c>
      <c r="AR371" t="s">
        <v>1252</v>
      </c>
      <c r="AS371" t="s">
        <v>1253</v>
      </c>
      <c r="AT371">
        <v>0.93</v>
      </c>
      <c r="AU371" t="s">
        <v>43</v>
      </c>
      <c r="AV371" t="s">
        <v>44</v>
      </c>
      <c r="AW371" t="s">
        <v>45</v>
      </c>
      <c r="AX371" s="1">
        <v>0.40555555555555561</v>
      </c>
      <c r="AY371" t="s">
        <v>1254</v>
      </c>
      <c r="AZ371">
        <v>91.000000003259629</v>
      </c>
      <c r="BA371">
        <v>0</v>
      </c>
      <c r="BB371">
        <v>4</v>
      </c>
      <c r="BC371">
        <v>0</v>
      </c>
      <c r="BD371">
        <v>0</v>
      </c>
      <c r="BE371">
        <f t="shared" si="59"/>
        <v>1</v>
      </c>
    </row>
    <row r="372" spans="1:57" x14ac:dyDescent="0.25">
      <c r="A372" t="s">
        <v>39</v>
      </c>
      <c r="B372" t="s">
        <v>1243</v>
      </c>
      <c r="C372">
        <v>82.5</v>
      </c>
      <c r="D372">
        <v>69.900000000000006</v>
      </c>
      <c r="G372">
        <f t="shared" si="50"/>
        <v>1</v>
      </c>
      <c r="H372">
        <f t="shared" si="51"/>
        <v>1</v>
      </c>
      <c r="I372">
        <f t="shared" si="52"/>
        <v>0</v>
      </c>
      <c r="J372">
        <v>75.599999999999994</v>
      </c>
      <c r="K372">
        <v>83.4</v>
      </c>
      <c r="L372">
        <v>69.900000000000006</v>
      </c>
      <c r="M372">
        <v>75.900000000000006</v>
      </c>
      <c r="N372">
        <v>62.6</v>
      </c>
      <c r="O372">
        <v>65</v>
      </c>
      <c r="S372">
        <f t="shared" si="53"/>
        <v>0</v>
      </c>
      <c r="T372">
        <f t="shared" si="54"/>
        <v>0</v>
      </c>
      <c r="U372">
        <f t="shared" si="55"/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25.3</v>
      </c>
      <c r="AG372">
        <f t="shared" si="56"/>
        <v>1</v>
      </c>
      <c r="AH372">
        <f t="shared" si="57"/>
        <v>1</v>
      </c>
      <c r="AI372">
        <f t="shared" si="58"/>
        <v>0</v>
      </c>
      <c r="AJ372">
        <v>276.10000000000002</v>
      </c>
      <c r="AK372">
        <v>1015</v>
      </c>
      <c r="AL372">
        <v>0</v>
      </c>
      <c r="AM372">
        <v>6.2</v>
      </c>
      <c r="AN372">
        <v>0</v>
      </c>
      <c r="AO372">
        <v>0</v>
      </c>
      <c r="AP372">
        <v>0</v>
      </c>
      <c r="AQ372">
        <v>0</v>
      </c>
      <c r="AR372" t="s">
        <v>1244</v>
      </c>
      <c r="AS372" t="s">
        <v>1245</v>
      </c>
      <c r="AT372">
        <v>0.4</v>
      </c>
      <c r="AU372" t="s">
        <v>74</v>
      </c>
      <c r="AV372" t="s">
        <v>44</v>
      </c>
      <c r="AW372" t="s">
        <v>75</v>
      </c>
      <c r="AX372" s="1">
        <v>0.5756944444444444</v>
      </c>
      <c r="AY372" t="s">
        <v>1255</v>
      </c>
      <c r="AZ372">
        <v>1791.000000002095</v>
      </c>
      <c r="BA372">
        <v>1</v>
      </c>
      <c r="BB372">
        <v>15</v>
      </c>
      <c r="BC372">
        <v>0</v>
      </c>
      <c r="BD372">
        <v>0</v>
      </c>
      <c r="BE372">
        <f t="shared" si="59"/>
        <v>1</v>
      </c>
    </row>
    <row r="373" spans="1:57" x14ac:dyDescent="0.25">
      <c r="A373" t="s">
        <v>39</v>
      </c>
      <c r="B373" t="s">
        <v>1256</v>
      </c>
      <c r="C373">
        <v>78.900000000000006</v>
      </c>
      <c r="D373">
        <v>60.9</v>
      </c>
      <c r="G373">
        <f t="shared" si="50"/>
        <v>0</v>
      </c>
      <c r="H373">
        <f t="shared" si="51"/>
        <v>0</v>
      </c>
      <c r="I373">
        <f t="shared" si="52"/>
        <v>0</v>
      </c>
      <c r="J373">
        <v>71</v>
      </c>
      <c r="K373">
        <v>78.900000000000006</v>
      </c>
      <c r="L373">
        <v>60.9</v>
      </c>
      <c r="M373">
        <v>71</v>
      </c>
      <c r="N373">
        <v>59.7</v>
      </c>
      <c r="O373">
        <v>68.2</v>
      </c>
      <c r="S373">
        <f t="shared" si="53"/>
        <v>0</v>
      </c>
      <c r="T373">
        <f t="shared" si="54"/>
        <v>0</v>
      </c>
      <c r="U373">
        <f t="shared" si="55"/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13.9</v>
      </c>
      <c r="AG373">
        <f t="shared" si="56"/>
        <v>1</v>
      </c>
      <c r="AH373">
        <f t="shared" si="57"/>
        <v>0</v>
      </c>
      <c r="AI373">
        <f t="shared" si="58"/>
        <v>1</v>
      </c>
      <c r="AJ373">
        <v>292.89999999999998</v>
      </c>
      <c r="AK373">
        <v>1015.3</v>
      </c>
      <c r="AL373">
        <v>30</v>
      </c>
      <c r="AM373">
        <v>6.6</v>
      </c>
      <c r="AN373">
        <v>0</v>
      </c>
      <c r="AO373">
        <v>0</v>
      </c>
      <c r="AP373">
        <v>0</v>
      </c>
      <c r="AQ373">
        <v>0</v>
      </c>
      <c r="AR373" t="s">
        <v>1257</v>
      </c>
      <c r="AS373" t="s">
        <v>1258</v>
      </c>
      <c r="AT373">
        <v>0.94</v>
      </c>
      <c r="AU373" t="s">
        <v>43</v>
      </c>
      <c r="AV373" t="s">
        <v>44</v>
      </c>
      <c r="AW373" t="s">
        <v>45</v>
      </c>
      <c r="AX373" s="1">
        <v>0.54583333333333328</v>
      </c>
      <c r="AY373" t="s">
        <v>1259</v>
      </c>
      <c r="AZ373">
        <v>324.0000000083819</v>
      </c>
      <c r="BA373">
        <v>0</v>
      </c>
      <c r="BB373">
        <v>0</v>
      </c>
      <c r="BC373">
        <v>0</v>
      </c>
      <c r="BD373">
        <v>10</v>
      </c>
      <c r="BE373">
        <f t="shared" si="59"/>
        <v>0</v>
      </c>
    </row>
    <row r="374" spans="1:57" x14ac:dyDescent="0.25">
      <c r="A374" t="s">
        <v>39</v>
      </c>
      <c r="B374" t="s">
        <v>1260</v>
      </c>
      <c r="C374">
        <v>73.5</v>
      </c>
      <c r="D374">
        <v>69.900000000000006</v>
      </c>
      <c r="G374">
        <f t="shared" si="50"/>
        <v>1</v>
      </c>
      <c r="H374">
        <f t="shared" si="51"/>
        <v>0</v>
      </c>
      <c r="I374">
        <f t="shared" si="52"/>
        <v>1</v>
      </c>
      <c r="J374">
        <v>71.7</v>
      </c>
      <c r="K374">
        <v>73.5</v>
      </c>
      <c r="L374">
        <v>69.900000000000006</v>
      </c>
      <c r="M374">
        <v>71.7</v>
      </c>
      <c r="N374">
        <v>50</v>
      </c>
      <c r="O374">
        <v>46.8</v>
      </c>
      <c r="S374">
        <f t="shared" si="53"/>
        <v>1</v>
      </c>
      <c r="T374">
        <f t="shared" si="54"/>
        <v>0</v>
      </c>
      <c r="U374">
        <f t="shared" si="55"/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28.9</v>
      </c>
      <c r="AG374">
        <f t="shared" si="56"/>
        <v>1</v>
      </c>
      <c r="AH374">
        <f t="shared" si="57"/>
        <v>1</v>
      </c>
      <c r="AI374">
        <f t="shared" si="58"/>
        <v>0</v>
      </c>
      <c r="AJ374">
        <v>330.4</v>
      </c>
      <c r="AK374">
        <v>1017.8</v>
      </c>
      <c r="AL374">
        <v>55.8</v>
      </c>
      <c r="AM374">
        <v>6.8</v>
      </c>
      <c r="AN374">
        <v>0</v>
      </c>
      <c r="AO374">
        <v>0</v>
      </c>
      <c r="AP374">
        <v>0</v>
      </c>
      <c r="AQ374">
        <v>0</v>
      </c>
      <c r="AR374" t="s">
        <v>1261</v>
      </c>
      <c r="AS374" t="s">
        <v>1262</v>
      </c>
      <c r="AT374">
        <v>0.31</v>
      </c>
      <c r="AU374" t="s">
        <v>43</v>
      </c>
      <c r="AV374" t="s">
        <v>44</v>
      </c>
      <c r="AW374" t="s">
        <v>45</v>
      </c>
      <c r="AX374" s="1">
        <v>0.6875</v>
      </c>
      <c r="AY374" t="s">
        <v>1263</v>
      </c>
      <c r="AZ374">
        <v>720</v>
      </c>
      <c r="BA374">
        <v>1</v>
      </c>
      <c r="BB374">
        <v>10</v>
      </c>
      <c r="BC374">
        <v>0</v>
      </c>
      <c r="BD374">
        <v>0</v>
      </c>
      <c r="BE374">
        <f t="shared" si="59"/>
        <v>1</v>
      </c>
    </row>
    <row r="375" spans="1:57" x14ac:dyDescent="0.25">
      <c r="A375" t="s">
        <v>39</v>
      </c>
      <c r="B375" t="s">
        <v>1264</v>
      </c>
      <c r="C375">
        <v>80.7</v>
      </c>
      <c r="D375">
        <v>66.3</v>
      </c>
      <c r="G375">
        <f t="shared" si="50"/>
        <v>0</v>
      </c>
      <c r="H375">
        <f t="shared" si="51"/>
        <v>0</v>
      </c>
      <c r="I375">
        <f t="shared" si="52"/>
        <v>0</v>
      </c>
      <c r="J375">
        <v>74.3</v>
      </c>
      <c r="K375">
        <v>81.5</v>
      </c>
      <c r="L375">
        <v>66.3</v>
      </c>
      <c r="M375">
        <v>74.400000000000006</v>
      </c>
      <c r="N375">
        <v>59.3</v>
      </c>
      <c r="O375">
        <v>60.2</v>
      </c>
      <c r="S375">
        <f t="shared" si="53"/>
        <v>0</v>
      </c>
      <c r="T375">
        <f t="shared" si="54"/>
        <v>0</v>
      </c>
      <c r="U375">
        <f t="shared" si="55"/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17.2</v>
      </c>
      <c r="AG375">
        <f t="shared" si="56"/>
        <v>0</v>
      </c>
      <c r="AH375">
        <f t="shared" si="57"/>
        <v>0</v>
      </c>
      <c r="AI375">
        <f t="shared" si="58"/>
        <v>0</v>
      </c>
      <c r="AJ375">
        <v>294.7</v>
      </c>
      <c r="AK375">
        <v>1008.6</v>
      </c>
      <c r="AL375">
        <v>30</v>
      </c>
      <c r="AM375">
        <v>6.6</v>
      </c>
      <c r="AN375">
        <v>0</v>
      </c>
      <c r="AO375">
        <v>0</v>
      </c>
      <c r="AP375">
        <v>0</v>
      </c>
      <c r="AQ375">
        <v>0</v>
      </c>
      <c r="AR375" t="s">
        <v>1265</v>
      </c>
      <c r="AS375" t="s">
        <v>1266</v>
      </c>
      <c r="AT375">
        <v>0.75</v>
      </c>
      <c r="AU375" t="s">
        <v>43</v>
      </c>
      <c r="AV375" t="s">
        <v>44</v>
      </c>
      <c r="AW375" t="s">
        <v>45</v>
      </c>
      <c r="AX375" s="1">
        <v>0.63541666666666663</v>
      </c>
      <c r="AY375" t="s">
        <v>1267</v>
      </c>
      <c r="AZ375">
        <v>10.00000000116415</v>
      </c>
      <c r="BA375">
        <v>0</v>
      </c>
      <c r="BB375">
        <v>0.2</v>
      </c>
      <c r="BC375">
        <v>0</v>
      </c>
      <c r="BD375">
        <v>0</v>
      </c>
      <c r="BE375">
        <f t="shared" si="59"/>
        <v>0</v>
      </c>
    </row>
    <row r="376" spans="1:57" x14ac:dyDescent="0.25">
      <c r="A376" t="s">
        <v>39</v>
      </c>
      <c r="B376" t="s">
        <v>1268</v>
      </c>
      <c r="C376">
        <v>78.900000000000006</v>
      </c>
      <c r="D376">
        <v>66.3</v>
      </c>
      <c r="G376">
        <f t="shared" si="50"/>
        <v>0</v>
      </c>
      <c r="H376">
        <f t="shared" si="51"/>
        <v>0</v>
      </c>
      <c r="I376">
        <f t="shared" si="52"/>
        <v>0</v>
      </c>
      <c r="J376">
        <v>73.400000000000006</v>
      </c>
      <c r="K376">
        <v>78.900000000000006</v>
      </c>
      <c r="L376">
        <v>66.3</v>
      </c>
      <c r="M376">
        <v>73.400000000000006</v>
      </c>
      <c r="N376">
        <v>52.7</v>
      </c>
      <c r="O376">
        <v>48.6</v>
      </c>
      <c r="S376">
        <f t="shared" si="53"/>
        <v>1</v>
      </c>
      <c r="T376">
        <f t="shared" si="54"/>
        <v>0</v>
      </c>
      <c r="U376">
        <f t="shared" si="55"/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11.4</v>
      </c>
      <c r="AG376">
        <f t="shared" si="56"/>
        <v>1</v>
      </c>
      <c r="AH376">
        <f t="shared" si="57"/>
        <v>0</v>
      </c>
      <c r="AI376">
        <f t="shared" si="58"/>
        <v>1</v>
      </c>
      <c r="AJ376">
        <v>330.6</v>
      </c>
      <c r="AK376">
        <v>1018.8</v>
      </c>
      <c r="AL376">
        <v>30</v>
      </c>
      <c r="AM376">
        <v>6.4</v>
      </c>
      <c r="AN376">
        <v>0</v>
      </c>
      <c r="AO376">
        <v>0</v>
      </c>
      <c r="AP376">
        <v>0</v>
      </c>
      <c r="AQ376">
        <v>0</v>
      </c>
      <c r="AR376" t="s">
        <v>1269</v>
      </c>
      <c r="AS376" t="s">
        <v>1270</v>
      </c>
      <c r="AT376">
        <v>0.38</v>
      </c>
      <c r="AU376" t="s">
        <v>43</v>
      </c>
      <c r="AV376" t="s">
        <v>44</v>
      </c>
      <c r="AW376" t="s">
        <v>45</v>
      </c>
      <c r="AX376" s="1">
        <v>0.79097222222222219</v>
      </c>
      <c r="AY376" t="s">
        <v>1271</v>
      </c>
      <c r="AZ376">
        <v>390.99999999627471</v>
      </c>
      <c r="BA376">
        <v>1</v>
      </c>
      <c r="BB376">
        <v>5</v>
      </c>
      <c r="BC376">
        <v>0</v>
      </c>
      <c r="BD376">
        <v>0</v>
      </c>
      <c r="BE376">
        <f t="shared" si="59"/>
        <v>0</v>
      </c>
    </row>
    <row r="377" spans="1:57" x14ac:dyDescent="0.25">
      <c r="A377" t="s">
        <v>39</v>
      </c>
      <c r="B377" t="s">
        <v>1272</v>
      </c>
      <c r="C377">
        <v>77.099999999999994</v>
      </c>
      <c r="D377">
        <v>68.099999999999994</v>
      </c>
      <c r="G377">
        <f t="shared" si="50"/>
        <v>1</v>
      </c>
      <c r="H377">
        <f t="shared" si="51"/>
        <v>0</v>
      </c>
      <c r="I377">
        <f t="shared" si="52"/>
        <v>1</v>
      </c>
      <c r="J377">
        <v>73</v>
      </c>
      <c r="K377">
        <v>77.099999999999994</v>
      </c>
      <c r="L377">
        <v>68.099999999999994</v>
      </c>
      <c r="M377">
        <v>73</v>
      </c>
      <c r="N377">
        <v>58.3</v>
      </c>
      <c r="O377">
        <v>60.6</v>
      </c>
      <c r="S377">
        <f t="shared" si="53"/>
        <v>1</v>
      </c>
      <c r="T377">
        <f t="shared" si="54"/>
        <v>0</v>
      </c>
      <c r="U377">
        <f t="shared" si="55"/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13.9</v>
      </c>
      <c r="AG377">
        <f t="shared" si="56"/>
        <v>1</v>
      </c>
      <c r="AH377">
        <f t="shared" si="57"/>
        <v>0</v>
      </c>
      <c r="AI377">
        <f t="shared" si="58"/>
        <v>1</v>
      </c>
      <c r="AJ377">
        <v>24.6</v>
      </c>
      <c r="AK377">
        <v>1016.8</v>
      </c>
      <c r="AL377">
        <v>43.9</v>
      </c>
      <c r="AM377">
        <v>6.8</v>
      </c>
      <c r="AN377">
        <v>0</v>
      </c>
      <c r="AO377">
        <v>0</v>
      </c>
      <c r="AP377">
        <v>0</v>
      </c>
      <c r="AQ377">
        <v>0</v>
      </c>
      <c r="AR377" t="s">
        <v>1273</v>
      </c>
      <c r="AS377" t="s">
        <v>1274</v>
      </c>
      <c r="AT377">
        <v>0.68</v>
      </c>
      <c r="AU377" t="s">
        <v>43</v>
      </c>
      <c r="AV377" t="s">
        <v>44</v>
      </c>
      <c r="AW377" t="s">
        <v>45</v>
      </c>
      <c r="AX377" s="1">
        <v>0.48194444444444451</v>
      </c>
      <c r="AY377" t="s">
        <v>1275</v>
      </c>
      <c r="AZ377">
        <v>105.9999999997672</v>
      </c>
      <c r="BA377">
        <v>0</v>
      </c>
      <c r="BB377">
        <v>0.5</v>
      </c>
      <c r="BC377">
        <v>0</v>
      </c>
      <c r="BD377">
        <v>0</v>
      </c>
      <c r="BE377">
        <f t="shared" si="59"/>
        <v>0</v>
      </c>
    </row>
    <row r="378" spans="1:57" x14ac:dyDescent="0.25">
      <c r="A378" t="s">
        <v>39</v>
      </c>
      <c r="B378" t="s">
        <v>1276</v>
      </c>
      <c r="C378">
        <v>73.5</v>
      </c>
      <c r="D378">
        <v>68.099999999999994</v>
      </c>
      <c r="G378">
        <f t="shared" si="50"/>
        <v>0</v>
      </c>
      <c r="H378">
        <f t="shared" si="51"/>
        <v>0</v>
      </c>
      <c r="I378">
        <f t="shared" si="52"/>
        <v>0</v>
      </c>
      <c r="J378">
        <v>70.7</v>
      </c>
      <c r="K378">
        <v>73.5</v>
      </c>
      <c r="L378">
        <v>68.099999999999994</v>
      </c>
      <c r="M378">
        <v>70.7</v>
      </c>
      <c r="N378">
        <v>52.2</v>
      </c>
      <c r="O378">
        <v>52</v>
      </c>
      <c r="S378">
        <f t="shared" si="53"/>
        <v>1</v>
      </c>
      <c r="T378">
        <f t="shared" si="54"/>
        <v>0</v>
      </c>
      <c r="U378">
        <f t="shared" si="55"/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16.100000000000001</v>
      </c>
      <c r="AG378">
        <f t="shared" si="56"/>
        <v>0</v>
      </c>
      <c r="AH378">
        <f t="shared" si="57"/>
        <v>0</v>
      </c>
      <c r="AI378">
        <f t="shared" si="58"/>
        <v>0</v>
      </c>
      <c r="AJ378">
        <v>318.10000000000002</v>
      </c>
      <c r="AK378">
        <v>1016.3</v>
      </c>
      <c r="AL378">
        <v>43</v>
      </c>
      <c r="AM378">
        <v>6.8</v>
      </c>
      <c r="AN378">
        <v>0</v>
      </c>
      <c r="AO378">
        <v>0</v>
      </c>
      <c r="AP378">
        <v>0</v>
      </c>
      <c r="AQ378">
        <v>0</v>
      </c>
      <c r="AR378" t="s">
        <v>1277</v>
      </c>
      <c r="AS378" t="s">
        <v>1278</v>
      </c>
      <c r="AT378">
        <v>0.6</v>
      </c>
      <c r="AU378" t="s">
        <v>43</v>
      </c>
      <c r="AV378" t="s">
        <v>44</v>
      </c>
      <c r="AW378" t="s">
        <v>45</v>
      </c>
      <c r="AX378" s="1">
        <v>0.88541666666666663</v>
      </c>
      <c r="AY378" t="s">
        <v>1279</v>
      </c>
      <c r="AZ378">
        <v>214.99999999883579</v>
      </c>
      <c r="BA378">
        <v>0</v>
      </c>
      <c r="BB378">
        <v>0.5</v>
      </c>
      <c r="BC378">
        <v>0</v>
      </c>
      <c r="BD378">
        <v>0</v>
      </c>
      <c r="BE378">
        <f t="shared" si="59"/>
        <v>0</v>
      </c>
    </row>
    <row r="379" spans="1:57" x14ac:dyDescent="0.25">
      <c r="A379" t="s">
        <v>39</v>
      </c>
      <c r="B379" t="s">
        <v>1280</v>
      </c>
      <c r="C379">
        <v>77.099999999999994</v>
      </c>
      <c r="D379">
        <v>71.7</v>
      </c>
      <c r="G379">
        <f t="shared" si="50"/>
        <v>1</v>
      </c>
      <c r="H379">
        <f t="shared" si="51"/>
        <v>1</v>
      </c>
      <c r="I379">
        <f t="shared" si="52"/>
        <v>0</v>
      </c>
      <c r="J379">
        <v>73.5</v>
      </c>
      <c r="K379">
        <v>77.099999999999994</v>
      </c>
      <c r="L379">
        <v>71.7</v>
      </c>
      <c r="M379">
        <v>73.5</v>
      </c>
      <c r="N379">
        <v>56.8</v>
      </c>
      <c r="O379">
        <v>56.5</v>
      </c>
      <c r="S379">
        <f t="shared" si="53"/>
        <v>1</v>
      </c>
      <c r="T379">
        <f t="shared" si="54"/>
        <v>0</v>
      </c>
      <c r="U379">
        <f t="shared" si="55"/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24.2</v>
      </c>
      <c r="AG379">
        <f t="shared" si="56"/>
        <v>1</v>
      </c>
      <c r="AH379">
        <f t="shared" si="57"/>
        <v>1</v>
      </c>
      <c r="AI379">
        <f t="shared" si="58"/>
        <v>0</v>
      </c>
      <c r="AJ379">
        <v>312.89999999999998</v>
      </c>
      <c r="AK379">
        <v>1014.4</v>
      </c>
      <c r="AL379">
        <v>34.5</v>
      </c>
      <c r="AM379">
        <v>6.8</v>
      </c>
      <c r="AN379">
        <v>0</v>
      </c>
      <c r="AO379">
        <v>0</v>
      </c>
      <c r="AP379">
        <v>0</v>
      </c>
      <c r="AQ379">
        <v>0</v>
      </c>
      <c r="AR379" t="s">
        <v>1281</v>
      </c>
      <c r="AS379" t="s">
        <v>1282</v>
      </c>
      <c r="AT379">
        <v>0.25</v>
      </c>
      <c r="AU379" t="s">
        <v>43</v>
      </c>
      <c r="AV379" t="s">
        <v>44</v>
      </c>
      <c r="AW379" t="s">
        <v>45</v>
      </c>
      <c r="AX379" s="1">
        <v>0.60763888888888884</v>
      </c>
      <c r="AY379" t="s">
        <v>1283</v>
      </c>
      <c r="AZ379">
        <v>274.99999999534339</v>
      </c>
      <c r="BA379">
        <v>0</v>
      </c>
      <c r="BB379">
        <v>2.5</v>
      </c>
      <c r="BC379">
        <v>0</v>
      </c>
      <c r="BD379">
        <v>0</v>
      </c>
      <c r="BE379">
        <f t="shared" si="59"/>
        <v>1</v>
      </c>
    </row>
    <row r="380" spans="1:57" x14ac:dyDescent="0.25">
      <c r="A380" t="s">
        <v>39</v>
      </c>
      <c r="B380" t="s">
        <v>1284</v>
      </c>
      <c r="C380">
        <v>93.3</v>
      </c>
      <c r="D380">
        <v>80.7</v>
      </c>
      <c r="G380">
        <f t="shared" si="50"/>
        <v>1</v>
      </c>
      <c r="H380">
        <f t="shared" si="51"/>
        <v>1</v>
      </c>
      <c r="I380">
        <f t="shared" si="52"/>
        <v>0</v>
      </c>
      <c r="J380">
        <v>86.2</v>
      </c>
      <c r="K380">
        <v>89.7</v>
      </c>
      <c r="L380">
        <v>79.5</v>
      </c>
      <c r="M380">
        <v>83.6</v>
      </c>
      <c r="N380">
        <v>46.9</v>
      </c>
      <c r="O380">
        <v>26</v>
      </c>
      <c r="S380">
        <f t="shared" si="53"/>
        <v>1</v>
      </c>
      <c r="T380">
        <f t="shared" si="54"/>
        <v>0</v>
      </c>
      <c r="U380">
        <f t="shared" si="55"/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20.8</v>
      </c>
      <c r="AG380">
        <f t="shared" si="56"/>
        <v>1</v>
      </c>
      <c r="AH380">
        <f t="shared" si="57"/>
        <v>1</v>
      </c>
      <c r="AI380">
        <f t="shared" si="58"/>
        <v>0</v>
      </c>
      <c r="AJ380">
        <v>173</v>
      </c>
      <c r="AK380">
        <v>1012.7</v>
      </c>
      <c r="AL380">
        <v>76.7</v>
      </c>
      <c r="AM380">
        <v>6.8</v>
      </c>
      <c r="AN380">
        <v>0</v>
      </c>
      <c r="AO380">
        <v>0</v>
      </c>
      <c r="AP380">
        <v>0</v>
      </c>
      <c r="AQ380">
        <v>0</v>
      </c>
      <c r="AR380" t="s">
        <v>1285</v>
      </c>
      <c r="AS380" t="s">
        <v>1286</v>
      </c>
      <c r="AT380">
        <v>0.83</v>
      </c>
      <c r="AU380" t="s">
        <v>43</v>
      </c>
      <c r="AV380" t="s">
        <v>44</v>
      </c>
      <c r="AW380" t="s">
        <v>45</v>
      </c>
      <c r="AX380" s="1">
        <v>0.83263888888888893</v>
      </c>
      <c r="AY380" t="s">
        <v>1287</v>
      </c>
      <c r="AZ380">
        <v>210.99999999627471</v>
      </c>
      <c r="BA380">
        <v>0</v>
      </c>
      <c r="BB380">
        <v>3</v>
      </c>
      <c r="BC380">
        <v>0</v>
      </c>
      <c r="BD380">
        <v>0</v>
      </c>
      <c r="BE380">
        <f t="shared" si="59"/>
        <v>1</v>
      </c>
    </row>
    <row r="381" spans="1:57" x14ac:dyDescent="0.25">
      <c r="A381" t="s">
        <v>39</v>
      </c>
      <c r="B381" t="s">
        <v>1288</v>
      </c>
      <c r="C381">
        <v>82.5</v>
      </c>
      <c r="D381">
        <v>68.099999999999994</v>
      </c>
      <c r="G381">
        <f t="shared" si="50"/>
        <v>1</v>
      </c>
      <c r="H381">
        <f t="shared" si="51"/>
        <v>1</v>
      </c>
      <c r="I381">
        <f t="shared" si="52"/>
        <v>0</v>
      </c>
      <c r="J381">
        <v>76.400000000000006</v>
      </c>
      <c r="K381">
        <v>81.3</v>
      </c>
      <c r="L381">
        <v>68.099999999999994</v>
      </c>
      <c r="M381">
        <v>76.2</v>
      </c>
      <c r="N381">
        <v>62.7</v>
      </c>
      <c r="O381">
        <v>66.7</v>
      </c>
      <c r="S381">
        <f t="shared" si="53"/>
        <v>0</v>
      </c>
      <c r="T381">
        <f t="shared" si="54"/>
        <v>0</v>
      </c>
      <c r="U381">
        <f t="shared" si="55"/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15</v>
      </c>
      <c r="AG381">
        <f t="shared" si="56"/>
        <v>1</v>
      </c>
      <c r="AH381">
        <f t="shared" si="57"/>
        <v>0</v>
      </c>
      <c r="AI381">
        <f t="shared" si="58"/>
        <v>1</v>
      </c>
      <c r="AJ381">
        <v>239.9</v>
      </c>
      <c r="AK381">
        <v>1015.1</v>
      </c>
      <c r="AL381">
        <v>44.3</v>
      </c>
      <c r="AM381">
        <v>6.6</v>
      </c>
      <c r="AN381">
        <v>0</v>
      </c>
      <c r="AO381">
        <v>0</v>
      </c>
      <c r="AP381">
        <v>0</v>
      </c>
      <c r="AQ381">
        <v>0</v>
      </c>
      <c r="AR381" t="s">
        <v>1289</v>
      </c>
      <c r="AS381" t="s">
        <v>1290</v>
      </c>
      <c r="AT381">
        <v>0.86</v>
      </c>
      <c r="AU381" t="s">
        <v>43</v>
      </c>
      <c r="AV381" t="s">
        <v>44</v>
      </c>
      <c r="AW381" t="s">
        <v>45</v>
      </c>
      <c r="AX381" s="1">
        <v>0.59305555555555556</v>
      </c>
      <c r="AY381" t="s">
        <v>1291</v>
      </c>
      <c r="AZ381">
        <v>416.00000000442378</v>
      </c>
      <c r="BA381">
        <v>1</v>
      </c>
      <c r="BB381">
        <v>5</v>
      </c>
      <c r="BC381">
        <v>0</v>
      </c>
      <c r="BD381">
        <v>0</v>
      </c>
      <c r="BE381">
        <f t="shared" si="59"/>
        <v>1</v>
      </c>
    </row>
    <row r="382" spans="1:57" x14ac:dyDescent="0.25">
      <c r="A382" t="s">
        <v>39</v>
      </c>
      <c r="B382" t="s">
        <v>1243</v>
      </c>
      <c r="C382">
        <v>82.5</v>
      </c>
      <c r="D382">
        <v>69.900000000000006</v>
      </c>
      <c r="G382">
        <f t="shared" si="50"/>
        <v>1</v>
      </c>
      <c r="H382">
        <f t="shared" si="51"/>
        <v>1</v>
      </c>
      <c r="I382">
        <f t="shared" si="52"/>
        <v>0</v>
      </c>
      <c r="J382">
        <v>75.599999999999994</v>
      </c>
      <c r="K382">
        <v>83.4</v>
      </c>
      <c r="L382">
        <v>69.900000000000006</v>
      </c>
      <c r="M382">
        <v>75.900000000000006</v>
      </c>
      <c r="N382">
        <v>62.6</v>
      </c>
      <c r="O382">
        <v>65</v>
      </c>
      <c r="S382">
        <f t="shared" si="53"/>
        <v>0</v>
      </c>
      <c r="T382">
        <f t="shared" si="54"/>
        <v>0</v>
      </c>
      <c r="U382">
        <f t="shared" si="55"/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25.3</v>
      </c>
      <c r="AG382">
        <f t="shared" si="56"/>
        <v>1</v>
      </c>
      <c r="AH382">
        <f t="shared" si="57"/>
        <v>1</v>
      </c>
      <c r="AI382">
        <f t="shared" si="58"/>
        <v>0</v>
      </c>
      <c r="AJ382">
        <v>276.10000000000002</v>
      </c>
      <c r="AK382">
        <v>1015</v>
      </c>
      <c r="AL382">
        <v>0</v>
      </c>
      <c r="AM382">
        <v>6.2</v>
      </c>
      <c r="AN382">
        <v>0</v>
      </c>
      <c r="AO382">
        <v>0</v>
      </c>
      <c r="AP382">
        <v>0</v>
      </c>
      <c r="AQ382">
        <v>0</v>
      </c>
      <c r="AR382" t="s">
        <v>1244</v>
      </c>
      <c r="AS382" t="s">
        <v>1245</v>
      </c>
      <c r="AT382">
        <v>0.4</v>
      </c>
      <c r="AU382" t="s">
        <v>74</v>
      </c>
      <c r="AV382" t="s">
        <v>44</v>
      </c>
      <c r="AW382" t="s">
        <v>75</v>
      </c>
      <c r="AX382" s="1">
        <v>0.3888888888888889</v>
      </c>
      <c r="AY382" t="s">
        <v>1292</v>
      </c>
      <c r="AZ382">
        <v>304.99999999883579</v>
      </c>
      <c r="BA382">
        <v>0</v>
      </c>
      <c r="BB382">
        <v>1.5</v>
      </c>
      <c r="BC382">
        <v>0</v>
      </c>
      <c r="BD382">
        <v>0</v>
      </c>
      <c r="BE382">
        <f t="shared" si="59"/>
        <v>0</v>
      </c>
    </row>
    <row r="383" spans="1:57" x14ac:dyDescent="0.25">
      <c r="A383" t="s">
        <v>39</v>
      </c>
      <c r="B383" t="s">
        <v>1293</v>
      </c>
      <c r="C383">
        <v>57.3</v>
      </c>
      <c r="D383">
        <v>48.3</v>
      </c>
      <c r="G383">
        <f t="shared" si="50"/>
        <v>0</v>
      </c>
      <c r="H383">
        <f t="shared" si="51"/>
        <v>0</v>
      </c>
      <c r="I383">
        <f t="shared" si="52"/>
        <v>0</v>
      </c>
      <c r="J383">
        <v>52.5</v>
      </c>
      <c r="K383">
        <v>57.3</v>
      </c>
      <c r="L383">
        <v>40.6</v>
      </c>
      <c r="M383">
        <v>51.2</v>
      </c>
      <c r="N383">
        <v>40.299999999999997</v>
      </c>
      <c r="O383">
        <v>63.6</v>
      </c>
      <c r="S383">
        <f t="shared" si="53"/>
        <v>1</v>
      </c>
      <c r="T383">
        <f t="shared" si="54"/>
        <v>0</v>
      </c>
      <c r="U383">
        <f t="shared" si="55"/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24.2</v>
      </c>
      <c r="AG383">
        <f t="shared" si="56"/>
        <v>1</v>
      </c>
      <c r="AH383">
        <f t="shared" si="57"/>
        <v>1</v>
      </c>
      <c r="AI383">
        <f t="shared" si="58"/>
        <v>0</v>
      </c>
      <c r="AJ383">
        <v>8.6</v>
      </c>
      <c r="AK383">
        <v>1024.5999999999999</v>
      </c>
      <c r="AL383">
        <v>81.2</v>
      </c>
      <c r="AM383">
        <v>6.8</v>
      </c>
      <c r="AN383">
        <v>0</v>
      </c>
      <c r="AO383">
        <v>0</v>
      </c>
      <c r="AP383">
        <v>0</v>
      </c>
      <c r="AQ383">
        <v>0</v>
      </c>
      <c r="AR383" t="s">
        <v>1294</v>
      </c>
      <c r="AS383" t="s">
        <v>1295</v>
      </c>
      <c r="AT383">
        <v>0.03</v>
      </c>
      <c r="AU383" t="s">
        <v>43</v>
      </c>
      <c r="AV383" t="s">
        <v>44</v>
      </c>
      <c r="AW383" t="s">
        <v>45</v>
      </c>
      <c r="AX383" s="1">
        <v>0.53402777777777777</v>
      </c>
      <c r="AY383" t="s">
        <v>1296</v>
      </c>
      <c r="AZ383">
        <v>50.999999998603023</v>
      </c>
      <c r="BA383">
        <v>0</v>
      </c>
      <c r="BB383">
        <v>0</v>
      </c>
      <c r="BC383">
        <v>0.1</v>
      </c>
      <c r="BD383">
        <v>0</v>
      </c>
      <c r="BE383">
        <f t="shared" si="59"/>
        <v>0</v>
      </c>
    </row>
    <row r="384" spans="1:57" x14ac:dyDescent="0.25">
      <c r="A384" t="s">
        <v>39</v>
      </c>
      <c r="B384" t="s">
        <v>1297</v>
      </c>
      <c r="C384">
        <v>68.099999999999994</v>
      </c>
      <c r="D384">
        <v>53.7</v>
      </c>
      <c r="G384">
        <f t="shared" si="50"/>
        <v>1</v>
      </c>
      <c r="H384">
        <f t="shared" si="51"/>
        <v>1</v>
      </c>
      <c r="I384">
        <f t="shared" si="52"/>
        <v>0</v>
      </c>
      <c r="J384">
        <v>59.4</v>
      </c>
      <c r="K384">
        <v>68.099999999999994</v>
      </c>
      <c r="L384">
        <v>53.7</v>
      </c>
      <c r="M384">
        <v>59.4</v>
      </c>
      <c r="N384">
        <v>52.1</v>
      </c>
      <c r="O384">
        <v>77.2</v>
      </c>
      <c r="S384">
        <f t="shared" si="53"/>
        <v>1</v>
      </c>
      <c r="T384">
        <f t="shared" si="54"/>
        <v>1</v>
      </c>
      <c r="U384">
        <f t="shared" si="55"/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15</v>
      </c>
      <c r="AG384">
        <f t="shared" si="56"/>
        <v>1</v>
      </c>
      <c r="AH384">
        <f t="shared" si="57"/>
        <v>0</v>
      </c>
      <c r="AI384">
        <f t="shared" si="58"/>
        <v>1</v>
      </c>
      <c r="AJ384">
        <v>163.19999999999999</v>
      </c>
      <c r="AK384">
        <v>1005.8</v>
      </c>
      <c r="AL384">
        <v>67.900000000000006</v>
      </c>
      <c r="AM384">
        <v>6.8</v>
      </c>
      <c r="AN384">
        <v>0</v>
      </c>
      <c r="AO384">
        <v>0</v>
      </c>
      <c r="AP384">
        <v>0</v>
      </c>
      <c r="AQ384">
        <v>0</v>
      </c>
      <c r="AR384" t="s">
        <v>1298</v>
      </c>
      <c r="AS384" t="s">
        <v>1299</v>
      </c>
      <c r="AT384">
        <v>0.75</v>
      </c>
      <c r="AU384" t="s">
        <v>43</v>
      </c>
      <c r="AV384" t="s">
        <v>44</v>
      </c>
      <c r="AW384" t="s">
        <v>45</v>
      </c>
      <c r="AX384" s="1">
        <v>0.70763888888888893</v>
      </c>
      <c r="AY384" t="s">
        <v>1300</v>
      </c>
      <c r="AZ384">
        <v>130.99999999743889</v>
      </c>
      <c r="BA384">
        <v>0</v>
      </c>
      <c r="BB384">
        <v>0</v>
      </c>
      <c r="BC384">
        <v>1.5</v>
      </c>
      <c r="BD384">
        <v>0</v>
      </c>
      <c r="BE384">
        <f t="shared" si="59"/>
        <v>1</v>
      </c>
    </row>
    <row r="385" spans="1:57" x14ac:dyDescent="0.25">
      <c r="A385" t="s">
        <v>39</v>
      </c>
      <c r="B385" t="s">
        <v>1301</v>
      </c>
      <c r="C385">
        <v>84.3</v>
      </c>
      <c r="D385">
        <v>68.099999999999994</v>
      </c>
      <c r="G385">
        <f t="shared" si="50"/>
        <v>1</v>
      </c>
      <c r="H385">
        <f t="shared" si="51"/>
        <v>1</v>
      </c>
      <c r="I385">
        <f t="shared" si="52"/>
        <v>0</v>
      </c>
      <c r="J385">
        <v>74.2</v>
      </c>
      <c r="K385">
        <v>81.3</v>
      </c>
      <c r="L385">
        <v>68.099999999999994</v>
      </c>
      <c r="M385">
        <v>73.900000000000006</v>
      </c>
      <c r="N385">
        <v>24.6</v>
      </c>
      <c r="O385">
        <v>19.5</v>
      </c>
      <c r="S385">
        <f t="shared" si="53"/>
        <v>1</v>
      </c>
      <c r="T385">
        <f t="shared" si="54"/>
        <v>0</v>
      </c>
      <c r="U385">
        <f t="shared" si="55"/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23</v>
      </c>
      <c r="AG385">
        <f t="shared" si="56"/>
        <v>1</v>
      </c>
      <c r="AH385">
        <f t="shared" si="57"/>
        <v>1</v>
      </c>
      <c r="AI385">
        <f t="shared" si="58"/>
        <v>0</v>
      </c>
      <c r="AJ385">
        <v>152.80000000000001</v>
      </c>
      <c r="AK385">
        <v>1015.4</v>
      </c>
      <c r="AL385">
        <v>0</v>
      </c>
      <c r="AM385">
        <v>6.2</v>
      </c>
      <c r="AN385">
        <v>0</v>
      </c>
      <c r="AO385">
        <v>0</v>
      </c>
      <c r="AP385">
        <v>0</v>
      </c>
      <c r="AQ385">
        <v>0</v>
      </c>
      <c r="AR385" t="s">
        <v>1302</v>
      </c>
      <c r="AS385" t="s">
        <v>1303</v>
      </c>
      <c r="AT385">
        <v>0.75</v>
      </c>
      <c r="AU385" t="s">
        <v>74</v>
      </c>
      <c r="AV385" t="s">
        <v>44</v>
      </c>
      <c r="AW385" t="s">
        <v>75</v>
      </c>
      <c r="AX385" s="1">
        <v>0.4375</v>
      </c>
      <c r="AY385" t="s">
        <v>1304</v>
      </c>
      <c r="AZ385">
        <v>3530.0000000023279</v>
      </c>
      <c r="BA385">
        <v>1</v>
      </c>
      <c r="BB385">
        <v>35</v>
      </c>
      <c r="BC385">
        <v>0</v>
      </c>
      <c r="BD385">
        <v>0</v>
      </c>
      <c r="BE385">
        <f t="shared" si="59"/>
        <v>1</v>
      </c>
    </row>
    <row r="386" spans="1:57" x14ac:dyDescent="0.25">
      <c r="A386" t="s">
        <v>39</v>
      </c>
      <c r="B386" t="s">
        <v>1305</v>
      </c>
      <c r="C386">
        <v>66.3</v>
      </c>
      <c r="D386">
        <v>53.7</v>
      </c>
      <c r="G386">
        <f t="shared" si="50"/>
        <v>0</v>
      </c>
      <c r="H386">
        <f t="shared" si="51"/>
        <v>0</v>
      </c>
      <c r="I386">
        <f t="shared" si="52"/>
        <v>0</v>
      </c>
      <c r="J386">
        <v>61.1</v>
      </c>
      <c r="K386">
        <v>66.3</v>
      </c>
      <c r="L386">
        <v>53.7</v>
      </c>
      <c r="M386">
        <v>61.1</v>
      </c>
      <c r="N386">
        <v>52.4</v>
      </c>
      <c r="O386">
        <v>73.5</v>
      </c>
      <c r="S386">
        <f t="shared" si="53"/>
        <v>1</v>
      </c>
      <c r="T386">
        <f t="shared" si="54"/>
        <v>1</v>
      </c>
      <c r="U386">
        <f t="shared" si="55"/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16.100000000000001</v>
      </c>
      <c r="AG386">
        <f t="shared" si="56"/>
        <v>0</v>
      </c>
      <c r="AH386">
        <f t="shared" si="57"/>
        <v>0</v>
      </c>
      <c r="AI386">
        <f t="shared" si="58"/>
        <v>0</v>
      </c>
      <c r="AJ386">
        <v>298.5</v>
      </c>
      <c r="AK386">
        <v>1003.7</v>
      </c>
      <c r="AL386">
        <v>48.3</v>
      </c>
      <c r="AM386">
        <v>6.8</v>
      </c>
      <c r="AN386">
        <v>0</v>
      </c>
      <c r="AO386">
        <v>0</v>
      </c>
      <c r="AP386">
        <v>0</v>
      </c>
      <c r="AQ386">
        <v>0</v>
      </c>
      <c r="AR386" t="s">
        <v>1306</v>
      </c>
      <c r="AS386" t="s">
        <v>1307</v>
      </c>
      <c r="AT386">
        <v>0</v>
      </c>
      <c r="AU386" t="s">
        <v>43</v>
      </c>
      <c r="AV386" t="s">
        <v>44</v>
      </c>
      <c r="AW386" t="s">
        <v>45</v>
      </c>
      <c r="AX386" s="1">
        <v>0.57916666666666672</v>
      </c>
      <c r="AY386" t="s">
        <v>1308</v>
      </c>
      <c r="AZ386">
        <v>255.99999999627471</v>
      </c>
      <c r="BA386">
        <v>0</v>
      </c>
      <c r="BB386">
        <v>0</v>
      </c>
      <c r="BC386">
        <v>4</v>
      </c>
      <c r="BD386">
        <v>0</v>
      </c>
      <c r="BE386">
        <f t="shared" si="59"/>
        <v>0</v>
      </c>
    </row>
    <row r="387" spans="1:57" x14ac:dyDescent="0.25">
      <c r="A387" t="s">
        <v>39</v>
      </c>
      <c r="B387" t="s">
        <v>1309</v>
      </c>
      <c r="C387">
        <v>62.7</v>
      </c>
      <c r="D387">
        <v>48.3</v>
      </c>
      <c r="G387">
        <f t="shared" ref="G387:G450" si="60">IF(ABS(C387-INDEX($F$2:$F$13,MONTH(B387)))&gt;1.8,1,0)</f>
        <v>1</v>
      </c>
      <c r="H387">
        <f t="shared" ref="H387:H450" si="61">IF(C387&gt;=INDEX($F$2:$F$13,MONTH(B387))+1.8,1,0)</f>
        <v>0</v>
      </c>
      <c r="I387">
        <f t="shared" ref="I387:I450" si="62">IF(C387&lt;=INDEX($F$2:$F$13,MONTH(B387))-1.8,1,0)</f>
        <v>1</v>
      </c>
      <c r="J387">
        <v>55.4</v>
      </c>
      <c r="K387">
        <v>62.7</v>
      </c>
      <c r="L387">
        <v>39.4</v>
      </c>
      <c r="M387">
        <v>54.1</v>
      </c>
      <c r="N387">
        <v>45.2</v>
      </c>
      <c r="O387">
        <v>69.099999999999994</v>
      </c>
      <c r="S387">
        <f t="shared" ref="S387:S450" si="63">IF(OR(O387&lt;INDEX($Q$2:$Q$13,MONTH(B387)),O387&gt;INDEX($R$2:$R$13,MONTH(B387))),1,0)</f>
        <v>1</v>
      </c>
      <c r="T387">
        <f t="shared" ref="T387:T450" si="64">IF(O387&gt;INDEX($R$2:$R$13,MONTH(B387)),1,0)</f>
        <v>1</v>
      </c>
      <c r="U387">
        <f t="shared" ref="U387:U450" si="65">IF(O387&lt;INDEX($Q$2:$Q$13,MONTH(B387)),1,0)</f>
        <v>0</v>
      </c>
      <c r="V387">
        <v>0.24099999999999999</v>
      </c>
      <c r="W387">
        <v>100</v>
      </c>
      <c r="X387">
        <v>12.5</v>
      </c>
      <c r="Y387" t="s">
        <v>103</v>
      </c>
      <c r="Z387">
        <v>0</v>
      </c>
      <c r="AA387">
        <v>0</v>
      </c>
      <c r="AB387">
        <v>0</v>
      </c>
      <c r="AC387">
        <v>32.200000000000003</v>
      </c>
      <c r="AG387">
        <f t="shared" ref="AG387:AG450" si="66">IF(OR(AC387&lt;INDEX($AE$2:$AE$13,MONTH(B387)),AC387&gt;INDEX($AF$2:$AF$13,MONTH(B387))),1,0)</f>
        <v>1</v>
      </c>
      <c r="AH387">
        <f t="shared" ref="AH387:AH450" si="67">IF(AC387&gt;INDEX($AF$2:$AF$13,MONTH(B387)),1,0)</f>
        <v>1</v>
      </c>
      <c r="AI387">
        <f t="shared" ref="AI387:AI450" si="68">IF(AC387&lt;INDEX($AE$2:$AE$13,MONTH(B387)),1,0)</f>
        <v>0</v>
      </c>
      <c r="AJ387">
        <v>325.39999999999998</v>
      </c>
      <c r="AK387">
        <v>1015.8</v>
      </c>
      <c r="AL387">
        <v>83.3</v>
      </c>
      <c r="AM387">
        <v>6.5</v>
      </c>
      <c r="AN387">
        <v>0</v>
      </c>
      <c r="AO387">
        <v>0</v>
      </c>
      <c r="AP387">
        <v>0</v>
      </c>
      <c r="AQ387">
        <v>0</v>
      </c>
      <c r="AR387" t="s">
        <v>1310</v>
      </c>
      <c r="AS387" t="s">
        <v>1311</v>
      </c>
      <c r="AT387">
        <v>0.45</v>
      </c>
      <c r="AU387" t="s">
        <v>106</v>
      </c>
      <c r="AV387" t="s">
        <v>257</v>
      </c>
      <c r="AW387" t="s">
        <v>103</v>
      </c>
      <c r="AX387" s="1">
        <v>0.59305555555555556</v>
      </c>
      <c r="AY387" t="s">
        <v>1312</v>
      </c>
      <c r="AZ387">
        <v>71.000000000931323</v>
      </c>
      <c r="BA387">
        <v>0</v>
      </c>
      <c r="BB387">
        <v>1.5</v>
      </c>
      <c r="BC387">
        <v>0</v>
      </c>
      <c r="BD387">
        <v>0</v>
      </c>
      <c r="BE387">
        <f t="shared" ref="BE387:BE450" si="69">IF((3*AH387+3*H387+2*U387+2*BA387-(2*(1-T387)+2*(1-I387)+2*(1-AI387)))&gt;=1,1,0)</f>
        <v>1</v>
      </c>
    </row>
    <row r="388" spans="1:57" x14ac:dyDescent="0.25">
      <c r="A388" t="s">
        <v>39</v>
      </c>
      <c r="B388" t="s">
        <v>1313</v>
      </c>
      <c r="C388">
        <v>80.7</v>
      </c>
      <c r="D388">
        <v>71.7</v>
      </c>
      <c r="G388">
        <f t="shared" si="60"/>
        <v>0</v>
      </c>
      <c r="H388">
        <f t="shared" si="61"/>
        <v>0</v>
      </c>
      <c r="I388">
        <f t="shared" si="62"/>
        <v>0</v>
      </c>
      <c r="J388">
        <v>75.900000000000006</v>
      </c>
      <c r="K388">
        <v>82.4</v>
      </c>
      <c r="L388">
        <v>71.7</v>
      </c>
      <c r="M388">
        <v>76</v>
      </c>
      <c r="N388">
        <v>60.6</v>
      </c>
      <c r="O388">
        <v>59.4</v>
      </c>
      <c r="S388">
        <f t="shared" si="63"/>
        <v>1</v>
      </c>
      <c r="T388">
        <f t="shared" si="64"/>
        <v>0</v>
      </c>
      <c r="U388">
        <f t="shared" si="65"/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20.8</v>
      </c>
      <c r="AG388">
        <f t="shared" si="66"/>
        <v>1</v>
      </c>
      <c r="AH388">
        <f t="shared" si="67"/>
        <v>1</v>
      </c>
      <c r="AI388">
        <f t="shared" si="68"/>
        <v>0</v>
      </c>
      <c r="AJ388">
        <v>302.7</v>
      </c>
      <c r="AK388">
        <v>1013.4</v>
      </c>
      <c r="AL388">
        <v>30</v>
      </c>
      <c r="AM388">
        <v>6.3</v>
      </c>
      <c r="AN388">
        <v>0</v>
      </c>
      <c r="AO388">
        <v>0</v>
      </c>
      <c r="AP388">
        <v>0</v>
      </c>
      <c r="AQ388">
        <v>0</v>
      </c>
      <c r="AR388" t="s">
        <v>1314</v>
      </c>
      <c r="AS388" t="s">
        <v>1315</v>
      </c>
      <c r="AT388">
        <v>0.1</v>
      </c>
      <c r="AU388" t="s">
        <v>43</v>
      </c>
      <c r="AV388" t="s">
        <v>44</v>
      </c>
      <c r="AW388" t="s">
        <v>45</v>
      </c>
      <c r="AX388" s="1">
        <v>0.79166666666666663</v>
      </c>
      <c r="AY388" t="s">
        <v>1316</v>
      </c>
      <c r="AZ388">
        <v>90</v>
      </c>
      <c r="BA388">
        <v>0</v>
      </c>
      <c r="BB388">
        <v>0</v>
      </c>
      <c r="BC388">
        <v>20</v>
      </c>
      <c r="BD388">
        <v>0</v>
      </c>
      <c r="BE388">
        <f t="shared" si="69"/>
        <v>0</v>
      </c>
    </row>
    <row r="389" spans="1:57" x14ac:dyDescent="0.25">
      <c r="A389" t="s">
        <v>39</v>
      </c>
      <c r="B389" t="s">
        <v>1317</v>
      </c>
      <c r="C389">
        <v>71.7</v>
      </c>
      <c r="D389">
        <v>51.9</v>
      </c>
      <c r="G389">
        <f t="shared" si="60"/>
        <v>1</v>
      </c>
      <c r="H389">
        <f t="shared" si="61"/>
        <v>1</v>
      </c>
      <c r="I389">
        <f t="shared" si="62"/>
        <v>0</v>
      </c>
      <c r="J389">
        <v>60.7</v>
      </c>
      <c r="K389">
        <v>71.7</v>
      </c>
      <c r="L389">
        <v>51.9</v>
      </c>
      <c r="M389">
        <v>60.7</v>
      </c>
      <c r="N389">
        <v>48.4</v>
      </c>
      <c r="O389">
        <v>65.400000000000006</v>
      </c>
      <c r="S389">
        <f t="shared" si="63"/>
        <v>0</v>
      </c>
      <c r="T389">
        <f t="shared" si="64"/>
        <v>0</v>
      </c>
      <c r="U389">
        <f t="shared" si="65"/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12.8</v>
      </c>
      <c r="AG389">
        <f t="shared" si="66"/>
        <v>1</v>
      </c>
      <c r="AH389">
        <f t="shared" si="67"/>
        <v>0</v>
      </c>
      <c r="AI389">
        <f t="shared" si="68"/>
        <v>1</v>
      </c>
      <c r="AJ389">
        <v>161.6</v>
      </c>
      <c r="AK389">
        <v>1015.2</v>
      </c>
      <c r="AL389">
        <v>44.5</v>
      </c>
      <c r="AM389">
        <v>6.8</v>
      </c>
      <c r="AN389">
        <v>0</v>
      </c>
      <c r="AO389">
        <v>0</v>
      </c>
      <c r="AP389">
        <v>0</v>
      </c>
      <c r="AQ389">
        <v>0</v>
      </c>
      <c r="AR389" t="s">
        <v>1318</v>
      </c>
      <c r="AS389" t="s">
        <v>1319</v>
      </c>
      <c r="AT389">
        <v>0.25</v>
      </c>
      <c r="AU389" t="s">
        <v>43</v>
      </c>
      <c r="AV389" t="s">
        <v>44</v>
      </c>
      <c r="AW389" t="s">
        <v>45</v>
      </c>
      <c r="AX389" s="1">
        <v>0.59305555555555556</v>
      </c>
      <c r="AY389" t="s">
        <v>1320</v>
      </c>
      <c r="AZ389">
        <v>95.999999998603016</v>
      </c>
      <c r="BA389">
        <v>0</v>
      </c>
      <c r="BB389">
        <v>0</v>
      </c>
      <c r="BC389">
        <v>0.3</v>
      </c>
      <c r="BD389">
        <v>0</v>
      </c>
      <c r="BE389">
        <f t="shared" si="69"/>
        <v>0</v>
      </c>
    </row>
    <row r="390" spans="1:57" x14ac:dyDescent="0.25">
      <c r="A390" t="s">
        <v>39</v>
      </c>
      <c r="B390" t="s">
        <v>1321</v>
      </c>
      <c r="C390">
        <v>87.9</v>
      </c>
      <c r="D390">
        <v>69.900000000000006</v>
      </c>
      <c r="G390">
        <f t="shared" si="60"/>
        <v>1</v>
      </c>
      <c r="H390">
        <f t="shared" si="61"/>
        <v>1</v>
      </c>
      <c r="I390">
        <f t="shared" si="62"/>
        <v>0</v>
      </c>
      <c r="J390">
        <v>79.7</v>
      </c>
      <c r="K390">
        <v>92.7</v>
      </c>
      <c r="L390">
        <v>69.900000000000006</v>
      </c>
      <c r="M390">
        <v>81.2</v>
      </c>
      <c r="N390">
        <v>61.4</v>
      </c>
      <c r="O390">
        <v>56</v>
      </c>
      <c r="S390">
        <f t="shared" si="63"/>
        <v>1</v>
      </c>
      <c r="T390">
        <f t="shared" si="64"/>
        <v>0</v>
      </c>
      <c r="U390">
        <f t="shared" si="65"/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9.1999999999999993</v>
      </c>
      <c r="AG390">
        <f t="shared" si="66"/>
        <v>1</v>
      </c>
      <c r="AH390">
        <f t="shared" si="67"/>
        <v>0</v>
      </c>
      <c r="AI390">
        <f t="shared" si="68"/>
        <v>1</v>
      </c>
      <c r="AJ390">
        <v>123.9</v>
      </c>
      <c r="AK390">
        <v>1009.5</v>
      </c>
      <c r="AL390">
        <v>30</v>
      </c>
      <c r="AM390">
        <v>6.4</v>
      </c>
      <c r="AN390">
        <v>0</v>
      </c>
      <c r="AO390">
        <v>0</v>
      </c>
      <c r="AP390">
        <v>0</v>
      </c>
      <c r="AQ390">
        <v>0</v>
      </c>
      <c r="AR390" t="s">
        <v>1322</v>
      </c>
      <c r="AS390" t="s">
        <v>1323</v>
      </c>
      <c r="AT390">
        <v>0.95</v>
      </c>
      <c r="AU390" t="s">
        <v>43</v>
      </c>
      <c r="AV390" t="s">
        <v>44</v>
      </c>
      <c r="AW390" t="s">
        <v>45</v>
      </c>
      <c r="AX390" s="1">
        <v>0.88888888888888884</v>
      </c>
      <c r="AY390" t="s">
        <v>1324</v>
      </c>
      <c r="AZ390">
        <v>1609.9999999988361</v>
      </c>
      <c r="BA390">
        <v>1</v>
      </c>
      <c r="BB390">
        <v>0</v>
      </c>
      <c r="BC390">
        <v>3</v>
      </c>
      <c r="BD390">
        <v>0</v>
      </c>
      <c r="BE390">
        <f t="shared" si="69"/>
        <v>1</v>
      </c>
    </row>
    <row r="391" spans="1:57" x14ac:dyDescent="0.25">
      <c r="A391" t="s">
        <v>39</v>
      </c>
      <c r="B391" t="s">
        <v>1325</v>
      </c>
      <c r="C391">
        <v>62.7</v>
      </c>
      <c r="D391">
        <v>50.1</v>
      </c>
      <c r="G391">
        <f t="shared" si="60"/>
        <v>1</v>
      </c>
      <c r="H391">
        <f t="shared" si="61"/>
        <v>1</v>
      </c>
      <c r="I391">
        <f t="shared" si="62"/>
        <v>0</v>
      </c>
      <c r="J391">
        <v>57.2</v>
      </c>
      <c r="K391">
        <v>62.7</v>
      </c>
      <c r="L391">
        <v>50.1</v>
      </c>
      <c r="M391">
        <v>57.2</v>
      </c>
      <c r="N391">
        <v>48.4</v>
      </c>
      <c r="O391">
        <v>72.900000000000006</v>
      </c>
      <c r="S391">
        <f t="shared" si="63"/>
        <v>1</v>
      </c>
      <c r="T391">
        <f t="shared" si="64"/>
        <v>1</v>
      </c>
      <c r="U391">
        <f t="shared" si="65"/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20.8</v>
      </c>
      <c r="AG391">
        <f t="shared" si="66"/>
        <v>1</v>
      </c>
      <c r="AH391">
        <f t="shared" si="67"/>
        <v>1</v>
      </c>
      <c r="AI391">
        <f t="shared" si="68"/>
        <v>0</v>
      </c>
      <c r="AJ391">
        <v>155.80000000000001</v>
      </c>
      <c r="AK391">
        <v>1024.4000000000001</v>
      </c>
      <c r="AL391">
        <v>0</v>
      </c>
      <c r="AM391">
        <v>6.2</v>
      </c>
      <c r="AN391">
        <v>0</v>
      </c>
      <c r="AO391">
        <v>0</v>
      </c>
      <c r="AP391">
        <v>0</v>
      </c>
      <c r="AQ391">
        <v>0</v>
      </c>
      <c r="AR391" t="s">
        <v>1326</v>
      </c>
      <c r="AS391" t="s">
        <v>1327</v>
      </c>
      <c r="AT391">
        <v>0.54</v>
      </c>
      <c r="AU391" t="s">
        <v>74</v>
      </c>
      <c r="AV391" t="s">
        <v>44</v>
      </c>
      <c r="AW391" t="s">
        <v>75</v>
      </c>
      <c r="AX391" s="1">
        <v>0.67013888888888884</v>
      </c>
      <c r="AY391" t="s">
        <v>1328</v>
      </c>
      <c r="AZ391">
        <v>294.99999999767169</v>
      </c>
      <c r="BA391">
        <v>0</v>
      </c>
      <c r="BB391">
        <v>0</v>
      </c>
      <c r="BC391">
        <v>0.1</v>
      </c>
      <c r="BD391">
        <v>0</v>
      </c>
      <c r="BE391">
        <f t="shared" si="69"/>
        <v>1</v>
      </c>
    </row>
    <row r="392" spans="1:57" x14ac:dyDescent="0.25">
      <c r="A392" t="s">
        <v>39</v>
      </c>
      <c r="B392" t="s">
        <v>1329</v>
      </c>
      <c r="C392">
        <v>62.7</v>
      </c>
      <c r="D392">
        <v>57.3</v>
      </c>
      <c r="G392">
        <f t="shared" si="60"/>
        <v>0</v>
      </c>
      <c r="H392">
        <f t="shared" si="61"/>
        <v>0</v>
      </c>
      <c r="I392">
        <f t="shared" si="62"/>
        <v>0</v>
      </c>
      <c r="J392">
        <v>59.8</v>
      </c>
      <c r="K392">
        <v>62.7</v>
      </c>
      <c r="L392">
        <v>57.3</v>
      </c>
      <c r="M392">
        <v>59.8</v>
      </c>
      <c r="N392">
        <v>48.8</v>
      </c>
      <c r="O392">
        <v>67.3</v>
      </c>
      <c r="S392">
        <f t="shared" si="63"/>
        <v>1</v>
      </c>
      <c r="T392">
        <f t="shared" si="64"/>
        <v>1</v>
      </c>
      <c r="U392">
        <f t="shared" si="65"/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19.5</v>
      </c>
      <c r="AG392">
        <f t="shared" si="66"/>
        <v>1</v>
      </c>
      <c r="AH392">
        <f t="shared" si="67"/>
        <v>1</v>
      </c>
      <c r="AI392">
        <f t="shared" si="68"/>
        <v>0</v>
      </c>
      <c r="AJ392">
        <v>307.3</v>
      </c>
      <c r="AK392">
        <v>1026</v>
      </c>
      <c r="AL392">
        <v>30</v>
      </c>
      <c r="AM392">
        <v>6.8</v>
      </c>
      <c r="AN392">
        <v>0</v>
      </c>
      <c r="AO392">
        <v>0</v>
      </c>
      <c r="AP392">
        <v>0</v>
      </c>
      <c r="AQ392">
        <v>0</v>
      </c>
      <c r="AR392" t="s">
        <v>1330</v>
      </c>
      <c r="AS392" t="s">
        <v>1331</v>
      </c>
      <c r="AT392">
        <v>0.95</v>
      </c>
      <c r="AU392" t="s">
        <v>43</v>
      </c>
      <c r="AV392" t="s">
        <v>44</v>
      </c>
      <c r="AW392" t="s">
        <v>45</v>
      </c>
      <c r="AX392" s="1">
        <v>0.72499999999999998</v>
      </c>
      <c r="AY392" t="s">
        <v>1332</v>
      </c>
      <c r="AZ392">
        <v>400.99999999743892</v>
      </c>
      <c r="BA392">
        <v>1</v>
      </c>
      <c r="BB392">
        <v>0</v>
      </c>
      <c r="BC392">
        <v>30</v>
      </c>
      <c r="BD392">
        <v>0</v>
      </c>
      <c r="BE392">
        <f t="shared" si="69"/>
        <v>1</v>
      </c>
    </row>
    <row r="393" spans="1:57" x14ac:dyDescent="0.25">
      <c r="A393" t="s">
        <v>39</v>
      </c>
      <c r="B393" t="s">
        <v>1333</v>
      </c>
      <c r="C393">
        <v>59.1</v>
      </c>
      <c r="D393">
        <v>48.3</v>
      </c>
      <c r="G393">
        <f t="shared" si="60"/>
        <v>1</v>
      </c>
      <c r="H393">
        <f t="shared" si="61"/>
        <v>0</v>
      </c>
      <c r="I393">
        <f t="shared" si="62"/>
        <v>1</v>
      </c>
      <c r="J393">
        <v>54.2</v>
      </c>
      <c r="K393">
        <v>59.1</v>
      </c>
      <c r="L393">
        <v>44.7</v>
      </c>
      <c r="M393">
        <v>54</v>
      </c>
      <c r="N393">
        <v>36.4</v>
      </c>
      <c r="O393">
        <v>51.4</v>
      </c>
      <c r="S393">
        <f t="shared" si="63"/>
        <v>1</v>
      </c>
      <c r="T393">
        <f t="shared" si="64"/>
        <v>0</v>
      </c>
      <c r="U393">
        <f t="shared" si="65"/>
        <v>1</v>
      </c>
      <c r="V393">
        <v>0.02</v>
      </c>
      <c r="W393">
        <v>100</v>
      </c>
      <c r="X393">
        <v>4.17</v>
      </c>
      <c r="Y393" t="s">
        <v>103</v>
      </c>
      <c r="Z393">
        <v>0</v>
      </c>
      <c r="AA393">
        <v>0</v>
      </c>
      <c r="AB393">
        <v>0</v>
      </c>
      <c r="AC393">
        <v>16.100000000000001</v>
      </c>
      <c r="AG393">
        <f t="shared" si="66"/>
        <v>0</v>
      </c>
      <c r="AH393">
        <f t="shared" si="67"/>
        <v>0</v>
      </c>
      <c r="AI393">
        <f t="shared" si="68"/>
        <v>0</v>
      </c>
      <c r="AJ393">
        <v>297.3</v>
      </c>
      <c r="AK393">
        <v>1024.8</v>
      </c>
      <c r="AL393">
        <v>61.7</v>
      </c>
      <c r="AM393">
        <v>6.8</v>
      </c>
      <c r="AN393">
        <v>0</v>
      </c>
      <c r="AO393">
        <v>0</v>
      </c>
      <c r="AP393">
        <v>0</v>
      </c>
      <c r="AQ393">
        <v>0</v>
      </c>
      <c r="AR393" t="s">
        <v>1334</v>
      </c>
      <c r="AS393" t="s">
        <v>1335</v>
      </c>
      <c r="AT393">
        <v>0.38</v>
      </c>
      <c r="AU393" t="s">
        <v>106</v>
      </c>
      <c r="AV393" t="s">
        <v>433</v>
      </c>
      <c r="AW393" t="s">
        <v>103</v>
      </c>
      <c r="AX393" s="1">
        <v>0.49930555555555561</v>
      </c>
      <c r="AY393" t="s">
        <v>1336</v>
      </c>
      <c r="AZ393">
        <v>181.0000000032596</v>
      </c>
      <c r="BA393">
        <v>0</v>
      </c>
      <c r="BB393">
        <v>0</v>
      </c>
      <c r="BC393">
        <v>1</v>
      </c>
      <c r="BD393">
        <v>0</v>
      </c>
      <c r="BE393">
        <f t="shared" si="69"/>
        <v>0</v>
      </c>
    </row>
    <row r="394" spans="1:57" x14ac:dyDescent="0.25">
      <c r="A394" t="s">
        <v>39</v>
      </c>
      <c r="B394" t="s">
        <v>1337</v>
      </c>
      <c r="C394">
        <v>80.7</v>
      </c>
      <c r="D394">
        <v>68.099999999999994</v>
      </c>
      <c r="G394">
        <f t="shared" si="60"/>
        <v>1</v>
      </c>
      <c r="H394">
        <f t="shared" si="61"/>
        <v>0</v>
      </c>
      <c r="I394">
        <f t="shared" si="62"/>
        <v>1</v>
      </c>
      <c r="J394">
        <v>75.2</v>
      </c>
      <c r="K394">
        <v>81.5</v>
      </c>
      <c r="L394">
        <v>68.099999999999994</v>
      </c>
      <c r="M394">
        <v>75.3</v>
      </c>
      <c r="N394">
        <v>61.9</v>
      </c>
      <c r="O394">
        <v>64</v>
      </c>
      <c r="S394">
        <f t="shared" si="63"/>
        <v>1</v>
      </c>
      <c r="T394">
        <f t="shared" si="64"/>
        <v>1</v>
      </c>
      <c r="U394">
        <f t="shared" si="65"/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11.4</v>
      </c>
      <c r="AG394">
        <f t="shared" si="66"/>
        <v>1</v>
      </c>
      <c r="AH394">
        <f t="shared" si="67"/>
        <v>0</v>
      </c>
      <c r="AI394">
        <f t="shared" si="68"/>
        <v>1</v>
      </c>
      <c r="AJ394">
        <v>308.89999999999998</v>
      </c>
      <c r="AK394">
        <v>1009</v>
      </c>
      <c r="AL394">
        <v>32.700000000000003</v>
      </c>
      <c r="AM394">
        <v>6.8</v>
      </c>
      <c r="AN394">
        <v>0</v>
      </c>
      <c r="AO394">
        <v>0</v>
      </c>
      <c r="AP394">
        <v>0</v>
      </c>
      <c r="AQ394">
        <v>0</v>
      </c>
      <c r="AR394" t="s">
        <v>1338</v>
      </c>
      <c r="AS394" t="s">
        <v>1339</v>
      </c>
      <c r="AT394">
        <v>0.93</v>
      </c>
      <c r="AU394" t="s">
        <v>43</v>
      </c>
      <c r="AV394" t="s">
        <v>44</v>
      </c>
      <c r="AW394" t="s">
        <v>45</v>
      </c>
      <c r="AX394" s="1">
        <v>0.61805555555555558</v>
      </c>
      <c r="AY394" t="s">
        <v>1340</v>
      </c>
      <c r="AZ394">
        <v>1945.0000000011639</v>
      </c>
      <c r="BA394">
        <v>1</v>
      </c>
      <c r="BB394">
        <v>0.1</v>
      </c>
      <c r="BC394">
        <v>0</v>
      </c>
      <c r="BD394">
        <v>0</v>
      </c>
      <c r="BE394">
        <f t="shared" si="69"/>
        <v>1</v>
      </c>
    </row>
    <row r="395" spans="1:57" x14ac:dyDescent="0.25">
      <c r="A395" t="s">
        <v>39</v>
      </c>
      <c r="B395" t="s">
        <v>1341</v>
      </c>
      <c r="C395">
        <v>82.5</v>
      </c>
      <c r="D395">
        <v>73.5</v>
      </c>
      <c r="G395">
        <f t="shared" si="60"/>
        <v>0</v>
      </c>
      <c r="H395">
        <f t="shared" si="61"/>
        <v>0</v>
      </c>
      <c r="I395">
        <f t="shared" si="62"/>
        <v>0</v>
      </c>
      <c r="J395">
        <v>79.8</v>
      </c>
      <c r="K395">
        <v>86.4</v>
      </c>
      <c r="L395">
        <v>73.5</v>
      </c>
      <c r="M395">
        <v>80.900000000000006</v>
      </c>
      <c r="N395">
        <v>63.7</v>
      </c>
      <c r="O395">
        <v>58.1</v>
      </c>
      <c r="S395">
        <f t="shared" si="63"/>
        <v>1</v>
      </c>
      <c r="T395">
        <f t="shared" si="64"/>
        <v>0</v>
      </c>
      <c r="U395">
        <f t="shared" si="65"/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17.2</v>
      </c>
      <c r="AG395">
        <f t="shared" si="66"/>
        <v>0</v>
      </c>
      <c r="AH395">
        <f t="shared" si="67"/>
        <v>0</v>
      </c>
      <c r="AI395">
        <f t="shared" si="68"/>
        <v>0</v>
      </c>
      <c r="AJ395">
        <v>296.8</v>
      </c>
      <c r="AK395">
        <v>1008.6</v>
      </c>
      <c r="AL395">
        <v>30</v>
      </c>
      <c r="AM395">
        <v>6.4</v>
      </c>
      <c r="AN395">
        <v>0</v>
      </c>
      <c r="AO395">
        <v>0</v>
      </c>
      <c r="AP395">
        <v>0</v>
      </c>
      <c r="AQ395">
        <v>0</v>
      </c>
      <c r="AR395" t="s">
        <v>1342</v>
      </c>
      <c r="AS395" t="s">
        <v>1343</v>
      </c>
      <c r="AT395">
        <v>0.24</v>
      </c>
      <c r="AU395" t="s">
        <v>43</v>
      </c>
      <c r="AV395" t="s">
        <v>44</v>
      </c>
      <c r="AW395" t="s">
        <v>45</v>
      </c>
      <c r="AX395" s="1">
        <v>0.10069444444444441</v>
      </c>
      <c r="AY395" t="s">
        <v>1344</v>
      </c>
      <c r="AZ395">
        <v>2284.9999999988358</v>
      </c>
      <c r="BA395">
        <v>1</v>
      </c>
      <c r="BB395">
        <v>0</v>
      </c>
      <c r="BC395">
        <v>50</v>
      </c>
      <c r="BD395">
        <v>0</v>
      </c>
      <c r="BE395">
        <f t="shared" si="69"/>
        <v>0</v>
      </c>
    </row>
    <row r="396" spans="1:57" x14ac:dyDescent="0.25">
      <c r="A396" t="s">
        <v>39</v>
      </c>
      <c r="B396" t="s">
        <v>1345</v>
      </c>
      <c r="C396">
        <v>78.900000000000006</v>
      </c>
      <c r="D396">
        <v>69.900000000000006</v>
      </c>
      <c r="G396">
        <f t="shared" si="60"/>
        <v>0</v>
      </c>
      <c r="H396">
        <f t="shared" si="61"/>
        <v>0</v>
      </c>
      <c r="I396">
        <f t="shared" si="62"/>
        <v>0</v>
      </c>
      <c r="J396">
        <v>74.599999999999994</v>
      </c>
      <c r="K396">
        <v>78.900000000000006</v>
      </c>
      <c r="L396">
        <v>69.900000000000006</v>
      </c>
      <c r="M396">
        <v>74.599999999999994</v>
      </c>
      <c r="N396">
        <v>57.8</v>
      </c>
      <c r="O396">
        <v>56.3</v>
      </c>
      <c r="S396">
        <f t="shared" si="63"/>
        <v>1</v>
      </c>
      <c r="T396">
        <f t="shared" si="64"/>
        <v>0</v>
      </c>
      <c r="U396">
        <f t="shared" si="65"/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17.2</v>
      </c>
      <c r="AG396">
        <f t="shared" si="66"/>
        <v>0</v>
      </c>
      <c r="AH396">
        <f t="shared" si="67"/>
        <v>0</v>
      </c>
      <c r="AI396">
        <f t="shared" si="68"/>
        <v>0</v>
      </c>
      <c r="AJ396">
        <v>295.89999999999998</v>
      </c>
      <c r="AK396">
        <v>1016.6</v>
      </c>
      <c r="AL396">
        <v>30</v>
      </c>
      <c r="AM396">
        <v>6.3</v>
      </c>
      <c r="AN396">
        <v>0</v>
      </c>
      <c r="AO396">
        <v>0</v>
      </c>
      <c r="AP396">
        <v>0</v>
      </c>
      <c r="AQ396">
        <v>0</v>
      </c>
      <c r="AR396" t="s">
        <v>1346</v>
      </c>
      <c r="AS396" t="s">
        <v>1347</v>
      </c>
      <c r="AT396">
        <v>0.78</v>
      </c>
      <c r="AU396" t="s">
        <v>43</v>
      </c>
      <c r="AV396" t="s">
        <v>44</v>
      </c>
      <c r="AW396" t="s">
        <v>45</v>
      </c>
      <c r="AX396" s="1">
        <v>0.70763888888888893</v>
      </c>
      <c r="AY396" t="s">
        <v>1348</v>
      </c>
      <c r="AZ396">
        <v>1541.000000004424</v>
      </c>
      <c r="BA396">
        <v>1</v>
      </c>
      <c r="BB396">
        <v>4</v>
      </c>
      <c r="BC396">
        <v>0</v>
      </c>
      <c r="BD396">
        <v>0</v>
      </c>
      <c r="BE396">
        <f t="shared" si="69"/>
        <v>0</v>
      </c>
    </row>
    <row r="397" spans="1:57" x14ac:dyDescent="0.25">
      <c r="A397" t="s">
        <v>39</v>
      </c>
      <c r="B397" t="s">
        <v>1349</v>
      </c>
      <c r="C397">
        <v>78.900000000000006</v>
      </c>
      <c r="D397">
        <v>68.099999999999994</v>
      </c>
      <c r="G397">
        <f t="shared" si="60"/>
        <v>0</v>
      </c>
      <c r="H397">
        <f t="shared" si="61"/>
        <v>0</v>
      </c>
      <c r="I397">
        <f t="shared" si="62"/>
        <v>0</v>
      </c>
      <c r="J397">
        <v>73.8</v>
      </c>
      <c r="K397">
        <v>78.900000000000006</v>
      </c>
      <c r="L397">
        <v>68.099999999999994</v>
      </c>
      <c r="M397">
        <v>73.8</v>
      </c>
      <c r="N397">
        <v>63.1</v>
      </c>
      <c r="O397">
        <v>69.599999999999994</v>
      </c>
      <c r="S397">
        <f t="shared" si="63"/>
        <v>1</v>
      </c>
      <c r="T397">
        <f t="shared" si="64"/>
        <v>1</v>
      </c>
      <c r="U397">
        <f t="shared" si="65"/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21.9</v>
      </c>
      <c r="AG397">
        <f t="shared" si="66"/>
        <v>1</v>
      </c>
      <c r="AH397">
        <f t="shared" si="67"/>
        <v>1</v>
      </c>
      <c r="AI397">
        <f t="shared" si="68"/>
        <v>0</v>
      </c>
      <c r="AJ397">
        <v>287.7</v>
      </c>
      <c r="AK397">
        <v>1006.5</v>
      </c>
      <c r="AL397">
        <v>35.799999999999997</v>
      </c>
      <c r="AM397">
        <v>6.8</v>
      </c>
      <c r="AN397">
        <v>0</v>
      </c>
      <c r="AO397">
        <v>0</v>
      </c>
      <c r="AP397">
        <v>0</v>
      </c>
      <c r="AQ397">
        <v>0</v>
      </c>
      <c r="AR397" t="s">
        <v>1350</v>
      </c>
      <c r="AS397" t="s">
        <v>1351</v>
      </c>
      <c r="AT397">
        <v>0.05</v>
      </c>
      <c r="AU397" t="s">
        <v>43</v>
      </c>
      <c r="AV397" t="s">
        <v>44</v>
      </c>
      <c r="AW397" t="s">
        <v>45</v>
      </c>
      <c r="AX397" s="1">
        <v>0.80486111111111114</v>
      </c>
      <c r="AY397" t="s">
        <v>1352</v>
      </c>
      <c r="AZ397">
        <v>81.000000002095476</v>
      </c>
      <c r="BA397">
        <v>0</v>
      </c>
      <c r="BB397">
        <v>0</v>
      </c>
      <c r="BC397">
        <v>0.1</v>
      </c>
      <c r="BD397">
        <v>0</v>
      </c>
      <c r="BE397">
        <f t="shared" si="69"/>
        <v>0</v>
      </c>
    </row>
    <row r="398" spans="1:57" x14ac:dyDescent="0.25">
      <c r="A398" t="s">
        <v>39</v>
      </c>
      <c r="B398" t="s">
        <v>1325</v>
      </c>
      <c r="C398">
        <v>62.7</v>
      </c>
      <c r="D398">
        <v>50.1</v>
      </c>
      <c r="G398">
        <f t="shared" si="60"/>
        <v>1</v>
      </c>
      <c r="H398">
        <f t="shared" si="61"/>
        <v>1</v>
      </c>
      <c r="I398">
        <f t="shared" si="62"/>
        <v>0</v>
      </c>
      <c r="J398">
        <v>57.2</v>
      </c>
      <c r="K398">
        <v>62.7</v>
      </c>
      <c r="L398">
        <v>50.1</v>
      </c>
      <c r="M398">
        <v>57.2</v>
      </c>
      <c r="N398">
        <v>48.4</v>
      </c>
      <c r="O398">
        <v>72.900000000000006</v>
      </c>
      <c r="S398">
        <f t="shared" si="63"/>
        <v>1</v>
      </c>
      <c r="T398">
        <f t="shared" si="64"/>
        <v>1</v>
      </c>
      <c r="U398">
        <f t="shared" si="65"/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20.8</v>
      </c>
      <c r="AG398">
        <f t="shared" si="66"/>
        <v>1</v>
      </c>
      <c r="AH398">
        <f t="shared" si="67"/>
        <v>1</v>
      </c>
      <c r="AI398">
        <f t="shared" si="68"/>
        <v>0</v>
      </c>
      <c r="AJ398">
        <v>155.80000000000001</v>
      </c>
      <c r="AK398">
        <v>1024.4000000000001</v>
      </c>
      <c r="AL398">
        <v>0</v>
      </c>
      <c r="AM398">
        <v>6.2</v>
      </c>
      <c r="AN398">
        <v>0</v>
      </c>
      <c r="AO398">
        <v>0</v>
      </c>
      <c r="AP398">
        <v>0</v>
      </c>
      <c r="AQ398">
        <v>0</v>
      </c>
      <c r="AR398" t="s">
        <v>1326</v>
      </c>
      <c r="AS398" t="s">
        <v>1327</v>
      </c>
      <c r="AT398">
        <v>0.54</v>
      </c>
      <c r="AU398" t="s">
        <v>74</v>
      </c>
      <c r="AV398" t="s">
        <v>44</v>
      </c>
      <c r="AW398" t="s">
        <v>75</v>
      </c>
      <c r="AX398" s="1">
        <v>0.61041666666666672</v>
      </c>
      <c r="AY398" t="s">
        <v>1353</v>
      </c>
      <c r="AZ398">
        <v>130.99999999743889</v>
      </c>
      <c r="BA398">
        <v>0</v>
      </c>
      <c r="BB398">
        <v>0</v>
      </c>
      <c r="BC398">
        <v>3</v>
      </c>
      <c r="BD398">
        <v>0</v>
      </c>
      <c r="BE398">
        <f t="shared" si="69"/>
        <v>1</v>
      </c>
    </row>
    <row r="399" spans="1:57" x14ac:dyDescent="0.25">
      <c r="A399" t="s">
        <v>39</v>
      </c>
      <c r="B399" t="s">
        <v>1354</v>
      </c>
      <c r="C399">
        <v>64.5</v>
      </c>
      <c r="D399">
        <v>59.1</v>
      </c>
      <c r="G399">
        <f t="shared" si="60"/>
        <v>1</v>
      </c>
      <c r="H399">
        <f t="shared" si="61"/>
        <v>1</v>
      </c>
      <c r="I399">
        <f t="shared" si="62"/>
        <v>0</v>
      </c>
      <c r="J399">
        <v>61.1</v>
      </c>
      <c r="K399">
        <v>64.5</v>
      </c>
      <c r="L399">
        <v>59.1</v>
      </c>
      <c r="M399">
        <v>61.1</v>
      </c>
      <c r="N399">
        <v>48.8</v>
      </c>
      <c r="O399">
        <v>64.400000000000006</v>
      </c>
      <c r="S399">
        <f t="shared" si="63"/>
        <v>1</v>
      </c>
      <c r="T399">
        <f t="shared" si="64"/>
        <v>0</v>
      </c>
      <c r="U399">
        <f t="shared" si="65"/>
        <v>1</v>
      </c>
      <c r="V399">
        <v>7.8E-2</v>
      </c>
      <c r="W399">
        <v>100</v>
      </c>
      <c r="X399">
        <v>8.33</v>
      </c>
      <c r="Y399" t="s">
        <v>103</v>
      </c>
      <c r="Z399">
        <v>0</v>
      </c>
      <c r="AA399">
        <v>0</v>
      </c>
      <c r="AB399">
        <v>0</v>
      </c>
      <c r="AC399">
        <v>30</v>
      </c>
      <c r="AG399">
        <f t="shared" si="66"/>
        <v>1</v>
      </c>
      <c r="AH399">
        <f t="shared" si="67"/>
        <v>1</v>
      </c>
      <c r="AI399">
        <f t="shared" si="68"/>
        <v>0</v>
      </c>
      <c r="AJ399">
        <v>169.5</v>
      </c>
      <c r="AK399">
        <v>1023.1</v>
      </c>
      <c r="AL399">
        <v>92.5</v>
      </c>
      <c r="AM399">
        <v>6.8</v>
      </c>
      <c r="AN399">
        <v>0</v>
      </c>
      <c r="AO399">
        <v>0</v>
      </c>
      <c r="AP399">
        <v>0</v>
      </c>
      <c r="AQ399">
        <v>0</v>
      </c>
      <c r="AR399" t="s">
        <v>1355</v>
      </c>
      <c r="AS399" t="s">
        <v>1356</v>
      </c>
      <c r="AT399">
        <v>0.53</v>
      </c>
      <c r="AU399" t="s">
        <v>1357</v>
      </c>
      <c r="AV399" t="s">
        <v>1358</v>
      </c>
      <c r="AW399" t="s">
        <v>103</v>
      </c>
      <c r="AX399" s="1">
        <v>0.62430555555555556</v>
      </c>
      <c r="AY399" t="s">
        <v>1359</v>
      </c>
      <c r="AZ399">
        <v>140.99999999860299</v>
      </c>
      <c r="BA399">
        <v>0</v>
      </c>
      <c r="BB399">
        <v>0</v>
      </c>
      <c r="BC399">
        <v>2</v>
      </c>
      <c r="BD399">
        <v>0</v>
      </c>
      <c r="BE399">
        <f t="shared" si="69"/>
        <v>1</v>
      </c>
    </row>
    <row r="400" spans="1:57" x14ac:dyDescent="0.25">
      <c r="A400" t="s">
        <v>39</v>
      </c>
      <c r="B400" t="s">
        <v>1360</v>
      </c>
      <c r="C400">
        <v>62.7</v>
      </c>
      <c r="D400">
        <v>50.1</v>
      </c>
      <c r="G400">
        <f t="shared" si="60"/>
        <v>0</v>
      </c>
      <c r="H400">
        <f t="shared" si="61"/>
        <v>0</v>
      </c>
      <c r="I400">
        <f t="shared" si="62"/>
        <v>0</v>
      </c>
      <c r="J400">
        <v>56.8</v>
      </c>
      <c r="K400">
        <v>62.7</v>
      </c>
      <c r="L400">
        <v>50.1</v>
      </c>
      <c r="M400">
        <v>56.8</v>
      </c>
      <c r="N400">
        <v>48.8</v>
      </c>
      <c r="O400">
        <v>75.099999999999994</v>
      </c>
      <c r="S400">
        <f t="shared" si="63"/>
        <v>1</v>
      </c>
      <c r="T400">
        <f t="shared" si="64"/>
        <v>1</v>
      </c>
      <c r="U400">
        <f t="shared" si="65"/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10.3</v>
      </c>
      <c r="AG400">
        <f t="shared" si="66"/>
        <v>1</v>
      </c>
      <c r="AH400">
        <f t="shared" si="67"/>
        <v>0</v>
      </c>
      <c r="AI400">
        <f t="shared" si="68"/>
        <v>1</v>
      </c>
      <c r="AJ400">
        <v>149.19999999999999</v>
      </c>
      <c r="AK400">
        <v>1023.9</v>
      </c>
      <c r="AL400">
        <v>40</v>
      </c>
      <c r="AM400">
        <v>6.6</v>
      </c>
      <c r="AN400">
        <v>0</v>
      </c>
      <c r="AO400">
        <v>0</v>
      </c>
      <c r="AP400">
        <v>0</v>
      </c>
      <c r="AQ400">
        <v>0</v>
      </c>
      <c r="AR400" t="s">
        <v>1361</v>
      </c>
      <c r="AS400" t="s">
        <v>1362</v>
      </c>
      <c r="AT400">
        <v>0</v>
      </c>
      <c r="AU400" t="s">
        <v>43</v>
      </c>
      <c r="AV400" t="s">
        <v>44</v>
      </c>
      <c r="AW400" t="s">
        <v>45</v>
      </c>
      <c r="AX400" s="1">
        <v>0.5131944444444444</v>
      </c>
      <c r="AY400" t="s">
        <v>1363</v>
      </c>
      <c r="AZ400">
        <v>111.00000000558791</v>
      </c>
      <c r="BA400">
        <v>0</v>
      </c>
      <c r="BB400">
        <v>0</v>
      </c>
      <c r="BC400">
        <v>1</v>
      </c>
      <c r="BD400">
        <v>0</v>
      </c>
      <c r="BE400">
        <f t="shared" si="69"/>
        <v>0</v>
      </c>
    </row>
    <row r="401" spans="1:57" x14ac:dyDescent="0.25">
      <c r="A401" t="s">
        <v>39</v>
      </c>
      <c r="B401" t="s">
        <v>1364</v>
      </c>
      <c r="C401">
        <v>77.099999999999994</v>
      </c>
      <c r="D401">
        <v>71.7</v>
      </c>
      <c r="G401">
        <f t="shared" si="60"/>
        <v>1</v>
      </c>
      <c r="H401">
        <f t="shared" si="61"/>
        <v>0</v>
      </c>
      <c r="I401">
        <f t="shared" si="62"/>
        <v>1</v>
      </c>
      <c r="J401">
        <v>73.599999999999994</v>
      </c>
      <c r="K401">
        <v>77.099999999999994</v>
      </c>
      <c r="L401">
        <v>71.7</v>
      </c>
      <c r="M401">
        <v>73.599999999999994</v>
      </c>
      <c r="N401">
        <v>59.9</v>
      </c>
      <c r="O401">
        <v>62.5</v>
      </c>
      <c r="S401">
        <f t="shared" si="63"/>
        <v>1</v>
      </c>
      <c r="T401">
        <f t="shared" si="64"/>
        <v>0</v>
      </c>
      <c r="U401">
        <f t="shared" si="65"/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20.8</v>
      </c>
      <c r="AG401">
        <f t="shared" si="66"/>
        <v>1</v>
      </c>
      <c r="AH401">
        <f t="shared" si="67"/>
        <v>1</v>
      </c>
      <c r="AI401">
        <f t="shared" si="68"/>
        <v>0</v>
      </c>
      <c r="AJ401">
        <v>299.89999999999998</v>
      </c>
      <c r="AK401">
        <v>1015.2</v>
      </c>
      <c r="AL401">
        <v>37.299999999999997</v>
      </c>
      <c r="AM401">
        <v>6.6</v>
      </c>
      <c r="AN401">
        <v>0</v>
      </c>
      <c r="AO401">
        <v>0</v>
      </c>
      <c r="AP401">
        <v>0</v>
      </c>
      <c r="AQ401">
        <v>0</v>
      </c>
      <c r="AR401" t="s">
        <v>1365</v>
      </c>
      <c r="AS401" t="s">
        <v>1366</v>
      </c>
      <c r="AT401">
        <v>0.14000000000000001</v>
      </c>
      <c r="AU401" t="s">
        <v>43</v>
      </c>
      <c r="AV401" t="s">
        <v>44</v>
      </c>
      <c r="AW401" t="s">
        <v>45</v>
      </c>
      <c r="AX401" s="1">
        <v>0.38541666666666669</v>
      </c>
      <c r="AY401" t="s">
        <v>1367</v>
      </c>
      <c r="AZ401">
        <v>185.00000000582079</v>
      </c>
      <c r="BA401">
        <v>0</v>
      </c>
      <c r="BB401">
        <v>20</v>
      </c>
      <c r="BC401">
        <v>0</v>
      </c>
      <c r="BD401">
        <v>0</v>
      </c>
      <c r="BE401">
        <f t="shared" si="69"/>
        <v>1</v>
      </c>
    </row>
    <row r="402" spans="1:57" x14ac:dyDescent="0.25">
      <c r="A402" t="s">
        <v>39</v>
      </c>
      <c r="B402" t="s">
        <v>1368</v>
      </c>
      <c r="C402">
        <v>62.7</v>
      </c>
      <c r="D402">
        <v>50.1</v>
      </c>
      <c r="G402">
        <f t="shared" si="60"/>
        <v>1</v>
      </c>
      <c r="H402">
        <f t="shared" si="61"/>
        <v>1</v>
      </c>
      <c r="I402">
        <f t="shared" si="62"/>
        <v>0</v>
      </c>
      <c r="J402">
        <v>56.5</v>
      </c>
      <c r="K402">
        <v>62.7</v>
      </c>
      <c r="L402">
        <v>50.1</v>
      </c>
      <c r="M402">
        <v>56.5</v>
      </c>
      <c r="N402">
        <v>48.4</v>
      </c>
      <c r="O402">
        <v>74.599999999999994</v>
      </c>
      <c r="S402">
        <f t="shared" si="63"/>
        <v>1</v>
      </c>
      <c r="T402">
        <f t="shared" si="64"/>
        <v>1</v>
      </c>
      <c r="U402">
        <f t="shared" si="65"/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17.2</v>
      </c>
      <c r="AG402">
        <f t="shared" si="66"/>
        <v>1</v>
      </c>
      <c r="AH402">
        <f t="shared" si="67"/>
        <v>0</v>
      </c>
      <c r="AI402">
        <f t="shared" si="68"/>
        <v>1</v>
      </c>
      <c r="AJ402">
        <v>156.9</v>
      </c>
      <c r="AK402">
        <v>1021.7</v>
      </c>
      <c r="AL402">
        <v>50</v>
      </c>
      <c r="AM402">
        <v>6.3</v>
      </c>
      <c r="AN402">
        <v>0</v>
      </c>
      <c r="AO402">
        <v>0</v>
      </c>
      <c r="AP402">
        <v>0</v>
      </c>
      <c r="AQ402">
        <v>0</v>
      </c>
      <c r="AR402" t="s">
        <v>1369</v>
      </c>
      <c r="AS402" t="s">
        <v>1370</v>
      </c>
      <c r="AT402">
        <v>0.56999999999999995</v>
      </c>
      <c r="AU402" t="s">
        <v>43</v>
      </c>
      <c r="AV402" t="s">
        <v>44</v>
      </c>
      <c r="AW402" t="s">
        <v>45</v>
      </c>
      <c r="AX402" s="1">
        <v>0.5756944444444444</v>
      </c>
      <c r="AY402" t="s">
        <v>1371</v>
      </c>
      <c r="AZ402">
        <v>46.000000003259629</v>
      </c>
      <c r="BA402">
        <v>0</v>
      </c>
      <c r="BB402">
        <v>0</v>
      </c>
      <c r="BC402">
        <v>4</v>
      </c>
      <c r="BD402">
        <v>0</v>
      </c>
      <c r="BE402">
        <f t="shared" si="69"/>
        <v>1</v>
      </c>
    </row>
    <row r="403" spans="1:57" x14ac:dyDescent="0.25">
      <c r="A403" t="s">
        <v>39</v>
      </c>
      <c r="B403" t="s">
        <v>1372</v>
      </c>
      <c r="C403">
        <v>59.1</v>
      </c>
      <c r="D403">
        <v>39.299999999999997</v>
      </c>
      <c r="G403">
        <f t="shared" si="60"/>
        <v>0</v>
      </c>
      <c r="H403">
        <f t="shared" si="61"/>
        <v>0</v>
      </c>
      <c r="I403">
        <f t="shared" si="62"/>
        <v>0</v>
      </c>
      <c r="J403">
        <v>50.3</v>
      </c>
      <c r="K403">
        <v>59.1</v>
      </c>
      <c r="L403">
        <v>33.1</v>
      </c>
      <c r="M403">
        <v>48</v>
      </c>
      <c r="N403">
        <v>37.200000000000003</v>
      </c>
      <c r="O403">
        <v>61.6</v>
      </c>
      <c r="S403">
        <f t="shared" si="63"/>
        <v>1</v>
      </c>
      <c r="T403">
        <f t="shared" si="64"/>
        <v>0</v>
      </c>
      <c r="U403">
        <f t="shared" si="65"/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17.2</v>
      </c>
      <c r="AG403">
        <f t="shared" si="66"/>
        <v>1</v>
      </c>
      <c r="AH403">
        <f t="shared" si="67"/>
        <v>0</v>
      </c>
      <c r="AI403">
        <f t="shared" si="68"/>
        <v>1</v>
      </c>
      <c r="AJ403">
        <v>241.9</v>
      </c>
      <c r="AK403">
        <v>1018.8</v>
      </c>
      <c r="AL403">
        <v>56.1</v>
      </c>
      <c r="AM403">
        <v>6.8</v>
      </c>
      <c r="AN403">
        <v>0</v>
      </c>
      <c r="AO403">
        <v>0</v>
      </c>
      <c r="AP403">
        <v>0</v>
      </c>
      <c r="AQ403">
        <v>0</v>
      </c>
      <c r="AR403" t="s">
        <v>1373</v>
      </c>
      <c r="AS403" t="s">
        <v>1374</v>
      </c>
      <c r="AT403">
        <v>0.97</v>
      </c>
      <c r="AU403" t="s">
        <v>43</v>
      </c>
      <c r="AV403" t="s">
        <v>44</v>
      </c>
      <c r="AW403" t="s">
        <v>45</v>
      </c>
      <c r="AX403" s="1">
        <v>0.62430555555555556</v>
      </c>
      <c r="AY403" t="s">
        <v>1375</v>
      </c>
      <c r="AZ403">
        <v>91.000000003259629</v>
      </c>
      <c r="BA403">
        <v>0</v>
      </c>
      <c r="BB403">
        <v>0</v>
      </c>
      <c r="BC403">
        <v>4.5</v>
      </c>
      <c r="BD403">
        <v>0</v>
      </c>
      <c r="BE403">
        <f t="shared" si="69"/>
        <v>0</v>
      </c>
    </row>
    <row r="404" spans="1:57" x14ac:dyDescent="0.25">
      <c r="A404" t="s">
        <v>39</v>
      </c>
      <c r="B404" t="s">
        <v>1376</v>
      </c>
      <c r="C404">
        <v>64.5</v>
      </c>
      <c r="D404">
        <v>51.9</v>
      </c>
      <c r="G404">
        <f t="shared" si="60"/>
        <v>1</v>
      </c>
      <c r="H404">
        <f t="shared" si="61"/>
        <v>1</v>
      </c>
      <c r="I404">
        <f t="shared" si="62"/>
        <v>0</v>
      </c>
      <c r="J404">
        <v>57.8</v>
      </c>
      <c r="K404">
        <v>64.5</v>
      </c>
      <c r="L404">
        <v>51.9</v>
      </c>
      <c r="M404">
        <v>57.8</v>
      </c>
      <c r="N404">
        <v>48.1</v>
      </c>
      <c r="O404">
        <v>70.900000000000006</v>
      </c>
      <c r="S404">
        <f t="shared" si="63"/>
        <v>1</v>
      </c>
      <c r="T404">
        <f t="shared" si="64"/>
        <v>1</v>
      </c>
      <c r="U404">
        <f t="shared" si="65"/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11.4</v>
      </c>
      <c r="AG404">
        <f t="shared" si="66"/>
        <v>1</v>
      </c>
      <c r="AH404">
        <f t="shared" si="67"/>
        <v>0</v>
      </c>
      <c r="AI404">
        <f t="shared" si="68"/>
        <v>1</v>
      </c>
      <c r="AJ404">
        <v>140.69999999999999</v>
      </c>
      <c r="AK404">
        <v>1017</v>
      </c>
      <c r="AL404">
        <v>59.2</v>
      </c>
      <c r="AM404">
        <v>6.5</v>
      </c>
      <c r="AN404">
        <v>0</v>
      </c>
      <c r="AO404">
        <v>0</v>
      </c>
      <c r="AP404">
        <v>0</v>
      </c>
      <c r="AQ404">
        <v>0</v>
      </c>
      <c r="AR404" t="s">
        <v>1377</v>
      </c>
      <c r="AS404" t="s">
        <v>1378</v>
      </c>
      <c r="AT404">
        <v>0.08</v>
      </c>
      <c r="AU404" t="s">
        <v>43</v>
      </c>
      <c r="AV404" t="s">
        <v>44</v>
      </c>
      <c r="AW404" t="s">
        <v>45</v>
      </c>
      <c r="AX404" s="1">
        <v>0.50624999999999998</v>
      </c>
      <c r="AY404" t="s">
        <v>1379</v>
      </c>
      <c r="AZ404">
        <v>171.0000000020955</v>
      </c>
      <c r="BA404">
        <v>0</v>
      </c>
      <c r="BB404">
        <v>0</v>
      </c>
      <c r="BC404">
        <v>1</v>
      </c>
      <c r="BD404">
        <v>0</v>
      </c>
      <c r="BE404">
        <f t="shared" si="69"/>
        <v>1</v>
      </c>
    </row>
    <row r="405" spans="1:57" x14ac:dyDescent="0.25">
      <c r="A405" t="s">
        <v>39</v>
      </c>
      <c r="B405" t="s">
        <v>1380</v>
      </c>
      <c r="C405">
        <v>78.900000000000006</v>
      </c>
      <c r="D405">
        <v>62.7</v>
      </c>
      <c r="G405">
        <f t="shared" si="60"/>
        <v>1</v>
      </c>
      <c r="H405">
        <f t="shared" si="61"/>
        <v>1</v>
      </c>
      <c r="I405">
        <f t="shared" si="62"/>
        <v>0</v>
      </c>
      <c r="J405">
        <v>69.900000000000006</v>
      </c>
      <c r="K405">
        <v>78.900000000000006</v>
      </c>
      <c r="L405">
        <v>62.7</v>
      </c>
      <c r="M405">
        <v>69.900000000000006</v>
      </c>
      <c r="N405">
        <v>49.4</v>
      </c>
      <c r="O405">
        <v>49.1</v>
      </c>
      <c r="S405">
        <f t="shared" si="63"/>
        <v>1</v>
      </c>
      <c r="T405">
        <f t="shared" si="64"/>
        <v>0</v>
      </c>
      <c r="U405">
        <f t="shared" si="65"/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17.2</v>
      </c>
      <c r="AG405">
        <f t="shared" si="66"/>
        <v>0</v>
      </c>
      <c r="AH405">
        <f t="shared" si="67"/>
        <v>0</v>
      </c>
      <c r="AI405">
        <f t="shared" si="68"/>
        <v>0</v>
      </c>
      <c r="AJ405">
        <v>198.3</v>
      </c>
      <c r="AK405">
        <v>1011.1</v>
      </c>
      <c r="AL405">
        <v>34.4</v>
      </c>
      <c r="AM405">
        <v>6.4</v>
      </c>
      <c r="AN405">
        <v>0</v>
      </c>
      <c r="AO405">
        <v>0</v>
      </c>
      <c r="AP405">
        <v>0</v>
      </c>
      <c r="AQ405">
        <v>0</v>
      </c>
      <c r="AR405" t="s">
        <v>1381</v>
      </c>
      <c r="AS405" t="s">
        <v>1382</v>
      </c>
      <c r="AT405">
        <v>0.59</v>
      </c>
      <c r="AU405" t="s">
        <v>43</v>
      </c>
      <c r="AV405" t="s">
        <v>44</v>
      </c>
      <c r="AW405" t="s">
        <v>45</v>
      </c>
      <c r="AX405" s="1">
        <v>0.62777777777777777</v>
      </c>
      <c r="AY405" t="s">
        <v>1383</v>
      </c>
      <c r="AZ405">
        <v>155.99999999511061</v>
      </c>
      <c r="BA405">
        <v>0</v>
      </c>
      <c r="BB405">
        <v>0</v>
      </c>
      <c r="BC405">
        <v>1</v>
      </c>
      <c r="BD405">
        <v>0</v>
      </c>
      <c r="BE405">
        <f t="shared" si="69"/>
        <v>0</v>
      </c>
    </row>
    <row r="406" spans="1:57" x14ac:dyDescent="0.25">
      <c r="A406" t="s">
        <v>39</v>
      </c>
      <c r="B406" t="s">
        <v>1384</v>
      </c>
      <c r="C406">
        <v>78.900000000000006</v>
      </c>
      <c r="D406">
        <v>73.5</v>
      </c>
      <c r="G406">
        <f t="shared" si="60"/>
        <v>0</v>
      </c>
      <c r="H406">
        <f t="shared" si="61"/>
        <v>0</v>
      </c>
      <c r="I406">
        <f t="shared" si="62"/>
        <v>0</v>
      </c>
      <c r="J406">
        <v>76.099999999999994</v>
      </c>
      <c r="K406">
        <v>78.900000000000006</v>
      </c>
      <c r="L406">
        <v>73.5</v>
      </c>
      <c r="M406">
        <v>76.099999999999994</v>
      </c>
      <c r="N406">
        <v>60.9</v>
      </c>
      <c r="O406">
        <v>59.9</v>
      </c>
      <c r="S406">
        <f t="shared" si="63"/>
        <v>0</v>
      </c>
      <c r="T406">
        <f t="shared" si="64"/>
        <v>0</v>
      </c>
      <c r="U406">
        <f t="shared" si="65"/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19.5</v>
      </c>
      <c r="AG406">
        <f t="shared" si="66"/>
        <v>1</v>
      </c>
      <c r="AH406">
        <f t="shared" si="67"/>
        <v>1</v>
      </c>
      <c r="AI406">
        <f t="shared" si="68"/>
        <v>0</v>
      </c>
      <c r="AJ406">
        <v>296.60000000000002</v>
      </c>
      <c r="AK406">
        <v>1010.3</v>
      </c>
      <c r="AL406">
        <v>31.5</v>
      </c>
      <c r="AM406">
        <v>6.6</v>
      </c>
      <c r="AN406">
        <v>0</v>
      </c>
      <c r="AO406">
        <v>0</v>
      </c>
      <c r="AP406">
        <v>0</v>
      </c>
      <c r="AQ406">
        <v>0</v>
      </c>
      <c r="AR406" t="s">
        <v>1385</v>
      </c>
      <c r="AS406" t="s">
        <v>1386</v>
      </c>
      <c r="AT406">
        <v>0.22</v>
      </c>
      <c r="AU406" t="s">
        <v>43</v>
      </c>
      <c r="AV406" t="s">
        <v>44</v>
      </c>
      <c r="AW406" t="s">
        <v>45</v>
      </c>
      <c r="AX406" s="1">
        <v>0.42638888888888887</v>
      </c>
      <c r="AY406" t="s">
        <v>1387</v>
      </c>
      <c r="AZ406">
        <v>686.00000000442378</v>
      </c>
      <c r="BA406">
        <v>1</v>
      </c>
      <c r="BB406">
        <v>0</v>
      </c>
      <c r="BC406">
        <v>2</v>
      </c>
      <c r="BD406">
        <v>0</v>
      </c>
      <c r="BE406">
        <f t="shared" si="69"/>
        <v>0</v>
      </c>
    </row>
    <row r="407" spans="1:57" x14ac:dyDescent="0.25">
      <c r="A407" t="s">
        <v>39</v>
      </c>
      <c r="B407" t="s">
        <v>1388</v>
      </c>
      <c r="C407">
        <v>82.5</v>
      </c>
      <c r="D407">
        <v>77.099999999999994</v>
      </c>
      <c r="G407">
        <f t="shared" si="60"/>
        <v>1</v>
      </c>
      <c r="H407">
        <f t="shared" si="61"/>
        <v>1</v>
      </c>
      <c r="I407">
        <f t="shared" si="62"/>
        <v>0</v>
      </c>
      <c r="J407">
        <v>78.900000000000006</v>
      </c>
      <c r="K407">
        <v>85.5</v>
      </c>
      <c r="L407">
        <v>77.099999999999994</v>
      </c>
      <c r="M407">
        <v>79.900000000000006</v>
      </c>
      <c r="N407">
        <v>67.400000000000006</v>
      </c>
      <c r="O407">
        <v>67.900000000000006</v>
      </c>
      <c r="S407">
        <f t="shared" si="63"/>
        <v>0</v>
      </c>
      <c r="T407">
        <f t="shared" si="64"/>
        <v>0</v>
      </c>
      <c r="U407">
        <f t="shared" si="65"/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20.8</v>
      </c>
      <c r="AG407">
        <f t="shared" si="66"/>
        <v>1</v>
      </c>
      <c r="AH407">
        <f t="shared" si="67"/>
        <v>1</v>
      </c>
      <c r="AI407">
        <f t="shared" si="68"/>
        <v>0</v>
      </c>
      <c r="AJ407">
        <v>296.60000000000002</v>
      </c>
      <c r="AK407">
        <v>1013.7</v>
      </c>
      <c r="AL407">
        <v>35.799999999999997</v>
      </c>
      <c r="AM407">
        <v>6.8</v>
      </c>
      <c r="AN407">
        <v>0</v>
      </c>
      <c r="AO407">
        <v>0</v>
      </c>
      <c r="AP407">
        <v>0</v>
      </c>
      <c r="AQ407">
        <v>0</v>
      </c>
      <c r="AR407" t="s">
        <v>1389</v>
      </c>
      <c r="AS407" t="s">
        <v>1390</v>
      </c>
      <c r="AT407">
        <v>0.67</v>
      </c>
      <c r="AU407" t="s">
        <v>43</v>
      </c>
      <c r="AV407" t="s">
        <v>44</v>
      </c>
      <c r="AW407" t="s">
        <v>45</v>
      </c>
      <c r="AX407" s="1">
        <v>0.49583333333333329</v>
      </c>
      <c r="AY407" t="s">
        <v>1391</v>
      </c>
      <c r="AZ407">
        <v>1595.999999995111</v>
      </c>
      <c r="BA407">
        <v>1</v>
      </c>
      <c r="BB407">
        <v>0</v>
      </c>
      <c r="BC407">
        <v>1</v>
      </c>
      <c r="BD407">
        <v>0</v>
      </c>
      <c r="BE407">
        <f t="shared" si="69"/>
        <v>1</v>
      </c>
    </row>
    <row r="408" spans="1:57" x14ac:dyDescent="0.25">
      <c r="A408" t="s">
        <v>39</v>
      </c>
      <c r="B408" t="s">
        <v>1392</v>
      </c>
      <c r="C408">
        <v>89.7</v>
      </c>
      <c r="D408">
        <v>75.3</v>
      </c>
      <c r="G408">
        <f t="shared" si="60"/>
        <v>1</v>
      </c>
      <c r="H408">
        <f t="shared" si="61"/>
        <v>1</v>
      </c>
      <c r="I408">
        <f t="shared" si="62"/>
        <v>0</v>
      </c>
      <c r="J408">
        <v>81.5</v>
      </c>
      <c r="K408">
        <v>86</v>
      </c>
      <c r="L408">
        <v>75.3</v>
      </c>
      <c r="M408">
        <v>80</v>
      </c>
      <c r="N408">
        <v>45.2</v>
      </c>
      <c r="O408">
        <v>28.9</v>
      </c>
      <c r="S408">
        <f t="shared" si="63"/>
        <v>1</v>
      </c>
      <c r="T408">
        <f t="shared" si="64"/>
        <v>0</v>
      </c>
      <c r="U408">
        <f t="shared" si="65"/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24.2</v>
      </c>
      <c r="AG408">
        <f t="shared" si="66"/>
        <v>1</v>
      </c>
      <c r="AH408">
        <f t="shared" si="67"/>
        <v>1</v>
      </c>
      <c r="AI408">
        <f t="shared" si="68"/>
        <v>0</v>
      </c>
      <c r="AJ408">
        <v>164.9</v>
      </c>
      <c r="AK408">
        <v>1015.7</v>
      </c>
      <c r="AL408">
        <v>30</v>
      </c>
      <c r="AM408">
        <v>6.5</v>
      </c>
      <c r="AN408">
        <v>0</v>
      </c>
      <c r="AO408">
        <v>0</v>
      </c>
      <c r="AP408">
        <v>0</v>
      </c>
      <c r="AQ408">
        <v>0</v>
      </c>
      <c r="AR408" t="s">
        <v>1393</v>
      </c>
      <c r="AS408" t="s">
        <v>1394</v>
      </c>
      <c r="AT408">
        <v>0.12</v>
      </c>
      <c r="AU408" t="s">
        <v>43</v>
      </c>
      <c r="AV408" t="s">
        <v>44</v>
      </c>
      <c r="AW408" t="s">
        <v>45</v>
      </c>
      <c r="AX408" s="1">
        <v>0.67291666666666672</v>
      </c>
      <c r="AY408" t="s">
        <v>1395</v>
      </c>
      <c r="AZ408">
        <v>500.99999999860302</v>
      </c>
      <c r="BA408">
        <v>1</v>
      </c>
      <c r="BB408">
        <v>3</v>
      </c>
      <c r="BC408">
        <v>0</v>
      </c>
      <c r="BD408">
        <v>0</v>
      </c>
      <c r="BE408">
        <f t="shared" si="69"/>
        <v>1</v>
      </c>
    </row>
    <row r="409" spans="1:57" x14ac:dyDescent="0.25">
      <c r="A409" t="s">
        <v>39</v>
      </c>
      <c r="B409" t="s">
        <v>1384</v>
      </c>
      <c r="C409">
        <v>78.900000000000006</v>
      </c>
      <c r="D409">
        <v>73.5</v>
      </c>
      <c r="G409">
        <f t="shared" si="60"/>
        <v>0</v>
      </c>
      <c r="H409">
        <f t="shared" si="61"/>
        <v>0</v>
      </c>
      <c r="I409">
        <f t="shared" si="62"/>
        <v>0</v>
      </c>
      <c r="J409">
        <v>76.099999999999994</v>
      </c>
      <c r="K409">
        <v>78.900000000000006</v>
      </c>
      <c r="L409">
        <v>73.5</v>
      </c>
      <c r="M409">
        <v>76.099999999999994</v>
      </c>
      <c r="N409">
        <v>60.9</v>
      </c>
      <c r="O409">
        <v>59.9</v>
      </c>
      <c r="S409">
        <f t="shared" si="63"/>
        <v>0</v>
      </c>
      <c r="T409">
        <f t="shared" si="64"/>
        <v>0</v>
      </c>
      <c r="U409">
        <f t="shared" si="65"/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19.5</v>
      </c>
      <c r="AG409">
        <f t="shared" si="66"/>
        <v>1</v>
      </c>
      <c r="AH409">
        <f t="shared" si="67"/>
        <v>1</v>
      </c>
      <c r="AI409">
        <f t="shared" si="68"/>
        <v>0</v>
      </c>
      <c r="AJ409">
        <v>296.60000000000002</v>
      </c>
      <c r="AK409">
        <v>1010.3</v>
      </c>
      <c r="AL409">
        <v>31.5</v>
      </c>
      <c r="AM409">
        <v>6.6</v>
      </c>
      <c r="AN409">
        <v>0</v>
      </c>
      <c r="AO409">
        <v>0</v>
      </c>
      <c r="AP409">
        <v>0</v>
      </c>
      <c r="AQ409">
        <v>0</v>
      </c>
      <c r="AR409" t="s">
        <v>1385</v>
      </c>
      <c r="AS409" t="s">
        <v>1386</v>
      </c>
      <c r="AT409">
        <v>0.22</v>
      </c>
      <c r="AU409" t="s">
        <v>43</v>
      </c>
      <c r="AV409" t="s">
        <v>44</v>
      </c>
      <c r="AW409" t="s">
        <v>45</v>
      </c>
      <c r="AX409" s="1">
        <v>0.43333333333333329</v>
      </c>
      <c r="AY409" t="s">
        <v>1396</v>
      </c>
      <c r="AZ409">
        <v>676.00000000325963</v>
      </c>
      <c r="BA409">
        <v>1</v>
      </c>
      <c r="BB409">
        <v>0</v>
      </c>
      <c r="BC409">
        <v>2</v>
      </c>
      <c r="BD409">
        <v>0</v>
      </c>
      <c r="BE409">
        <f t="shared" si="69"/>
        <v>0</v>
      </c>
    </row>
    <row r="410" spans="1:57" x14ac:dyDescent="0.25">
      <c r="A410" t="s">
        <v>39</v>
      </c>
      <c r="B410" t="s">
        <v>1397</v>
      </c>
      <c r="C410">
        <v>73.5</v>
      </c>
      <c r="D410">
        <v>59.1</v>
      </c>
      <c r="G410">
        <f t="shared" si="60"/>
        <v>1</v>
      </c>
      <c r="H410">
        <f t="shared" si="61"/>
        <v>0</v>
      </c>
      <c r="I410">
        <f t="shared" si="62"/>
        <v>1</v>
      </c>
      <c r="J410">
        <v>68</v>
      </c>
      <c r="K410">
        <v>73.5</v>
      </c>
      <c r="L410">
        <v>59.1</v>
      </c>
      <c r="M410">
        <v>68</v>
      </c>
      <c r="N410">
        <v>55.1</v>
      </c>
      <c r="O410">
        <v>64.099999999999994</v>
      </c>
      <c r="S410">
        <f t="shared" si="63"/>
        <v>1</v>
      </c>
      <c r="T410">
        <f t="shared" si="64"/>
        <v>1</v>
      </c>
      <c r="U410">
        <f t="shared" si="65"/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20.8</v>
      </c>
      <c r="AG410">
        <f t="shared" si="66"/>
        <v>1</v>
      </c>
      <c r="AH410">
        <f t="shared" si="67"/>
        <v>1</v>
      </c>
      <c r="AI410">
        <f t="shared" si="68"/>
        <v>0</v>
      </c>
      <c r="AJ410">
        <v>293.10000000000002</v>
      </c>
      <c r="AK410">
        <v>1016.3</v>
      </c>
      <c r="AL410">
        <v>30</v>
      </c>
      <c r="AM410">
        <v>6.4</v>
      </c>
      <c r="AN410">
        <v>0</v>
      </c>
      <c r="AO410">
        <v>0</v>
      </c>
      <c r="AP410">
        <v>0</v>
      </c>
      <c r="AQ410">
        <v>0</v>
      </c>
      <c r="AR410" t="s">
        <v>1398</v>
      </c>
      <c r="AS410" t="s">
        <v>1399</v>
      </c>
      <c r="AT410">
        <v>0.47</v>
      </c>
      <c r="AU410" t="s">
        <v>43</v>
      </c>
      <c r="AV410" t="s">
        <v>44</v>
      </c>
      <c r="AW410" t="s">
        <v>45</v>
      </c>
      <c r="AX410" s="1">
        <v>0.54166666666666663</v>
      </c>
      <c r="AY410" t="s">
        <v>1400</v>
      </c>
      <c r="AZ410">
        <v>2900.0000000023279</v>
      </c>
      <c r="BA410">
        <v>1</v>
      </c>
      <c r="BB410">
        <v>0</v>
      </c>
      <c r="BC410">
        <v>5</v>
      </c>
      <c r="BD410">
        <v>0</v>
      </c>
      <c r="BE410">
        <f t="shared" si="69"/>
        <v>1</v>
      </c>
    </row>
    <row r="411" spans="1:57" x14ac:dyDescent="0.25">
      <c r="A411" t="s">
        <v>39</v>
      </c>
      <c r="B411" t="s">
        <v>1401</v>
      </c>
      <c r="C411">
        <v>66.3</v>
      </c>
      <c r="D411">
        <v>55.5</v>
      </c>
      <c r="G411">
        <f t="shared" si="60"/>
        <v>0</v>
      </c>
      <c r="H411">
        <f t="shared" si="61"/>
        <v>0</v>
      </c>
      <c r="I411">
        <f t="shared" si="62"/>
        <v>0</v>
      </c>
      <c r="J411">
        <v>61.8</v>
      </c>
      <c r="K411">
        <v>66.3</v>
      </c>
      <c r="L411">
        <v>55.5</v>
      </c>
      <c r="M411">
        <v>61.8</v>
      </c>
      <c r="N411">
        <v>44.4</v>
      </c>
      <c r="O411">
        <v>53.8</v>
      </c>
      <c r="S411">
        <f t="shared" si="63"/>
        <v>1</v>
      </c>
      <c r="T411">
        <f t="shared" si="64"/>
        <v>0</v>
      </c>
      <c r="U411">
        <f t="shared" si="65"/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20.8</v>
      </c>
      <c r="AG411">
        <f t="shared" si="66"/>
        <v>1</v>
      </c>
      <c r="AH411">
        <f t="shared" si="67"/>
        <v>1</v>
      </c>
      <c r="AI411">
        <f t="shared" si="68"/>
        <v>0</v>
      </c>
      <c r="AJ411">
        <v>295.60000000000002</v>
      </c>
      <c r="AK411">
        <v>1019.1</v>
      </c>
      <c r="AL411">
        <v>42</v>
      </c>
      <c r="AM411">
        <v>6.7</v>
      </c>
      <c r="AN411">
        <v>0</v>
      </c>
      <c r="AO411">
        <v>0</v>
      </c>
      <c r="AP411">
        <v>0</v>
      </c>
      <c r="AQ411">
        <v>0</v>
      </c>
      <c r="AR411" t="s">
        <v>1402</v>
      </c>
      <c r="AS411" t="s">
        <v>1403</v>
      </c>
      <c r="AT411">
        <v>0.85</v>
      </c>
      <c r="AU411" t="s">
        <v>43</v>
      </c>
      <c r="AV411" t="s">
        <v>44</v>
      </c>
      <c r="AW411" t="s">
        <v>45</v>
      </c>
      <c r="AX411" s="1">
        <v>0.57222222222222219</v>
      </c>
      <c r="AY411" t="s">
        <v>1404</v>
      </c>
      <c r="AZ411">
        <v>165.99999999627471</v>
      </c>
      <c r="BA411">
        <v>0</v>
      </c>
      <c r="BB411">
        <v>0</v>
      </c>
      <c r="BC411">
        <v>1</v>
      </c>
      <c r="BD411">
        <v>0</v>
      </c>
      <c r="BE411">
        <f t="shared" si="69"/>
        <v>0</v>
      </c>
    </row>
    <row r="412" spans="1:57" x14ac:dyDescent="0.25">
      <c r="A412" t="s">
        <v>39</v>
      </c>
      <c r="B412" t="s">
        <v>1405</v>
      </c>
      <c r="C412">
        <v>84.3</v>
      </c>
      <c r="D412">
        <v>73.5</v>
      </c>
      <c r="G412">
        <f t="shared" si="60"/>
        <v>0</v>
      </c>
      <c r="H412">
        <f t="shared" si="61"/>
        <v>0</v>
      </c>
      <c r="I412">
        <f t="shared" si="62"/>
        <v>0</v>
      </c>
      <c r="J412">
        <v>80.599999999999994</v>
      </c>
      <c r="K412">
        <v>86.6</v>
      </c>
      <c r="L412">
        <v>73.5</v>
      </c>
      <c r="M412">
        <v>81.5</v>
      </c>
      <c r="N412">
        <v>63.4</v>
      </c>
      <c r="O412">
        <v>56.3</v>
      </c>
      <c r="S412">
        <f t="shared" si="63"/>
        <v>1</v>
      </c>
      <c r="T412">
        <f t="shared" si="64"/>
        <v>0</v>
      </c>
      <c r="U412">
        <f t="shared" si="65"/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15</v>
      </c>
      <c r="AG412">
        <f t="shared" si="66"/>
        <v>1</v>
      </c>
      <c r="AH412">
        <f t="shared" si="67"/>
        <v>0</v>
      </c>
      <c r="AI412">
        <f t="shared" si="68"/>
        <v>1</v>
      </c>
      <c r="AJ412">
        <v>302</v>
      </c>
      <c r="AK412">
        <v>1010.5</v>
      </c>
      <c r="AL412">
        <v>30</v>
      </c>
      <c r="AM412">
        <v>6.3</v>
      </c>
      <c r="AN412">
        <v>0</v>
      </c>
      <c r="AO412">
        <v>0</v>
      </c>
      <c r="AP412">
        <v>0</v>
      </c>
      <c r="AQ412">
        <v>0</v>
      </c>
      <c r="AR412" t="s">
        <v>1406</v>
      </c>
      <c r="AS412" t="s">
        <v>1407</v>
      </c>
      <c r="AT412">
        <v>0.91</v>
      </c>
      <c r="AU412" t="s">
        <v>43</v>
      </c>
      <c r="AV412" t="s">
        <v>44</v>
      </c>
      <c r="AW412" t="s">
        <v>45</v>
      </c>
      <c r="AX412" s="1">
        <v>0.1013888888888889</v>
      </c>
      <c r="AY412" t="s">
        <v>1408</v>
      </c>
      <c r="AZ412">
        <v>273.99999999208381</v>
      </c>
      <c r="BA412">
        <v>0</v>
      </c>
      <c r="BB412">
        <v>0</v>
      </c>
      <c r="BC412">
        <v>2</v>
      </c>
      <c r="BD412">
        <v>0</v>
      </c>
      <c r="BE412">
        <f t="shared" si="69"/>
        <v>0</v>
      </c>
    </row>
    <row r="413" spans="1:57" x14ac:dyDescent="0.25">
      <c r="A413" t="s">
        <v>39</v>
      </c>
      <c r="B413" t="s">
        <v>1317</v>
      </c>
      <c r="C413">
        <v>71.7</v>
      </c>
      <c r="D413">
        <v>51.9</v>
      </c>
      <c r="G413">
        <f t="shared" si="60"/>
        <v>1</v>
      </c>
      <c r="H413">
        <f t="shared" si="61"/>
        <v>1</v>
      </c>
      <c r="I413">
        <f t="shared" si="62"/>
        <v>0</v>
      </c>
      <c r="J413">
        <v>60.7</v>
      </c>
      <c r="K413">
        <v>71.7</v>
      </c>
      <c r="L413">
        <v>51.9</v>
      </c>
      <c r="M413">
        <v>60.7</v>
      </c>
      <c r="N413">
        <v>48.4</v>
      </c>
      <c r="O413">
        <v>65.400000000000006</v>
      </c>
      <c r="S413">
        <f t="shared" si="63"/>
        <v>0</v>
      </c>
      <c r="T413">
        <f t="shared" si="64"/>
        <v>0</v>
      </c>
      <c r="U413">
        <f t="shared" si="65"/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12.8</v>
      </c>
      <c r="AG413">
        <f t="shared" si="66"/>
        <v>1</v>
      </c>
      <c r="AH413">
        <f t="shared" si="67"/>
        <v>0</v>
      </c>
      <c r="AI413">
        <f t="shared" si="68"/>
        <v>1</v>
      </c>
      <c r="AJ413">
        <v>161.6</v>
      </c>
      <c r="AK413">
        <v>1015.2</v>
      </c>
      <c r="AL413">
        <v>44.5</v>
      </c>
      <c r="AM413">
        <v>6.8</v>
      </c>
      <c r="AN413">
        <v>0</v>
      </c>
      <c r="AO413">
        <v>0</v>
      </c>
      <c r="AP413">
        <v>0</v>
      </c>
      <c r="AQ413">
        <v>0</v>
      </c>
      <c r="AR413" t="s">
        <v>1318</v>
      </c>
      <c r="AS413" t="s">
        <v>1319</v>
      </c>
      <c r="AT413">
        <v>0.25</v>
      </c>
      <c r="AU413" t="s">
        <v>43</v>
      </c>
      <c r="AV413" t="s">
        <v>44</v>
      </c>
      <c r="AW413" t="s">
        <v>45</v>
      </c>
      <c r="AX413" s="1">
        <v>0.55486111111111114</v>
      </c>
      <c r="AY413" t="s">
        <v>1409</v>
      </c>
      <c r="AZ413">
        <v>246.00000000558791</v>
      </c>
      <c r="BA413">
        <v>0</v>
      </c>
      <c r="BB413">
        <v>0</v>
      </c>
      <c r="BC413">
        <v>2</v>
      </c>
      <c r="BD413">
        <v>0</v>
      </c>
      <c r="BE413">
        <f t="shared" si="69"/>
        <v>0</v>
      </c>
    </row>
    <row r="414" spans="1:57" x14ac:dyDescent="0.25">
      <c r="A414" t="s">
        <v>39</v>
      </c>
      <c r="B414" t="s">
        <v>1325</v>
      </c>
      <c r="C414">
        <v>62.7</v>
      </c>
      <c r="D414">
        <v>50.1</v>
      </c>
      <c r="G414">
        <f t="shared" si="60"/>
        <v>1</v>
      </c>
      <c r="H414">
        <f t="shared" si="61"/>
        <v>1</v>
      </c>
      <c r="I414">
        <f t="shared" si="62"/>
        <v>0</v>
      </c>
      <c r="J414">
        <v>57.2</v>
      </c>
      <c r="K414">
        <v>62.7</v>
      </c>
      <c r="L414">
        <v>50.1</v>
      </c>
      <c r="M414">
        <v>57.2</v>
      </c>
      <c r="N414">
        <v>48.4</v>
      </c>
      <c r="O414">
        <v>72.900000000000006</v>
      </c>
      <c r="S414">
        <f t="shared" si="63"/>
        <v>1</v>
      </c>
      <c r="T414">
        <f t="shared" si="64"/>
        <v>1</v>
      </c>
      <c r="U414">
        <f t="shared" si="65"/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20.8</v>
      </c>
      <c r="AG414">
        <f t="shared" si="66"/>
        <v>1</v>
      </c>
      <c r="AH414">
        <f t="shared" si="67"/>
        <v>1</v>
      </c>
      <c r="AI414">
        <f t="shared" si="68"/>
        <v>0</v>
      </c>
      <c r="AJ414">
        <v>155.80000000000001</v>
      </c>
      <c r="AK414">
        <v>1024.4000000000001</v>
      </c>
      <c r="AL414">
        <v>0</v>
      </c>
      <c r="AM414">
        <v>6.2</v>
      </c>
      <c r="AN414">
        <v>0</v>
      </c>
      <c r="AO414">
        <v>0</v>
      </c>
      <c r="AP414">
        <v>0</v>
      </c>
      <c r="AQ414">
        <v>0</v>
      </c>
      <c r="AR414" t="s">
        <v>1326</v>
      </c>
      <c r="AS414" t="s">
        <v>1327</v>
      </c>
      <c r="AT414">
        <v>0.54</v>
      </c>
      <c r="AU414" t="s">
        <v>74</v>
      </c>
      <c r="AV414" t="s">
        <v>44</v>
      </c>
      <c r="AW414" t="s">
        <v>75</v>
      </c>
      <c r="AX414" s="1">
        <v>0.75277777777777777</v>
      </c>
      <c r="AY414" t="s">
        <v>1410</v>
      </c>
      <c r="AZ414">
        <v>1106.0000000009311</v>
      </c>
      <c r="BA414">
        <v>1</v>
      </c>
      <c r="BB414">
        <v>0</v>
      </c>
      <c r="BC414">
        <v>10</v>
      </c>
      <c r="BD414">
        <v>0</v>
      </c>
      <c r="BE414">
        <f t="shared" si="69"/>
        <v>1</v>
      </c>
    </row>
    <row r="415" spans="1:57" x14ac:dyDescent="0.25">
      <c r="A415" t="s">
        <v>39</v>
      </c>
      <c r="B415" t="s">
        <v>1411</v>
      </c>
      <c r="C415">
        <v>60.9</v>
      </c>
      <c r="D415">
        <v>57.3</v>
      </c>
      <c r="G415">
        <f t="shared" si="60"/>
        <v>0</v>
      </c>
      <c r="H415">
        <f t="shared" si="61"/>
        <v>0</v>
      </c>
      <c r="I415">
        <f t="shared" si="62"/>
        <v>0</v>
      </c>
      <c r="J415">
        <v>58.3</v>
      </c>
      <c r="K415">
        <v>60.9</v>
      </c>
      <c r="L415">
        <v>57.3</v>
      </c>
      <c r="M415">
        <v>58.3</v>
      </c>
      <c r="N415">
        <v>42.9</v>
      </c>
      <c r="O415">
        <v>56.9</v>
      </c>
      <c r="S415">
        <f t="shared" si="63"/>
        <v>1</v>
      </c>
      <c r="T415">
        <f t="shared" si="64"/>
        <v>0</v>
      </c>
      <c r="U415">
        <f t="shared" si="65"/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21.9</v>
      </c>
      <c r="AG415">
        <f t="shared" si="66"/>
        <v>1</v>
      </c>
      <c r="AH415">
        <f t="shared" si="67"/>
        <v>1</v>
      </c>
      <c r="AI415">
        <f t="shared" si="68"/>
        <v>0</v>
      </c>
      <c r="AJ415">
        <v>310.5</v>
      </c>
      <c r="AK415">
        <v>1024.5</v>
      </c>
      <c r="AL415">
        <v>40</v>
      </c>
      <c r="AM415">
        <v>6.8</v>
      </c>
      <c r="AN415">
        <v>0</v>
      </c>
      <c r="AO415">
        <v>0</v>
      </c>
      <c r="AP415">
        <v>0</v>
      </c>
      <c r="AQ415">
        <v>0</v>
      </c>
      <c r="AR415" t="s">
        <v>1412</v>
      </c>
      <c r="AS415" t="s">
        <v>1413</v>
      </c>
      <c r="AT415">
        <v>0.87</v>
      </c>
      <c r="AU415" t="s">
        <v>43</v>
      </c>
      <c r="AV415" t="s">
        <v>44</v>
      </c>
      <c r="AW415" t="s">
        <v>45</v>
      </c>
      <c r="AX415" s="1">
        <v>0.65555555555555556</v>
      </c>
      <c r="AY415" t="s">
        <v>1414</v>
      </c>
      <c r="AZ415">
        <v>195.9999999997672</v>
      </c>
      <c r="BA415">
        <v>0</v>
      </c>
      <c r="BB415">
        <v>0</v>
      </c>
      <c r="BC415">
        <v>3</v>
      </c>
      <c r="BD415">
        <v>0</v>
      </c>
      <c r="BE415">
        <f t="shared" si="69"/>
        <v>0</v>
      </c>
    </row>
    <row r="416" spans="1:57" x14ac:dyDescent="0.25">
      <c r="A416" t="s">
        <v>39</v>
      </c>
      <c r="B416" t="s">
        <v>1415</v>
      </c>
      <c r="C416">
        <v>84.3</v>
      </c>
      <c r="D416">
        <v>77.099999999999994</v>
      </c>
      <c r="G416">
        <f t="shared" si="60"/>
        <v>0</v>
      </c>
      <c r="H416">
        <f t="shared" si="61"/>
        <v>0</v>
      </c>
      <c r="I416">
        <f t="shared" si="62"/>
        <v>0</v>
      </c>
      <c r="J416">
        <v>80</v>
      </c>
      <c r="K416">
        <v>84.8</v>
      </c>
      <c r="L416">
        <v>77.099999999999994</v>
      </c>
      <c r="M416">
        <v>80.5</v>
      </c>
      <c r="N416">
        <v>63.9</v>
      </c>
      <c r="O416">
        <v>58.4</v>
      </c>
      <c r="S416">
        <f t="shared" si="63"/>
        <v>1</v>
      </c>
      <c r="T416">
        <f t="shared" si="64"/>
        <v>0</v>
      </c>
      <c r="U416">
        <f t="shared" si="65"/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23</v>
      </c>
      <c r="AG416">
        <f t="shared" si="66"/>
        <v>1</v>
      </c>
      <c r="AH416">
        <f t="shared" si="67"/>
        <v>1</v>
      </c>
      <c r="AI416">
        <f t="shared" si="68"/>
        <v>0</v>
      </c>
      <c r="AJ416">
        <v>304.5</v>
      </c>
      <c r="AK416">
        <v>1012.5</v>
      </c>
      <c r="AL416">
        <v>30</v>
      </c>
      <c r="AM416">
        <v>6.4</v>
      </c>
      <c r="AN416">
        <v>0</v>
      </c>
      <c r="AO416">
        <v>0</v>
      </c>
      <c r="AP416">
        <v>0</v>
      </c>
      <c r="AQ416">
        <v>0</v>
      </c>
      <c r="AR416" t="s">
        <v>1416</v>
      </c>
      <c r="AS416" t="s">
        <v>1417</v>
      </c>
      <c r="AT416">
        <v>0.6</v>
      </c>
      <c r="AU416" t="s">
        <v>43</v>
      </c>
      <c r="AV416" t="s">
        <v>44</v>
      </c>
      <c r="AW416" t="s">
        <v>45</v>
      </c>
      <c r="AX416" s="1">
        <v>0.68888888888888888</v>
      </c>
      <c r="AY416" t="s">
        <v>1418</v>
      </c>
      <c r="AZ416">
        <v>3048.000000002794</v>
      </c>
      <c r="BA416">
        <v>1</v>
      </c>
      <c r="BB416">
        <v>0</v>
      </c>
      <c r="BC416">
        <v>200</v>
      </c>
      <c r="BD416">
        <v>0</v>
      </c>
      <c r="BE416">
        <f t="shared" si="69"/>
        <v>1</v>
      </c>
    </row>
    <row r="417" spans="1:57" x14ac:dyDescent="0.25">
      <c r="A417" t="s">
        <v>39</v>
      </c>
      <c r="B417" t="s">
        <v>1419</v>
      </c>
      <c r="C417">
        <v>75.3</v>
      </c>
      <c r="D417">
        <v>53.7</v>
      </c>
      <c r="G417">
        <f t="shared" si="60"/>
        <v>1</v>
      </c>
      <c r="H417">
        <f t="shared" si="61"/>
        <v>1</v>
      </c>
      <c r="I417">
        <f t="shared" si="62"/>
        <v>0</v>
      </c>
      <c r="J417">
        <v>62.3</v>
      </c>
      <c r="K417">
        <v>75.3</v>
      </c>
      <c r="L417">
        <v>53.7</v>
      </c>
      <c r="M417">
        <v>62.3</v>
      </c>
      <c r="N417">
        <v>46.4</v>
      </c>
      <c r="O417">
        <v>58.4</v>
      </c>
      <c r="S417">
        <f t="shared" si="63"/>
        <v>1</v>
      </c>
      <c r="T417">
        <f t="shared" si="64"/>
        <v>0</v>
      </c>
      <c r="U417">
        <f t="shared" si="65"/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18.3</v>
      </c>
      <c r="AG417">
        <f t="shared" si="66"/>
        <v>0</v>
      </c>
      <c r="AH417">
        <f t="shared" si="67"/>
        <v>0</v>
      </c>
      <c r="AI417">
        <f t="shared" si="68"/>
        <v>0</v>
      </c>
      <c r="AJ417">
        <v>144.19999999999999</v>
      </c>
      <c r="AK417">
        <v>1018.6</v>
      </c>
      <c r="AL417">
        <v>30</v>
      </c>
      <c r="AM417">
        <v>6.6</v>
      </c>
      <c r="AN417">
        <v>0</v>
      </c>
      <c r="AO417">
        <v>0</v>
      </c>
      <c r="AP417">
        <v>0</v>
      </c>
      <c r="AQ417">
        <v>0</v>
      </c>
      <c r="AR417" t="s">
        <v>1420</v>
      </c>
      <c r="AS417" t="s">
        <v>1421</v>
      </c>
      <c r="AT417">
        <v>0.6</v>
      </c>
      <c r="AU417" t="s">
        <v>43</v>
      </c>
      <c r="AV417" t="s">
        <v>44</v>
      </c>
      <c r="AW417" t="s">
        <v>45</v>
      </c>
      <c r="AX417" s="1">
        <v>0.53749999999999998</v>
      </c>
      <c r="AY417" t="s">
        <v>1422</v>
      </c>
      <c r="AZ417">
        <v>191.00000000442381</v>
      </c>
      <c r="BA417">
        <v>0</v>
      </c>
      <c r="BB417">
        <v>0</v>
      </c>
      <c r="BC417">
        <v>4</v>
      </c>
      <c r="BD417">
        <v>0</v>
      </c>
      <c r="BE417">
        <f t="shared" si="69"/>
        <v>0</v>
      </c>
    </row>
    <row r="418" spans="1:57" x14ac:dyDescent="0.25">
      <c r="A418" t="s">
        <v>39</v>
      </c>
      <c r="B418" t="s">
        <v>1423</v>
      </c>
      <c r="C418">
        <v>73.5</v>
      </c>
      <c r="D418">
        <v>68.099999999999994</v>
      </c>
      <c r="G418">
        <f t="shared" si="60"/>
        <v>0</v>
      </c>
      <c r="H418">
        <f t="shared" si="61"/>
        <v>0</v>
      </c>
      <c r="I418">
        <f t="shared" si="62"/>
        <v>0</v>
      </c>
      <c r="J418">
        <v>70.599999999999994</v>
      </c>
      <c r="K418">
        <v>73.5</v>
      </c>
      <c r="L418">
        <v>68.099999999999994</v>
      </c>
      <c r="M418">
        <v>70.599999999999994</v>
      </c>
      <c r="N418">
        <v>55.2</v>
      </c>
      <c r="O418">
        <v>58.4</v>
      </c>
      <c r="S418">
        <f t="shared" si="63"/>
        <v>1</v>
      </c>
      <c r="T418">
        <f t="shared" si="64"/>
        <v>0</v>
      </c>
      <c r="U418">
        <f t="shared" si="65"/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24.2</v>
      </c>
      <c r="AG418">
        <f t="shared" si="66"/>
        <v>1</v>
      </c>
      <c r="AH418">
        <f t="shared" si="67"/>
        <v>1</v>
      </c>
      <c r="AI418">
        <f t="shared" si="68"/>
        <v>0</v>
      </c>
      <c r="AJ418">
        <v>320.60000000000002</v>
      </c>
      <c r="AK418">
        <v>1016.1</v>
      </c>
      <c r="AL418">
        <v>49.2</v>
      </c>
      <c r="AM418">
        <v>6.8</v>
      </c>
      <c r="AN418">
        <v>0</v>
      </c>
      <c r="AO418">
        <v>0</v>
      </c>
      <c r="AP418">
        <v>0</v>
      </c>
      <c r="AQ418">
        <v>0</v>
      </c>
      <c r="AR418" t="s">
        <v>1424</v>
      </c>
      <c r="AS418" t="s">
        <v>1425</v>
      </c>
      <c r="AT418">
        <v>0.72</v>
      </c>
      <c r="AU418" t="s">
        <v>43</v>
      </c>
      <c r="AV418" t="s">
        <v>44</v>
      </c>
      <c r="AW418" t="s">
        <v>45</v>
      </c>
      <c r="AX418" s="1">
        <v>0.42291666666666672</v>
      </c>
      <c r="AY418" t="s">
        <v>1426</v>
      </c>
      <c r="AZ418">
        <v>395.9999999916181</v>
      </c>
      <c r="BA418">
        <v>1</v>
      </c>
      <c r="BB418">
        <v>0</v>
      </c>
      <c r="BC418">
        <v>15</v>
      </c>
      <c r="BD418">
        <v>0</v>
      </c>
      <c r="BE418">
        <f t="shared" si="69"/>
        <v>1</v>
      </c>
    </row>
    <row r="419" spans="1:57" x14ac:dyDescent="0.25">
      <c r="A419" t="s">
        <v>39</v>
      </c>
      <c r="B419" t="s">
        <v>1427</v>
      </c>
      <c r="C419">
        <v>82.5</v>
      </c>
      <c r="D419">
        <v>77.099999999999994</v>
      </c>
      <c r="G419">
        <f t="shared" si="60"/>
        <v>0</v>
      </c>
      <c r="H419">
        <f t="shared" si="61"/>
        <v>0</v>
      </c>
      <c r="I419">
        <f t="shared" si="62"/>
        <v>0</v>
      </c>
      <c r="J419">
        <v>79.400000000000006</v>
      </c>
      <c r="K419">
        <v>84.8</v>
      </c>
      <c r="L419">
        <v>77.099999999999994</v>
      </c>
      <c r="M419">
        <v>80</v>
      </c>
      <c r="N419">
        <v>62.3</v>
      </c>
      <c r="O419">
        <v>56</v>
      </c>
      <c r="S419">
        <f t="shared" si="63"/>
        <v>1</v>
      </c>
      <c r="T419">
        <f t="shared" si="64"/>
        <v>0</v>
      </c>
      <c r="U419">
        <f t="shared" si="65"/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21.9</v>
      </c>
      <c r="AG419">
        <f t="shared" si="66"/>
        <v>1</v>
      </c>
      <c r="AH419">
        <f t="shared" si="67"/>
        <v>1</v>
      </c>
      <c r="AI419">
        <f t="shared" si="68"/>
        <v>0</v>
      </c>
      <c r="AJ419">
        <v>294.39999999999998</v>
      </c>
      <c r="AK419">
        <v>1010.6</v>
      </c>
      <c r="AL419">
        <v>30</v>
      </c>
      <c r="AM419">
        <v>6.2</v>
      </c>
      <c r="AN419">
        <v>0</v>
      </c>
      <c r="AO419">
        <v>0</v>
      </c>
      <c r="AP419">
        <v>0</v>
      </c>
      <c r="AQ419">
        <v>0</v>
      </c>
      <c r="AR419" t="s">
        <v>1428</v>
      </c>
      <c r="AS419" t="s">
        <v>1429</v>
      </c>
      <c r="AT419">
        <v>0.75</v>
      </c>
      <c r="AU419" t="s">
        <v>43</v>
      </c>
      <c r="AV419" t="s">
        <v>44</v>
      </c>
      <c r="AW419" t="s">
        <v>45</v>
      </c>
      <c r="AX419" s="1">
        <v>0.48888888888888887</v>
      </c>
      <c r="AY419" t="s">
        <v>1430</v>
      </c>
      <c r="AZ419">
        <v>6990.9999999997672</v>
      </c>
      <c r="BA419">
        <v>1</v>
      </c>
      <c r="BB419">
        <v>0</v>
      </c>
      <c r="BC419">
        <v>1750</v>
      </c>
      <c r="BD419">
        <v>0</v>
      </c>
      <c r="BE419">
        <f t="shared" si="69"/>
        <v>1</v>
      </c>
    </row>
    <row r="420" spans="1:57" x14ac:dyDescent="0.25">
      <c r="A420" t="s">
        <v>39</v>
      </c>
      <c r="B420" t="s">
        <v>1431</v>
      </c>
      <c r="C420">
        <v>80.7</v>
      </c>
      <c r="D420">
        <v>73.5</v>
      </c>
      <c r="G420">
        <f t="shared" si="60"/>
        <v>0</v>
      </c>
      <c r="H420">
        <f t="shared" si="61"/>
        <v>0</v>
      </c>
      <c r="I420">
        <f t="shared" si="62"/>
        <v>0</v>
      </c>
      <c r="J420">
        <v>77.900000000000006</v>
      </c>
      <c r="K420">
        <v>82.4</v>
      </c>
      <c r="L420">
        <v>73.5</v>
      </c>
      <c r="M420">
        <v>78.5</v>
      </c>
      <c r="N420">
        <v>61.3</v>
      </c>
      <c r="O420">
        <v>56.7</v>
      </c>
      <c r="S420">
        <f t="shared" si="63"/>
        <v>1</v>
      </c>
      <c r="T420">
        <f t="shared" si="64"/>
        <v>0</v>
      </c>
      <c r="U420">
        <f t="shared" si="65"/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20.8</v>
      </c>
      <c r="AG420">
        <f t="shared" si="66"/>
        <v>1</v>
      </c>
      <c r="AH420">
        <f t="shared" si="67"/>
        <v>1</v>
      </c>
      <c r="AI420">
        <f t="shared" si="68"/>
        <v>0</v>
      </c>
      <c r="AJ420">
        <v>296.2</v>
      </c>
      <c r="AK420">
        <v>1014.9</v>
      </c>
      <c r="AL420">
        <v>30</v>
      </c>
      <c r="AM420">
        <v>6.5</v>
      </c>
      <c r="AN420">
        <v>0</v>
      </c>
      <c r="AO420">
        <v>0</v>
      </c>
      <c r="AP420">
        <v>0</v>
      </c>
      <c r="AQ420">
        <v>0</v>
      </c>
      <c r="AR420" t="s">
        <v>1432</v>
      </c>
      <c r="AS420" t="s">
        <v>1433</v>
      </c>
      <c r="AT420">
        <v>0.39</v>
      </c>
      <c r="AU420" t="s">
        <v>43</v>
      </c>
      <c r="AV420" t="s">
        <v>44</v>
      </c>
      <c r="AW420" t="s">
        <v>45</v>
      </c>
      <c r="AX420" s="1">
        <v>0.70833333333333337</v>
      </c>
      <c r="AY420" t="s">
        <v>1434</v>
      </c>
      <c r="AZ420">
        <v>429.99999999767169</v>
      </c>
      <c r="BA420">
        <v>1</v>
      </c>
      <c r="BB420">
        <v>0.1</v>
      </c>
      <c r="BC420">
        <v>0</v>
      </c>
      <c r="BD420">
        <v>0</v>
      </c>
      <c r="BE420">
        <f t="shared" si="69"/>
        <v>1</v>
      </c>
    </row>
    <row r="421" spans="1:57" x14ac:dyDescent="0.25">
      <c r="A421" t="s">
        <v>39</v>
      </c>
      <c r="B421" t="s">
        <v>1435</v>
      </c>
      <c r="C421">
        <v>84.3</v>
      </c>
      <c r="D421">
        <v>69.900000000000006</v>
      </c>
      <c r="G421">
        <f t="shared" si="60"/>
        <v>0</v>
      </c>
      <c r="H421">
        <f t="shared" si="61"/>
        <v>0</v>
      </c>
      <c r="I421">
        <f t="shared" si="62"/>
        <v>0</v>
      </c>
      <c r="J421">
        <v>79.099999999999994</v>
      </c>
      <c r="K421">
        <v>84.5</v>
      </c>
      <c r="L421">
        <v>69.900000000000006</v>
      </c>
      <c r="M421">
        <v>79.099999999999994</v>
      </c>
      <c r="N421">
        <v>58.1</v>
      </c>
      <c r="O421">
        <v>49.1</v>
      </c>
      <c r="S421">
        <f t="shared" si="63"/>
        <v>1</v>
      </c>
      <c r="T421">
        <f t="shared" si="64"/>
        <v>0</v>
      </c>
      <c r="U421">
        <f t="shared" si="65"/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19.5</v>
      </c>
      <c r="AG421">
        <f t="shared" si="66"/>
        <v>1</v>
      </c>
      <c r="AH421">
        <f t="shared" si="67"/>
        <v>1</v>
      </c>
      <c r="AI421">
        <f t="shared" si="68"/>
        <v>0</v>
      </c>
      <c r="AJ421">
        <v>286.60000000000002</v>
      </c>
      <c r="AK421">
        <v>1010.4</v>
      </c>
      <c r="AL421">
        <v>0</v>
      </c>
      <c r="AM421">
        <v>6.2</v>
      </c>
      <c r="AN421">
        <v>0</v>
      </c>
      <c r="AO421">
        <v>0</v>
      </c>
      <c r="AP421">
        <v>0</v>
      </c>
      <c r="AQ421">
        <v>0</v>
      </c>
      <c r="AR421" t="s">
        <v>1436</v>
      </c>
      <c r="AS421" t="s">
        <v>1437</v>
      </c>
      <c r="AT421">
        <v>0.21</v>
      </c>
      <c r="AU421" t="s">
        <v>74</v>
      </c>
      <c r="AV421" t="s">
        <v>44</v>
      </c>
      <c r="AW421" t="s">
        <v>75</v>
      </c>
      <c r="AX421" s="1">
        <v>0.62430555555555556</v>
      </c>
      <c r="AY421" t="s">
        <v>1438</v>
      </c>
      <c r="AZ421">
        <v>341.00000000093132</v>
      </c>
      <c r="BA421">
        <v>0</v>
      </c>
      <c r="BB421">
        <v>0</v>
      </c>
      <c r="BC421">
        <v>2</v>
      </c>
      <c r="BD421">
        <v>0</v>
      </c>
      <c r="BE421">
        <f t="shared" si="69"/>
        <v>0</v>
      </c>
    </row>
    <row r="422" spans="1:57" x14ac:dyDescent="0.25">
      <c r="A422" t="s">
        <v>39</v>
      </c>
      <c r="B422" t="s">
        <v>1439</v>
      </c>
      <c r="C422">
        <v>53.7</v>
      </c>
      <c r="D422">
        <v>50.1</v>
      </c>
      <c r="G422">
        <f t="shared" si="60"/>
        <v>1</v>
      </c>
      <c r="H422">
        <f t="shared" si="61"/>
        <v>0</v>
      </c>
      <c r="I422">
        <f t="shared" si="62"/>
        <v>1</v>
      </c>
      <c r="J422">
        <v>52</v>
      </c>
      <c r="K422">
        <v>53.7</v>
      </c>
      <c r="L422">
        <v>50.1</v>
      </c>
      <c r="M422">
        <v>52</v>
      </c>
      <c r="N422">
        <v>46.4</v>
      </c>
      <c r="O422">
        <v>81.099999999999994</v>
      </c>
      <c r="S422">
        <f t="shared" si="63"/>
        <v>1</v>
      </c>
      <c r="T422">
        <f t="shared" si="64"/>
        <v>1</v>
      </c>
      <c r="U422">
        <f t="shared" si="65"/>
        <v>0</v>
      </c>
      <c r="V422">
        <v>0.59</v>
      </c>
      <c r="W422">
        <v>100</v>
      </c>
      <c r="X422">
        <v>12.5</v>
      </c>
      <c r="Y422" t="s">
        <v>103</v>
      </c>
      <c r="Z422">
        <v>0</v>
      </c>
      <c r="AA422">
        <v>0</v>
      </c>
      <c r="AB422">
        <v>0</v>
      </c>
      <c r="AC422">
        <v>38</v>
      </c>
      <c r="AG422">
        <f t="shared" si="66"/>
        <v>1</v>
      </c>
      <c r="AH422">
        <f t="shared" si="67"/>
        <v>1</v>
      </c>
      <c r="AI422">
        <f t="shared" si="68"/>
        <v>0</v>
      </c>
      <c r="AJ422">
        <v>302.5</v>
      </c>
      <c r="AK422">
        <v>1002.6</v>
      </c>
      <c r="AL422">
        <v>94.6</v>
      </c>
      <c r="AM422">
        <v>5.9</v>
      </c>
      <c r="AN422">
        <v>0</v>
      </c>
      <c r="AO422">
        <v>0</v>
      </c>
      <c r="AP422">
        <v>0</v>
      </c>
      <c r="AQ422">
        <v>0</v>
      </c>
      <c r="AR422" t="s">
        <v>1440</v>
      </c>
      <c r="AS422" t="s">
        <v>1441</v>
      </c>
      <c r="AT422">
        <v>0.63</v>
      </c>
      <c r="AU422" t="s">
        <v>1357</v>
      </c>
      <c r="AV422" t="s">
        <v>1442</v>
      </c>
      <c r="AW422" t="s">
        <v>103</v>
      </c>
      <c r="AX422" s="1">
        <v>0.79374999999999996</v>
      </c>
      <c r="AY422" t="s">
        <v>1443</v>
      </c>
      <c r="AZ422">
        <v>307.0000000053551</v>
      </c>
      <c r="BA422">
        <v>0</v>
      </c>
      <c r="BB422">
        <v>0</v>
      </c>
      <c r="BC422">
        <v>30</v>
      </c>
      <c r="BD422">
        <v>0</v>
      </c>
      <c r="BE422">
        <f t="shared" si="69"/>
        <v>1</v>
      </c>
    </row>
    <row r="423" spans="1:57" x14ac:dyDescent="0.25">
      <c r="A423" t="s">
        <v>39</v>
      </c>
      <c r="B423" t="s">
        <v>1444</v>
      </c>
      <c r="C423">
        <v>59.1</v>
      </c>
      <c r="D423">
        <v>51.9</v>
      </c>
      <c r="G423">
        <f t="shared" si="60"/>
        <v>1</v>
      </c>
      <c r="H423">
        <f t="shared" si="61"/>
        <v>0</v>
      </c>
      <c r="I423">
        <f t="shared" si="62"/>
        <v>1</v>
      </c>
      <c r="J423">
        <v>55.6</v>
      </c>
      <c r="K423">
        <v>59.1</v>
      </c>
      <c r="L423">
        <v>51.9</v>
      </c>
      <c r="M423">
        <v>55.6</v>
      </c>
      <c r="N423">
        <v>43.3</v>
      </c>
      <c r="O423">
        <v>63.5</v>
      </c>
      <c r="S423">
        <f t="shared" si="63"/>
        <v>0</v>
      </c>
      <c r="T423">
        <f t="shared" si="64"/>
        <v>0</v>
      </c>
      <c r="U423">
        <f t="shared" si="65"/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16.100000000000001</v>
      </c>
      <c r="AG423">
        <f t="shared" si="66"/>
        <v>0</v>
      </c>
      <c r="AH423">
        <f t="shared" si="67"/>
        <v>0</v>
      </c>
      <c r="AI423">
        <f t="shared" si="68"/>
        <v>0</v>
      </c>
      <c r="AJ423">
        <v>310</v>
      </c>
      <c r="AK423">
        <v>1030.0999999999999</v>
      </c>
      <c r="AL423">
        <v>66.7</v>
      </c>
      <c r="AM423">
        <v>6.8</v>
      </c>
      <c r="AN423">
        <v>0</v>
      </c>
      <c r="AO423">
        <v>0</v>
      </c>
      <c r="AP423">
        <v>0</v>
      </c>
      <c r="AQ423">
        <v>0</v>
      </c>
      <c r="AR423" t="s">
        <v>1445</v>
      </c>
      <c r="AS423" t="s">
        <v>1446</v>
      </c>
      <c r="AT423">
        <v>0.8</v>
      </c>
      <c r="AU423" t="s">
        <v>43</v>
      </c>
      <c r="AV423" t="s">
        <v>44</v>
      </c>
      <c r="AW423" t="s">
        <v>45</v>
      </c>
      <c r="AX423" s="1">
        <v>0.88472222222222219</v>
      </c>
      <c r="AY423" t="s">
        <v>1447</v>
      </c>
      <c r="AZ423">
        <v>185.99999999860299</v>
      </c>
      <c r="BA423">
        <v>0</v>
      </c>
      <c r="BB423">
        <v>0</v>
      </c>
      <c r="BC423">
        <v>0.1</v>
      </c>
      <c r="BD423">
        <v>0</v>
      </c>
      <c r="BE423">
        <f t="shared" si="69"/>
        <v>0</v>
      </c>
    </row>
    <row r="424" spans="1:57" x14ac:dyDescent="0.25">
      <c r="A424" t="s">
        <v>39</v>
      </c>
      <c r="B424" t="s">
        <v>1411</v>
      </c>
      <c r="C424">
        <v>60.9</v>
      </c>
      <c r="D424">
        <v>57.3</v>
      </c>
      <c r="G424">
        <f t="shared" si="60"/>
        <v>0</v>
      </c>
      <c r="H424">
        <f t="shared" si="61"/>
        <v>0</v>
      </c>
      <c r="I424">
        <f t="shared" si="62"/>
        <v>0</v>
      </c>
      <c r="J424">
        <v>58.3</v>
      </c>
      <c r="K424">
        <v>60.9</v>
      </c>
      <c r="L424">
        <v>57.3</v>
      </c>
      <c r="M424">
        <v>58.3</v>
      </c>
      <c r="N424">
        <v>42.9</v>
      </c>
      <c r="O424">
        <v>56.9</v>
      </c>
      <c r="S424">
        <f t="shared" si="63"/>
        <v>1</v>
      </c>
      <c r="T424">
        <f t="shared" si="64"/>
        <v>0</v>
      </c>
      <c r="U424">
        <f t="shared" si="65"/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21.9</v>
      </c>
      <c r="AG424">
        <f t="shared" si="66"/>
        <v>1</v>
      </c>
      <c r="AH424">
        <f t="shared" si="67"/>
        <v>1</v>
      </c>
      <c r="AI424">
        <f t="shared" si="68"/>
        <v>0</v>
      </c>
      <c r="AJ424">
        <v>310.5</v>
      </c>
      <c r="AK424">
        <v>1024.5</v>
      </c>
      <c r="AL424">
        <v>40</v>
      </c>
      <c r="AM424">
        <v>6.8</v>
      </c>
      <c r="AN424">
        <v>0</v>
      </c>
      <c r="AO424">
        <v>0</v>
      </c>
      <c r="AP424">
        <v>0</v>
      </c>
      <c r="AQ424">
        <v>0</v>
      </c>
      <c r="AR424" t="s">
        <v>1412</v>
      </c>
      <c r="AS424" t="s">
        <v>1413</v>
      </c>
      <c r="AT424">
        <v>0.87</v>
      </c>
      <c r="AU424" t="s">
        <v>43</v>
      </c>
      <c r="AV424" t="s">
        <v>44</v>
      </c>
      <c r="AW424" t="s">
        <v>45</v>
      </c>
      <c r="AX424" s="1">
        <v>0.63472222222222219</v>
      </c>
      <c r="AY424" t="s">
        <v>1448</v>
      </c>
      <c r="AZ424">
        <v>210.99999999627471</v>
      </c>
      <c r="BA424">
        <v>0</v>
      </c>
      <c r="BB424">
        <v>0</v>
      </c>
      <c r="BC424">
        <v>2</v>
      </c>
      <c r="BD424">
        <v>0</v>
      </c>
      <c r="BE424">
        <f t="shared" si="69"/>
        <v>0</v>
      </c>
    </row>
    <row r="425" spans="1:57" x14ac:dyDescent="0.25">
      <c r="A425" t="s">
        <v>39</v>
      </c>
      <c r="B425" t="s">
        <v>1449</v>
      </c>
      <c r="C425">
        <v>66.3</v>
      </c>
      <c r="D425">
        <v>51.9</v>
      </c>
      <c r="G425">
        <f t="shared" si="60"/>
        <v>1</v>
      </c>
      <c r="H425">
        <f t="shared" si="61"/>
        <v>1</v>
      </c>
      <c r="I425">
        <f t="shared" si="62"/>
        <v>0</v>
      </c>
      <c r="J425">
        <v>58.1</v>
      </c>
      <c r="K425">
        <v>66.3</v>
      </c>
      <c r="L425">
        <v>51.9</v>
      </c>
      <c r="M425">
        <v>58.1</v>
      </c>
      <c r="N425">
        <v>44.6</v>
      </c>
      <c r="O425">
        <v>60.9</v>
      </c>
      <c r="S425">
        <f t="shared" si="63"/>
        <v>1</v>
      </c>
      <c r="T425">
        <f t="shared" si="64"/>
        <v>0</v>
      </c>
      <c r="U425">
        <f t="shared" si="65"/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32.200000000000003</v>
      </c>
      <c r="AG425">
        <f t="shared" si="66"/>
        <v>1</v>
      </c>
      <c r="AH425">
        <f t="shared" si="67"/>
        <v>1</v>
      </c>
      <c r="AI425">
        <f t="shared" si="68"/>
        <v>0</v>
      </c>
      <c r="AJ425">
        <v>165.8</v>
      </c>
      <c r="AK425">
        <v>1014.1</v>
      </c>
      <c r="AL425">
        <v>64.7</v>
      </c>
      <c r="AM425">
        <v>6.6</v>
      </c>
      <c r="AN425">
        <v>0</v>
      </c>
      <c r="AO425">
        <v>0</v>
      </c>
      <c r="AP425">
        <v>0</v>
      </c>
      <c r="AQ425">
        <v>0</v>
      </c>
      <c r="AR425" t="s">
        <v>1450</v>
      </c>
      <c r="AS425" t="s">
        <v>1451</v>
      </c>
      <c r="AT425">
        <v>0.1</v>
      </c>
      <c r="AU425" t="s">
        <v>43</v>
      </c>
      <c r="AV425" t="s">
        <v>44</v>
      </c>
      <c r="AW425" t="s">
        <v>419</v>
      </c>
      <c r="AX425" s="1">
        <v>0.46527777777777779</v>
      </c>
      <c r="AY425" t="s">
        <v>1452</v>
      </c>
      <c r="AZ425">
        <v>99.999999990686774</v>
      </c>
      <c r="BA425">
        <v>0</v>
      </c>
      <c r="BB425">
        <v>0</v>
      </c>
      <c r="BC425">
        <v>2</v>
      </c>
      <c r="BD425">
        <v>0</v>
      </c>
      <c r="BE425">
        <f t="shared" si="69"/>
        <v>1</v>
      </c>
    </row>
    <row r="426" spans="1:57" x14ac:dyDescent="0.25">
      <c r="A426" t="s">
        <v>39</v>
      </c>
      <c r="B426" t="s">
        <v>1453</v>
      </c>
      <c r="C426">
        <v>78.900000000000006</v>
      </c>
      <c r="D426">
        <v>64.5</v>
      </c>
      <c r="G426">
        <f t="shared" si="60"/>
        <v>1</v>
      </c>
      <c r="H426">
        <f t="shared" si="61"/>
        <v>1</v>
      </c>
      <c r="I426">
        <f t="shared" si="62"/>
        <v>0</v>
      </c>
      <c r="J426">
        <v>70.7</v>
      </c>
      <c r="K426">
        <v>78.900000000000006</v>
      </c>
      <c r="L426">
        <v>64.5</v>
      </c>
      <c r="M426">
        <v>70.7</v>
      </c>
      <c r="N426">
        <v>63.3</v>
      </c>
      <c r="O426">
        <v>78.5</v>
      </c>
      <c r="S426">
        <f t="shared" si="63"/>
        <v>1</v>
      </c>
      <c r="T426">
        <f t="shared" si="64"/>
        <v>1</v>
      </c>
      <c r="U426">
        <f t="shared" si="65"/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9.1999999999999993</v>
      </c>
      <c r="AG426">
        <f t="shared" si="66"/>
        <v>1</v>
      </c>
      <c r="AH426">
        <f t="shared" si="67"/>
        <v>0</v>
      </c>
      <c r="AI426">
        <f t="shared" si="68"/>
        <v>1</v>
      </c>
      <c r="AJ426">
        <v>143.19999999999999</v>
      </c>
      <c r="AK426">
        <v>1016.3</v>
      </c>
      <c r="AL426">
        <v>58.8</v>
      </c>
      <c r="AM426">
        <v>6.6</v>
      </c>
      <c r="AN426">
        <v>0</v>
      </c>
      <c r="AO426">
        <v>0</v>
      </c>
      <c r="AP426">
        <v>0</v>
      </c>
      <c r="AQ426">
        <v>0</v>
      </c>
      <c r="AR426" t="s">
        <v>1454</v>
      </c>
      <c r="AS426" t="s">
        <v>1455</v>
      </c>
      <c r="AT426">
        <v>0.94</v>
      </c>
      <c r="AU426" t="s">
        <v>43</v>
      </c>
      <c r="AV426" t="s">
        <v>44</v>
      </c>
      <c r="AW426" t="s">
        <v>45</v>
      </c>
      <c r="AX426" s="1">
        <v>0.55833333333333335</v>
      </c>
      <c r="AY426" t="s">
        <v>1456</v>
      </c>
      <c r="AZ426">
        <v>335.99999999511061</v>
      </c>
      <c r="BA426">
        <v>0</v>
      </c>
      <c r="BB426">
        <v>0</v>
      </c>
      <c r="BC426">
        <v>2</v>
      </c>
      <c r="BD426">
        <v>0</v>
      </c>
      <c r="BE426">
        <f t="shared" si="69"/>
        <v>1</v>
      </c>
    </row>
    <row r="427" spans="1:57" x14ac:dyDescent="0.25">
      <c r="A427" t="s">
        <v>39</v>
      </c>
      <c r="B427" t="s">
        <v>1457</v>
      </c>
      <c r="C427">
        <v>78.900000000000006</v>
      </c>
      <c r="D427">
        <v>68.099999999999994</v>
      </c>
      <c r="G427">
        <f t="shared" si="60"/>
        <v>1</v>
      </c>
      <c r="H427">
        <f t="shared" si="61"/>
        <v>0</v>
      </c>
      <c r="I427">
        <f t="shared" si="62"/>
        <v>1</v>
      </c>
      <c r="J427">
        <v>75.400000000000006</v>
      </c>
      <c r="K427">
        <v>78.900000000000006</v>
      </c>
      <c r="L427">
        <v>68.099999999999994</v>
      </c>
      <c r="M427">
        <v>75.400000000000006</v>
      </c>
      <c r="N427">
        <v>61.5</v>
      </c>
      <c r="O427">
        <v>62.4</v>
      </c>
      <c r="S427">
        <f t="shared" si="63"/>
        <v>1</v>
      </c>
      <c r="T427">
        <f t="shared" si="64"/>
        <v>1</v>
      </c>
      <c r="U427">
        <f t="shared" si="65"/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20.8</v>
      </c>
      <c r="AG427">
        <f t="shared" si="66"/>
        <v>1</v>
      </c>
      <c r="AH427">
        <f t="shared" si="67"/>
        <v>1</v>
      </c>
      <c r="AI427">
        <f t="shared" si="68"/>
        <v>0</v>
      </c>
      <c r="AJ427">
        <v>301</v>
      </c>
      <c r="AK427">
        <v>1013.9</v>
      </c>
      <c r="AL427">
        <v>30</v>
      </c>
      <c r="AM427">
        <v>6.8</v>
      </c>
      <c r="AN427">
        <v>0</v>
      </c>
      <c r="AO427">
        <v>0</v>
      </c>
      <c r="AP427">
        <v>0</v>
      </c>
      <c r="AQ427">
        <v>0</v>
      </c>
      <c r="AR427" t="s">
        <v>1458</v>
      </c>
      <c r="AS427" t="s">
        <v>1459</v>
      </c>
      <c r="AT427">
        <v>7.0000000000000007E-2</v>
      </c>
      <c r="AU427" t="s">
        <v>43</v>
      </c>
      <c r="AV427" t="s">
        <v>44</v>
      </c>
      <c r="AW427" t="s">
        <v>45</v>
      </c>
      <c r="AX427" s="1">
        <v>0.47847222222222219</v>
      </c>
      <c r="AY427" t="s">
        <v>1460</v>
      </c>
      <c r="AZ427">
        <v>495.99999999278231</v>
      </c>
      <c r="BA427">
        <v>1</v>
      </c>
      <c r="BB427">
        <v>0</v>
      </c>
      <c r="BC427">
        <v>2</v>
      </c>
      <c r="BD427">
        <v>0</v>
      </c>
      <c r="BE427">
        <f t="shared" si="69"/>
        <v>1</v>
      </c>
    </row>
    <row r="428" spans="1:57" x14ac:dyDescent="0.25">
      <c r="A428" t="s">
        <v>39</v>
      </c>
      <c r="B428" t="s">
        <v>1461</v>
      </c>
      <c r="C428">
        <v>78.900000000000006</v>
      </c>
      <c r="D428">
        <v>64.5</v>
      </c>
      <c r="G428">
        <f t="shared" si="60"/>
        <v>1</v>
      </c>
      <c r="H428">
        <f t="shared" si="61"/>
        <v>1</v>
      </c>
      <c r="I428">
        <f t="shared" si="62"/>
        <v>0</v>
      </c>
      <c r="J428">
        <v>71.8</v>
      </c>
      <c r="K428">
        <v>78.900000000000006</v>
      </c>
      <c r="L428">
        <v>64.5</v>
      </c>
      <c r="M428">
        <v>71.8</v>
      </c>
      <c r="N428">
        <v>62.2</v>
      </c>
      <c r="O428">
        <v>72.599999999999994</v>
      </c>
      <c r="S428">
        <f t="shared" si="63"/>
        <v>1</v>
      </c>
      <c r="T428">
        <f t="shared" si="64"/>
        <v>1</v>
      </c>
      <c r="U428">
        <f t="shared" si="65"/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11.4</v>
      </c>
      <c r="AG428">
        <f t="shared" si="66"/>
        <v>1</v>
      </c>
      <c r="AH428">
        <f t="shared" si="67"/>
        <v>0</v>
      </c>
      <c r="AI428">
        <f t="shared" si="68"/>
        <v>1</v>
      </c>
      <c r="AJ428">
        <v>298.5</v>
      </c>
      <c r="AK428">
        <v>1019.5</v>
      </c>
      <c r="AL428">
        <v>30</v>
      </c>
      <c r="AM428">
        <v>6.8</v>
      </c>
      <c r="AN428">
        <v>0</v>
      </c>
      <c r="AO428">
        <v>0</v>
      </c>
      <c r="AP428">
        <v>0</v>
      </c>
      <c r="AQ428">
        <v>0</v>
      </c>
      <c r="AR428" t="s">
        <v>1462</v>
      </c>
      <c r="AS428" t="s">
        <v>1463</v>
      </c>
      <c r="AT428">
        <v>0.59</v>
      </c>
      <c r="AU428" t="s">
        <v>43</v>
      </c>
      <c r="AV428" t="s">
        <v>44</v>
      </c>
      <c r="AW428" t="s">
        <v>45</v>
      </c>
      <c r="AX428" s="1">
        <v>6.1805555555555558E-2</v>
      </c>
      <c r="AY428" t="s">
        <v>1464</v>
      </c>
      <c r="AZ428">
        <v>1060.0000000081491</v>
      </c>
      <c r="BA428">
        <v>1</v>
      </c>
      <c r="BB428">
        <v>0</v>
      </c>
      <c r="BC428">
        <v>8</v>
      </c>
      <c r="BD428">
        <v>0</v>
      </c>
      <c r="BE428">
        <f t="shared" si="69"/>
        <v>1</v>
      </c>
    </row>
    <row r="429" spans="1:57" x14ac:dyDescent="0.25">
      <c r="A429" t="s">
        <v>39</v>
      </c>
      <c r="B429" t="s">
        <v>1465</v>
      </c>
      <c r="C429">
        <v>60.9</v>
      </c>
      <c r="D429">
        <v>53.7</v>
      </c>
      <c r="G429">
        <f t="shared" si="60"/>
        <v>1</v>
      </c>
      <c r="H429">
        <f t="shared" si="61"/>
        <v>0</v>
      </c>
      <c r="I429">
        <f t="shared" si="62"/>
        <v>1</v>
      </c>
      <c r="J429">
        <v>56.8</v>
      </c>
      <c r="K429">
        <v>60.9</v>
      </c>
      <c r="L429">
        <v>53.7</v>
      </c>
      <c r="M429">
        <v>56.8</v>
      </c>
      <c r="N429">
        <v>40.299999999999997</v>
      </c>
      <c r="O429">
        <v>54.4</v>
      </c>
      <c r="S429">
        <f t="shared" si="63"/>
        <v>1</v>
      </c>
      <c r="T429">
        <f t="shared" si="64"/>
        <v>0</v>
      </c>
      <c r="U429">
        <f t="shared" si="65"/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20.8</v>
      </c>
      <c r="AG429">
        <f t="shared" si="66"/>
        <v>1</v>
      </c>
      <c r="AH429">
        <f t="shared" si="67"/>
        <v>1</v>
      </c>
      <c r="AI429">
        <f t="shared" si="68"/>
        <v>0</v>
      </c>
      <c r="AJ429">
        <v>308.60000000000002</v>
      </c>
      <c r="AK429">
        <v>1023.2</v>
      </c>
      <c r="AL429">
        <v>44.2</v>
      </c>
      <c r="AM429">
        <v>6.8</v>
      </c>
      <c r="AN429">
        <v>0</v>
      </c>
      <c r="AO429">
        <v>0</v>
      </c>
      <c r="AP429">
        <v>0</v>
      </c>
      <c r="AQ429">
        <v>0</v>
      </c>
      <c r="AR429" t="s">
        <v>1466</v>
      </c>
      <c r="AS429" t="s">
        <v>1467</v>
      </c>
      <c r="AT429">
        <v>0.47</v>
      </c>
      <c r="AU429" t="s">
        <v>43</v>
      </c>
      <c r="AV429" t="s">
        <v>44</v>
      </c>
      <c r="AW429" t="s">
        <v>45</v>
      </c>
      <c r="AX429" s="1">
        <v>0.52013888888888893</v>
      </c>
      <c r="AY429" t="s">
        <v>1468</v>
      </c>
      <c r="AZ429">
        <v>171.0000000020955</v>
      </c>
      <c r="BA429">
        <v>0</v>
      </c>
      <c r="BB429">
        <v>0</v>
      </c>
      <c r="BC429">
        <v>1</v>
      </c>
      <c r="BD429">
        <v>0</v>
      </c>
      <c r="BE429">
        <f t="shared" si="69"/>
        <v>1</v>
      </c>
    </row>
    <row r="430" spans="1:57" x14ac:dyDescent="0.25">
      <c r="A430" t="s">
        <v>39</v>
      </c>
      <c r="B430" t="s">
        <v>1469</v>
      </c>
      <c r="C430">
        <v>75.3</v>
      </c>
      <c r="D430">
        <v>60.9</v>
      </c>
      <c r="G430">
        <f t="shared" si="60"/>
        <v>0</v>
      </c>
      <c r="H430">
        <f t="shared" si="61"/>
        <v>0</v>
      </c>
      <c r="I430">
        <f t="shared" si="62"/>
        <v>0</v>
      </c>
      <c r="J430">
        <v>67.400000000000006</v>
      </c>
      <c r="K430">
        <v>75.3</v>
      </c>
      <c r="L430">
        <v>60.9</v>
      </c>
      <c r="M430">
        <v>67.400000000000006</v>
      </c>
      <c r="N430">
        <v>61.5</v>
      </c>
      <c r="O430">
        <v>82.1</v>
      </c>
      <c r="S430">
        <f t="shared" si="63"/>
        <v>1</v>
      </c>
      <c r="T430">
        <f t="shared" si="64"/>
        <v>1</v>
      </c>
      <c r="U430">
        <f t="shared" si="65"/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8.1</v>
      </c>
      <c r="AG430">
        <f t="shared" si="66"/>
        <v>1</v>
      </c>
      <c r="AH430">
        <f t="shared" si="67"/>
        <v>0</v>
      </c>
      <c r="AI430">
        <f t="shared" si="68"/>
        <v>1</v>
      </c>
      <c r="AJ430">
        <v>142.80000000000001</v>
      </c>
      <c r="AK430">
        <v>1017.5</v>
      </c>
      <c r="AL430">
        <v>35.5</v>
      </c>
      <c r="AM430">
        <v>6.5</v>
      </c>
      <c r="AN430">
        <v>0</v>
      </c>
      <c r="AO430">
        <v>0</v>
      </c>
      <c r="AP430">
        <v>0</v>
      </c>
      <c r="AQ430">
        <v>0</v>
      </c>
      <c r="AR430" t="s">
        <v>1470</v>
      </c>
      <c r="AS430" t="s">
        <v>1471</v>
      </c>
      <c r="AT430">
        <v>0.6</v>
      </c>
      <c r="AU430" t="s">
        <v>43</v>
      </c>
      <c r="AV430" t="s">
        <v>44</v>
      </c>
      <c r="AW430" t="s">
        <v>45</v>
      </c>
      <c r="AX430" s="1">
        <v>0.53125</v>
      </c>
      <c r="AY430" t="s">
        <v>1472</v>
      </c>
      <c r="AZ430">
        <v>345.00000000349252</v>
      </c>
      <c r="BA430">
        <v>0</v>
      </c>
      <c r="BB430">
        <v>0</v>
      </c>
      <c r="BC430">
        <v>0.5</v>
      </c>
      <c r="BD430">
        <v>0</v>
      </c>
      <c r="BE430">
        <f t="shared" si="69"/>
        <v>0</v>
      </c>
    </row>
    <row r="431" spans="1:57" x14ac:dyDescent="0.25">
      <c r="A431" t="s">
        <v>39</v>
      </c>
      <c r="B431" t="s">
        <v>1473</v>
      </c>
      <c r="C431">
        <v>80.7</v>
      </c>
      <c r="D431">
        <v>71.7</v>
      </c>
      <c r="G431">
        <f t="shared" si="60"/>
        <v>1</v>
      </c>
      <c r="H431">
        <f t="shared" si="61"/>
        <v>1</v>
      </c>
      <c r="I431">
        <f t="shared" si="62"/>
        <v>0</v>
      </c>
      <c r="J431">
        <v>75.7</v>
      </c>
      <c r="K431">
        <v>80.900000000000006</v>
      </c>
      <c r="L431">
        <v>71.7</v>
      </c>
      <c r="M431">
        <v>75.7</v>
      </c>
      <c r="N431">
        <v>57.5</v>
      </c>
      <c r="O431">
        <v>53.7</v>
      </c>
      <c r="S431">
        <f t="shared" si="63"/>
        <v>1</v>
      </c>
      <c r="T431">
        <f t="shared" si="64"/>
        <v>0</v>
      </c>
      <c r="U431">
        <f t="shared" si="65"/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36.9</v>
      </c>
      <c r="AG431">
        <f t="shared" si="66"/>
        <v>1</v>
      </c>
      <c r="AH431">
        <f t="shared" si="67"/>
        <v>1</v>
      </c>
      <c r="AI431">
        <f t="shared" si="68"/>
        <v>0</v>
      </c>
      <c r="AJ431">
        <v>159.30000000000001</v>
      </c>
      <c r="AK431">
        <v>1008.7</v>
      </c>
      <c r="AL431">
        <v>90.7</v>
      </c>
      <c r="AM431">
        <v>5.8</v>
      </c>
      <c r="AN431">
        <v>0</v>
      </c>
      <c r="AO431">
        <v>0</v>
      </c>
      <c r="AP431">
        <v>0</v>
      </c>
      <c r="AQ431">
        <v>0</v>
      </c>
      <c r="AR431" t="s">
        <v>1474</v>
      </c>
      <c r="AS431" t="s">
        <v>1475</v>
      </c>
      <c r="AT431">
        <v>0.06</v>
      </c>
      <c r="AU431" t="s">
        <v>275</v>
      </c>
      <c r="AV431" t="s">
        <v>276</v>
      </c>
      <c r="AW431" t="s">
        <v>419</v>
      </c>
      <c r="AX431" s="1">
        <v>0.44791666666666669</v>
      </c>
      <c r="AY431" t="s">
        <v>1476</v>
      </c>
      <c r="AZ431">
        <v>214.99999999883579</v>
      </c>
      <c r="BA431">
        <v>0</v>
      </c>
      <c r="BB431">
        <v>0</v>
      </c>
      <c r="BC431">
        <v>1</v>
      </c>
      <c r="BD431">
        <v>0</v>
      </c>
      <c r="BE431">
        <f t="shared" si="69"/>
        <v>1</v>
      </c>
    </row>
    <row r="432" spans="1:57" x14ac:dyDescent="0.25">
      <c r="A432" t="s">
        <v>39</v>
      </c>
      <c r="B432" t="s">
        <v>1392</v>
      </c>
      <c r="C432">
        <v>89.7</v>
      </c>
      <c r="D432">
        <v>75.3</v>
      </c>
      <c r="G432">
        <f t="shared" si="60"/>
        <v>1</v>
      </c>
      <c r="H432">
        <f t="shared" si="61"/>
        <v>1</v>
      </c>
      <c r="I432">
        <f t="shared" si="62"/>
        <v>0</v>
      </c>
      <c r="J432">
        <v>81.5</v>
      </c>
      <c r="K432">
        <v>86</v>
      </c>
      <c r="L432">
        <v>75.3</v>
      </c>
      <c r="M432">
        <v>80</v>
      </c>
      <c r="N432">
        <v>45.2</v>
      </c>
      <c r="O432">
        <v>28.9</v>
      </c>
      <c r="S432">
        <f t="shared" si="63"/>
        <v>1</v>
      </c>
      <c r="T432">
        <f t="shared" si="64"/>
        <v>0</v>
      </c>
      <c r="U432">
        <f t="shared" si="65"/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24.2</v>
      </c>
      <c r="AG432">
        <f t="shared" si="66"/>
        <v>1</v>
      </c>
      <c r="AH432">
        <f t="shared" si="67"/>
        <v>1</v>
      </c>
      <c r="AI432">
        <f t="shared" si="68"/>
        <v>0</v>
      </c>
      <c r="AJ432">
        <v>164.9</v>
      </c>
      <c r="AK432">
        <v>1015.7</v>
      </c>
      <c r="AL432">
        <v>30</v>
      </c>
      <c r="AM432">
        <v>6.5</v>
      </c>
      <c r="AN432">
        <v>0</v>
      </c>
      <c r="AO432">
        <v>0</v>
      </c>
      <c r="AP432">
        <v>0</v>
      </c>
      <c r="AQ432">
        <v>0</v>
      </c>
      <c r="AR432" t="s">
        <v>1393</v>
      </c>
      <c r="AS432" t="s">
        <v>1394</v>
      </c>
      <c r="AT432">
        <v>0.12</v>
      </c>
      <c r="AU432" t="s">
        <v>43</v>
      </c>
      <c r="AV432" t="s">
        <v>44</v>
      </c>
      <c r="AW432" t="s">
        <v>45</v>
      </c>
      <c r="AX432" s="1">
        <v>0.90555555555555556</v>
      </c>
      <c r="AY432" t="s">
        <v>1477</v>
      </c>
      <c r="AZ432">
        <v>1291.0000000067521</v>
      </c>
      <c r="BA432">
        <v>1</v>
      </c>
      <c r="BB432">
        <v>0</v>
      </c>
      <c r="BC432">
        <v>70</v>
      </c>
      <c r="BD432">
        <v>0</v>
      </c>
      <c r="BE432">
        <f t="shared" si="69"/>
        <v>1</v>
      </c>
    </row>
    <row r="433" spans="1:57" x14ac:dyDescent="0.25">
      <c r="A433" t="s">
        <v>39</v>
      </c>
      <c r="B433" t="s">
        <v>1478</v>
      </c>
      <c r="C433">
        <v>80.7</v>
      </c>
      <c r="D433">
        <v>75.3</v>
      </c>
      <c r="G433">
        <f t="shared" si="60"/>
        <v>1</v>
      </c>
      <c r="H433">
        <f t="shared" si="61"/>
        <v>0</v>
      </c>
      <c r="I433">
        <f t="shared" si="62"/>
        <v>1</v>
      </c>
      <c r="J433">
        <v>78.099999999999994</v>
      </c>
      <c r="K433">
        <v>82.4</v>
      </c>
      <c r="L433">
        <v>75.3</v>
      </c>
      <c r="M433">
        <v>78.400000000000006</v>
      </c>
      <c r="N433">
        <v>62.8</v>
      </c>
      <c r="O433">
        <v>59.8</v>
      </c>
      <c r="S433">
        <f t="shared" si="63"/>
        <v>0</v>
      </c>
      <c r="T433">
        <f t="shared" si="64"/>
        <v>0</v>
      </c>
      <c r="U433">
        <f t="shared" si="65"/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20.8</v>
      </c>
      <c r="AG433">
        <f t="shared" si="66"/>
        <v>1</v>
      </c>
      <c r="AH433">
        <f t="shared" si="67"/>
        <v>1</v>
      </c>
      <c r="AI433">
        <f t="shared" si="68"/>
        <v>0</v>
      </c>
      <c r="AJ433">
        <v>310.3</v>
      </c>
      <c r="AK433">
        <v>1015.4</v>
      </c>
      <c r="AL433">
        <v>42.5</v>
      </c>
      <c r="AM433">
        <v>6.8</v>
      </c>
      <c r="AN433">
        <v>0</v>
      </c>
      <c r="AO433">
        <v>0</v>
      </c>
      <c r="AP433">
        <v>0</v>
      </c>
      <c r="AQ433">
        <v>0</v>
      </c>
      <c r="AR433" t="s">
        <v>1479</v>
      </c>
      <c r="AS433" t="s">
        <v>1480</v>
      </c>
      <c r="AT433">
        <v>0.3</v>
      </c>
      <c r="AU433" t="s">
        <v>43</v>
      </c>
      <c r="AV433" t="s">
        <v>44</v>
      </c>
      <c r="AW433" t="s">
        <v>45</v>
      </c>
      <c r="AX433" s="1">
        <v>0.7006944444444444</v>
      </c>
      <c r="AY433" t="s">
        <v>1481</v>
      </c>
      <c r="AZ433">
        <v>240.9999999997672</v>
      </c>
      <c r="BA433">
        <v>0</v>
      </c>
      <c r="BB433">
        <v>0</v>
      </c>
      <c r="BC433">
        <v>0.7</v>
      </c>
      <c r="BD433">
        <v>0</v>
      </c>
      <c r="BE433">
        <f t="shared" si="69"/>
        <v>0</v>
      </c>
    </row>
    <row r="434" spans="1:57" x14ac:dyDescent="0.25">
      <c r="A434" t="s">
        <v>39</v>
      </c>
      <c r="B434" t="s">
        <v>1482</v>
      </c>
      <c r="C434">
        <v>89.7</v>
      </c>
      <c r="D434">
        <v>73.5</v>
      </c>
      <c r="G434">
        <f t="shared" si="60"/>
        <v>1</v>
      </c>
      <c r="H434">
        <f t="shared" si="61"/>
        <v>1</v>
      </c>
      <c r="I434">
        <f t="shared" si="62"/>
        <v>0</v>
      </c>
      <c r="J434">
        <v>82.3</v>
      </c>
      <c r="K434">
        <v>92.9</v>
      </c>
      <c r="L434">
        <v>73.5</v>
      </c>
      <c r="M434">
        <v>84.2</v>
      </c>
      <c r="N434">
        <v>62.7</v>
      </c>
      <c r="O434">
        <v>52.7</v>
      </c>
      <c r="S434">
        <f t="shared" si="63"/>
        <v>1</v>
      </c>
      <c r="T434">
        <f t="shared" si="64"/>
        <v>0</v>
      </c>
      <c r="U434">
        <f t="shared" si="65"/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11.4</v>
      </c>
      <c r="AG434">
        <f t="shared" si="66"/>
        <v>1</v>
      </c>
      <c r="AH434">
        <f t="shared" si="67"/>
        <v>0</v>
      </c>
      <c r="AI434">
        <f t="shared" si="68"/>
        <v>1</v>
      </c>
      <c r="AJ434">
        <v>85.2</v>
      </c>
      <c r="AK434">
        <v>1006.1</v>
      </c>
      <c r="AL434">
        <v>30</v>
      </c>
      <c r="AM434">
        <v>6.2</v>
      </c>
      <c r="AN434">
        <v>0</v>
      </c>
      <c r="AO434">
        <v>0</v>
      </c>
      <c r="AP434">
        <v>0</v>
      </c>
      <c r="AQ434">
        <v>0</v>
      </c>
      <c r="AR434" t="s">
        <v>1483</v>
      </c>
      <c r="AS434" t="s">
        <v>1484</v>
      </c>
      <c r="AT434">
        <v>0.86</v>
      </c>
      <c r="AU434" t="s">
        <v>43</v>
      </c>
      <c r="AV434" t="s">
        <v>44</v>
      </c>
      <c r="AW434" t="s">
        <v>45</v>
      </c>
      <c r="AX434" s="1">
        <v>0.47847222222222219</v>
      </c>
      <c r="AY434" t="s">
        <v>1485</v>
      </c>
      <c r="AZ434">
        <v>245.99999999511061</v>
      </c>
      <c r="BA434">
        <v>0</v>
      </c>
      <c r="BB434">
        <v>0</v>
      </c>
      <c r="BC434">
        <v>1</v>
      </c>
      <c r="BD434">
        <v>0</v>
      </c>
      <c r="BE434">
        <f t="shared" si="69"/>
        <v>1</v>
      </c>
    </row>
    <row r="435" spans="1:57" x14ac:dyDescent="0.25">
      <c r="A435" t="s">
        <v>39</v>
      </c>
      <c r="B435" t="s">
        <v>1486</v>
      </c>
      <c r="C435">
        <v>78.900000000000006</v>
      </c>
      <c r="D435">
        <v>64.5</v>
      </c>
      <c r="G435">
        <f t="shared" si="60"/>
        <v>1</v>
      </c>
      <c r="H435">
        <f t="shared" si="61"/>
        <v>1</v>
      </c>
      <c r="I435">
        <f t="shared" si="62"/>
        <v>0</v>
      </c>
      <c r="J435">
        <v>70.3</v>
      </c>
      <c r="K435">
        <v>78.900000000000006</v>
      </c>
      <c r="L435">
        <v>64.5</v>
      </c>
      <c r="M435">
        <v>70.3</v>
      </c>
      <c r="N435">
        <v>53.5</v>
      </c>
      <c r="O435">
        <v>56.8</v>
      </c>
      <c r="S435">
        <f t="shared" si="63"/>
        <v>1</v>
      </c>
      <c r="T435">
        <f t="shared" si="64"/>
        <v>0</v>
      </c>
      <c r="U435">
        <f t="shared" si="65"/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10.3</v>
      </c>
      <c r="AG435">
        <f t="shared" si="66"/>
        <v>1</v>
      </c>
      <c r="AH435">
        <f t="shared" si="67"/>
        <v>0</v>
      </c>
      <c r="AI435">
        <f t="shared" si="68"/>
        <v>1</v>
      </c>
      <c r="AJ435">
        <v>146.5</v>
      </c>
      <c r="AK435">
        <v>1014.5</v>
      </c>
      <c r="AL435">
        <v>65</v>
      </c>
      <c r="AM435">
        <v>6.3</v>
      </c>
      <c r="AN435">
        <v>0</v>
      </c>
      <c r="AO435">
        <v>0</v>
      </c>
      <c r="AP435">
        <v>0</v>
      </c>
      <c r="AQ435">
        <v>0</v>
      </c>
      <c r="AR435" t="s">
        <v>1487</v>
      </c>
      <c r="AS435" t="s">
        <v>1488</v>
      </c>
      <c r="AT435">
        <v>0.22</v>
      </c>
      <c r="AU435" t="s">
        <v>43</v>
      </c>
      <c r="AV435" t="s">
        <v>44</v>
      </c>
      <c r="AW435" t="s">
        <v>45</v>
      </c>
      <c r="AX435" s="1">
        <v>0.97152777777777777</v>
      </c>
      <c r="AY435" t="s">
        <v>1489</v>
      </c>
      <c r="AZ435">
        <v>130.99999999743889</v>
      </c>
      <c r="BA435">
        <v>0</v>
      </c>
      <c r="BB435">
        <v>0</v>
      </c>
      <c r="BC435">
        <v>3</v>
      </c>
      <c r="BD435">
        <v>0</v>
      </c>
      <c r="BE435">
        <f t="shared" si="69"/>
        <v>1</v>
      </c>
    </row>
    <row r="436" spans="1:57" x14ac:dyDescent="0.25">
      <c r="A436" t="s">
        <v>39</v>
      </c>
      <c r="B436" t="s">
        <v>1490</v>
      </c>
      <c r="C436">
        <v>84.3</v>
      </c>
      <c r="D436">
        <v>68.099999999999994</v>
      </c>
      <c r="G436">
        <f t="shared" si="60"/>
        <v>0</v>
      </c>
      <c r="H436">
        <f t="shared" si="61"/>
        <v>0</v>
      </c>
      <c r="I436">
        <f t="shared" si="62"/>
        <v>0</v>
      </c>
      <c r="J436">
        <v>78.5</v>
      </c>
      <c r="K436">
        <v>86.6</v>
      </c>
      <c r="L436">
        <v>68.099999999999994</v>
      </c>
      <c r="M436">
        <v>79.099999999999994</v>
      </c>
      <c r="N436">
        <v>58.7</v>
      </c>
      <c r="O436">
        <v>51.2</v>
      </c>
      <c r="S436">
        <f t="shared" si="63"/>
        <v>1</v>
      </c>
      <c r="T436">
        <f t="shared" si="64"/>
        <v>0</v>
      </c>
      <c r="U436">
        <f t="shared" si="65"/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15</v>
      </c>
      <c r="AG436">
        <f t="shared" si="66"/>
        <v>1</v>
      </c>
      <c r="AH436">
        <f t="shared" si="67"/>
        <v>0</v>
      </c>
      <c r="AI436">
        <f t="shared" si="68"/>
        <v>1</v>
      </c>
      <c r="AJ436">
        <v>309.10000000000002</v>
      </c>
      <c r="AK436">
        <v>1011.7</v>
      </c>
      <c r="AL436">
        <v>30</v>
      </c>
      <c r="AM436">
        <v>6.4</v>
      </c>
      <c r="AN436">
        <v>0</v>
      </c>
      <c r="AO436">
        <v>0</v>
      </c>
      <c r="AP436">
        <v>0</v>
      </c>
      <c r="AQ436">
        <v>0</v>
      </c>
      <c r="AR436" t="s">
        <v>1491</v>
      </c>
      <c r="AS436" t="s">
        <v>1492</v>
      </c>
      <c r="AT436">
        <v>0.37</v>
      </c>
      <c r="AU436" t="s">
        <v>43</v>
      </c>
      <c r="AV436" t="s">
        <v>44</v>
      </c>
      <c r="AW436" t="s">
        <v>45</v>
      </c>
      <c r="AX436" s="1">
        <v>0.54097222222222219</v>
      </c>
      <c r="AY436" t="s">
        <v>1493</v>
      </c>
      <c r="AZ436">
        <v>480.99999999627471</v>
      </c>
      <c r="BA436">
        <v>1</v>
      </c>
      <c r="BB436">
        <v>0</v>
      </c>
      <c r="BC436">
        <v>25</v>
      </c>
      <c r="BD436">
        <v>0</v>
      </c>
      <c r="BE436">
        <f t="shared" si="69"/>
        <v>0</v>
      </c>
    </row>
    <row r="437" spans="1:57" x14ac:dyDescent="0.25">
      <c r="A437" t="s">
        <v>39</v>
      </c>
      <c r="B437" t="s">
        <v>1490</v>
      </c>
      <c r="C437">
        <v>84.3</v>
      </c>
      <c r="D437">
        <v>68.099999999999994</v>
      </c>
      <c r="G437">
        <f t="shared" si="60"/>
        <v>0</v>
      </c>
      <c r="H437">
        <f t="shared" si="61"/>
        <v>0</v>
      </c>
      <c r="I437">
        <f t="shared" si="62"/>
        <v>0</v>
      </c>
      <c r="J437">
        <v>78.5</v>
      </c>
      <c r="K437">
        <v>86.6</v>
      </c>
      <c r="L437">
        <v>68.099999999999994</v>
      </c>
      <c r="M437">
        <v>79.099999999999994</v>
      </c>
      <c r="N437">
        <v>58.7</v>
      </c>
      <c r="O437">
        <v>51.2</v>
      </c>
      <c r="S437">
        <f t="shared" si="63"/>
        <v>1</v>
      </c>
      <c r="T437">
        <f t="shared" si="64"/>
        <v>0</v>
      </c>
      <c r="U437">
        <f t="shared" si="65"/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15</v>
      </c>
      <c r="AG437">
        <f t="shared" si="66"/>
        <v>1</v>
      </c>
      <c r="AH437">
        <f t="shared" si="67"/>
        <v>0</v>
      </c>
      <c r="AI437">
        <f t="shared" si="68"/>
        <v>1</v>
      </c>
      <c r="AJ437">
        <v>309.10000000000002</v>
      </c>
      <c r="AK437">
        <v>1011.7</v>
      </c>
      <c r="AL437">
        <v>30</v>
      </c>
      <c r="AM437">
        <v>6.4</v>
      </c>
      <c r="AN437">
        <v>0</v>
      </c>
      <c r="AO437">
        <v>0</v>
      </c>
      <c r="AP437">
        <v>0</v>
      </c>
      <c r="AQ437">
        <v>0</v>
      </c>
      <c r="AR437" t="s">
        <v>1491</v>
      </c>
      <c r="AS437" t="s">
        <v>1492</v>
      </c>
      <c r="AT437">
        <v>0.37</v>
      </c>
      <c r="AU437" t="s">
        <v>43</v>
      </c>
      <c r="AV437" t="s">
        <v>44</v>
      </c>
      <c r="AW437" t="s">
        <v>45</v>
      </c>
      <c r="AX437" s="1">
        <v>0.91666666666666663</v>
      </c>
      <c r="AY437" t="s">
        <v>1494</v>
      </c>
      <c r="AZ437">
        <v>175.00000000465661</v>
      </c>
      <c r="BA437">
        <v>0</v>
      </c>
      <c r="BB437">
        <v>0</v>
      </c>
      <c r="BC437">
        <v>0</v>
      </c>
      <c r="BD437">
        <v>0.3</v>
      </c>
      <c r="BE437">
        <f t="shared" si="69"/>
        <v>0</v>
      </c>
    </row>
    <row r="438" spans="1:57" x14ac:dyDescent="0.25">
      <c r="A438" t="s">
        <v>39</v>
      </c>
      <c r="B438" t="s">
        <v>1495</v>
      </c>
      <c r="C438">
        <v>84.3</v>
      </c>
      <c r="D438">
        <v>77.099999999999994</v>
      </c>
      <c r="G438">
        <f t="shared" si="60"/>
        <v>0</v>
      </c>
      <c r="H438">
        <f t="shared" si="61"/>
        <v>0</v>
      </c>
      <c r="I438">
        <f t="shared" si="62"/>
        <v>0</v>
      </c>
      <c r="J438">
        <v>80.5</v>
      </c>
      <c r="K438">
        <v>86.6</v>
      </c>
      <c r="L438">
        <v>77.099999999999994</v>
      </c>
      <c r="M438">
        <v>81.599999999999994</v>
      </c>
      <c r="N438">
        <v>65.599999999999994</v>
      </c>
      <c r="O438">
        <v>61.3</v>
      </c>
      <c r="S438">
        <f t="shared" si="63"/>
        <v>0</v>
      </c>
      <c r="T438">
        <f t="shared" si="64"/>
        <v>0</v>
      </c>
      <c r="U438">
        <f t="shared" si="65"/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20.8</v>
      </c>
      <c r="AG438">
        <f t="shared" si="66"/>
        <v>1</v>
      </c>
      <c r="AH438">
        <f t="shared" si="67"/>
        <v>1</v>
      </c>
      <c r="AI438">
        <f t="shared" si="68"/>
        <v>0</v>
      </c>
      <c r="AJ438">
        <v>298</v>
      </c>
      <c r="AK438">
        <v>1008.4</v>
      </c>
      <c r="AL438">
        <v>30</v>
      </c>
      <c r="AM438">
        <v>6.5</v>
      </c>
      <c r="AN438">
        <v>0</v>
      </c>
      <c r="AO438">
        <v>0</v>
      </c>
      <c r="AP438">
        <v>0</v>
      </c>
      <c r="AQ438">
        <v>0</v>
      </c>
      <c r="AR438" t="s">
        <v>1496</v>
      </c>
      <c r="AS438" t="s">
        <v>1497</v>
      </c>
      <c r="AT438">
        <v>0.59</v>
      </c>
      <c r="AU438" t="s">
        <v>43</v>
      </c>
      <c r="AV438" t="s">
        <v>44</v>
      </c>
      <c r="AW438" t="s">
        <v>45</v>
      </c>
      <c r="AX438" s="1">
        <v>0.49583333333333329</v>
      </c>
      <c r="AY438" t="s">
        <v>1498</v>
      </c>
      <c r="AZ438">
        <v>2151.000000002095</v>
      </c>
      <c r="BA438">
        <v>1</v>
      </c>
      <c r="BB438">
        <v>0</v>
      </c>
      <c r="BC438">
        <v>30</v>
      </c>
      <c r="BD438">
        <v>0</v>
      </c>
      <c r="BE438">
        <f t="shared" si="69"/>
        <v>0</v>
      </c>
    </row>
    <row r="439" spans="1:57" x14ac:dyDescent="0.25">
      <c r="A439" t="s">
        <v>39</v>
      </c>
      <c r="B439" t="s">
        <v>1499</v>
      </c>
      <c r="C439">
        <v>78.900000000000006</v>
      </c>
      <c r="D439">
        <v>64.5</v>
      </c>
      <c r="G439">
        <f t="shared" si="60"/>
        <v>1</v>
      </c>
      <c r="H439">
        <f t="shared" si="61"/>
        <v>1</v>
      </c>
      <c r="I439">
        <f t="shared" si="62"/>
        <v>0</v>
      </c>
      <c r="J439">
        <v>70.900000000000006</v>
      </c>
      <c r="K439">
        <v>78.900000000000006</v>
      </c>
      <c r="L439">
        <v>64.5</v>
      </c>
      <c r="M439">
        <v>70.900000000000006</v>
      </c>
      <c r="N439">
        <v>62.3</v>
      </c>
      <c r="O439">
        <v>74.8</v>
      </c>
      <c r="S439">
        <f t="shared" si="63"/>
        <v>1</v>
      </c>
      <c r="T439">
        <f t="shared" si="64"/>
        <v>1</v>
      </c>
      <c r="U439">
        <f t="shared" si="65"/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11.4</v>
      </c>
      <c r="AG439">
        <f t="shared" si="66"/>
        <v>1</v>
      </c>
      <c r="AH439">
        <f t="shared" si="67"/>
        <v>0</v>
      </c>
      <c r="AI439">
        <f t="shared" si="68"/>
        <v>1</v>
      </c>
      <c r="AJ439">
        <v>132.6</v>
      </c>
      <c r="AK439">
        <v>1016.2</v>
      </c>
      <c r="AL439">
        <v>30</v>
      </c>
      <c r="AM439">
        <v>6.5</v>
      </c>
      <c r="AN439">
        <v>0</v>
      </c>
      <c r="AO439">
        <v>0</v>
      </c>
      <c r="AP439">
        <v>0</v>
      </c>
      <c r="AQ439">
        <v>0</v>
      </c>
      <c r="AR439" t="s">
        <v>1500</v>
      </c>
      <c r="AS439" t="s">
        <v>1501</v>
      </c>
      <c r="AT439">
        <v>0.91</v>
      </c>
      <c r="AU439" t="s">
        <v>43</v>
      </c>
      <c r="AV439" t="s">
        <v>44</v>
      </c>
      <c r="AW439" t="s">
        <v>45</v>
      </c>
      <c r="AX439" s="1">
        <v>0.61111111111111116</v>
      </c>
      <c r="AY439" t="s">
        <v>1502</v>
      </c>
      <c r="AZ439">
        <v>425.00000000232831</v>
      </c>
      <c r="BA439">
        <v>1</v>
      </c>
      <c r="BB439">
        <v>10</v>
      </c>
      <c r="BC439">
        <v>0</v>
      </c>
      <c r="BD439">
        <v>0</v>
      </c>
      <c r="BE439">
        <f t="shared" si="69"/>
        <v>1</v>
      </c>
    </row>
    <row r="440" spans="1:57" x14ac:dyDescent="0.25">
      <c r="A440" t="s">
        <v>39</v>
      </c>
      <c r="B440" t="s">
        <v>1313</v>
      </c>
      <c r="C440">
        <v>80.7</v>
      </c>
      <c r="D440">
        <v>71.7</v>
      </c>
      <c r="G440">
        <f t="shared" si="60"/>
        <v>0</v>
      </c>
      <c r="H440">
        <f t="shared" si="61"/>
        <v>0</v>
      </c>
      <c r="I440">
        <f t="shared" si="62"/>
        <v>0</v>
      </c>
      <c r="J440">
        <v>75.900000000000006</v>
      </c>
      <c r="K440">
        <v>82.4</v>
      </c>
      <c r="L440">
        <v>71.7</v>
      </c>
      <c r="M440">
        <v>76</v>
      </c>
      <c r="N440">
        <v>60.6</v>
      </c>
      <c r="O440">
        <v>59.4</v>
      </c>
      <c r="S440">
        <f t="shared" si="63"/>
        <v>1</v>
      </c>
      <c r="T440">
        <f t="shared" si="64"/>
        <v>0</v>
      </c>
      <c r="U440">
        <f t="shared" si="65"/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20.8</v>
      </c>
      <c r="AG440">
        <f t="shared" si="66"/>
        <v>1</v>
      </c>
      <c r="AH440">
        <f t="shared" si="67"/>
        <v>1</v>
      </c>
      <c r="AI440">
        <f t="shared" si="68"/>
        <v>0</v>
      </c>
      <c r="AJ440">
        <v>302.7</v>
      </c>
      <c r="AK440">
        <v>1013.4</v>
      </c>
      <c r="AL440">
        <v>30</v>
      </c>
      <c r="AM440">
        <v>6.3</v>
      </c>
      <c r="AN440">
        <v>0</v>
      </c>
      <c r="AO440">
        <v>0</v>
      </c>
      <c r="AP440">
        <v>0</v>
      </c>
      <c r="AQ440">
        <v>0</v>
      </c>
      <c r="AR440" t="s">
        <v>1314</v>
      </c>
      <c r="AS440" t="s">
        <v>1315</v>
      </c>
      <c r="AT440">
        <v>0.1</v>
      </c>
      <c r="AU440" t="s">
        <v>43</v>
      </c>
      <c r="AV440" t="s">
        <v>44</v>
      </c>
      <c r="AW440" t="s">
        <v>45</v>
      </c>
      <c r="AX440" s="1">
        <v>0.52083333333333337</v>
      </c>
      <c r="AY440" t="s">
        <v>1503</v>
      </c>
      <c r="AZ440">
        <v>227.99999999930151</v>
      </c>
      <c r="BA440">
        <v>0</v>
      </c>
      <c r="BB440">
        <v>4</v>
      </c>
      <c r="BC440">
        <v>0</v>
      </c>
      <c r="BD440">
        <v>0</v>
      </c>
      <c r="BE440">
        <f t="shared" si="69"/>
        <v>0</v>
      </c>
    </row>
    <row r="441" spans="1:57" x14ac:dyDescent="0.25">
      <c r="A441" t="s">
        <v>39</v>
      </c>
      <c r="B441" t="s">
        <v>1504</v>
      </c>
      <c r="C441">
        <v>80.7</v>
      </c>
      <c r="D441">
        <v>68.099999999999994</v>
      </c>
      <c r="G441">
        <f t="shared" si="60"/>
        <v>1</v>
      </c>
      <c r="H441">
        <f t="shared" si="61"/>
        <v>1</v>
      </c>
      <c r="I441">
        <f t="shared" si="62"/>
        <v>0</v>
      </c>
      <c r="J441">
        <v>76.7</v>
      </c>
      <c r="K441">
        <v>81.900000000000006</v>
      </c>
      <c r="L441">
        <v>68.099999999999994</v>
      </c>
      <c r="M441">
        <v>76.7</v>
      </c>
      <c r="N441">
        <v>54.3</v>
      </c>
      <c r="O441">
        <v>51.1</v>
      </c>
      <c r="S441">
        <f t="shared" si="63"/>
        <v>1</v>
      </c>
      <c r="T441">
        <f t="shared" si="64"/>
        <v>0</v>
      </c>
      <c r="U441">
        <f t="shared" si="65"/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23</v>
      </c>
      <c r="AG441">
        <f t="shared" si="66"/>
        <v>1</v>
      </c>
      <c r="AH441">
        <f t="shared" si="67"/>
        <v>1</v>
      </c>
      <c r="AI441">
        <f t="shared" si="68"/>
        <v>0</v>
      </c>
      <c r="AJ441">
        <v>140.4</v>
      </c>
      <c r="AK441">
        <v>1017.8</v>
      </c>
      <c r="AL441">
        <v>30</v>
      </c>
      <c r="AM441">
        <v>6.4</v>
      </c>
      <c r="AN441">
        <v>0</v>
      </c>
      <c r="AO441">
        <v>0</v>
      </c>
      <c r="AP441">
        <v>0</v>
      </c>
      <c r="AQ441">
        <v>0</v>
      </c>
      <c r="AR441" t="s">
        <v>1505</v>
      </c>
      <c r="AS441" t="s">
        <v>1506</v>
      </c>
      <c r="AT441">
        <v>0.15</v>
      </c>
      <c r="AU441" t="s">
        <v>43</v>
      </c>
      <c r="AV441" t="s">
        <v>44</v>
      </c>
      <c r="AW441" t="s">
        <v>45</v>
      </c>
      <c r="AX441" s="1">
        <v>0.62430555555555556</v>
      </c>
      <c r="AY441" t="s">
        <v>1507</v>
      </c>
      <c r="AZ441">
        <v>351.00000000209548</v>
      </c>
      <c r="BA441">
        <v>0</v>
      </c>
      <c r="BB441">
        <v>0</v>
      </c>
      <c r="BC441">
        <v>5</v>
      </c>
      <c r="BD441">
        <v>0</v>
      </c>
      <c r="BE441">
        <f t="shared" si="69"/>
        <v>1</v>
      </c>
    </row>
    <row r="442" spans="1:57" x14ac:dyDescent="0.25">
      <c r="A442" t="s">
        <v>39</v>
      </c>
      <c r="B442" t="s">
        <v>1453</v>
      </c>
      <c r="C442">
        <v>78.900000000000006</v>
      </c>
      <c r="D442">
        <v>64.5</v>
      </c>
      <c r="G442">
        <f t="shared" si="60"/>
        <v>1</v>
      </c>
      <c r="H442">
        <f t="shared" si="61"/>
        <v>1</v>
      </c>
      <c r="I442">
        <f t="shared" si="62"/>
        <v>0</v>
      </c>
      <c r="J442">
        <v>70.7</v>
      </c>
      <c r="K442">
        <v>78.900000000000006</v>
      </c>
      <c r="L442">
        <v>64.5</v>
      </c>
      <c r="M442">
        <v>70.7</v>
      </c>
      <c r="N442">
        <v>63.3</v>
      </c>
      <c r="O442">
        <v>78.5</v>
      </c>
      <c r="S442">
        <f t="shared" si="63"/>
        <v>1</v>
      </c>
      <c r="T442">
        <f t="shared" si="64"/>
        <v>1</v>
      </c>
      <c r="U442">
        <f t="shared" si="65"/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9.1999999999999993</v>
      </c>
      <c r="AG442">
        <f t="shared" si="66"/>
        <v>1</v>
      </c>
      <c r="AH442">
        <f t="shared" si="67"/>
        <v>0</v>
      </c>
      <c r="AI442">
        <f t="shared" si="68"/>
        <v>1</v>
      </c>
      <c r="AJ442">
        <v>143.19999999999999</v>
      </c>
      <c r="AK442">
        <v>1016.3</v>
      </c>
      <c r="AL442">
        <v>58.8</v>
      </c>
      <c r="AM442">
        <v>6.6</v>
      </c>
      <c r="AN442">
        <v>0</v>
      </c>
      <c r="AO442">
        <v>0</v>
      </c>
      <c r="AP442">
        <v>0</v>
      </c>
      <c r="AQ442">
        <v>0</v>
      </c>
      <c r="AR442" t="s">
        <v>1454</v>
      </c>
      <c r="AS442" t="s">
        <v>1455</v>
      </c>
      <c r="AT442">
        <v>0.94</v>
      </c>
      <c r="AU442" t="s">
        <v>43</v>
      </c>
      <c r="AV442" t="s">
        <v>44</v>
      </c>
      <c r="AW442" t="s">
        <v>45</v>
      </c>
      <c r="AX442" s="1">
        <v>0.62430555555555556</v>
      </c>
      <c r="AY442" t="s">
        <v>1508</v>
      </c>
      <c r="AZ442">
        <v>306.00000000209548</v>
      </c>
      <c r="BA442">
        <v>0</v>
      </c>
      <c r="BB442">
        <v>10</v>
      </c>
      <c r="BC442">
        <v>0</v>
      </c>
      <c r="BD442">
        <v>0</v>
      </c>
      <c r="BE442">
        <f t="shared" si="69"/>
        <v>1</v>
      </c>
    </row>
    <row r="443" spans="1:57" x14ac:dyDescent="0.25">
      <c r="A443" t="s">
        <v>39</v>
      </c>
      <c r="B443" t="s">
        <v>1495</v>
      </c>
      <c r="C443">
        <v>84.3</v>
      </c>
      <c r="D443">
        <v>77.099999999999994</v>
      </c>
      <c r="G443">
        <f t="shared" si="60"/>
        <v>0</v>
      </c>
      <c r="H443">
        <f t="shared" si="61"/>
        <v>0</v>
      </c>
      <c r="I443">
        <f t="shared" si="62"/>
        <v>0</v>
      </c>
      <c r="J443">
        <v>80.5</v>
      </c>
      <c r="K443">
        <v>86.6</v>
      </c>
      <c r="L443">
        <v>77.099999999999994</v>
      </c>
      <c r="M443">
        <v>81.599999999999994</v>
      </c>
      <c r="N443">
        <v>65.599999999999994</v>
      </c>
      <c r="O443">
        <v>61.3</v>
      </c>
      <c r="S443">
        <f t="shared" si="63"/>
        <v>0</v>
      </c>
      <c r="T443">
        <f t="shared" si="64"/>
        <v>0</v>
      </c>
      <c r="U443">
        <f t="shared" si="65"/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20.8</v>
      </c>
      <c r="AG443">
        <f t="shared" si="66"/>
        <v>1</v>
      </c>
      <c r="AH443">
        <f t="shared" si="67"/>
        <v>1</v>
      </c>
      <c r="AI443">
        <f t="shared" si="68"/>
        <v>0</v>
      </c>
      <c r="AJ443">
        <v>298</v>
      </c>
      <c r="AK443">
        <v>1008.4</v>
      </c>
      <c r="AL443">
        <v>30</v>
      </c>
      <c r="AM443">
        <v>6.5</v>
      </c>
      <c r="AN443">
        <v>0</v>
      </c>
      <c r="AO443">
        <v>0</v>
      </c>
      <c r="AP443">
        <v>0</v>
      </c>
      <c r="AQ443">
        <v>0</v>
      </c>
      <c r="AR443" t="s">
        <v>1496</v>
      </c>
      <c r="AS443" t="s">
        <v>1497</v>
      </c>
      <c r="AT443">
        <v>0.59</v>
      </c>
      <c r="AU443" t="s">
        <v>43</v>
      </c>
      <c r="AV443" t="s">
        <v>44</v>
      </c>
      <c r="AW443" t="s">
        <v>45</v>
      </c>
      <c r="AX443" s="1">
        <v>0.8125</v>
      </c>
      <c r="AY443" t="s">
        <v>1509</v>
      </c>
      <c r="AZ443">
        <v>75.00000000349246</v>
      </c>
      <c r="BA443">
        <v>0</v>
      </c>
      <c r="BB443">
        <v>0</v>
      </c>
      <c r="BC443">
        <v>0.5</v>
      </c>
      <c r="BD443">
        <v>0</v>
      </c>
      <c r="BE443">
        <f t="shared" si="69"/>
        <v>0</v>
      </c>
    </row>
    <row r="444" spans="1:57" x14ac:dyDescent="0.25">
      <c r="A444" t="s">
        <v>39</v>
      </c>
      <c r="B444" t="s">
        <v>1510</v>
      </c>
      <c r="C444">
        <v>80.7</v>
      </c>
      <c r="D444">
        <v>64.5</v>
      </c>
      <c r="G444">
        <f t="shared" si="60"/>
        <v>1</v>
      </c>
      <c r="H444">
        <f t="shared" si="61"/>
        <v>1</v>
      </c>
      <c r="I444">
        <f t="shared" si="62"/>
        <v>0</v>
      </c>
      <c r="J444">
        <v>72.2</v>
      </c>
      <c r="K444">
        <v>80.400000000000006</v>
      </c>
      <c r="L444">
        <v>64.5</v>
      </c>
      <c r="M444">
        <v>72.2</v>
      </c>
      <c r="N444">
        <v>59</v>
      </c>
      <c r="O444">
        <v>65.2</v>
      </c>
      <c r="S444">
        <f t="shared" si="63"/>
        <v>0</v>
      </c>
      <c r="T444">
        <f t="shared" si="64"/>
        <v>0</v>
      </c>
      <c r="U444">
        <f t="shared" si="65"/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9.1999999999999993</v>
      </c>
      <c r="AG444">
        <f t="shared" si="66"/>
        <v>1</v>
      </c>
      <c r="AH444">
        <f t="shared" si="67"/>
        <v>0</v>
      </c>
      <c r="AI444">
        <f t="shared" si="68"/>
        <v>1</v>
      </c>
      <c r="AJ444">
        <v>185.7</v>
      </c>
      <c r="AK444">
        <v>1018.2</v>
      </c>
      <c r="AL444">
        <v>35</v>
      </c>
      <c r="AM444">
        <v>6.5</v>
      </c>
      <c r="AN444">
        <v>0</v>
      </c>
      <c r="AO444">
        <v>0</v>
      </c>
      <c r="AP444">
        <v>0</v>
      </c>
      <c r="AQ444">
        <v>0</v>
      </c>
      <c r="AR444" t="s">
        <v>1511</v>
      </c>
      <c r="AS444" t="s">
        <v>1512</v>
      </c>
      <c r="AT444">
        <v>0.19</v>
      </c>
      <c r="AU444" t="s">
        <v>43</v>
      </c>
      <c r="AV444" t="s">
        <v>44</v>
      </c>
      <c r="AW444" t="s">
        <v>45</v>
      </c>
      <c r="AX444" s="1">
        <v>0.72916666666666663</v>
      </c>
      <c r="AY444" t="s">
        <v>1513</v>
      </c>
      <c r="AZ444">
        <v>150.00000000698489</v>
      </c>
      <c r="BA444">
        <v>0</v>
      </c>
      <c r="BB444">
        <v>10</v>
      </c>
      <c r="BC444">
        <v>0</v>
      </c>
      <c r="BD444">
        <v>0</v>
      </c>
      <c r="BE444">
        <f t="shared" si="69"/>
        <v>0</v>
      </c>
    </row>
    <row r="445" spans="1:57" x14ac:dyDescent="0.25">
      <c r="A445" t="s">
        <v>39</v>
      </c>
      <c r="B445" t="s">
        <v>1514</v>
      </c>
      <c r="C445">
        <v>82.5</v>
      </c>
      <c r="D445">
        <v>68.099999999999994</v>
      </c>
      <c r="G445">
        <f t="shared" si="60"/>
        <v>1</v>
      </c>
      <c r="H445">
        <f t="shared" si="61"/>
        <v>1</v>
      </c>
      <c r="I445">
        <f t="shared" si="62"/>
        <v>0</v>
      </c>
      <c r="J445">
        <v>76.400000000000006</v>
      </c>
      <c r="K445">
        <v>83</v>
      </c>
      <c r="L445">
        <v>68.099999999999994</v>
      </c>
      <c r="M445">
        <v>76.7</v>
      </c>
      <c r="N445">
        <v>60.9</v>
      </c>
      <c r="O445">
        <v>59.2</v>
      </c>
      <c r="S445">
        <f t="shared" si="63"/>
        <v>0</v>
      </c>
      <c r="T445">
        <f t="shared" si="64"/>
        <v>0</v>
      </c>
      <c r="U445">
        <f t="shared" si="65"/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13.9</v>
      </c>
      <c r="AG445">
        <f t="shared" si="66"/>
        <v>1</v>
      </c>
      <c r="AH445">
        <f t="shared" si="67"/>
        <v>0</v>
      </c>
      <c r="AI445">
        <f t="shared" si="68"/>
        <v>1</v>
      </c>
      <c r="AJ445">
        <v>296.60000000000002</v>
      </c>
      <c r="AK445">
        <v>1010</v>
      </c>
      <c r="AL445">
        <v>0</v>
      </c>
      <c r="AM445">
        <v>6.2</v>
      </c>
      <c r="AN445">
        <v>0</v>
      </c>
      <c r="AO445">
        <v>0</v>
      </c>
      <c r="AP445">
        <v>0</v>
      </c>
      <c r="AQ445">
        <v>0</v>
      </c>
      <c r="AR445" t="s">
        <v>1515</v>
      </c>
      <c r="AS445" t="s">
        <v>1516</v>
      </c>
      <c r="AT445">
        <v>0.95</v>
      </c>
      <c r="AU445" t="s">
        <v>74</v>
      </c>
      <c r="AV445" t="s">
        <v>44</v>
      </c>
      <c r="AW445" t="s">
        <v>75</v>
      </c>
      <c r="AX445" s="1">
        <v>0.59305555555555556</v>
      </c>
      <c r="AY445" t="s">
        <v>1517</v>
      </c>
      <c r="AZ445">
        <v>240.9999999997672</v>
      </c>
      <c r="BA445">
        <v>0</v>
      </c>
      <c r="BB445">
        <v>0</v>
      </c>
      <c r="BC445">
        <v>1</v>
      </c>
      <c r="BD445">
        <v>0</v>
      </c>
      <c r="BE445">
        <f t="shared" si="69"/>
        <v>0</v>
      </c>
    </row>
    <row r="446" spans="1:57" x14ac:dyDescent="0.25">
      <c r="A446" t="s">
        <v>39</v>
      </c>
      <c r="B446" t="s">
        <v>1518</v>
      </c>
      <c r="C446">
        <v>77.099999999999994</v>
      </c>
      <c r="D446">
        <v>71.7</v>
      </c>
      <c r="G446">
        <f t="shared" si="60"/>
        <v>1</v>
      </c>
      <c r="H446">
        <f t="shared" si="61"/>
        <v>0</v>
      </c>
      <c r="I446">
        <f t="shared" si="62"/>
        <v>1</v>
      </c>
      <c r="J446">
        <v>74.5</v>
      </c>
      <c r="K446">
        <v>77.099999999999994</v>
      </c>
      <c r="L446">
        <v>71.7</v>
      </c>
      <c r="M446">
        <v>74.5</v>
      </c>
      <c r="N446">
        <v>61.3</v>
      </c>
      <c r="O446">
        <v>63.7</v>
      </c>
      <c r="S446">
        <f t="shared" si="63"/>
        <v>1</v>
      </c>
      <c r="T446">
        <f t="shared" si="64"/>
        <v>0</v>
      </c>
      <c r="U446">
        <f t="shared" si="65"/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20.8</v>
      </c>
      <c r="AG446">
        <f t="shared" si="66"/>
        <v>1</v>
      </c>
      <c r="AH446">
        <f t="shared" si="67"/>
        <v>1</v>
      </c>
      <c r="AI446">
        <f t="shared" si="68"/>
        <v>0</v>
      </c>
      <c r="AJ446">
        <v>304.2</v>
      </c>
      <c r="AK446">
        <v>1015</v>
      </c>
      <c r="AL446">
        <v>45.8</v>
      </c>
      <c r="AM446">
        <v>6.8</v>
      </c>
      <c r="AN446">
        <v>0</v>
      </c>
      <c r="AO446">
        <v>0</v>
      </c>
      <c r="AP446">
        <v>0</v>
      </c>
      <c r="AQ446">
        <v>0</v>
      </c>
      <c r="AR446" t="s">
        <v>1519</v>
      </c>
      <c r="AS446" t="s">
        <v>1520</v>
      </c>
      <c r="AT446">
        <v>0.77</v>
      </c>
      <c r="AU446" t="s">
        <v>43</v>
      </c>
      <c r="AV446" t="s">
        <v>44</v>
      </c>
      <c r="AW446" t="s">
        <v>45</v>
      </c>
      <c r="AX446" s="1">
        <v>0.77708333333333335</v>
      </c>
      <c r="AY446" t="s">
        <v>1521</v>
      </c>
      <c r="AZ446">
        <v>119.0000000002328</v>
      </c>
      <c r="BA446">
        <v>0</v>
      </c>
      <c r="BB446">
        <v>0</v>
      </c>
      <c r="BC446">
        <v>1</v>
      </c>
      <c r="BD446">
        <v>0</v>
      </c>
      <c r="BE446">
        <f t="shared" si="69"/>
        <v>1</v>
      </c>
    </row>
    <row r="447" spans="1:57" x14ac:dyDescent="0.25">
      <c r="A447" t="s">
        <v>39</v>
      </c>
      <c r="B447" t="s">
        <v>1522</v>
      </c>
      <c r="C447">
        <v>89.7</v>
      </c>
      <c r="D447">
        <v>71.7</v>
      </c>
      <c r="G447">
        <f t="shared" si="60"/>
        <v>1</v>
      </c>
      <c r="H447">
        <f t="shared" si="61"/>
        <v>1</v>
      </c>
      <c r="I447">
        <f t="shared" si="62"/>
        <v>0</v>
      </c>
      <c r="J447">
        <v>78.900000000000006</v>
      </c>
      <c r="K447">
        <v>87.5</v>
      </c>
      <c r="L447">
        <v>71.7</v>
      </c>
      <c r="M447">
        <v>79.099999999999994</v>
      </c>
      <c r="N447">
        <v>61.4</v>
      </c>
      <c r="O447">
        <v>57.7</v>
      </c>
      <c r="S447">
        <f t="shared" si="63"/>
        <v>1</v>
      </c>
      <c r="T447">
        <f t="shared" si="64"/>
        <v>0</v>
      </c>
      <c r="U447">
        <f t="shared" si="65"/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15</v>
      </c>
      <c r="AG447">
        <f t="shared" si="66"/>
        <v>1</v>
      </c>
      <c r="AH447">
        <f t="shared" si="67"/>
        <v>0</v>
      </c>
      <c r="AI447">
        <f t="shared" si="68"/>
        <v>1</v>
      </c>
      <c r="AJ447">
        <v>146.80000000000001</v>
      </c>
      <c r="AK447">
        <v>1014.3</v>
      </c>
      <c r="AL447">
        <v>30</v>
      </c>
      <c r="AM447">
        <v>6.3</v>
      </c>
      <c r="AN447">
        <v>0</v>
      </c>
      <c r="AO447">
        <v>0</v>
      </c>
      <c r="AP447">
        <v>0</v>
      </c>
      <c r="AQ447">
        <v>0</v>
      </c>
      <c r="AR447" t="s">
        <v>1523</v>
      </c>
      <c r="AS447" t="s">
        <v>1524</v>
      </c>
      <c r="AT447">
        <v>0.46</v>
      </c>
      <c r="AU447" t="s">
        <v>43</v>
      </c>
      <c r="AV447" t="s">
        <v>44</v>
      </c>
      <c r="AW447" t="s">
        <v>45</v>
      </c>
      <c r="AX447" s="1">
        <v>0.47847222222222219</v>
      </c>
      <c r="AY447" t="s">
        <v>1525</v>
      </c>
      <c r="AZ447">
        <v>775.9999999939464</v>
      </c>
      <c r="BA447">
        <v>1</v>
      </c>
      <c r="BB447">
        <v>290</v>
      </c>
      <c r="BC447">
        <v>0</v>
      </c>
      <c r="BD447">
        <v>0</v>
      </c>
      <c r="BE447">
        <f t="shared" si="69"/>
        <v>1</v>
      </c>
    </row>
    <row r="448" spans="1:57" x14ac:dyDescent="0.25">
      <c r="A448" t="s">
        <v>39</v>
      </c>
      <c r="B448" t="s">
        <v>1526</v>
      </c>
      <c r="C448">
        <v>89.7</v>
      </c>
      <c r="D448">
        <v>66.3</v>
      </c>
      <c r="G448">
        <f t="shared" si="60"/>
        <v>1</v>
      </c>
      <c r="H448">
        <f t="shared" si="61"/>
        <v>1</v>
      </c>
      <c r="I448">
        <f t="shared" si="62"/>
        <v>0</v>
      </c>
      <c r="J448">
        <v>76.400000000000006</v>
      </c>
      <c r="K448">
        <v>86.8</v>
      </c>
      <c r="L448">
        <v>66.3</v>
      </c>
      <c r="M448">
        <v>75.5</v>
      </c>
      <c r="N448">
        <v>50.5</v>
      </c>
      <c r="O448">
        <v>42.9</v>
      </c>
      <c r="S448">
        <f t="shared" si="63"/>
        <v>1</v>
      </c>
      <c r="T448">
        <f t="shared" si="64"/>
        <v>0</v>
      </c>
      <c r="U448">
        <f t="shared" si="65"/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20.8</v>
      </c>
      <c r="AG448">
        <f t="shared" si="66"/>
        <v>1</v>
      </c>
      <c r="AH448">
        <f t="shared" si="67"/>
        <v>1</v>
      </c>
      <c r="AI448">
        <f t="shared" si="68"/>
        <v>0</v>
      </c>
      <c r="AJ448">
        <v>153.4</v>
      </c>
      <c r="AK448">
        <v>1012.2</v>
      </c>
      <c r="AL448">
        <v>65.400000000000006</v>
      </c>
      <c r="AM448">
        <v>6.6</v>
      </c>
      <c r="AN448">
        <v>0</v>
      </c>
      <c r="AO448">
        <v>0</v>
      </c>
      <c r="AP448">
        <v>0</v>
      </c>
      <c r="AQ448">
        <v>0</v>
      </c>
      <c r="AR448" t="s">
        <v>1527</v>
      </c>
      <c r="AS448" t="s">
        <v>1528</v>
      </c>
      <c r="AT448">
        <v>0.54</v>
      </c>
      <c r="AU448" t="s">
        <v>43</v>
      </c>
      <c r="AV448" t="s">
        <v>44</v>
      </c>
      <c r="AW448" t="s">
        <v>45</v>
      </c>
      <c r="AX448" s="1">
        <v>0.54166666666666663</v>
      </c>
      <c r="AY448" t="s">
        <v>1529</v>
      </c>
      <c r="AZ448">
        <v>430.00000000814907</v>
      </c>
      <c r="BA448">
        <v>1</v>
      </c>
      <c r="BB448">
        <v>0</v>
      </c>
      <c r="BC448">
        <v>5</v>
      </c>
      <c r="BD448">
        <v>0</v>
      </c>
      <c r="BE448">
        <f t="shared" si="69"/>
        <v>1</v>
      </c>
    </row>
    <row r="449" spans="1:57" x14ac:dyDescent="0.25">
      <c r="A449" t="s">
        <v>39</v>
      </c>
      <c r="B449" t="s">
        <v>1360</v>
      </c>
      <c r="C449">
        <v>62.7</v>
      </c>
      <c r="D449">
        <v>50.1</v>
      </c>
      <c r="G449">
        <f t="shared" si="60"/>
        <v>0</v>
      </c>
      <c r="H449">
        <f t="shared" si="61"/>
        <v>0</v>
      </c>
      <c r="I449">
        <f t="shared" si="62"/>
        <v>0</v>
      </c>
      <c r="J449">
        <v>56.8</v>
      </c>
      <c r="K449">
        <v>62.7</v>
      </c>
      <c r="L449">
        <v>50.1</v>
      </c>
      <c r="M449">
        <v>56.8</v>
      </c>
      <c r="N449">
        <v>48.8</v>
      </c>
      <c r="O449">
        <v>75.099999999999994</v>
      </c>
      <c r="S449">
        <f t="shared" si="63"/>
        <v>1</v>
      </c>
      <c r="T449">
        <f t="shared" si="64"/>
        <v>1</v>
      </c>
      <c r="U449">
        <f t="shared" si="65"/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10.3</v>
      </c>
      <c r="AG449">
        <f t="shared" si="66"/>
        <v>1</v>
      </c>
      <c r="AH449">
        <f t="shared" si="67"/>
        <v>0</v>
      </c>
      <c r="AI449">
        <f t="shared" si="68"/>
        <v>1</v>
      </c>
      <c r="AJ449">
        <v>149.19999999999999</v>
      </c>
      <c r="AK449">
        <v>1023.9</v>
      </c>
      <c r="AL449">
        <v>40</v>
      </c>
      <c r="AM449">
        <v>6.6</v>
      </c>
      <c r="AN449">
        <v>0</v>
      </c>
      <c r="AO449">
        <v>0</v>
      </c>
      <c r="AP449">
        <v>0</v>
      </c>
      <c r="AQ449">
        <v>0</v>
      </c>
      <c r="AR449" t="s">
        <v>1361</v>
      </c>
      <c r="AS449" t="s">
        <v>1362</v>
      </c>
      <c r="AT449">
        <v>0</v>
      </c>
      <c r="AU449" t="s">
        <v>43</v>
      </c>
      <c r="AV449" t="s">
        <v>44</v>
      </c>
      <c r="AW449" t="s">
        <v>45</v>
      </c>
      <c r="AX449" s="1">
        <v>0.57222222222222219</v>
      </c>
      <c r="AY449" t="s">
        <v>1530</v>
      </c>
      <c r="AZ449">
        <v>185.99999999860299</v>
      </c>
      <c r="BA449">
        <v>0</v>
      </c>
      <c r="BB449">
        <v>0</v>
      </c>
      <c r="BC449">
        <v>10</v>
      </c>
      <c r="BD449">
        <v>0</v>
      </c>
      <c r="BE449">
        <f t="shared" si="69"/>
        <v>0</v>
      </c>
    </row>
    <row r="450" spans="1:57" x14ac:dyDescent="0.25">
      <c r="A450" t="s">
        <v>39</v>
      </c>
      <c r="B450" t="s">
        <v>1531</v>
      </c>
      <c r="C450">
        <v>77.099999999999994</v>
      </c>
      <c r="D450">
        <v>66.3</v>
      </c>
      <c r="G450">
        <f t="shared" si="60"/>
        <v>1</v>
      </c>
      <c r="H450">
        <f t="shared" si="61"/>
        <v>1</v>
      </c>
      <c r="I450">
        <f t="shared" si="62"/>
        <v>0</v>
      </c>
      <c r="J450">
        <v>71.599999999999994</v>
      </c>
      <c r="K450">
        <v>77.099999999999994</v>
      </c>
      <c r="L450">
        <v>66.3</v>
      </c>
      <c r="M450">
        <v>71.599999999999994</v>
      </c>
      <c r="N450">
        <v>62</v>
      </c>
      <c r="O450">
        <v>72.3</v>
      </c>
      <c r="S450">
        <f t="shared" si="63"/>
        <v>1</v>
      </c>
      <c r="T450">
        <f t="shared" si="64"/>
        <v>1</v>
      </c>
      <c r="U450">
        <f t="shared" si="65"/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15</v>
      </c>
      <c r="AG450">
        <f t="shared" si="66"/>
        <v>1</v>
      </c>
      <c r="AH450">
        <f t="shared" si="67"/>
        <v>0</v>
      </c>
      <c r="AI450">
        <f t="shared" si="68"/>
        <v>1</v>
      </c>
      <c r="AJ450">
        <v>300.3</v>
      </c>
      <c r="AK450">
        <v>1018.8</v>
      </c>
      <c r="AL450">
        <v>36.4</v>
      </c>
      <c r="AM450">
        <v>6.8</v>
      </c>
      <c r="AN450">
        <v>0</v>
      </c>
      <c r="AO450">
        <v>0</v>
      </c>
      <c r="AP450">
        <v>0</v>
      </c>
      <c r="AQ450">
        <v>0</v>
      </c>
      <c r="AR450" t="s">
        <v>1532</v>
      </c>
      <c r="AS450" t="s">
        <v>1533</v>
      </c>
      <c r="AT450">
        <v>0.33</v>
      </c>
      <c r="AU450" t="s">
        <v>43</v>
      </c>
      <c r="AV450" t="s">
        <v>44</v>
      </c>
      <c r="AW450" t="s">
        <v>45</v>
      </c>
      <c r="AX450" s="1">
        <v>0.48888888888888887</v>
      </c>
      <c r="AY450" t="s">
        <v>1534</v>
      </c>
      <c r="AZ450">
        <v>251.00000000093129</v>
      </c>
      <c r="BA450">
        <v>0</v>
      </c>
      <c r="BB450">
        <v>0</v>
      </c>
      <c r="BC450">
        <v>5</v>
      </c>
      <c r="BD450">
        <v>0</v>
      </c>
      <c r="BE450">
        <f t="shared" si="69"/>
        <v>1</v>
      </c>
    </row>
    <row r="451" spans="1:57" x14ac:dyDescent="0.25">
      <c r="A451" t="s">
        <v>39</v>
      </c>
      <c r="B451" t="s">
        <v>1435</v>
      </c>
      <c r="C451">
        <v>84.3</v>
      </c>
      <c r="D451">
        <v>69.900000000000006</v>
      </c>
      <c r="G451">
        <f t="shared" ref="G451:G514" si="70">IF(ABS(C451-INDEX($F$2:$F$13,MONTH(B451)))&gt;1.8,1,0)</f>
        <v>0</v>
      </c>
      <c r="H451">
        <f t="shared" ref="H451:H514" si="71">IF(C451&gt;=INDEX($F$2:$F$13,MONTH(B451))+1.8,1,0)</f>
        <v>0</v>
      </c>
      <c r="I451">
        <f t="shared" ref="I451:I514" si="72">IF(C451&lt;=INDEX($F$2:$F$13,MONTH(B451))-1.8,1,0)</f>
        <v>0</v>
      </c>
      <c r="J451">
        <v>79.099999999999994</v>
      </c>
      <c r="K451">
        <v>84.5</v>
      </c>
      <c r="L451">
        <v>69.900000000000006</v>
      </c>
      <c r="M451">
        <v>79.099999999999994</v>
      </c>
      <c r="N451">
        <v>58.1</v>
      </c>
      <c r="O451">
        <v>49.1</v>
      </c>
      <c r="S451">
        <f t="shared" ref="S451:S514" si="73">IF(OR(O451&lt;INDEX($Q$2:$Q$13,MONTH(B451)),O451&gt;INDEX($R$2:$R$13,MONTH(B451))),1,0)</f>
        <v>1</v>
      </c>
      <c r="T451">
        <f t="shared" ref="T451:T514" si="74">IF(O451&gt;INDEX($R$2:$R$13,MONTH(B451)),1,0)</f>
        <v>0</v>
      </c>
      <c r="U451">
        <f t="shared" ref="U451:U514" si="75">IF(O451&lt;INDEX($Q$2:$Q$13,MONTH(B451)),1,0)</f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19.5</v>
      </c>
      <c r="AG451">
        <f t="shared" ref="AG451:AG514" si="76">IF(OR(AC451&lt;INDEX($AE$2:$AE$13,MONTH(B451)),AC451&gt;INDEX($AF$2:$AF$13,MONTH(B451))),1,0)</f>
        <v>1</v>
      </c>
      <c r="AH451">
        <f t="shared" ref="AH451:AH514" si="77">IF(AC451&gt;INDEX($AF$2:$AF$13,MONTH(B451)),1,0)</f>
        <v>1</v>
      </c>
      <c r="AI451">
        <f t="shared" ref="AI451:AI514" si="78">IF(AC451&lt;INDEX($AE$2:$AE$13,MONTH(B451)),1,0)</f>
        <v>0</v>
      </c>
      <c r="AJ451">
        <v>286.60000000000002</v>
      </c>
      <c r="AK451">
        <v>1010.4</v>
      </c>
      <c r="AL451">
        <v>0</v>
      </c>
      <c r="AM451">
        <v>6.2</v>
      </c>
      <c r="AN451">
        <v>0</v>
      </c>
      <c r="AO451">
        <v>0</v>
      </c>
      <c r="AP451">
        <v>0</v>
      </c>
      <c r="AQ451">
        <v>0</v>
      </c>
      <c r="AR451" t="s">
        <v>1436</v>
      </c>
      <c r="AS451" t="s">
        <v>1437</v>
      </c>
      <c r="AT451">
        <v>0.21</v>
      </c>
      <c r="AU451" t="s">
        <v>74</v>
      </c>
      <c r="AV451" t="s">
        <v>44</v>
      </c>
      <c r="AW451" t="s">
        <v>75</v>
      </c>
      <c r="AX451" s="1">
        <v>0.58958333333333335</v>
      </c>
      <c r="AY451" t="s">
        <v>1535</v>
      </c>
      <c r="AZ451">
        <v>190.9999999939464</v>
      </c>
      <c r="BA451">
        <v>0</v>
      </c>
      <c r="BB451">
        <v>0</v>
      </c>
      <c r="BC451">
        <v>4</v>
      </c>
      <c r="BD451">
        <v>0</v>
      </c>
      <c r="BE451">
        <f t="shared" ref="BE451:BE514" si="79">IF((3*AH451+3*H451+2*U451+2*BA451-(2*(1-T451)+2*(1-I451)+2*(1-AI451)))&gt;=1,1,0)</f>
        <v>0</v>
      </c>
    </row>
    <row r="452" spans="1:57" x14ac:dyDescent="0.25">
      <c r="A452" t="s">
        <v>39</v>
      </c>
      <c r="B452" t="s">
        <v>1536</v>
      </c>
      <c r="C452">
        <v>80.7</v>
      </c>
      <c r="D452">
        <v>68.099999999999994</v>
      </c>
      <c r="G452">
        <f t="shared" si="70"/>
        <v>0</v>
      </c>
      <c r="H452">
        <f t="shared" si="71"/>
        <v>0</v>
      </c>
      <c r="I452">
        <f t="shared" si="72"/>
        <v>0</v>
      </c>
      <c r="J452">
        <v>74.3</v>
      </c>
      <c r="K452">
        <v>84.1</v>
      </c>
      <c r="L452">
        <v>68.099999999999994</v>
      </c>
      <c r="M452">
        <v>74.5</v>
      </c>
      <c r="N452">
        <v>63.8</v>
      </c>
      <c r="O452">
        <v>71.099999999999994</v>
      </c>
      <c r="S452">
        <f t="shared" si="73"/>
        <v>1</v>
      </c>
      <c r="T452">
        <f t="shared" si="74"/>
        <v>1</v>
      </c>
      <c r="U452">
        <f t="shared" si="75"/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15</v>
      </c>
      <c r="AG452">
        <f t="shared" si="76"/>
        <v>1</v>
      </c>
      <c r="AH452">
        <f t="shared" si="77"/>
        <v>0</v>
      </c>
      <c r="AI452">
        <f t="shared" si="78"/>
        <v>1</v>
      </c>
      <c r="AJ452">
        <v>260.60000000000002</v>
      </c>
      <c r="AK452">
        <v>1015.9</v>
      </c>
      <c r="AL452">
        <v>37.799999999999997</v>
      </c>
      <c r="AM452">
        <v>5.9</v>
      </c>
      <c r="AN452">
        <v>0</v>
      </c>
      <c r="AO452">
        <v>0</v>
      </c>
      <c r="AP452">
        <v>0</v>
      </c>
      <c r="AQ452">
        <v>0</v>
      </c>
      <c r="AR452" t="s">
        <v>1537</v>
      </c>
      <c r="AS452" t="s">
        <v>1538</v>
      </c>
      <c r="AT452">
        <v>0.5</v>
      </c>
      <c r="AU452" t="s">
        <v>43</v>
      </c>
      <c r="AV452" t="s">
        <v>44</v>
      </c>
      <c r="AW452" t="s">
        <v>45</v>
      </c>
      <c r="AX452" s="1">
        <v>0.72916666666666663</v>
      </c>
      <c r="AY452" t="s">
        <v>1539</v>
      </c>
      <c r="AZ452">
        <v>375.00000000698492</v>
      </c>
      <c r="BA452">
        <v>1</v>
      </c>
      <c r="BB452">
        <v>0</v>
      </c>
      <c r="BC452">
        <v>10</v>
      </c>
      <c r="BD452">
        <v>0</v>
      </c>
      <c r="BE452">
        <f t="shared" si="79"/>
        <v>0</v>
      </c>
    </row>
    <row r="453" spans="1:57" x14ac:dyDescent="0.25">
      <c r="A453" t="s">
        <v>39</v>
      </c>
      <c r="B453" t="s">
        <v>1540</v>
      </c>
      <c r="C453">
        <v>91.5</v>
      </c>
      <c r="D453">
        <v>64.5</v>
      </c>
      <c r="G453">
        <f t="shared" si="70"/>
        <v>1</v>
      </c>
      <c r="H453">
        <f t="shared" si="71"/>
        <v>1</v>
      </c>
      <c r="I453">
        <f t="shared" si="72"/>
        <v>0</v>
      </c>
      <c r="J453">
        <v>76.8</v>
      </c>
      <c r="K453">
        <v>88</v>
      </c>
      <c r="L453">
        <v>64.5</v>
      </c>
      <c r="M453">
        <v>76</v>
      </c>
      <c r="N453">
        <v>52.6</v>
      </c>
      <c r="O453">
        <v>46.9</v>
      </c>
      <c r="S453">
        <f t="shared" si="73"/>
        <v>1</v>
      </c>
      <c r="T453">
        <f t="shared" si="74"/>
        <v>0</v>
      </c>
      <c r="U453">
        <f t="shared" si="75"/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20.8</v>
      </c>
      <c r="AG453">
        <f t="shared" si="76"/>
        <v>1</v>
      </c>
      <c r="AH453">
        <f t="shared" si="77"/>
        <v>1</v>
      </c>
      <c r="AI453">
        <f t="shared" si="78"/>
        <v>0</v>
      </c>
      <c r="AJ453">
        <v>163.5</v>
      </c>
      <c r="AK453">
        <v>1017.2</v>
      </c>
      <c r="AL453">
        <v>70</v>
      </c>
      <c r="AM453">
        <v>6.5</v>
      </c>
      <c r="AN453">
        <v>0</v>
      </c>
      <c r="AO453">
        <v>0</v>
      </c>
      <c r="AP453">
        <v>0</v>
      </c>
      <c r="AQ453">
        <v>0</v>
      </c>
      <c r="AR453" t="s">
        <v>1541</v>
      </c>
      <c r="AS453" t="s">
        <v>1542</v>
      </c>
      <c r="AT453">
        <v>0.08</v>
      </c>
      <c r="AU453" t="s">
        <v>43</v>
      </c>
      <c r="AV453" t="s">
        <v>44</v>
      </c>
      <c r="AW453" t="s">
        <v>45</v>
      </c>
      <c r="AX453" s="1">
        <v>0.55138888888888893</v>
      </c>
      <c r="AY453" t="s">
        <v>1543</v>
      </c>
      <c r="AZ453">
        <v>255.99999999627471</v>
      </c>
      <c r="BA453">
        <v>0</v>
      </c>
      <c r="BB453">
        <v>0</v>
      </c>
      <c r="BC453">
        <v>0</v>
      </c>
      <c r="BD453">
        <v>2</v>
      </c>
      <c r="BE453">
        <f t="shared" si="79"/>
        <v>1</v>
      </c>
    </row>
    <row r="454" spans="1:57" x14ac:dyDescent="0.25">
      <c r="A454" t="s">
        <v>39</v>
      </c>
      <c r="B454" t="s">
        <v>1544</v>
      </c>
      <c r="C454">
        <v>73.5</v>
      </c>
      <c r="D454">
        <v>68.099999999999994</v>
      </c>
      <c r="G454">
        <f t="shared" si="70"/>
        <v>0</v>
      </c>
      <c r="H454">
        <f t="shared" si="71"/>
        <v>0</v>
      </c>
      <c r="I454">
        <f t="shared" si="72"/>
        <v>0</v>
      </c>
      <c r="J454">
        <v>70.099999999999994</v>
      </c>
      <c r="K454">
        <v>73.5</v>
      </c>
      <c r="L454">
        <v>68.099999999999994</v>
      </c>
      <c r="M454">
        <v>70.099999999999994</v>
      </c>
      <c r="N454">
        <v>61.4</v>
      </c>
      <c r="O454">
        <v>74.2</v>
      </c>
      <c r="S454">
        <f t="shared" si="73"/>
        <v>1</v>
      </c>
      <c r="T454">
        <f t="shared" si="74"/>
        <v>1</v>
      </c>
      <c r="U454">
        <f t="shared" si="75"/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13.9</v>
      </c>
      <c r="AG454">
        <f t="shared" si="76"/>
        <v>1</v>
      </c>
      <c r="AH454">
        <f t="shared" si="77"/>
        <v>0</v>
      </c>
      <c r="AI454">
        <f t="shared" si="78"/>
        <v>1</v>
      </c>
      <c r="AJ454">
        <v>348.4</v>
      </c>
      <c r="AK454">
        <v>1018.7</v>
      </c>
      <c r="AL454">
        <v>85.2</v>
      </c>
      <c r="AM454">
        <v>6.8</v>
      </c>
      <c r="AN454">
        <v>0</v>
      </c>
      <c r="AO454">
        <v>0</v>
      </c>
      <c r="AP454">
        <v>0</v>
      </c>
      <c r="AQ454">
        <v>0</v>
      </c>
      <c r="AR454" t="s">
        <v>1545</v>
      </c>
      <c r="AS454" t="s">
        <v>1546</v>
      </c>
      <c r="AT454">
        <v>0.98</v>
      </c>
      <c r="AU454" t="s">
        <v>43</v>
      </c>
      <c r="AV454" t="s">
        <v>44</v>
      </c>
      <c r="AW454" t="s">
        <v>45</v>
      </c>
      <c r="AX454" s="1">
        <v>0.77013888888888893</v>
      </c>
      <c r="AY454" t="s">
        <v>1547</v>
      </c>
      <c r="AZ454">
        <v>240.9999999997672</v>
      </c>
      <c r="BA454">
        <v>0</v>
      </c>
      <c r="BB454">
        <v>0</v>
      </c>
      <c r="BC454">
        <v>10</v>
      </c>
      <c r="BD454">
        <v>0</v>
      </c>
      <c r="BE454">
        <f t="shared" si="79"/>
        <v>0</v>
      </c>
    </row>
    <row r="455" spans="1:57" x14ac:dyDescent="0.25">
      <c r="A455" t="s">
        <v>39</v>
      </c>
      <c r="B455" t="s">
        <v>1548</v>
      </c>
      <c r="C455">
        <v>73.5</v>
      </c>
      <c r="D455">
        <v>62.7</v>
      </c>
      <c r="G455">
        <f t="shared" si="70"/>
        <v>1</v>
      </c>
      <c r="H455">
        <f t="shared" si="71"/>
        <v>1</v>
      </c>
      <c r="I455">
        <f t="shared" si="72"/>
        <v>0</v>
      </c>
      <c r="J455">
        <v>69.7</v>
      </c>
      <c r="K455">
        <v>73.5</v>
      </c>
      <c r="L455">
        <v>62.7</v>
      </c>
      <c r="M455">
        <v>69.7</v>
      </c>
      <c r="N455">
        <v>47.4</v>
      </c>
      <c r="O455">
        <v>45.8</v>
      </c>
      <c r="S455">
        <f t="shared" si="73"/>
        <v>1</v>
      </c>
      <c r="T455">
        <f t="shared" si="74"/>
        <v>0</v>
      </c>
      <c r="U455">
        <f t="shared" si="75"/>
        <v>1</v>
      </c>
      <c r="V455">
        <v>3.1E-2</v>
      </c>
      <c r="W455">
        <v>100</v>
      </c>
      <c r="X455">
        <v>4.17</v>
      </c>
      <c r="Y455" t="s">
        <v>103</v>
      </c>
      <c r="Z455">
        <v>0</v>
      </c>
      <c r="AA455">
        <v>0</v>
      </c>
      <c r="AB455">
        <v>0</v>
      </c>
      <c r="AC455">
        <v>38</v>
      </c>
      <c r="AG455">
        <f t="shared" si="76"/>
        <v>1</v>
      </c>
      <c r="AH455">
        <f t="shared" si="77"/>
        <v>1</v>
      </c>
      <c r="AI455">
        <f t="shared" si="78"/>
        <v>0</v>
      </c>
      <c r="AJ455">
        <v>167.4</v>
      </c>
      <c r="AK455">
        <v>1007.4</v>
      </c>
      <c r="AL455">
        <v>99.1</v>
      </c>
      <c r="AM455">
        <v>5.9</v>
      </c>
      <c r="AN455">
        <v>0</v>
      </c>
      <c r="AO455">
        <v>0</v>
      </c>
      <c r="AP455">
        <v>0</v>
      </c>
      <c r="AQ455">
        <v>0</v>
      </c>
      <c r="AR455" t="s">
        <v>1549</v>
      </c>
      <c r="AS455" t="s">
        <v>1550</v>
      </c>
      <c r="AT455">
        <v>0.23</v>
      </c>
      <c r="AU455" t="s">
        <v>1357</v>
      </c>
      <c r="AV455" t="s">
        <v>1551</v>
      </c>
      <c r="AW455" t="s">
        <v>103</v>
      </c>
      <c r="AX455" s="1">
        <v>0.72847222222222219</v>
      </c>
      <c r="AY455" t="s">
        <v>1552</v>
      </c>
      <c r="AZ455">
        <v>138.99999999208379</v>
      </c>
      <c r="BA455">
        <v>0</v>
      </c>
      <c r="BB455">
        <v>0</v>
      </c>
      <c r="BC455">
        <v>1</v>
      </c>
      <c r="BD455">
        <v>0</v>
      </c>
      <c r="BE455">
        <f t="shared" si="79"/>
        <v>1</v>
      </c>
    </row>
    <row r="456" spans="1:57" x14ac:dyDescent="0.25">
      <c r="A456" t="s">
        <v>39</v>
      </c>
      <c r="B456" t="s">
        <v>1553</v>
      </c>
      <c r="C456">
        <v>78.900000000000006</v>
      </c>
      <c r="D456">
        <v>68.099999999999994</v>
      </c>
      <c r="G456">
        <f t="shared" si="70"/>
        <v>0</v>
      </c>
      <c r="H456">
        <f t="shared" si="71"/>
        <v>0</v>
      </c>
      <c r="I456">
        <f t="shared" si="72"/>
        <v>0</v>
      </c>
      <c r="J456">
        <v>72.7</v>
      </c>
      <c r="K456">
        <v>78.900000000000006</v>
      </c>
      <c r="L456">
        <v>68.099999999999994</v>
      </c>
      <c r="M456">
        <v>72.7</v>
      </c>
      <c r="N456">
        <v>63.8</v>
      </c>
      <c r="O456">
        <v>74</v>
      </c>
      <c r="S456">
        <f t="shared" si="73"/>
        <v>1</v>
      </c>
      <c r="T456">
        <f t="shared" si="74"/>
        <v>1</v>
      </c>
      <c r="U456">
        <f t="shared" si="75"/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19.5</v>
      </c>
      <c r="AG456">
        <f t="shared" si="76"/>
        <v>1</v>
      </c>
      <c r="AH456">
        <f t="shared" si="77"/>
        <v>1</v>
      </c>
      <c r="AI456">
        <f t="shared" si="78"/>
        <v>0</v>
      </c>
      <c r="AJ456">
        <v>280.10000000000002</v>
      </c>
      <c r="AK456">
        <v>1016.6</v>
      </c>
      <c r="AL456">
        <v>30</v>
      </c>
      <c r="AM456">
        <v>6.5</v>
      </c>
      <c r="AN456">
        <v>0</v>
      </c>
      <c r="AO456">
        <v>0</v>
      </c>
      <c r="AP456">
        <v>0</v>
      </c>
      <c r="AQ456">
        <v>0</v>
      </c>
      <c r="AR456" t="s">
        <v>1554</v>
      </c>
      <c r="AS456" t="s">
        <v>1555</v>
      </c>
      <c r="AT456">
        <v>0.56000000000000005</v>
      </c>
      <c r="AU456" t="s">
        <v>43</v>
      </c>
      <c r="AV456" t="s">
        <v>44</v>
      </c>
      <c r="AW456" t="s">
        <v>45</v>
      </c>
      <c r="AX456" s="1">
        <v>0.4236111111111111</v>
      </c>
      <c r="AY456" t="s">
        <v>1556</v>
      </c>
      <c r="AZ456">
        <v>34.999999998835847</v>
      </c>
      <c r="BA456">
        <v>0</v>
      </c>
      <c r="BB456">
        <v>0</v>
      </c>
      <c r="BC456">
        <v>2</v>
      </c>
      <c r="BD456">
        <v>0</v>
      </c>
      <c r="BE456">
        <f t="shared" si="79"/>
        <v>0</v>
      </c>
    </row>
    <row r="457" spans="1:57" x14ac:dyDescent="0.25">
      <c r="A457" t="s">
        <v>39</v>
      </c>
      <c r="B457" t="s">
        <v>1522</v>
      </c>
      <c r="C457">
        <v>89.7</v>
      </c>
      <c r="D457">
        <v>71.7</v>
      </c>
      <c r="G457">
        <f t="shared" si="70"/>
        <v>1</v>
      </c>
      <c r="H457">
        <f t="shared" si="71"/>
        <v>1</v>
      </c>
      <c r="I457">
        <f t="shared" si="72"/>
        <v>0</v>
      </c>
      <c r="J457">
        <v>78.900000000000006</v>
      </c>
      <c r="K457">
        <v>87.5</v>
      </c>
      <c r="L457">
        <v>71.7</v>
      </c>
      <c r="M457">
        <v>79.099999999999994</v>
      </c>
      <c r="N457">
        <v>61.4</v>
      </c>
      <c r="O457">
        <v>57.7</v>
      </c>
      <c r="S457">
        <f t="shared" si="73"/>
        <v>1</v>
      </c>
      <c r="T457">
        <f t="shared" si="74"/>
        <v>0</v>
      </c>
      <c r="U457">
        <f t="shared" si="75"/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15</v>
      </c>
      <c r="AG457">
        <f t="shared" si="76"/>
        <v>1</v>
      </c>
      <c r="AH457">
        <f t="shared" si="77"/>
        <v>0</v>
      </c>
      <c r="AI457">
        <f t="shared" si="78"/>
        <v>1</v>
      </c>
      <c r="AJ457">
        <v>146.80000000000001</v>
      </c>
      <c r="AK457">
        <v>1014.3</v>
      </c>
      <c r="AL457">
        <v>30</v>
      </c>
      <c r="AM457">
        <v>6.3</v>
      </c>
      <c r="AN457">
        <v>0</v>
      </c>
      <c r="AO457">
        <v>0</v>
      </c>
      <c r="AP457">
        <v>0</v>
      </c>
      <c r="AQ457">
        <v>0</v>
      </c>
      <c r="AR457" t="s">
        <v>1523</v>
      </c>
      <c r="AS457" t="s">
        <v>1524</v>
      </c>
      <c r="AT457">
        <v>0.46</v>
      </c>
      <c r="AU457" t="s">
        <v>43</v>
      </c>
      <c r="AV457" t="s">
        <v>44</v>
      </c>
      <c r="AW457" t="s">
        <v>45</v>
      </c>
      <c r="AX457" s="1">
        <v>0.52083333333333337</v>
      </c>
      <c r="AY457" t="s">
        <v>1557</v>
      </c>
      <c r="AZ457">
        <v>799.99999999883585</v>
      </c>
      <c r="BA457">
        <v>1</v>
      </c>
      <c r="BB457">
        <v>0</v>
      </c>
      <c r="BC457">
        <v>200</v>
      </c>
      <c r="BD457">
        <v>0</v>
      </c>
      <c r="BE457">
        <f t="shared" si="79"/>
        <v>1</v>
      </c>
    </row>
    <row r="458" spans="1:57" x14ac:dyDescent="0.25">
      <c r="A458" t="s">
        <v>39</v>
      </c>
      <c r="B458" t="s">
        <v>1558</v>
      </c>
      <c r="C458">
        <v>82.5</v>
      </c>
      <c r="D458">
        <v>77.099999999999994</v>
      </c>
      <c r="G458">
        <f t="shared" si="70"/>
        <v>1</v>
      </c>
      <c r="H458">
        <f t="shared" si="71"/>
        <v>1</v>
      </c>
      <c r="I458">
        <f t="shared" si="72"/>
        <v>0</v>
      </c>
      <c r="J458">
        <v>80</v>
      </c>
      <c r="K458">
        <v>85.5</v>
      </c>
      <c r="L458">
        <v>77.099999999999994</v>
      </c>
      <c r="M458">
        <v>81.2</v>
      </c>
      <c r="N458">
        <v>66.2</v>
      </c>
      <c r="O458">
        <v>63</v>
      </c>
      <c r="S458">
        <f t="shared" si="73"/>
        <v>1</v>
      </c>
      <c r="T458">
        <f t="shared" si="74"/>
        <v>0</v>
      </c>
      <c r="U458">
        <f t="shared" si="75"/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19.5</v>
      </c>
      <c r="AG458">
        <f t="shared" si="76"/>
        <v>1</v>
      </c>
      <c r="AH458">
        <f t="shared" si="77"/>
        <v>1</v>
      </c>
      <c r="AI458">
        <f t="shared" si="78"/>
        <v>0</v>
      </c>
      <c r="AJ458">
        <v>292.7</v>
      </c>
      <c r="AK458">
        <v>1013.7</v>
      </c>
      <c r="AL458">
        <v>31.7</v>
      </c>
      <c r="AM458">
        <v>6.8</v>
      </c>
      <c r="AN458">
        <v>0</v>
      </c>
      <c r="AO458">
        <v>0</v>
      </c>
      <c r="AP458">
        <v>0</v>
      </c>
      <c r="AQ458">
        <v>0</v>
      </c>
      <c r="AR458" t="s">
        <v>1559</v>
      </c>
      <c r="AS458" t="s">
        <v>1560</v>
      </c>
      <c r="AT458">
        <v>0.64</v>
      </c>
      <c r="AU458" t="s">
        <v>43</v>
      </c>
      <c r="AV458" t="s">
        <v>44</v>
      </c>
      <c r="AW458" t="s">
        <v>45</v>
      </c>
      <c r="AX458" s="1">
        <v>0.57638888888888884</v>
      </c>
      <c r="AY458" t="s">
        <v>1561</v>
      </c>
      <c r="AZ458">
        <v>69.999999997671694</v>
      </c>
      <c r="BA458">
        <v>0</v>
      </c>
      <c r="BB458">
        <v>0</v>
      </c>
      <c r="BC458">
        <v>0.7</v>
      </c>
      <c r="BD458">
        <v>0</v>
      </c>
      <c r="BE458">
        <f t="shared" si="79"/>
        <v>1</v>
      </c>
    </row>
    <row r="459" spans="1:57" x14ac:dyDescent="0.25">
      <c r="A459" t="s">
        <v>39</v>
      </c>
      <c r="B459" t="s">
        <v>1540</v>
      </c>
      <c r="C459">
        <v>91.5</v>
      </c>
      <c r="D459">
        <v>64.5</v>
      </c>
      <c r="G459">
        <f t="shared" si="70"/>
        <v>1</v>
      </c>
      <c r="H459">
        <f t="shared" si="71"/>
        <v>1</v>
      </c>
      <c r="I459">
        <f t="shared" si="72"/>
        <v>0</v>
      </c>
      <c r="J459">
        <v>76.8</v>
      </c>
      <c r="K459">
        <v>88</v>
      </c>
      <c r="L459">
        <v>64.5</v>
      </c>
      <c r="M459">
        <v>76</v>
      </c>
      <c r="N459">
        <v>52.6</v>
      </c>
      <c r="O459">
        <v>46.9</v>
      </c>
      <c r="S459">
        <f t="shared" si="73"/>
        <v>1</v>
      </c>
      <c r="T459">
        <f t="shared" si="74"/>
        <v>0</v>
      </c>
      <c r="U459">
        <f t="shared" si="75"/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20.8</v>
      </c>
      <c r="AG459">
        <f t="shared" si="76"/>
        <v>1</v>
      </c>
      <c r="AH459">
        <f t="shared" si="77"/>
        <v>1</v>
      </c>
      <c r="AI459">
        <f t="shared" si="78"/>
        <v>0</v>
      </c>
      <c r="AJ459">
        <v>163.5</v>
      </c>
      <c r="AK459">
        <v>1017.2</v>
      </c>
      <c r="AL459">
        <v>70</v>
      </c>
      <c r="AM459">
        <v>6.5</v>
      </c>
      <c r="AN459">
        <v>0</v>
      </c>
      <c r="AO459">
        <v>0</v>
      </c>
      <c r="AP459">
        <v>0</v>
      </c>
      <c r="AQ459">
        <v>0</v>
      </c>
      <c r="AR459" t="s">
        <v>1541</v>
      </c>
      <c r="AS459" t="s">
        <v>1542</v>
      </c>
      <c r="AT459">
        <v>0.08</v>
      </c>
      <c r="AU459" t="s">
        <v>43</v>
      </c>
      <c r="AV459" t="s">
        <v>44</v>
      </c>
      <c r="AW459" t="s">
        <v>45</v>
      </c>
      <c r="AX459" s="1">
        <v>5.2083333333333343E-2</v>
      </c>
      <c r="AY459" t="s">
        <v>1562</v>
      </c>
      <c r="AZ459">
        <v>104.9999999965075</v>
      </c>
      <c r="BA459">
        <v>0</v>
      </c>
      <c r="BB459">
        <v>0</v>
      </c>
      <c r="BC459">
        <v>1</v>
      </c>
      <c r="BD459">
        <v>0</v>
      </c>
      <c r="BE459">
        <f t="shared" si="79"/>
        <v>1</v>
      </c>
    </row>
    <row r="460" spans="1:57" x14ac:dyDescent="0.25">
      <c r="A460" t="s">
        <v>39</v>
      </c>
      <c r="B460" t="s">
        <v>1309</v>
      </c>
      <c r="C460">
        <v>62.7</v>
      </c>
      <c r="D460">
        <v>48.3</v>
      </c>
      <c r="G460">
        <f t="shared" si="70"/>
        <v>1</v>
      </c>
      <c r="H460">
        <f t="shared" si="71"/>
        <v>0</v>
      </c>
      <c r="I460">
        <f t="shared" si="72"/>
        <v>1</v>
      </c>
      <c r="J460">
        <v>55.4</v>
      </c>
      <c r="K460">
        <v>62.7</v>
      </c>
      <c r="L460">
        <v>39.4</v>
      </c>
      <c r="M460">
        <v>54.1</v>
      </c>
      <c r="N460">
        <v>45.2</v>
      </c>
      <c r="O460">
        <v>69.099999999999994</v>
      </c>
      <c r="S460">
        <f t="shared" si="73"/>
        <v>1</v>
      </c>
      <c r="T460">
        <f t="shared" si="74"/>
        <v>1</v>
      </c>
      <c r="U460">
        <f t="shared" si="75"/>
        <v>0</v>
      </c>
      <c r="V460">
        <v>0.24099999999999999</v>
      </c>
      <c r="W460">
        <v>100</v>
      </c>
      <c r="X460">
        <v>12.5</v>
      </c>
      <c r="Y460" t="s">
        <v>103</v>
      </c>
      <c r="Z460">
        <v>0</v>
      </c>
      <c r="AA460">
        <v>0</v>
      </c>
      <c r="AB460">
        <v>0</v>
      </c>
      <c r="AC460">
        <v>32.200000000000003</v>
      </c>
      <c r="AG460">
        <f t="shared" si="76"/>
        <v>1</v>
      </c>
      <c r="AH460">
        <f t="shared" si="77"/>
        <v>1</v>
      </c>
      <c r="AI460">
        <f t="shared" si="78"/>
        <v>0</v>
      </c>
      <c r="AJ460">
        <v>325.39999999999998</v>
      </c>
      <c r="AK460">
        <v>1015.8</v>
      </c>
      <c r="AL460">
        <v>83.3</v>
      </c>
      <c r="AM460">
        <v>6.5</v>
      </c>
      <c r="AN460">
        <v>0</v>
      </c>
      <c r="AO460">
        <v>0</v>
      </c>
      <c r="AP460">
        <v>0</v>
      </c>
      <c r="AQ460">
        <v>0</v>
      </c>
      <c r="AR460" t="s">
        <v>1310</v>
      </c>
      <c r="AS460" t="s">
        <v>1311</v>
      </c>
      <c r="AT460">
        <v>0.45</v>
      </c>
      <c r="AU460" t="s">
        <v>106</v>
      </c>
      <c r="AV460" t="s">
        <v>257</v>
      </c>
      <c r="AW460" t="s">
        <v>103</v>
      </c>
      <c r="AX460" s="1">
        <v>0.72916666666666663</v>
      </c>
      <c r="AY460" t="s">
        <v>1563</v>
      </c>
      <c r="AZ460">
        <v>120.0000000034925</v>
      </c>
      <c r="BA460">
        <v>0</v>
      </c>
      <c r="BB460">
        <v>0</v>
      </c>
      <c r="BC460">
        <v>10</v>
      </c>
      <c r="BD460">
        <v>0</v>
      </c>
      <c r="BE460">
        <f t="shared" si="79"/>
        <v>1</v>
      </c>
    </row>
    <row r="461" spans="1:57" x14ac:dyDescent="0.25">
      <c r="A461" t="s">
        <v>39</v>
      </c>
      <c r="B461" t="s">
        <v>1490</v>
      </c>
      <c r="C461">
        <v>84.3</v>
      </c>
      <c r="D461">
        <v>68.099999999999994</v>
      </c>
      <c r="G461">
        <f t="shared" si="70"/>
        <v>0</v>
      </c>
      <c r="H461">
        <f t="shared" si="71"/>
        <v>0</v>
      </c>
      <c r="I461">
        <f t="shared" si="72"/>
        <v>0</v>
      </c>
      <c r="J461">
        <v>78.5</v>
      </c>
      <c r="K461">
        <v>86.6</v>
      </c>
      <c r="L461">
        <v>68.099999999999994</v>
      </c>
      <c r="M461">
        <v>79.099999999999994</v>
      </c>
      <c r="N461">
        <v>58.7</v>
      </c>
      <c r="O461">
        <v>51.2</v>
      </c>
      <c r="S461">
        <f t="shared" si="73"/>
        <v>1</v>
      </c>
      <c r="T461">
        <f t="shared" si="74"/>
        <v>0</v>
      </c>
      <c r="U461">
        <f t="shared" si="75"/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15</v>
      </c>
      <c r="AG461">
        <f t="shared" si="76"/>
        <v>1</v>
      </c>
      <c r="AH461">
        <f t="shared" si="77"/>
        <v>0</v>
      </c>
      <c r="AI461">
        <f t="shared" si="78"/>
        <v>1</v>
      </c>
      <c r="AJ461">
        <v>309.10000000000002</v>
      </c>
      <c r="AK461">
        <v>1011.7</v>
      </c>
      <c r="AL461">
        <v>30</v>
      </c>
      <c r="AM461">
        <v>6.4</v>
      </c>
      <c r="AN461">
        <v>0</v>
      </c>
      <c r="AO461">
        <v>0</v>
      </c>
      <c r="AP461">
        <v>0</v>
      </c>
      <c r="AQ461">
        <v>0</v>
      </c>
      <c r="AR461" t="s">
        <v>1491</v>
      </c>
      <c r="AS461" t="s">
        <v>1492</v>
      </c>
      <c r="AT461">
        <v>0.37</v>
      </c>
      <c r="AU461" t="s">
        <v>43</v>
      </c>
      <c r="AV461" t="s">
        <v>44</v>
      </c>
      <c r="AW461" t="s">
        <v>45</v>
      </c>
      <c r="AX461" s="1">
        <v>0.55138888888888893</v>
      </c>
      <c r="AY461" t="s">
        <v>1564</v>
      </c>
      <c r="AZ461">
        <v>425.99999999511061</v>
      </c>
      <c r="BA461">
        <v>1</v>
      </c>
      <c r="BB461">
        <v>0</v>
      </c>
      <c r="BC461">
        <v>2</v>
      </c>
      <c r="BD461">
        <v>0</v>
      </c>
      <c r="BE461">
        <f t="shared" si="79"/>
        <v>0</v>
      </c>
    </row>
    <row r="462" spans="1:57" x14ac:dyDescent="0.25">
      <c r="A462" t="s">
        <v>39</v>
      </c>
      <c r="B462" t="s">
        <v>1540</v>
      </c>
      <c r="C462">
        <v>91.5</v>
      </c>
      <c r="D462">
        <v>64.5</v>
      </c>
      <c r="G462">
        <f t="shared" si="70"/>
        <v>1</v>
      </c>
      <c r="H462">
        <f t="shared" si="71"/>
        <v>1</v>
      </c>
      <c r="I462">
        <f t="shared" si="72"/>
        <v>0</v>
      </c>
      <c r="J462">
        <v>76.8</v>
      </c>
      <c r="K462">
        <v>88</v>
      </c>
      <c r="L462">
        <v>64.5</v>
      </c>
      <c r="M462">
        <v>76</v>
      </c>
      <c r="N462">
        <v>52.6</v>
      </c>
      <c r="O462">
        <v>46.9</v>
      </c>
      <c r="S462">
        <f t="shared" si="73"/>
        <v>1</v>
      </c>
      <c r="T462">
        <f t="shared" si="74"/>
        <v>0</v>
      </c>
      <c r="U462">
        <f t="shared" si="75"/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20.8</v>
      </c>
      <c r="AG462">
        <f t="shared" si="76"/>
        <v>1</v>
      </c>
      <c r="AH462">
        <f t="shared" si="77"/>
        <v>1</v>
      </c>
      <c r="AI462">
        <f t="shared" si="78"/>
        <v>0</v>
      </c>
      <c r="AJ462">
        <v>163.5</v>
      </c>
      <c r="AK462">
        <v>1017.2</v>
      </c>
      <c r="AL462">
        <v>70</v>
      </c>
      <c r="AM462">
        <v>6.5</v>
      </c>
      <c r="AN462">
        <v>0</v>
      </c>
      <c r="AO462">
        <v>0</v>
      </c>
      <c r="AP462">
        <v>0</v>
      </c>
      <c r="AQ462">
        <v>0</v>
      </c>
      <c r="AR462" t="s">
        <v>1541</v>
      </c>
      <c r="AS462" t="s">
        <v>1542</v>
      </c>
      <c r="AT462">
        <v>0.08</v>
      </c>
      <c r="AU462" t="s">
        <v>43</v>
      </c>
      <c r="AV462" t="s">
        <v>44</v>
      </c>
      <c r="AW462" t="s">
        <v>45</v>
      </c>
      <c r="AX462" s="1">
        <v>0.57222222222222219</v>
      </c>
      <c r="AY462" t="s">
        <v>1565</v>
      </c>
      <c r="AZ462">
        <v>260.9999999916181</v>
      </c>
      <c r="BA462">
        <v>0</v>
      </c>
      <c r="BB462">
        <v>0</v>
      </c>
      <c r="BC462">
        <v>2</v>
      </c>
      <c r="BD462">
        <v>0</v>
      </c>
      <c r="BE462">
        <f t="shared" si="79"/>
        <v>1</v>
      </c>
    </row>
    <row r="463" spans="1:57" x14ac:dyDescent="0.25">
      <c r="A463" t="s">
        <v>39</v>
      </c>
      <c r="B463" t="s">
        <v>1313</v>
      </c>
      <c r="C463">
        <v>80.7</v>
      </c>
      <c r="D463">
        <v>71.7</v>
      </c>
      <c r="G463">
        <f t="shared" si="70"/>
        <v>0</v>
      </c>
      <c r="H463">
        <f t="shared" si="71"/>
        <v>0</v>
      </c>
      <c r="I463">
        <f t="shared" si="72"/>
        <v>0</v>
      </c>
      <c r="J463">
        <v>75.900000000000006</v>
      </c>
      <c r="K463">
        <v>82.4</v>
      </c>
      <c r="L463">
        <v>71.7</v>
      </c>
      <c r="M463">
        <v>76</v>
      </c>
      <c r="N463">
        <v>60.6</v>
      </c>
      <c r="O463">
        <v>59.4</v>
      </c>
      <c r="S463">
        <f t="shared" si="73"/>
        <v>1</v>
      </c>
      <c r="T463">
        <f t="shared" si="74"/>
        <v>0</v>
      </c>
      <c r="U463">
        <f t="shared" si="75"/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20.8</v>
      </c>
      <c r="AG463">
        <f t="shared" si="76"/>
        <v>1</v>
      </c>
      <c r="AH463">
        <f t="shared" si="77"/>
        <v>1</v>
      </c>
      <c r="AI463">
        <f t="shared" si="78"/>
        <v>0</v>
      </c>
      <c r="AJ463">
        <v>302.7</v>
      </c>
      <c r="AK463">
        <v>1013.4</v>
      </c>
      <c r="AL463">
        <v>30</v>
      </c>
      <c r="AM463">
        <v>6.3</v>
      </c>
      <c r="AN463">
        <v>0</v>
      </c>
      <c r="AO463">
        <v>0</v>
      </c>
      <c r="AP463">
        <v>0</v>
      </c>
      <c r="AQ463">
        <v>0</v>
      </c>
      <c r="AR463" t="s">
        <v>1314</v>
      </c>
      <c r="AS463" t="s">
        <v>1315</v>
      </c>
      <c r="AT463">
        <v>0.1</v>
      </c>
      <c r="AU463" t="s">
        <v>43</v>
      </c>
      <c r="AV463" t="s">
        <v>44</v>
      </c>
      <c r="AW463" t="s">
        <v>45</v>
      </c>
      <c r="AX463" s="1">
        <v>0.69722222222222219</v>
      </c>
      <c r="AY463" t="s">
        <v>1566</v>
      </c>
      <c r="AZ463">
        <v>265.99999999743892</v>
      </c>
      <c r="BA463">
        <v>0</v>
      </c>
      <c r="BB463">
        <v>0</v>
      </c>
      <c r="BC463">
        <v>5</v>
      </c>
      <c r="BD463">
        <v>0</v>
      </c>
      <c r="BE463">
        <f t="shared" si="79"/>
        <v>0</v>
      </c>
    </row>
    <row r="464" spans="1:57" x14ac:dyDescent="0.25">
      <c r="A464" t="s">
        <v>39</v>
      </c>
      <c r="B464" t="s">
        <v>1567</v>
      </c>
      <c r="C464">
        <v>73.5</v>
      </c>
      <c r="D464">
        <v>68.099999999999994</v>
      </c>
      <c r="G464">
        <f t="shared" si="70"/>
        <v>1</v>
      </c>
      <c r="H464">
        <f t="shared" si="71"/>
        <v>0</v>
      </c>
      <c r="I464">
        <f t="shared" si="72"/>
        <v>1</v>
      </c>
      <c r="J464">
        <v>70.099999999999994</v>
      </c>
      <c r="K464">
        <v>73.5</v>
      </c>
      <c r="L464">
        <v>68.099999999999994</v>
      </c>
      <c r="M464">
        <v>70.099999999999994</v>
      </c>
      <c r="N464">
        <v>49.9</v>
      </c>
      <c r="O464">
        <v>49</v>
      </c>
      <c r="S464">
        <f t="shared" si="73"/>
        <v>1</v>
      </c>
      <c r="T464">
        <f t="shared" si="74"/>
        <v>0</v>
      </c>
      <c r="U464">
        <f t="shared" si="75"/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20.8</v>
      </c>
      <c r="AG464">
        <f t="shared" si="76"/>
        <v>1</v>
      </c>
      <c r="AH464">
        <f t="shared" si="77"/>
        <v>1</v>
      </c>
      <c r="AI464">
        <f t="shared" si="78"/>
        <v>0</v>
      </c>
      <c r="AJ464">
        <v>312.7</v>
      </c>
      <c r="AK464">
        <v>1020</v>
      </c>
      <c r="AL464">
        <v>40.9</v>
      </c>
      <c r="AM464">
        <v>6.8</v>
      </c>
      <c r="AN464">
        <v>0</v>
      </c>
      <c r="AO464">
        <v>0</v>
      </c>
      <c r="AP464">
        <v>0</v>
      </c>
      <c r="AQ464">
        <v>0</v>
      </c>
      <c r="AR464" t="s">
        <v>1568</v>
      </c>
      <c r="AS464" t="s">
        <v>1569</v>
      </c>
      <c r="AT464">
        <v>0.93</v>
      </c>
      <c r="AU464" t="s">
        <v>43</v>
      </c>
      <c r="AV464" t="s">
        <v>44</v>
      </c>
      <c r="AW464" t="s">
        <v>45</v>
      </c>
      <c r="AX464" s="1">
        <v>0.73750000000000004</v>
      </c>
      <c r="AY464" t="s">
        <v>1570</v>
      </c>
      <c r="AZ464">
        <v>1522.9999999981369</v>
      </c>
      <c r="BA464">
        <v>1</v>
      </c>
      <c r="BB464">
        <v>0</v>
      </c>
      <c r="BC464">
        <v>1</v>
      </c>
      <c r="BD464">
        <v>0</v>
      </c>
      <c r="BE464">
        <f t="shared" si="79"/>
        <v>1</v>
      </c>
    </row>
    <row r="465" spans="1:57" x14ac:dyDescent="0.25">
      <c r="A465" t="s">
        <v>39</v>
      </c>
      <c r="B465" t="s">
        <v>1423</v>
      </c>
      <c r="C465">
        <v>73.5</v>
      </c>
      <c r="D465">
        <v>68.099999999999994</v>
      </c>
      <c r="G465">
        <f t="shared" si="70"/>
        <v>0</v>
      </c>
      <c r="H465">
        <f t="shared" si="71"/>
        <v>0</v>
      </c>
      <c r="I465">
        <f t="shared" si="72"/>
        <v>0</v>
      </c>
      <c r="J465">
        <v>70.599999999999994</v>
      </c>
      <c r="K465">
        <v>73.5</v>
      </c>
      <c r="L465">
        <v>68.099999999999994</v>
      </c>
      <c r="M465">
        <v>70.599999999999994</v>
      </c>
      <c r="N465">
        <v>55.2</v>
      </c>
      <c r="O465">
        <v>58.4</v>
      </c>
      <c r="S465">
        <f t="shared" si="73"/>
        <v>1</v>
      </c>
      <c r="T465">
        <f t="shared" si="74"/>
        <v>0</v>
      </c>
      <c r="U465">
        <f t="shared" si="75"/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24.2</v>
      </c>
      <c r="AG465">
        <f t="shared" si="76"/>
        <v>1</v>
      </c>
      <c r="AH465">
        <f t="shared" si="77"/>
        <v>1</v>
      </c>
      <c r="AI465">
        <f t="shared" si="78"/>
        <v>0</v>
      </c>
      <c r="AJ465">
        <v>320.60000000000002</v>
      </c>
      <c r="AK465">
        <v>1016.1</v>
      </c>
      <c r="AL465">
        <v>49.2</v>
      </c>
      <c r="AM465">
        <v>6.8</v>
      </c>
      <c r="AN465">
        <v>0</v>
      </c>
      <c r="AO465">
        <v>0</v>
      </c>
      <c r="AP465">
        <v>0</v>
      </c>
      <c r="AQ465">
        <v>0</v>
      </c>
      <c r="AR465" t="s">
        <v>1424</v>
      </c>
      <c r="AS465" t="s">
        <v>1425</v>
      </c>
      <c r="AT465">
        <v>0.72</v>
      </c>
      <c r="AU465" t="s">
        <v>43</v>
      </c>
      <c r="AV465" t="s">
        <v>44</v>
      </c>
      <c r="AW465" t="s">
        <v>45</v>
      </c>
      <c r="AX465" s="1">
        <v>0.89513888888888893</v>
      </c>
      <c r="AY465" t="s">
        <v>1571</v>
      </c>
      <c r="AZ465">
        <v>570.99999999627471</v>
      </c>
      <c r="BA465">
        <v>1</v>
      </c>
      <c r="BB465">
        <v>0</v>
      </c>
      <c r="BC465">
        <v>15</v>
      </c>
      <c r="BD465">
        <v>0</v>
      </c>
      <c r="BE465">
        <f t="shared" si="79"/>
        <v>1</v>
      </c>
    </row>
    <row r="466" spans="1:57" x14ac:dyDescent="0.25">
      <c r="A466" t="s">
        <v>39</v>
      </c>
      <c r="B466" t="s">
        <v>1504</v>
      </c>
      <c r="C466">
        <v>80.7</v>
      </c>
      <c r="D466">
        <v>68.099999999999994</v>
      </c>
      <c r="G466">
        <f t="shared" si="70"/>
        <v>1</v>
      </c>
      <c r="H466">
        <f t="shared" si="71"/>
        <v>1</v>
      </c>
      <c r="I466">
        <f t="shared" si="72"/>
        <v>0</v>
      </c>
      <c r="J466">
        <v>76.7</v>
      </c>
      <c r="K466">
        <v>81.900000000000006</v>
      </c>
      <c r="L466">
        <v>68.099999999999994</v>
      </c>
      <c r="M466">
        <v>76.7</v>
      </c>
      <c r="N466">
        <v>54.3</v>
      </c>
      <c r="O466">
        <v>51.1</v>
      </c>
      <c r="S466">
        <f t="shared" si="73"/>
        <v>1</v>
      </c>
      <c r="T466">
        <f t="shared" si="74"/>
        <v>0</v>
      </c>
      <c r="U466">
        <f t="shared" si="75"/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23</v>
      </c>
      <c r="AG466">
        <f t="shared" si="76"/>
        <v>1</v>
      </c>
      <c r="AH466">
        <f t="shared" si="77"/>
        <v>1</v>
      </c>
      <c r="AI466">
        <f t="shared" si="78"/>
        <v>0</v>
      </c>
      <c r="AJ466">
        <v>140.4</v>
      </c>
      <c r="AK466">
        <v>1017.8</v>
      </c>
      <c r="AL466">
        <v>30</v>
      </c>
      <c r="AM466">
        <v>6.4</v>
      </c>
      <c r="AN466">
        <v>0</v>
      </c>
      <c r="AO466">
        <v>0</v>
      </c>
      <c r="AP466">
        <v>0</v>
      </c>
      <c r="AQ466">
        <v>0</v>
      </c>
      <c r="AR466" t="s">
        <v>1505</v>
      </c>
      <c r="AS466" t="s">
        <v>1506</v>
      </c>
      <c r="AT466">
        <v>0.15</v>
      </c>
      <c r="AU466" t="s">
        <v>43</v>
      </c>
      <c r="AV466" t="s">
        <v>44</v>
      </c>
      <c r="AW466" t="s">
        <v>45</v>
      </c>
      <c r="AX466" s="1">
        <v>0.57222222222222219</v>
      </c>
      <c r="AY466" t="s">
        <v>1572</v>
      </c>
      <c r="AZ466">
        <v>380.99999999511061</v>
      </c>
      <c r="BA466">
        <v>1</v>
      </c>
      <c r="BB466">
        <v>0</v>
      </c>
      <c r="BC466">
        <v>20</v>
      </c>
      <c r="BD466">
        <v>0</v>
      </c>
      <c r="BE466">
        <f t="shared" si="79"/>
        <v>1</v>
      </c>
    </row>
    <row r="467" spans="1:57" x14ac:dyDescent="0.25">
      <c r="A467" t="s">
        <v>39</v>
      </c>
      <c r="B467" t="s">
        <v>1573</v>
      </c>
      <c r="C467">
        <v>68.099999999999994</v>
      </c>
      <c r="D467">
        <v>57.3</v>
      </c>
      <c r="G467">
        <f t="shared" si="70"/>
        <v>1</v>
      </c>
      <c r="H467">
        <f t="shared" si="71"/>
        <v>1</v>
      </c>
      <c r="I467">
        <f t="shared" si="72"/>
        <v>0</v>
      </c>
      <c r="J467">
        <v>62.8</v>
      </c>
      <c r="K467">
        <v>68.099999999999994</v>
      </c>
      <c r="L467">
        <v>57.3</v>
      </c>
      <c r="M467">
        <v>62.8</v>
      </c>
      <c r="N467">
        <v>40.200000000000003</v>
      </c>
      <c r="O467">
        <v>45.2</v>
      </c>
      <c r="S467">
        <f t="shared" si="73"/>
        <v>1</v>
      </c>
      <c r="T467">
        <f t="shared" si="74"/>
        <v>0</v>
      </c>
      <c r="U467">
        <f t="shared" si="75"/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35.6</v>
      </c>
      <c r="AG467">
        <f t="shared" si="76"/>
        <v>1</v>
      </c>
      <c r="AH467">
        <f t="shared" si="77"/>
        <v>1</v>
      </c>
      <c r="AI467">
        <f t="shared" si="78"/>
        <v>0</v>
      </c>
      <c r="AJ467">
        <v>161.4</v>
      </c>
      <c r="AK467">
        <v>1014.9</v>
      </c>
      <c r="AL467">
        <v>85.6</v>
      </c>
      <c r="AM467">
        <v>6.4</v>
      </c>
      <c r="AN467">
        <v>0</v>
      </c>
      <c r="AO467">
        <v>0</v>
      </c>
      <c r="AP467">
        <v>0</v>
      </c>
      <c r="AQ467">
        <v>0</v>
      </c>
      <c r="AR467" t="s">
        <v>1574</v>
      </c>
      <c r="AS467" t="s">
        <v>1575</v>
      </c>
      <c r="AT467">
        <v>0.19</v>
      </c>
      <c r="AU467" t="s">
        <v>43</v>
      </c>
      <c r="AV467" t="s">
        <v>44</v>
      </c>
      <c r="AW467" t="s">
        <v>419</v>
      </c>
      <c r="AX467" s="1">
        <v>0.47847222222222219</v>
      </c>
      <c r="AY467" t="s">
        <v>1576</v>
      </c>
      <c r="AZ467">
        <v>260.9999999916181</v>
      </c>
      <c r="BA467">
        <v>0</v>
      </c>
      <c r="BB467">
        <v>0</v>
      </c>
      <c r="BC467">
        <v>5</v>
      </c>
      <c r="BD467">
        <v>0</v>
      </c>
      <c r="BE467">
        <f t="shared" si="79"/>
        <v>1</v>
      </c>
    </row>
    <row r="468" spans="1:57" x14ac:dyDescent="0.25">
      <c r="A468" t="s">
        <v>39</v>
      </c>
      <c r="B468" t="s">
        <v>1473</v>
      </c>
      <c r="C468">
        <v>80.7</v>
      </c>
      <c r="D468">
        <v>71.7</v>
      </c>
      <c r="G468">
        <f t="shared" si="70"/>
        <v>1</v>
      </c>
      <c r="H468">
        <f t="shared" si="71"/>
        <v>1</v>
      </c>
      <c r="I468">
        <f t="shared" si="72"/>
        <v>0</v>
      </c>
      <c r="J468">
        <v>75.7</v>
      </c>
      <c r="K468">
        <v>80.900000000000006</v>
      </c>
      <c r="L468">
        <v>71.7</v>
      </c>
      <c r="M468">
        <v>75.7</v>
      </c>
      <c r="N468">
        <v>57.5</v>
      </c>
      <c r="O468">
        <v>53.7</v>
      </c>
      <c r="S468">
        <f t="shared" si="73"/>
        <v>1</v>
      </c>
      <c r="T468">
        <f t="shared" si="74"/>
        <v>0</v>
      </c>
      <c r="U468">
        <f t="shared" si="75"/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36.9</v>
      </c>
      <c r="AG468">
        <f t="shared" si="76"/>
        <v>1</v>
      </c>
      <c r="AH468">
        <f t="shared" si="77"/>
        <v>1</v>
      </c>
      <c r="AI468">
        <f t="shared" si="78"/>
        <v>0</v>
      </c>
      <c r="AJ468">
        <v>159.30000000000001</v>
      </c>
      <c r="AK468">
        <v>1008.7</v>
      </c>
      <c r="AL468">
        <v>90.7</v>
      </c>
      <c r="AM468">
        <v>5.8</v>
      </c>
      <c r="AN468">
        <v>0</v>
      </c>
      <c r="AO468">
        <v>0</v>
      </c>
      <c r="AP468">
        <v>0</v>
      </c>
      <c r="AQ468">
        <v>0</v>
      </c>
      <c r="AR468" t="s">
        <v>1474</v>
      </c>
      <c r="AS468" t="s">
        <v>1475</v>
      </c>
      <c r="AT468">
        <v>0.06</v>
      </c>
      <c r="AU468" t="s">
        <v>275</v>
      </c>
      <c r="AV468" t="s">
        <v>276</v>
      </c>
      <c r="AW468" t="s">
        <v>419</v>
      </c>
      <c r="AX468" s="1">
        <v>0.35555555555555562</v>
      </c>
      <c r="AY468" t="s">
        <v>1577</v>
      </c>
      <c r="AZ468">
        <v>77.999999992316589</v>
      </c>
      <c r="BA468">
        <v>0</v>
      </c>
      <c r="BB468">
        <v>0</v>
      </c>
      <c r="BC468">
        <v>5</v>
      </c>
      <c r="BD468">
        <v>0</v>
      </c>
      <c r="BE468">
        <f t="shared" si="79"/>
        <v>1</v>
      </c>
    </row>
    <row r="469" spans="1:57" x14ac:dyDescent="0.25">
      <c r="A469" t="s">
        <v>39</v>
      </c>
      <c r="B469" t="s">
        <v>1578</v>
      </c>
      <c r="C469">
        <v>80.7</v>
      </c>
      <c r="D469">
        <v>73.5</v>
      </c>
      <c r="G469">
        <f t="shared" si="70"/>
        <v>1</v>
      </c>
      <c r="H469">
        <f t="shared" si="71"/>
        <v>0</v>
      </c>
      <c r="I469">
        <f t="shared" si="72"/>
        <v>1</v>
      </c>
      <c r="J469">
        <v>77.900000000000006</v>
      </c>
      <c r="K469">
        <v>81.900000000000006</v>
      </c>
      <c r="L469">
        <v>73.5</v>
      </c>
      <c r="M469">
        <v>78.099999999999994</v>
      </c>
      <c r="N469">
        <v>61.7</v>
      </c>
      <c r="O469">
        <v>57.7</v>
      </c>
      <c r="S469">
        <f t="shared" si="73"/>
        <v>1</v>
      </c>
      <c r="T469">
        <f t="shared" si="74"/>
        <v>0</v>
      </c>
      <c r="U469">
        <f t="shared" si="75"/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27.5</v>
      </c>
      <c r="AG469">
        <f t="shared" si="76"/>
        <v>1</v>
      </c>
      <c r="AH469">
        <f t="shared" si="77"/>
        <v>1</v>
      </c>
      <c r="AI469">
        <f t="shared" si="78"/>
        <v>0</v>
      </c>
      <c r="AJ469">
        <v>287.8</v>
      </c>
      <c r="AK469">
        <v>1010.9</v>
      </c>
      <c r="AL469">
        <v>30</v>
      </c>
      <c r="AM469">
        <v>6.4</v>
      </c>
      <c r="AN469">
        <v>0</v>
      </c>
      <c r="AO469">
        <v>0</v>
      </c>
      <c r="AP469">
        <v>0</v>
      </c>
      <c r="AQ469">
        <v>0</v>
      </c>
      <c r="AR469" t="s">
        <v>1579</v>
      </c>
      <c r="AS469" t="s">
        <v>1580</v>
      </c>
      <c r="AT469">
        <v>0.7</v>
      </c>
      <c r="AU469" t="s">
        <v>43</v>
      </c>
      <c r="AV469" t="s">
        <v>44</v>
      </c>
      <c r="AW469" t="s">
        <v>45</v>
      </c>
      <c r="AX469" s="1">
        <v>0.625</v>
      </c>
      <c r="AY469" t="s">
        <v>1581</v>
      </c>
      <c r="AZ469">
        <v>300.00000000349252</v>
      </c>
      <c r="BA469">
        <v>0</v>
      </c>
      <c r="BB469">
        <v>0</v>
      </c>
      <c r="BC469">
        <v>0.2</v>
      </c>
      <c r="BD469">
        <v>0</v>
      </c>
      <c r="BE469">
        <f t="shared" si="79"/>
        <v>1</v>
      </c>
    </row>
    <row r="470" spans="1:57" x14ac:dyDescent="0.25">
      <c r="A470" t="s">
        <v>39</v>
      </c>
      <c r="B470" t="s">
        <v>1578</v>
      </c>
      <c r="C470">
        <v>80.7</v>
      </c>
      <c r="D470">
        <v>73.5</v>
      </c>
      <c r="G470">
        <f t="shared" si="70"/>
        <v>1</v>
      </c>
      <c r="H470">
        <f t="shared" si="71"/>
        <v>0</v>
      </c>
      <c r="I470">
        <f t="shared" si="72"/>
        <v>1</v>
      </c>
      <c r="J470">
        <v>77.900000000000006</v>
      </c>
      <c r="K470">
        <v>81.900000000000006</v>
      </c>
      <c r="L470">
        <v>73.5</v>
      </c>
      <c r="M470">
        <v>78.099999999999994</v>
      </c>
      <c r="N470">
        <v>61.7</v>
      </c>
      <c r="O470">
        <v>57.7</v>
      </c>
      <c r="S470">
        <f t="shared" si="73"/>
        <v>1</v>
      </c>
      <c r="T470">
        <f t="shared" si="74"/>
        <v>0</v>
      </c>
      <c r="U470">
        <f t="shared" si="75"/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27.5</v>
      </c>
      <c r="AG470">
        <f t="shared" si="76"/>
        <v>1</v>
      </c>
      <c r="AH470">
        <f t="shared" si="77"/>
        <v>1</v>
      </c>
      <c r="AI470">
        <f t="shared" si="78"/>
        <v>0</v>
      </c>
      <c r="AJ470">
        <v>287.8</v>
      </c>
      <c r="AK470">
        <v>1010.9</v>
      </c>
      <c r="AL470">
        <v>30</v>
      </c>
      <c r="AM470">
        <v>6.4</v>
      </c>
      <c r="AN470">
        <v>0</v>
      </c>
      <c r="AO470">
        <v>0</v>
      </c>
      <c r="AP470">
        <v>0</v>
      </c>
      <c r="AQ470">
        <v>0</v>
      </c>
      <c r="AR470" t="s">
        <v>1579</v>
      </c>
      <c r="AS470" t="s">
        <v>1580</v>
      </c>
      <c r="AT470">
        <v>0.7</v>
      </c>
      <c r="AU470" t="s">
        <v>43</v>
      </c>
      <c r="AV470" t="s">
        <v>44</v>
      </c>
      <c r="AW470" t="s">
        <v>45</v>
      </c>
      <c r="AX470" s="1">
        <v>0.84722222222222221</v>
      </c>
      <c r="AY470" t="s">
        <v>1582</v>
      </c>
      <c r="AZ470">
        <v>320.00000000582082</v>
      </c>
      <c r="BA470">
        <v>0</v>
      </c>
      <c r="BB470">
        <v>0</v>
      </c>
      <c r="BC470">
        <v>2</v>
      </c>
      <c r="BD470">
        <v>0</v>
      </c>
      <c r="BE470">
        <f t="shared" si="79"/>
        <v>1</v>
      </c>
    </row>
    <row r="471" spans="1:57" x14ac:dyDescent="0.25">
      <c r="A471" t="s">
        <v>39</v>
      </c>
      <c r="B471" t="s">
        <v>1583</v>
      </c>
      <c r="C471">
        <v>77.099999999999994</v>
      </c>
      <c r="D471">
        <v>71.7</v>
      </c>
      <c r="G471">
        <f t="shared" si="70"/>
        <v>1</v>
      </c>
      <c r="H471">
        <f t="shared" si="71"/>
        <v>0</v>
      </c>
      <c r="I471">
        <f t="shared" si="72"/>
        <v>1</v>
      </c>
      <c r="J471">
        <v>74</v>
      </c>
      <c r="K471">
        <v>77.099999999999994</v>
      </c>
      <c r="L471">
        <v>71.7</v>
      </c>
      <c r="M471">
        <v>74</v>
      </c>
      <c r="N471">
        <v>56.1</v>
      </c>
      <c r="O471">
        <v>54.1</v>
      </c>
      <c r="S471">
        <f t="shared" si="73"/>
        <v>1</v>
      </c>
      <c r="T471">
        <f t="shared" si="74"/>
        <v>0</v>
      </c>
      <c r="U471">
        <f t="shared" si="75"/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16.100000000000001</v>
      </c>
      <c r="AG471">
        <f t="shared" si="76"/>
        <v>0</v>
      </c>
      <c r="AH471">
        <f t="shared" si="77"/>
        <v>0</v>
      </c>
      <c r="AI471">
        <f t="shared" si="78"/>
        <v>0</v>
      </c>
      <c r="AJ471">
        <v>311.5</v>
      </c>
      <c r="AK471">
        <v>1016.1</v>
      </c>
      <c r="AL471">
        <v>36.1</v>
      </c>
      <c r="AM471">
        <v>6.8</v>
      </c>
      <c r="AN471">
        <v>0</v>
      </c>
      <c r="AO471">
        <v>0</v>
      </c>
      <c r="AP471">
        <v>0</v>
      </c>
      <c r="AQ471">
        <v>0</v>
      </c>
      <c r="AR471" t="s">
        <v>1584</v>
      </c>
      <c r="AS471" t="s">
        <v>1585</v>
      </c>
      <c r="AT471">
        <v>0.8</v>
      </c>
      <c r="AU471" t="s">
        <v>43</v>
      </c>
      <c r="AV471" t="s">
        <v>44</v>
      </c>
      <c r="AW471" t="s">
        <v>45</v>
      </c>
      <c r="AX471" s="1">
        <v>8.3333333333333329E-2</v>
      </c>
      <c r="AY471" t="s">
        <v>1586</v>
      </c>
      <c r="AZ471">
        <v>319.99999999534339</v>
      </c>
      <c r="BA471">
        <v>0</v>
      </c>
      <c r="BB471">
        <v>0</v>
      </c>
      <c r="BC471">
        <v>2.5</v>
      </c>
      <c r="BD471">
        <v>0</v>
      </c>
      <c r="BE471">
        <f t="shared" si="79"/>
        <v>0</v>
      </c>
    </row>
    <row r="472" spans="1:57" x14ac:dyDescent="0.25">
      <c r="A472" t="s">
        <v>39</v>
      </c>
      <c r="B472" t="s">
        <v>1587</v>
      </c>
      <c r="C472">
        <v>64.5</v>
      </c>
      <c r="D472">
        <v>51.9</v>
      </c>
      <c r="G472">
        <f t="shared" si="70"/>
        <v>1</v>
      </c>
      <c r="H472">
        <f t="shared" si="71"/>
        <v>0</v>
      </c>
      <c r="I472">
        <f t="shared" si="72"/>
        <v>1</v>
      </c>
      <c r="J472">
        <v>57.1</v>
      </c>
      <c r="K472">
        <v>64.5</v>
      </c>
      <c r="L472">
        <v>51.9</v>
      </c>
      <c r="M472">
        <v>57.1</v>
      </c>
      <c r="N472">
        <v>50.3</v>
      </c>
      <c r="O472">
        <v>78.3</v>
      </c>
      <c r="S472">
        <f t="shared" si="73"/>
        <v>1</v>
      </c>
      <c r="T472">
        <f t="shared" si="74"/>
        <v>1</v>
      </c>
      <c r="U472">
        <f t="shared" si="75"/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20.8</v>
      </c>
      <c r="AG472">
        <f t="shared" si="76"/>
        <v>1</v>
      </c>
      <c r="AH472">
        <f t="shared" si="77"/>
        <v>1</v>
      </c>
      <c r="AI472">
        <f t="shared" si="78"/>
        <v>0</v>
      </c>
      <c r="AJ472">
        <v>310.2</v>
      </c>
      <c r="AK472">
        <v>1011.2</v>
      </c>
      <c r="AL472">
        <v>91.1</v>
      </c>
      <c r="AM472">
        <v>6.8</v>
      </c>
      <c r="AN472">
        <v>0</v>
      </c>
      <c r="AO472">
        <v>0</v>
      </c>
      <c r="AP472">
        <v>0</v>
      </c>
      <c r="AQ472">
        <v>0</v>
      </c>
      <c r="AR472" t="s">
        <v>1588</v>
      </c>
      <c r="AS472" t="s">
        <v>1589</v>
      </c>
      <c r="AT472">
        <v>0.37</v>
      </c>
      <c r="AU472" t="s">
        <v>275</v>
      </c>
      <c r="AV472" t="s">
        <v>276</v>
      </c>
      <c r="AW472" t="s">
        <v>277</v>
      </c>
      <c r="AX472" s="1">
        <v>0.66597222222222219</v>
      </c>
      <c r="AY472" t="s">
        <v>1590</v>
      </c>
      <c r="AZ472">
        <v>210.99999999627471</v>
      </c>
      <c r="BA472">
        <v>0</v>
      </c>
      <c r="BB472">
        <v>3</v>
      </c>
      <c r="BC472">
        <v>0</v>
      </c>
      <c r="BD472">
        <v>0</v>
      </c>
      <c r="BE472">
        <f t="shared" si="79"/>
        <v>1</v>
      </c>
    </row>
    <row r="473" spans="1:57" x14ac:dyDescent="0.25">
      <c r="A473" t="s">
        <v>39</v>
      </c>
      <c r="B473" t="s">
        <v>1591</v>
      </c>
      <c r="C473">
        <v>57.3</v>
      </c>
      <c r="D473">
        <v>50.1</v>
      </c>
      <c r="G473">
        <f t="shared" si="70"/>
        <v>0</v>
      </c>
      <c r="H473">
        <f t="shared" si="71"/>
        <v>0</v>
      </c>
      <c r="I473">
        <f t="shared" si="72"/>
        <v>0</v>
      </c>
      <c r="J473">
        <v>54.5</v>
      </c>
      <c r="K473">
        <v>57.3</v>
      </c>
      <c r="L473">
        <v>50.1</v>
      </c>
      <c r="M473">
        <v>54.5</v>
      </c>
      <c r="N473">
        <v>40.5</v>
      </c>
      <c r="O473">
        <v>59.4</v>
      </c>
      <c r="S473">
        <f t="shared" si="73"/>
        <v>1</v>
      </c>
      <c r="T473">
        <f t="shared" si="74"/>
        <v>0</v>
      </c>
      <c r="U473">
        <f t="shared" si="75"/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31.1</v>
      </c>
      <c r="AG473">
        <f t="shared" si="76"/>
        <v>1</v>
      </c>
      <c r="AH473">
        <f t="shared" si="77"/>
        <v>1</v>
      </c>
      <c r="AI473">
        <f t="shared" si="78"/>
        <v>0</v>
      </c>
      <c r="AJ473">
        <v>317</v>
      </c>
      <c r="AK473">
        <v>1024.4000000000001</v>
      </c>
      <c r="AL473">
        <v>60</v>
      </c>
      <c r="AM473">
        <v>6.8</v>
      </c>
      <c r="AN473">
        <v>0</v>
      </c>
      <c r="AO473">
        <v>0</v>
      </c>
      <c r="AP473">
        <v>0</v>
      </c>
      <c r="AQ473">
        <v>0</v>
      </c>
      <c r="AR473" t="s">
        <v>1592</v>
      </c>
      <c r="AS473" t="s">
        <v>1593</v>
      </c>
      <c r="AT473">
        <v>0.47</v>
      </c>
      <c r="AU473" t="s">
        <v>43</v>
      </c>
      <c r="AV473" t="s">
        <v>44</v>
      </c>
      <c r="AW473" t="s">
        <v>419</v>
      </c>
      <c r="AX473" s="1">
        <v>0.83958333333333335</v>
      </c>
      <c r="AY473" t="s">
        <v>1594</v>
      </c>
      <c r="AZ473">
        <v>81.000000002095476</v>
      </c>
      <c r="BA473">
        <v>0</v>
      </c>
      <c r="BB473">
        <v>0</v>
      </c>
      <c r="BC473">
        <v>2</v>
      </c>
      <c r="BD473">
        <v>0</v>
      </c>
      <c r="BE473">
        <f t="shared" si="79"/>
        <v>0</v>
      </c>
    </row>
    <row r="474" spans="1:57" x14ac:dyDescent="0.25">
      <c r="A474" t="s">
        <v>39</v>
      </c>
      <c r="B474" t="s">
        <v>1595</v>
      </c>
      <c r="C474">
        <v>78.900000000000006</v>
      </c>
      <c r="D474">
        <v>68.099999999999994</v>
      </c>
      <c r="G474">
        <f t="shared" si="70"/>
        <v>0</v>
      </c>
      <c r="H474">
        <f t="shared" si="71"/>
        <v>0</v>
      </c>
      <c r="I474">
        <f t="shared" si="72"/>
        <v>0</v>
      </c>
      <c r="J474">
        <v>73</v>
      </c>
      <c r="K474">
        <v>78.900000000000006</v>
      </c>
      <c r="L474">
        <v>68.099999999999994</v>
      </c>
      <c r="M474">
        <v>73</v>
      </c>
      <c r="N474">
        <v>64.900000000000006</v>
      </c>
      <c r="O474">
        <v>76.2</v>
      </c>
      <c r="S474">
        <f t="shared" si="73"/>
        <v>1</v>
      </c>
      <c r="T474">
        <f t="shared" si="74"/>
        <v>1</v>
      </c>
      <c r="U474">
        <f t="shared" si="75"/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9.1999999999999993</v>
      </c>
      <c r="AG474">
        <f t="shared" si="76"/>
        <v>1</v>
      </c>
      <c r="AH474">
        <f t="shared" si="77"/>
        <v>0</v>
      </c>
      <c r="AI474">
        <f t="shared" si="78"/>
        <v>1</v>
      </c>
      <c r="AJ474">
        <v>307.60000000000002</v>
      </c>
      <c r="AK474">
        <v>1010.8</v>
      </c>
      <c r="AL474">
        <v>41.7</v>
      </c>
      <c r="AM474">
        <v>6.8</v>
      </c>
      <c r="AN474">
        <v>0</v>
      </c>
      <c r="AO474">
        <v>0</v>
      </c>
      <c r="AP474">
        <v>0</v>
      </c>
      <c r="AQ474">
        <v>0</v>
      </c>
      <c r="AR474" t="s">
        <v>1596</v>
      </c>
      <c r="AS474" t="s">
        <v>1597</v>
      </c>
      <c r="AT474">
        <v>0.28000000000000003</v>
      </c>
      <c r="AU474" t="s">
        <v>43</v>
      </c>
      <c r="AV474" t="s">
        <v>44</v>
      </c>
      <c r="AW474" t="s">
        <v>45</v>
      </c>
      <c r="AX474" s="1">
        <v>0.32916666666666672</v>
      </c>
      <c r="AY474" t="s">
        <v>1598</v>
      </c>
      <c r="AZ474">
        <v>80.999999991618097</v>
      </c>
      <c r="BA474">
        <v>0</v>
      </c>
      <c r="BB474">
        <v>0</v>
      </c>
      <c r="BC474">
        <v>0.1</v>
      </c>
      <c r="BD474">
        <v>0</v>
      </c>
      <c r="BE474">
        <f t="shared" si="79"/>
        <v>0</v>
      </c>
    </row>
    <row r="475" spans="1:57" x14ac:dyDescent="0.25">
      <c r="A475" t="s">
        <v>39</v>
      </c>
      <c r="B475" t="s">
        <v>1599</v>
      </c>
      <c r="C475">
        <v>82.5</v>
      </c>
      <c r="D475">
        <v>69.900000000000006</v>
      </c>
      <c r="G475">
        <f t="shared" si="70"/>
        <v>0</v>
      </c>
      <c r="H475">
        <f t="shared" si="71"/>
        <v>0</v>
      </c>
      <c r="I475">
        <f t="shared" si="72"/>
        <v>0</v>
      </c>
      <c r="J475">
        <v>74.5</v>
      </c>
      <c r="K475">
        <v>82.6</v>
      </c>
      <c r="L475">
        <v>69.900000000000006</v>
      </c>
      <c r="M475">
        <v>74.5</v>
      </c>
      <c r="N475">
        <v>62</v>
      </c>
      <c r="O475">
        <v>66.900000000000006</v>
      </c>
      <c r="S475">
        <f t="shared" si="73"/>
        <v>1</v>
      </c>
      <c r="T475">
        <f t="shared" si="74"/>
        <v>1</v>
      </c>
      <c r="U475">
        <f t="shared" si="75"/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10.3</v>
      </c>
      <c r="AG475">
        <f t="shared" si="76"/>
        <v>1</v>
      </c>
      <c r="AH475">
        <f t="shared" si="77"/>
        <v>0</v>
      </c>
      <c r="AI475">
        <f t="shared" si="78"/>
        <v>1</v>
      </c>
      <c r="AJ475">
        <v>230.1</v>
      </c>
      <c r="AK475">
        <v>1012.7</v>
      </c>
      <c r="AL475">
        <v>0</v>
      </c>
      <c r="AM475">
        <v>6.2</v>
      </c>
      <c r="AN475">
        <v>0</v>
      </c>
      <c r="AO475">
        <v>0</v>
      </c>
      <c r="AP475">
        <v>0</v>
      </c>
      <c r="AQ475">
        <v>0</v>
      </c>
      <c r="AR475" t="s">
        <v>1600</v>
      </c>
      <c r="AS475" t="s">
        <v>1601</v>
      </c>
      <c r="AT475">
        <v>0.5</v>
      </c>
      <c r="AU475" t="s">
        <v>74</v>
      </c>
      <c r="AV475" t="s">
        <v>44</v>
      </c>
      <c r="AW475" t="s">
        <v>75</v>
      </c>
      <c r="AX475" s="1">
        <v>2.7083333333333331E-2</v>
      </c>
      <c r="AY475" t="s">
        <v>1602</v>
      </c>
      <c r="AZ475">
        <v>74.000000000232831</v>
      </c>
      <c r="BA475">
        <v>0</v>
      </c>
      <c r="BB475">
        <v>0</v>
      </c>
      <c r="BC475">
        <v>0.1</v>
      </c>
      <c r="BD475">
        <v>0</v>
      </c>
      <c r="BE475">
        <f t="shared" si="79"/>
        <v>0</v>
      </c>
    </row>
    <row r="476" spans="1:57" x14ac:dyDescent="0.25">
      <c r="A476" t="s">
        <v>39</v>
      </c>
      <c r="B476" t="s">
        <v>1603</v>
      </c>
      <c r="C476">
        <v>68.099999999999994</v>
      </c>
      <c r="D476">
        <v>51.9</v>
      </c>
      <c r="G476">
        <f t="shared" si="70"/>
        <v>1</v>
      </c>
      <c r="H476">
        <f t="shared" si="71"/>
        <v>1</v>
      </c>
      <c r="I476">
        <f t="shared" si="72"/>
        <v>0</v>
      </c>
      <c r="J476">
        <v>60.2</v>
      </c>
      <c r="K476">
        <v>68.099999999999994</v>
      </c>
      <c r="L476">
        <v>51.9</v>
      </c>
      <c r="M476">
        <v>60.2</v>
      </c>
      <c r="N476">
        <v>47.3</v>
      </c>
      <c r="O476">
        <v>64.400000000000006</v>
      </c>
      <c r="S476">
        <f t="shared" si="73"/>
        <v>1</v>
      </c>
      <c r="T476">
        <f t="shared" si="74"/>
        <v>0</v>
      </c>
      <c r="U476">
        <f t="shared" si="75"/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13.9</v>
      </c>
      <c r="AG476">
        <f t="shared" si="76"/>
        <v>1</v>
      </c>
      <c r="AH476">
        <f t="shared" si="77"/>
        <v>0</v>
      </c>
      <c r="AI476">
        <f t="shared" si="78"/>
        <v>1</v>
      </c>
      <c r="AJ476">
        <v>217.7</v>
      </c>
      <c r="AK476">
        <v>1014</v>
      </c>
      <c r="AL476">
        <v>70</v>
      </c>
      <c r="AM476">
        <v>6.2</v>
      </c>
      <c r="AN476">
        <v>0</v>
      </c>
      <c r="AO476">
        <v>0</v>
      </c>
      <c r="AP476">
        <v>0</v>
      </c>
      <c r="AQ476">
        <v>0</v>
      </c>
      <c r="AR476" t="s">
        <v>1604</v>
      </c>
      <c r="AS476" t="s">
        <v>1605</v>
      </c>
      <c r="AT476">
        <v>0.28999999999999998</v>
      </c>
      <c r="AU476" t="s">
        <v>43</v>
      </c>
      <c r="AV476" t="s">
        <v>44</v>
      </c>
      <c r="AW476" t="s">
        <v>45</v>
      </c>
      <c r="AX476" s="1">
        <v>0.56180555555555556</v>
      </c>
      <c r="AY476" t="s">
        <v>1606</v>
      </c>
      <c r="AZ476">
        <v>150.9999999997672</v>
      </c>
      <c r="BA476">
        <v>0</v>
      </c>
      <c r="BB476">
        <v>0</v>
      </c>
      <c r="BC476">
        <v>2</v>
      </c>
      <c r="BD476">
        <v>0</v>
      </c>
      <c r="BE476">
        <f t="shared" si="79"/>
        <v>1</v>
      </c>
    </row>
    <row r="477" spans="1:57" x14ac:dyDescent="0.25">
      <c r="A477" t="s">
        <v>39</v>
      </c>
      <c r="B477" t="s">
        <v>1540</v>
      </c>
      <c r="C477">
        <v>91.5</v>
      </c>
      <c r="D477">
        <v>64.5</v>
      </c>
      <c r="G477">
        <f t="shared" si="70"/>
        <v>1</v>
      </c>
      <c r="H477">
        <f t="shared" si="71"/>
        <v>1</v>
      </c>
      <c r="I477">
        <f t="shared" si="72"/>
        <v>0</v>
      </c>
      <c r="J477">
        <v>76.8</v>
      </c>
      <c r="K477">
        <v>88</v>
      </c>
      <c r="L477">
        <v>64.5</v>
      </c>
      <c r="M477">
        <v>76</v>
      </c>
      <c r="N477">
        <v>52.6</v>
      </c>
      <c r="O477">
        <v>46.9</v>
      </c>
      <c r="S477">
        <f t="shared" si="73"/>
        <v>1</v>
      </c>
      <c r="T477">
        <f t="shared" si="74"/>
        <v>0</v>
      </c>
      <c r="U477">
        <f t="shared" si="75"/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20.8</v>
      </c>
      <c r="AG477">
        <f t="shared" si="76"/>
        <v>1</v>
      </c>
      <c r="AH477">
        <f t="shared" si="77"/>
        <v>1</v>
      </c>
      <c r="AI477">
        <f t="shared" si="78"/>
        <v>0</v>
      </c>
      <c r="AJ477">
        <v>163.5</v>
      </c>
      <c r="AK477">
        <v>1017.2</v>
      </c>
      <c r="AL477">
        <v>70</v>
      </c>
      <c r="AM477">
        <v>6.5</v>
      </c>
      <c r="AN477">
        <v>0</v>
      </c>
      <c r="AO477">
        <v>0</v>
      </c>
      <c r="AP477">
        <v>0</v>
      </c>
      <c r="AQ477">
        <v>0</v>
      </c>
      <c r="AR477" t="s">
        <v>1541</v>
      </c>
      <c r="AS477" t="s">
        <v>1542</v>
      </c>
      <c r="AT477">
        <v>0.08</v>
      </c>
      <c r="AU477" t="s">
        <v>43</v>
      </c>
      <c r="AV477" t="s">
        <v>44</v>
      </c>
      <c r="AW477" t="s">
        <v>45</v>
      </c>
      <c r="AX477" s="1">
        <v>0.54097222222222219</v>
      </c>
      <c r="AY477" t="s">
        <v>1607</v>
      </c>
      <c r="AZ477">
        <v>132.99999999348071</v>
      </c>
      <c r="BA477">
        <v>0</v>
      </c>
      <c r="BB477">
        <v>0</v>
      </c>
      <c r="BC477">
        <v>4</v>
      </c>
      <c r="BD477">
        <v>0</v>
      </c>
      <c r="BE477">
        <f t="shared" si="79"/>
        <v>1</v>
      </c>
    </row>
    <row r="478" spans="1:57" x14ac:dyDescent="0.25">
      <c r="A478" t="s">
        <v>39</v>
      </c>
      <c r="B478" t="s">
        <v>1548</v>
      </c>
      <c r="C478">
        <v>73.5</v>
      </c>
      <c r="D478">
        <v>62.7</v>
      </c>
      <c r="G478">
        <f t="shared" si="70"/>
        <v>1</v>
      </c>
      <c r="H478">
        <f t="shared" si="71"/>
        <v>1</v>
      </c>
      <c r="I478">
        <f t="shared" si="72"/>
        <v>0</v>
      </c>
      <c r="J478">
        <v>69.7</v>
      </c>
      <c r="K478">
        <v>73.5</v>
      </c>
      <c r="L478">
        <v>62.7</v>
      </c>
      <c r="M478">
        <v>69.7</v>
      </c>
      <c r="N478">
        <v>47.4</v>
      </c>
      <c r="O478">
        <v>45.8</v>
      </c>
      <c r="S478">
        <f t="shared" si="73"/>
        <v>1</v>
      </c>
      <c r="T478">
        <f t="shared" si="74"/>
        <v>0</v>
      </c>
      <c r="U478">
        <f t="shared" si="75"/>
        <v>1</v>
      </c>
      <c r="V478">
        <v>3.1E-2</v>
      </c>
      <c r="W478">
        <v>100</v>
      </c>
      <c r="X478">
        <v>4.17</v>
      </c>
      <c r="Y478" t="s">
        <v>103</v>
      </c>
      <c r="Z478">
        <v>0</v>
      </c>
      <c r="AA478">
        <v>0</v>
      </c>
      <c r="AB478">
        <v>0</v>
      </c>
      <c r="AC478">
        <v>38</v>
      </c>
      <c r="AG478">
        <f t="shared" si="76"/>
        <v>1</v>
      </c>
      <c r="AH478">
        <f t="shared" si="77"/>
        <v>1</v>
      </c>
      <c r="AI478">
        <f t="shared" si="78"/>
        <v>0</v>
      </c>
      <c r="AJ478">
        <v>167.4</v>
      </c>
      <c r="AK478">
        <v>1007.4</v>
      </c>
      <c r="AL478">
        <v>99.1</v>
      </c>
      <c r="AM478">
        <v>5.9</v>
      </c>
      <c r="AN478">
        <v>0</v>
      </c>
      <c r="AO478">
        <v>0</v>
      </c>
      <c r="AP478">
        <v>0</v>
      </c>
      <c r="AQ478">
        <v>0</v>
      </c>
      <c r="AR478" t="s">
        <v>1549</v>
      </c>
      <c r="AS478" t="s">
        <v>1550</v>
      </c>
      <c r="AT478">
        <v>0.23</v>
      </c>
      <c r="AU478" t="s">
        <v>1357</v>
      </c>
      <c r="AV478" t="s">
        <v>1551</v>
      </c>
      <c r="AW478" t="s">
        <v>103</v>
      </c>
      <c r="AX478" s="1">
        <v>0.62430555555555556</v>
      </c>
      <c r="AY478" t="s">
        <v>1608</v>
      </c>
      <c r="AZ478">
        <v>105.9999999997672</v>
      </c>
      <c r="BA478">
        <v>0</v>
      </c>
      <c r="BB478">
        <v>0</v>
      </c>
      <c r="BC478">
        <v>2</v>
      </c>
      <c r="BD478">
        <v>0</v>
      </c>
      <c r="BE478">
        <f t="shared" si="79"/>
        <v>1</v>
      </c>
    </row>
    <row r="479" spans="1:57" x14ac:dyDescent="0.25">
      <c r="A479" t="s">
        <v>39</v>
      </c>
      <c r="B479" t="s">
        <v>1609</v>
      </c>
      <c r="C479">
        <v>82.5</v>
      </c>
      <c r="D479">
        <v>69.900000000000006</v>
      </c>
      <c r="G479">
        <f t="shared" si="70"/>
        <v>0</v>
      </c>
      <c r="H479">
        <f t="shared" si="71"/>
        <v>0</v>
      </c>
      <c r="I479">
        <f t="shared" si="72"/>
        <v>0</v>
      </c>
      <c r="J479">
        <v>78.099999999999994</v>
      </c>
      <c r="K479">
        <v>83.5</v>
      </c>
      <c r="L479">
        <v>69.900000000000006</v>
      </c>
      <c r="M479">
        <v>78.2</v>
      </c>
      <c r="N479">
        <v>58.9</v>
      </c>
      <c r="O479">
        <v>52.6</v>
      </c>
      <c r="S479">
        <f t="shared" si="73"/>
        <v>1</v>
      </c>
      <c r="T479">
        <f t="shared" si="74"/>
        <v>0</v>
      </c>
      <c r="U479">
        <f t="shared" si="75"/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18.3</v>
      </c>
      <c r="AG479">
        <f t="shared" si="76"/>
        <v>0</v>
      </c>
      <c r="AH479">
        <f t="shared" si="77"/>
        <v>0</v>
      </c>
      <c r="AI479">
        <f t="shared" si="78"/>
        <v>0</v>
      </c>
      <c r="AJ479">
        <v>302</v>
      </c>
      <c r="AK479">
        <v>1014.4</v>
      </c>
      <c r="AL479">
        <v>30</v>
      </c>
      <c r="AM479">
        <v>6.4</v>
      </c>
      <c r="AN479">
        <v>0</v>
      </c>
      <c r="AO479">
        <v>0</v>
      </c>
      <c r="AP479">
        <v>0</v>
      </c>
      <c r="AQ479">
        <v>0</v>
      </c>
      <c r="AR479" t="s">
        <v>1610</v>
      </c>
      <c r="AS479" t="s">
        <v>1611</v>
      </c>
      <c r="AT479">
        <v>0.12</v>
      </c>
      <c r="AU479" t="s">
        <v>43</v>
      </c>
      <c r="AV479" t="s">
        <v>44</v>
      </c>
      <c r="AW479" t="s">
        <v>45</v>
      </c>
      <c r="AX479" s="1">
        <v>6.0416666666666667E-2</v>
      </c>
      <c r="AY479" t="s">
        <v>1612</v>
      </c>
      <c r="AZ479">
        <v>386.00000000093132</v>
      </c>
      <c r="BA479">
        <v>1</v>
      </c>
      <c r="BB479">
        <v>0</v>
      </c>
      <c r="BC479">
        <v>4.7</v>
      </c>
      <c r="BD479">
        <v>0</v>
      </c>
      <c r="BE479">
        <f t="shared" si="79"/>
        <v>0</v>
      </c>
    </row>
    <row r="480" spans="1:57" x14ac:dyDescent="0.25">
      <c r="A480" t="s">
        <v>39</v>
      </c>
      <c r="B480" t="s">
        <v>1444</v>
      </c>
      <c r="C480">
        <v>59.1</v>
      </c>
      <c r="D480">
        <v>51.9</v>
      </c>
      <c r="G480">
        <f t="shared" si="70"/>
        <v>1</v>
      </c>
      <c r="H480">
        <f t="shared" si="71"/>
        <v>0</v>
      </c>
      <c r="I480">
        <f t="shared" si="72"/>
        <v>1</v>
      </c>
      <c r="J480">
        <v>55.6</v>
      </c>
      <c r="K480">
        <v>59.1</v>
      </c>
      <c r="L480">
        <v>51.9</v>
      </c>
      <c r="M480">
        <v>55.6</v>
      </c>
      <c r="N480">
        <v>43.3</v>
      </c>
      <c r="O480">
        <v>63.5</v>
      </c>
      <c r="S480">
        <f t="shared" si="73"/>
        <v>0</v>
      </c>
      <c r="T480">
        <f t="shared" si="74"/>
        <v>0</v>
      </c>
      <c r="U480">
        <f t="shared" si="75"/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16.100000000000001</v>
      </c>
      <c r="AG480">
        <f t="shared" si="76"/>
        <v>0</v>
      </c>
      <c r="AH480">
        <f t="shared" si="77"/>
        <v>0</v>
      </c>
      <c r="AI480">
        <f t="shared" si="78"/>
        <v>0</v>
      </c>
      <c r="AJ480">
        <v>310</v>
      </c>
      <c r="AK480">
        <v>1030.0999999999999</v>
      </c>
      <c r="AL480">
        <v>66.7</v>
      </c>
      <c r="AM480">
        <v>6.8</v>
      </c>
      <c r="AN480">
        <v>0</v>
      </c>
      <c r="AO480">
        <v>0</v>
      </c>
      <c r="AP480">
        <v>0</v>
      </c>
      <c r="AQ480">
        <v>0</v>
      </c>
      <c r="AR480" t="s">
        <v>1445</v>
      </c>
      <c r="AS480" t="s">
        <v>1446</v>
      </c>
      <c r="AT480">
        <v>0.8</v>
      </c>
      <c r="AU480" t="s">
        <v>43</v>
      </c>
      <c r="AV480" t="s">
        <v>44</v>
      </c>
      <c r="AW480" t="s">
        <v>45</v>
      </c>
      <c r="AX480" s="1">
        <v>0.7006944444444444</v>
      </c>
      <c r="AY480" t="s">
        <v>1613</v>
      </c>
      <c r="AZ480">
        <v>40.999999997438863</v>
      </c>
      <c r="BA480">
        <v>0</v>
      </c>
      <c r="BB480">
        <v>0</v>
      </c>
      <c r="BC480">
        <v>0.1</v>
      </c>
      <c r="BD480">
        <v>0</v>
      </c>
      <c r="BE480">
        <f t="shared" si="79"/>
        <v>0</v>
      </c>
    </row>
    <row r="481" spans="1:57" x14ac:dyDescent="0.25">
      <c r="A481" t="s">
        <v>39</v>
      </c>
      <c r="B481" t="s">
        <v>1540</v>
      </c>
      <c r="C481">
        <v>91.5</v>
      </c>
      <c r="D481">
        <v>64.5</v>
      </c>
      <c r="G481">
        <f t="shared" si="70"/>
        <v>1</v>
      </c>
      <c r="H481">
        <f t="shared" si="71"/>
        <v>1</v>
      </c>
      <c r="I481">
        <f t="shared" si="72"/>
        <v>0</v>
      </c>
      <c r="J481">
        <v>76.8</v>
      </c>
      <c r="K481">
        <v>88</v>
      </c>
      <c r="L481">
        <v>64.5</v>
      </c>
      <c r="M481">
        <v>76</v>
      </c>
      <c r="N481">
        <v>52.6</v>
      </c>
      <c r="O481">
        <v>46.9</v>
      </c>
      <c r="S481">
        <f t="shared" si="73"/>
        <v>1</v>
      </c>
      <c r="T481">
        <f t="shared" si="74"/>
        <v>0</v>
      </c>
      <c r="U481">
        <f t="shared" si="75"/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20.8</v>
      </c>
      <c r="AG481">
        <f t="shared" si="76"/>
        <v>1</v>
      </c>
      <c r="AH481">
        <f t="shared" si="77"/>
        <v>1</v>
      </c>
      <c r="AI481">
        <f t="shared" si="78"/>
        <v>0</v>
      </c>
      <c r="AJ481">
        <v>163.5</v>
      </c>
      <c r="AK481">
        <v>1017.2</v>
      </c>
      <c r="AL481">
        <v>70</v>
      </c>
      <c r="AM481">
        <v>6.5</v>
      </c>
      <c r="AN481">
        <v>0</v>
      </c>
      <c r="AO481">
        <v>0</v>
      </c>
      <c r="AP481">
        <v>0</v>
      </c>
      <c r="AQ481">
        <v>0</v>
      </c>
      <c r="AR481" t="s">
        <v>1541</v>
      </c>
      <c r="AS481" t="s">
        <v>1542</v>
      </c>
      <c r="AT481">
        <v>0.08</v>
      </c>
      <c r="AU481" t="s">
        <v>43</v>
      </c>
      <c r="AV481" t="s">
        <v>44</v>
      </c>
      <c r="AW481" t="s">
        <v>45</v>
      </c>
      <c r="AX481" s="1">
        <v>0.55486111111111114</v>
      </c>
      <c r="AY481" t="s">
        <v>1614</v>
      </c>
      <c r="AZ481">
        <v>92.999999999301508</v>
      </c>
      <c r="BA481">
        <v>0</v>
      </c>
      <c r="BB481">
        <v>0</v>
      </c>
      <c r="BC481">
        <v>1.5</v>
      </c>
      <c r="BD481">
        <v>0</v>
      </c>
      <c r="BE481">
        <f t="shared" si="79"/>
        <v>1</v>
      </c>
    </row>
    <row r="482" spans="1:57" x14ac:dyDescent="0.25">
      <c r="A482" t="s">
        <v>39</v>
      </c>
      <c r="B482" t="s">
        <v>1615</v>
      </c>
      <c r="C482">
        <v>71.7</v>
      </c>
      <c r="D482">
        <v>60.9</v>
      </c>
      <c r="G482">
        <f t="shared" si="70"/>
        <v>1</v>
      </c>
      <c r="H482">
        <f t="shared" si="71"/>
        <v>1</v>
      </c>
      <c r="I482">
        <f t="shared" si="72"/>
        <v>0</v>
      </c>
      <c r="J482">
        <v>67.8</v>
      </c>
      <c r="K482">
        <v>71.7</v>
      </c>
      <c r="L482">
        <v>60.9</v>
      </c>
      <c r="M482">
        <v>67.8</v>
      </c>
      <c r="N482">
        <v>60</v>
      </c>
      <c r="O482">
        <v>76.8</v>
      </c>
      <c r="S482">
        <f t="shared" si="73"/>
        <v>1</v>
      </c>
      <c r="T482">
        <f t="shared" si="74"/>
        <v>1</v>
      </c>
      <c r="U482">
        <f t="shared" si="75"/>
        <v>0</v>
      </c>
      <c r="V482">
        <v>0.39</v>
      </c>
      <c r="W482">
        <v>100</v>
      </c>
      <c r="X482">
        <v>4.17</v>
      </c>
      <c r="Y482" t="s">
        <v>103</v>
      </c>
      <c r="Z482">
        <v>0</v>
      </c>
      <c r="AA482">
        <v>0</v>
      </c>
      <c r="AB482">
        <v>0</v>
      </c>
      <c r="AC482">
        <v>20.8</v>
      </c>
      <c r="AG482">
        <f t="shared" si="76"/>
        <v>1</v>
      </c>
      <c r="AH482">
        <f t="shared" si="77"/>
        <v>1</v>
      </c>
      <c r="AI482">
        <f t="shared" si="78"/>
        <v>0</v>
      </c>
      <c r="AJ482">
        <v>34.200000000000003</v>
      </c>
      <c r="AK482">
        <v>1015.4</v>
      </c>
      <c r="AL482">
        <v>75.7</v>
      </c>
      <c r="AM482">
        <v>6.1</v>
      </c>
      <c r="AN482">
        <v>0</v>
      </c>
      <c r="AO482">
        <v>0</v>
      </c>
      <c r="AP482">
        <v>0</v>
      </c>
      <c r="AQ482">
        <v>0</v>
      </c>
      <c r="AR482" t="s">
        <v>1616</v>
      </c>
      <c r="AS482" t="s">
        <v>1617</v>
      </c>
      <c r="AT482">
        <v>0.75</v>
      </c>
      <c r="AU482" t="s">
        <v>106</v>
      </c>
      <c r="AV482" t="s">
        <v>438</v>
      </c>
      <c r="AW482" t="s">
        <v>103</v>
      </c>
      <c r="AX482" s="1">
        <v>0.6875</v>
      </c>
      <c r="AY482" t="s">
        <v>1618</v>
      </c>
      <c r="AZ482">
        <v>59.99999999650754</v>
      </c>
      <c r="BA482">
        <v>0</v>
      </c>
      <c r="BB482">
        <v>0</v>
      </c>
      <c r="BC482">
        <v>2</v>
      </c>
      <c r="BD482">
        <v>0</v>
      </c>
      <c r="BE482">
        <f t="shared" si="79"/>
        <v>1</v>
      </c>
    </row>
    <row r="483" spans="1:57" x14ac:dyDescent="0.25">
      <c r="A483" t="s">
        <v>39</v>
      </c>
      <c r="B483" t="s">
        <v>1619</v>
      </c>
      <c r="C483">
        <v>78.900000000000006</v>
      </c>
      <c r="D483">
        <v>62.7</v>
      </c>
      <c r="G483">
        <f t="shared" si="70"/>
        <v>1</v>
      </c>
      <c r="H483">
        <f t="shared" si="71"/>
        <v>1</v>
      </c>
      <c r="I483">
        <f t="shared" si="72"/>
        <v>0</v>
      </c>
      <c r="J483">
        <v>69.2</v>
      </c>
      <c r="K483">
        <v>78.900000000000006</v>
      </c>
      <c r="L483">
        <v>62.7</v>
      </c>
      <c r="M483">
        <v>69.2</v>
      </c>
      <c r="N483">
        <v>43.6</v>
      </c>
      <c r="O483">
        <v>41.6</v>
      </c>
      <c r="S483">
        <f t="shared" si="73"/>
        <v>1</v>
      </c>
      <c r="T483">
        <f t="shared" si="74"/>
        <v>0</v>
      </c>
      <c r="U483">
        <f t="shared" si="75"/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18.3</v>
      </c>
      <c r="AG483">
        <f t="shared" si="76"/>
        <v>0</v>
      </c>
      <c r="AH483">
        <f t="shared" si="77"/>
        <v>0</v>
      </c>
      <c r="AI483">
        <f t="shared" si="78"/>
        <v>0</v>
      </c>
      <c r="AJ483">
        <v>159.30000000000001</v>
      </c>
      <c r="AK483">
        <v>1011.4</v>
      </c>
      <c r="AL483">
        <v>0</v>
      </c>
      <c r="AM483">
        <v>6.2</v>
      </c>
      <c r="AN483">
        <v>0</v>
      </c>
      <c r="AO483">
        <v>0</v>
      </c>
      <c r="AP483">
        <v>0</v>
      </c>
      <c r="AQ483">
        <v>0</v>
      </c>
      <c r="AR483" t="s">
        <v>1620</v>
      </c>
      <c r="AS483" t="s">
        <v>1621</v>
      </c>
      <c r="AT483">
        <v>0.24</v>
      </c>
      <c r="AU483" t="s">
        <v>74</v>
      </c>
      <c r="AV483" t="s">
        <v>44</v>
      </c>
      <c r="AW483" t="s">
        <v>75</v>
      </c>
      <c r="AX483" s="1">
        <v>0.40277777777777779</v>
      </c>
      <c r="AY483" t="s">
        <v>1622</v>
      </c>
      <c r="AZ483">
        <v>49.999999995343387</v>
      </c>
      <c r="BA483">
        <v>0</v>
      </c>
      <c r="BB483">
        <v>0</v>
      </c>
      <c r="BC483">
        <v>3</v>
      </c>
      <c r="BD483">
        <v>0</v>
      </c>
      <c r="BE483">
        <f t="shared" si="79"/>
        <v>0</v>
      </c>
    </row>
    <row r="484" spans="1:57" x14ac:dyDescent="0.25">
      <c r="A484" t="s">
        <v>39</v>
      </c>
      <c r="B484" t="s">
        <v>1401</v>
      </c>
      <c r="C484">
        <v>66.3</v>
      </c>
      <c r="D484">
        <v>55.5</v>
      </c>
      <c r="G484">
        <f t="shared" si="70"/>
        <v>0</v>
      </c>
      <c r="H484">
        <f t="shared" si="71"/>
        <v>0</v>
      </c>
      <c r="I484">
        <f t="shared" si="72"/>
        <v>0</v>
      </c>
      <c r="J484">
        <v>61.8</v>
      </c>
      <c r="K484">
        <v>66.3</v>
      </c>
      <c r="L484">
        <v>55.5</v>
      </c>
      <c r="M484">
        <v>61.8</v>
      </c>
      <c r="N484">
        <v>44.4</v>
      </c>
      <c r="O484">
        <v>53.8</v>
      </c>
      <c r="S484">
        <f t="shared" si="73"/>
        <v>1</v>
      </c>
      <c r="T484">
        <f t="shared" si="74"/>
        <v>0</v>
      </c>
      <c r="U484">
        <f t="shared" si="75"/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20.8</v>
      </c>
      <c r="AG484">
        <f t="shared" si="76"/>
        <v>1</v>
      </c>
      <c r="AH484">
        <f t="shared" si="77"/>
        <v>1</v>
      </c>
      <c r="AI484">
        <f t="shared" si="78"/>
        <v>0</v>
      </c>
      <c r="AJ484">
        <v>295.60000000000002</v>
      </c>
      <c r="AK484">
        <v>1019.1</v>
      </c>
      <c r="AL484">
        <v>42</v>
      </c>
      <c r="AM484">
        <v>6.7</v>
      </c>
      <c r="AN484">
        <v>0</v>
      </c>
      <c r="AO484">
        <v>0</v>
      </c>
      <c r="AP484">
        <v>0</v>
      </c>
      <c r="AQ484">
        <v>0</v>
      </c>
      <c r="AR484" t="s">
        <v>1402</v>
      </c>
      <c r="AS484" t="s">
        <v>1403</v>
      </c>
      <c r="AT484">
        <v>0.85</v>
      </c>
      <c r="AU484" t="s">
        <v>43</v>
      </c>
      <c r="AV484" t="s">
        <v>44</v>
      </c>
      <c r="AW484" t="s">
        <v>45</v>
      </c>
      <c r="AX484" s="1">
        <v>0.55138888888888893</v>
      </c>
      <c r="AY484" t="s">
        <v>1623</v>
      </c>
      <c r="AZ484">
        <v>285.99999999976723</v>
      </c>
      <c r="BA484">
        <v>0</v>
      </c>
      <c r="BB484">
        <v>0</v>
      </c>
      <c r="BC484">
        <v>1.5</v>
      </c>
      <c r="BD484">
        <v>0</v>
      </c>
      <c r="BE484">
        <f t="shared" si="79"/>
        <v>0</v>
      </c>
    </row>
    <row r="485" spans="1:57" x14ac:dyDescent="0.25">
      <c r="A485" t="s">
        <v>39</v>
      </c>
      <c r="B485" t="s">
        <v>1411</v>
      </c>
      <c r="C485">
        <v>60.9</v>
      </c>
      <c r="D485">
        <v>57.3</v>
      </c>
      <c r="G485">
        <f t="shared" si="70"/>
        <v>0</v>
      </c>
      <c r="H485">
        <f t="shared" si="71"/>
        <v>0</v>
      </c>
      <c r="I485">
        <f t="shared" si="72"/>
        <v>0</v>
      </c>
      <c r="J485">
        <v>58.3</v>
      </c>
      <c r="K485">
        <v>60.9</v>
      </c>
      <c r="L485">
        <v>57.3</v>
      </c>
      <c r="M485">
        <v>58.3</v>
      </c>
      <c r="N485">
        <v>42.9</v>
      </c>
      <c r="O485">
        <v>56.9</v>
      </c>
      <c r="S485">
        <f t="shared" si="73"/>
        <v>1</v>
      </c>
      <c r="T485">
        <f t="shared" si="74"/>
        <v>0</v>
      </c>
      <c r="U485">
        <f t="shared" si="75"/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21.9</v>
      </c>
      <c r="AG485">
        <f t="shared" si="76"/>
        <v>1</v>
      </c>
      <c r="AH485">
        <f t="shared" si="77"/>
        <v>1</v>
      </c>
      <c r="AI485">
        <f t="shared" si="78"/>
        <v>0</v>
      </c>
      <c r="AJ485">
        <v>310.5</v>
      </c>
      <c r="AK485">
        <v>1024.5</v>
      </c>
      <c r="AL485">
        <v>40</v>
      </c>
      <c r="AM485">
        <v>6.8</v>
      </c>
      <c r="AN485">
        <v>0</v>
      </c>
      <c r="AO485">
        <v>0</v>
      </c>
      <c r="AP485">
        <v>0</v>
      </c>
      <c r="AQ485">
        <v>0</v>
      </c>
      <c r="AR485" t="s">
        <v>1412</v>
      </c>
      <c r="AS485" t="s">
        <v>1413</v>
      </c>
      <c r="AT485">
        <v>0.87</v>
      </c>
      <c r="AU485" t="s">
        <v>43</v>
      </c>
      <c r="AV485" t="s">
        <v>44</v>
      </c>
      <c r="AW485" t="s">
        <v>45</v>
      </c>
      <c r="AX485" s="1">
        <v>0.43680555555555561</v>
      </c>
      <c r="AY485" t="s">
        <v>1624</v>
      </c>
      <c r="AZ485">
        <v>105.9999999997672</v>
      </c>
      <c r="BA485">
        <v>0</v>
      </c>
      <c r="BB485">
        <v>0</v>
      </c>
      <c r="BC485">
        <v>0.1</v>
      </c>
      <c r="BD485">
        <v>0</v>
      </c>
      <c r="BE485">
        <f t="shared" si="79"/>
        <v>0</v>
      </c>
    </row>
    <row r="486" spans="1:57" x14ac:dyDescent="0.25">
      <c r="A486" t="s">
        <v>39</v>
      </c>
      <c r="B486" t="s">
        <v>1625</v>
      </c>
      <c r="C486">
        <v>82.5</v>
      </c>
      <c r="D486">
        <v>68.099999999999994</v>
      </c>
      <c r="G486">
        <f t="shared" si="70"/>
        <v>0</v>
      </c>
      <c r="H486">
        <f t="shared" si="71"/>
        <v>0</v>
      </c>
      <c r="I486">
        <f t="shared" si="72"/>
        <v>0</v>
      </c>
      <c r="J486">
        <v>77</v>
      </c>
      <c r="K486">
        <v>84.8</v>
      </c>
      <c r="L486">
        <v>68.099999999999994</v>
      </c>
      <c r="M486">
        <v>77.8</v>
      </c>
      <c r="N486">
        <v>66.2</v>
      </c>
      <c r="O486">
        <v>70.099999999999994</v>
      </c>
      <c r="S486">
        <f t="shared" si="73"/>
        <v>1</v>
      </c>
      <c r="T486">
        <f t="shared" si="74"/>
        <v>1</v>
      </c>
      <c r="U486">
        <f t="shared" si="75"/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17.2</v>
      </c>
      <c r="AG486">
        <f t="shared" si="76"/>
        <v>0</v>
      </c>
      <c r="AH486">
        <f t="shared" si="77"/>
        <v>0</v>
      </c>
      <c r="AI486">
        <f t="shared" si="78"/>
        <v>0</v>
      </c>
      <c r="AJ486">
        <v>305.5</v>
      </c>
      <c r="AK486">
        <v>1011.7</v>
      </c>
      <c r="AL486">
        <v>30</v>
      </c>
      <c r="AM486">
        <v>6.8</v>
      </c>
      <c r="AN486">
        <v>0</v>
      </c>
      <c r="AO486">
        <v>0</v>
      </c>
      <c r="AP486">
        <v>0</v>
      </c>
      <c r="AQ486">
        <v>0</v>
      </c>
      <c r="AR486" t="s">
        <v>1626</v>
      </c>
      <c r="AS486" t="s">
        <v>1627</v>
      </c>
      <c r="AT486">
        <v>0.75</v>
      </c>
      <c r="AU486" t="s">
        <v>43</v>
      </c>
      <c r="AV486" t="s">
        <v>44</v>
      </c>
      <c r="AW486" t="s">
        <v>45</v>
      </c>
      <c r="AX486" s="1">
        <v>0.74652777777777779</v>
      </c>
      <c r="AY486" t="s">
        <v>1628</v>
      </c>
      <c r="AZ486">
        <v>374.99999999650748</v>
      </c>
      <c r="BA486">
        <v>1</v>
      </c>
      <c r="BB486">
        <v>0</v>
      </c>
      <c r="BC486">
        <v>0.02</v>
      </c>
      <c r="BD486">
        <v>0</v>
      </c>
      <c r="BE486">
        <f t="shared" si="79"/>
        <v>0</v>
      </c>
    </row>
    <row r="487" spans="1:57" x14ac:dyDescent="0.25">
      <c r="A487" t="s">
        <v>39</v>
      </c>
      <c r="B487" t="s">
        <v>1629</v>
      </c>
      <c r="C487">
        <v>82.5</v>
      </c>
      <c r="D487">
        <v>78.900000000000006</v>
      </c>
      <c r="G487">
        <f t="shared" si="70"/>
        <v>0</v>
      </c>
      <c r="H487">
        <f t="shared" si="71"/>
        <v>0</v>
      </c>
      <c r="I487">
        <f t="shared" si="72"/>
        <v>0</v>
      </c>
      <c r="J487">
        <v>79.900000000000006</v>
      </c>
      <c r="K487">
        <v>86.4</v>
      </c>
      <c r="L487">
        <v>78.900000000000006</v>
      </c>
      <c r="M487">
        <v>81</v>
      </c>
      <c r="N487">
        <v>67.3</v>
      </c>
      <c r="O487">
        <v>65.599999999999994</v>
      </c>
      <c r="S487">
        <f t="shared" si="73"/>
        <v>1</v>
      </c>
      <c r="T487">
        <f t="shared" si="74"/>
        <v>1</v>
      </c>
      <c r="U487">
        <f t="shared" si="75"/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23</v>
      </c>
      <c r="AG487">
        <f t="shared" si="76"/>
        <v>1</v>
      </c>
      <c r="AH487">
        <f t="shared" si="77"/>
        <v>1</v>
      </c>
      <c r="AI487">
        <f t="shared" si="78"/>
        <v>0</v>
      </c>
      <c r="AJ487">
        <v>304.7</v>
      </c>
      <c r="AK487">
        <v>1008.3</v>
      </c>
      <c r="AL487">
        <v>30</v>
      </c>
      <c r="AM487">
        <v>6.6</v>
      </c>
      <c r="AN487">
        <v>0</v>
      </c>
      <c r="AO487">
        <v>0</v>
      </c>
      <c r="AP487">
        <v>0</v>
      </c>
      <c r="AQ487">
        <v>0</v>
      </c>
      <c r="AR487" t="s">
        <v>1630</v>
      </c>
      <c r="AS487" t="s">
        <v>1631</v>
      </c>
      <c r="AT487">
        <v>0.77</v>
      </c>
      <c r="AU487" t="s">
        <v>43</v>
      </c>
      <c r="AV487" t="s">
        <v>44</v>
      </c>
      <c r="AW487" t="s">
        <v>45</v>
      </c>
      <c r="AX487" s="1">
        <v>0.77083333333333337</v>
      </c>
      <c r="AY487" t="s">
        <v>1632</v>
      </c>
      <c r="AZ487">
        <v>10.00000000116415</v>
      </c>
      <c r="BA487">
        <v>0</v>
      </c>
      <c r="BB487">
        <v>0</v>
      </c>
      <c r="BC487">
        <v>0</v>
      </c>
      <c r="BD487">
        <v>0.05</v>
      </c>
      <c r="BE487">
        <f t="shared" si="79"/>
        <v>0</v>
      </c>
    </row>
    <row r="488" spans="1:57" x14ac:dyDescent="0.25">
      <c r="A488" t="s">
        <v>39</v>
      </c>
      <c r="B488" t="s">
        <v>1633</v>
      </c>
      <c r="C488">
        <v>62.7</v>
      </c>
      <c r="D488">
        <v>53.7</v>
      </c>
      <c r="G488">
        <f t="shared" si="70"/>
        <v>1</v>
      </c>
      <c r="H488">
        <f t="shared" si="71"/>
        <v>0</v>
      </c>
      <c r="I488">
        <f t="shared" si="72"/>
        <v>1</v>
      </c>
      <c r="J488">
        <v>59.4</v>
      </c>
      <c r="K488">
        <v>62.7</v>
      </c>
      <c r="L488">
        <v>53.7</v>
      </c>
      <c r="M488">
        <v>59.4</v>
      </c>
      <c r="N488">
        <v>51.3</v>
      </c>
      <c r="O488">
        <v>74.900000000000006</v>
      </c>
      <c r="S488">
        <f t="shared" si="73"/>
        <v>1</v>
      </c>
      <c r="T488">
        <f t="shared" si="74"/>
        <v>1</v>
      </c>
      <c r="U488">
        <f t="shared" si="75"/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19.5</v>
      </c>
      <c r="AG488">
        <f t="shared" si="76"/>
        <v>1</v>
      </c>
      <c r="AH488">
        <f t="shared" si="77"/>
        <v>1</v>
      </c>
      <c r="AI488">
        <f t="shared" si="78"/>
        <v>0</v>
      </c>
      <c r="AJ488">
        <v>312</v>
      </c>
      <c r="AK488">
        <v>1013.4</v>
      </c>
      <c r="AL488">
        <v>36.700000000000003</v>
      </c>
      <c r="AM488">
        <v>6.3</v>
      </c>
      <c r="AN488">
        <v>0</v>
      </c>
      <c r="AO488">
        <v>0</v>
      </c>
      <c r="AP488">
        <v>0</v>
      </c>
      <c r="AQ488">
        <v>0</v>
      </c>
      <c r="AR488" t="s">
        <v>1634</v>
      </c>
      <c r="AS488" t="s">
        <v>1635</v>
      </c>
      <c r="AT488">
        <v>0</v>
      </c>
      <c r="AU488" t="s">
        <v>43</v>
      </c>
      <c r="AV488" t="s">
        <v>44</v>
      </c>
      <c r="AW488" t="s">
        <v>45</v>
      </c>
      <c r="AX488" s="1">
        <v>0.61388888888888893</v>
      </c>
      <c r="AY488" t="s">
        <v>1636</v>
      </c>
      <c r="AZ488">
        <v>1361.000000004424</v>
      </c>
      <c r="BA488">
        <v>1</v>
      </c>
      <c r="BB488">
        <v>0</v>
      </c>
      <c r="BC488">
        <v>5</v>
      </c>
      <c r="BD488">
        <v>0</v>
      </c>
      <c r="BE488">
        <f t="shared" si="79"/>
        <v>1</v>
      </c>
    </row>
    <row r="489" spans="1:57" x14ac:dyDescent="0.25">
      <c r="A489" t="s">
        <v>39</v>
      </c>
      <c r="B489" t="s">
        <v>1637</v>
      </c>
      <c r="C489">
        <v>82.5</v>
      </c>
      <c r="D489">
        <v>75.3</v>
      </c>
      <c r="G489">
        <f t="shared" si="70"/>
        <v>1</v>
      </c>
      <c r="H489">
        <f t="shared" si="71"/>
        <v>1</v>
      </c>
      <c r="I489">
        <f t="shared" si="72"/>
        <v>0</v>
      </c>
      <c r="J489">
        <v>77.599999999999994</v>
      </c>
      <c r="K489">
        <v>82.2</v>
      </c>
      <c r="L489">
        <v>75.3</v>
      </c>
      <c r="M489">
        <v>77.7</v>
      </c>
      <c r="N489">
        <v>61.2</v>
      </c>
      <c r="O489">
        <v>57.5</v>
      </c>
      <c r="S489">
        <f t="shared" si="73"/>
        <v>1</v>
      </c>
      <c r="T489">
        <f t="shared" si="74"/>
        <v>0</v>
      </c>
      <c r="U489">
        <f t="shared" si="75"/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19.5</v>
      </c>
      <c r="AG489">
        <f t="shared" si="76"/>
        <v>1</v>
      </c>
      <c r="AH489">
        <f t="shared" si="77"/>
        <v>1</v>
      </c>
      <c r="AI489">
        <f t="shared" si="78"/>
        <v>0</v>
      </c>
      <c r="AJ489">
        <v>307.8</v>
      </c>
      <c r="AK489">
        <v>1008.3</v>
      </c>
      <c r="AL489">
        <v>30</v>
      </c>
      <c r="AM489">
        <v>6.5</v>
      </c>
      <c r="AN489">
        <v>0</v>
      </c>
      <c r="AO489">
        <v>0</v>
      </c>
      <c r="AP489">
        <v>0</v>
      </c>
      <c r="AQ489">
        <v>0</v>
      </c>
      <c r="AR489" t="s">
        <v>1638</v>
      </c>
      <c r="AS489" t="s">
        <v>1639</v>
      </c>
      <c r="AT489">
        <v>0.75</v>
      </c>
      <c r="AU489" t="s">
        <v>43</v>
      </c>
      <c r="AV489" t="s">
        <v>44</v>
      </c>
      <c r="AW489" t="s">
        <v>45</v>
      </c>
      <c r="AX489" s="1">
        <v>0.75972222222222219</v>
      </c>
      <c r="AY489" t="s">
        <v>1640</v>
      </c>
      <c r="AZ489">
        <v>265.99999999743892</v>
      </c>
      <c r="BA489">
        <v>0</v>
      </c>
      <c r="BB489">
        <v>0</v>
      </c>
      <c r="BC489">
        <v>0.02</v>
      </c>
      <c r="BD489">
        <v>0</v>
      </c>
      <c r="BE489">
        <f t="shared" si="79"/>
        <v>1</v>
      </c>
    </row>
    <row r="490" spans="1:57" x14ac:dyDescent="0.25">
      <c r="A490" t="s">
        <v>39</v>
      </c>
      <c r="B490" t="s">
        <v>1625</v>
      </c>
      <c r="C490">
        <v>82.5</v>
      </c>
      <c r="D490">
        <v>68.099999999999994</v>
      </c>
      <c r="G490">
        <f t="shared" si="70"/>
        <v>0</v>
      </c>
      <c r="H490">
        <f t="shared" si="71"/>
        <v>0</v>
      </c>
      <c r="I490">
        <f t="shared" si="72"/>
        <v>0</v>
      </c>
      <c r="J490">
        <v>77</v>
      </c>
      <c r="K490">
        <v>84.8</v>
      </c>
      <c r="L490">
        <v>68.099999999999994</v>
      </c>
      <c r="M490">
        <v>77.8</v>
      </c>
      <c r="N490">
        <v>66.2</v>
      </c>
      <c r="O490">
        <v>70.099999999999994</v>
      </c>
      <c r="S490">
        <f t="shared" si="73"/>
        <v>1</v>
      </c>
      <c r="T490">
        <f t="shared" si="74"/>
        <v>1</v>
      </c>
      <c r="U490">
        <f t="shared" si="75"/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17.2</v>
      </c>
      <c r="AG490">
        <f t="shared" si="76"/>
        <v>0</v>
      </c>
      <c r="AH490">
        <f t="shared" si="77"/>
        <v>0</v>
      </c>
      <c r="AI490">
        <f t="shared" si="78"/>
        <v>0</v>
      </c>
      <c r="AJ490">
        <v>305.5</v>
      </c>
      <c r="AK490">
        <v>1011.7</v>
      </c>
      <c r="AL490">
        <v>30</v>
      </c>
      <c r="AM490">
        <v>6.8</v>
      </c>
      <c r="AN490">
        <v>0</v>
      </c>
      <c r="AO490">
        <v>0</v>
      </c>
      <c r="AP490">
        <v>0</v>
      </c>
      <c r="AQ490">
        <v>0</v>
      </c>
      <c r="AR490" t="s">
        <v>1626</v>
      </c>
      <c r="AS490" t="s">
        <v>1627</v>
      </c>
      <c r="AT490">
        <v>0.75</v>
      </c>
      <c r="AU490" t="s">
        <v>43</v>
      </c>
      <c r="AV490" t="s">
        <v>44</v>
      </c>
      <c r="AW490" t="s">
        <v>45</v>
      </c>
      <c r="AX490" s="1">
        <v>6.2500000000000003E-3</v>
      </c>
      <c r="AY490" t="s">
        <v>1641</v>
      </c>
      <c r="AZ490">
        <v>50.999999998603023</v>
      </c>
      <c r="BA490">
        <v>0</v>
      </c>
      <c r="BB490">
        <v>0</v>
      </c>
      <c r="BC490">
        <v>0.02</v>
      </c>
      <c r="BD490">
        <v>0</v>
      </c>
      <c r="BE490">
        <f t="shared" si="79"/>
        <v>0</v>
      </c>
    </row>
    <row r="491" spans="1:57" x14ac:dyDescent="0.25">
      <c r="A491" t="s">
        <v>39</v>
      </c>
      <c r="B491" t="s">
        <v>1642</v>
      </c>
      <c r="C491">
        <v>55.5</v>
      </c>
      <c r="D491">
        <v>51.9</v>
      </c>
      <c r="G491">
        <f t="shared" si="70"/>
        <v>1</v>
      </c>
      <c r="H491">
        <f t="shared" si="71"/>
        <v>0</v>
      </c>
      <c r="I491">
        <f t="shared" si="72"/>
        <v>1</v>
      </c>
      <c r="J491">
        <v>53.4</v>
      </c>
      <c r="K491">
        <v>55.5</v>
      </c>
      <c r="L491">
        <v>51.9</v>
      </c>
      <c r="M491">
        <v>53.4</v>
      </c>
      <c r="N491">
        <v>31.9</v>
      </c>
      <c r="O491">
        <v>43.9</v>
      </c>
      <c r="S491">
        <f t="shared" si="73"/>
        <v>1</v>
      </c>
      <c r="T491">
        <f t="shared" si="74"/>
        <v>0</v>
      </c>
      <c r="U491">
        <f t="shared" si="75"/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18.3</v>
      </c>
      <c r="AG491">
        <f t="shared" si="76"/>
        <v>0</v>
      </c>
      <c r="AH491">
        <f t="shared" si="77"/>
        <v>0</v>
      </c>
      <c r="AI491">
        <f t="shared" si="78"/>
        <v>0</v>
      </c>
      <c r="AJ491">
        <v>321.60000000000002</v>
      </c>
      <c r="AK491">
        <v>1028.4000000000001</v>
      </c>
      <c r="AL491">
        <v>62.2</v>
      </c>
      <c r="AM491">
        <v>6.8</v>
      </c>
      <c r="AN491">
        <v>0</v>
      </c>
      <c r="AO491">
        <v>0</v>
      </c>
      <c r="AP491">
        <v>0</v>
      </c>
      <c r="AQ491">
        <v>0</v>
      </c>
      <c r="AR491" t="s">
        <v>1643</v>
      </c>
      <c r="AS491" t="s">
        <v>1644</v>
      </c>
      <c r="AT491">
        <v>0.84</v>
      </c>
      <c r="AU491" t="s">
        <v>43</v>
      </c>
      <c r="AV491" t="s">
        <v>44</v>
      </c>
      <c r="AW491" t="s">
        <v>45</v>
      </c>
      <c r="AX491" s="1">
        <v>0.75277777777777777</v>
      </c>
      <c r="AY491" t="s">
        <v>1645</v>
      </c>
      <c r="AZ491">
        <v>265.99999999743892</v>
      </c>
      <c r="BA491">
        <v>0</v>
      </c>
      <c r="BB491">
        <v>0</v>
      </c>
      <c r="BC491">
        <v>2</v>
      </c>
      <c r="BD491">
        <v>0</v>
      </c>
      <c r="BE491">
        <f t="shared" si="79"/>
        <v>0</v>
      </c>
    </row>
    <row r="492" spans="1:57" x14ac:dyDescent="0.25">
      <c r="A492" t="s">
        <v>39</v>
      </c>
      <c r="B492" t="s">
        <v>1646</v>
      </c>
      <c r="C492">
        <v>66.3</v>
      </c>
      <c r="D492">
        <v>55.5</v>
      </c>
      <c r="G492">
        <f t="shared" si="70"/>
        <v>0</v>
      </c>
      <c r="H492">
        <f t="shared" si="71"/>
        <v>0</v>
      </c>
      <c r="I492">
        <f t="shared" si="72"/>
        <v>0</v>
      </c>
      <c r="J492">
        <v>61.3</v>
      </c>
      <c r="K492">
        <v>66.3</v>
      </c>
      <c r="L492">
        <v>55.5</v>
      </c>
      <c r="M492">
        <v>61.3</v>
      </c>
      <c r="N492">
        <v>52.1</v>
      </c>
      <c r="O492">
        <v>72.400000000000006</v>
      </c>
      <c r="S492">
        <f t="shared" si="73"/>
        <v>1</v>
      </c>
      <c r="T492">
        <f t="shared" si="74"/>
        <v>1</v>
      </c>
      <c r="U492">
        <f t="shared" si="75"/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13.9</v>
      </c>
      <c r="AG492">
        <f t="shared" si="76"/>
        <v>1</v>
      </c>
      <c r="AH492">
        <f t="shared" si="77"/>
        <v>0</v>
      </c>
      <c r="AI492">
        <f t="shared" si="78"/>
        <v>1</v>
      </c>
      <c r="AJ492">
        <v>293.89999999999998</v>
      </c>
      <c r="AK492">
        <v>1011</v>
      </c>
      <c r="AL492">
        <v>61.8</v>
      </c>
      <c r="AM492">
        <v>6.8</v>
      </c>
      <c r="AN492">
        <v>0</v>
      </c>
      <c r="AO492">
        <v>0</v>
      </c>
      <c r="AP492">
        <v>0</v>
      </c>
      <c r="AQ492">
        <v>0</v>
      </c>
      <c r="AR492" t="s">
        <v>1647</v>
      </c>
      <c r="AS492" t="s">
        <v>1648</v>
      </c>
      <c r="AT492">
        <v>0.43</v>
      </c>
      <c r="AU492" t="s">
        <v>43</v>
      </c>
      <c r="AV492" t="s">
        <v>44</v>
      </c>
      <c r="AW492" t="s">
        <v>45</v>
      </c>
      <c r="AX492" s="1">
        <v>0.64861111111111114</v>
      </c>
      <c r="AY492" t="s">
        <v>1649</v>
      </c>
      <c r="AZ492">
        <v>1791.000000002095</v>
      </c>
      <c r="BA492">
        <v>1</v>
      </c>
      <c r="BB492">
        <v>0</v>
      </c>
      <c r="BC492">
        <v>40</v>
      </c>
      <c r="BD492">
        <v>0</v>
      </c>
      <c r="BE492">
        <f t="shared" si="79"/>
        <v>0</v>
      </c>
    </row>
    <row r="493" spans="1:57" x14ac:dyDescent="0.25">
      <c r="A493" t="s">
        <v>39</v>
      </c>
      <c r="B493" t="s">
        <v>1650</v>
      </c>
      <c r="C493">
        <v>62.7</v>
      </c>
      <c r="D493">
        <v>57.3</v>
      </c>
      <c r="G493">
        <f t="shared" si="70"/>
        <v>1</v>
      </c>
      <c r="H493">
        <f t="shared" si="71"/>
        <v>0</v>
      </c>
      <c r="I493">
        <f t="shared" si="72"/>
        <v>1</v>
      </c>
      <c r="J493">
        <v>60.1</v>
      </c>
      <c r="K493">
        <v>62.7</v>
      </c>
      <c r="L493">
        <v>57.3</v>
      </c>
      <c r="M493">
        <v>60.1</v>
      </c>
      <c r="N493">
        <v>46.9</v>
      </c>
      <c r="O493">
        <v>61.9</v>
      </c>
      <c r="S493">
        <f t="shared" si="73"/>
        <v>1</v>
      </c>
      <c r="T493">
        <f t="shared" si="74"/>
        <v>0</v>
      </c>
      <c r="U493">
        <f t="shared" si="75"/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15</v>
      </c>
      <c r="AG493">
        <f t="shared" si="76"/>
        <v>1</v>
      </c>
      <c r="AH493">
        <f t="shared" si="77"/>
        <v>0</v>
      </c>
      <c r="AI493">
        <f t="shared" si="78"/>
        <v>1</v>
      </c>
      <c r="AJ493">
        <v>336.4</v>
      </c>
      <c r="AK493">
        <v>1022.7</v>
      </c>
      <c r="AL493">
        <v>77.5</v>
      </c>
      <c r="AM493">
        <v>6.8</v>
      </c>
      <c r="AN493">
        <v>0</v>
      </c>
      <c r="AO493">
        <v>0</v>
      </c>
      <c r="AP493">
        <v>0</v>
      </c>
      <c r="AQ493">
        <v>0</v>
      </c>
      <c r="AR493" t="s">
        <v>1651</v>
      </c>
      <c r="AS493" t="s">
        <v>1652</v>
      </c>
      <c r="AT493">
        <v>0.44</v>
      </c>
      <c r="AU493" t="s">
        <v>43</v>
      </c>
      <c r="AV493" t="s">
        <v>44</v>
      </c>
      <c r="AW493" t="s">
        <v>45</v>
      </c>
      <c r="AX493" s="1">
        <v>0.52361111111111114</v>
      </c>
      <c r="AY493" t="s">
        <v>1653</v>
      </c>
      <c r="AZ493">
        <v>306.00000000209548</v>
      </c>
      <c r="BA493">
        <v>0</v>
      </c>
      <c r="BB493">
        <v>0</v>
      </c>
      <c r="BC493">
        <v>6</v>
      </c>
      <c r="BD493">
        <v>0</v>
      </c>
      <c r="BE493">
        <f t="shared" si="79"/>
        <v>0</v>
      </c>
    </row>
    <row r="494" spans="1:57" x14ac:dyDescent="0.25">
      <c r="A494" t="s">
        <v>39</v>
      </c>
      <c r="B494" t="s">
        <v>1654</v>
      </c>
      <c r="C494">
        <v>66.3</v>
      </c>
      <c r="D494">
        <v>46.5</v>
      </c>
      <c r="G494">
        <f t="shared" si="70"/>
        <v>1</v>
      </c>
      <c r="H494">
        <f t="shared" si="71"/>
        <v>1</v>
      </c>
      <c r="I494">
        <f t="shared" si="72"/>
        <v>0</v>
      </c>
      <c r="J494">
        <v>56.6</v>
      </c>
      <c r="K494">
        <v>66.3</v>
      </c>
      <c r="L494">
        <v>42</v>
      </c>
      <c r="M494">
        <v>55.8</v>
      </c>
      <c r="N494">
        <v>46.7</v>
      </c>
      <c r="O494">
        <v>69.7</v>
      </c>
      <c r="S494">
        <f t="shared" si="73"/>
        <v>1</v>
      </c>
      <c r="T494">
        <f t="shared" si="74"/>
        <v>1</v>
      </c>
      <c r="U494">
        <f t="shared" si="75"/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9.1999999999999993</v>
      </c>
      <c r="AG494">
        <f t="shared" si="76"/>
        <v>1</v>
      </c>
      <c r="AH494">
        <f t="shared" si="77"/>
        <v>0</v>
      </c>
      <c r="AI494">
        <f t="shared" si="78"/>
        <v>1</v>
      </c>
      <c r="AJ494">
        <v>160</v>
      </c>
      <c r="AK494">
        <v>1016.9</v>
      </c>
      <c r="AL494">
        <v>30</v>
      </c>
      <c r="AM494">
        <v>6.2</v>
      </c>
      <c r="AN494">
        <v>0</v>
      </c>
      <c r="AO494">
        <v>0</v>
      </c>
      <c r="AP494">
        <v>0</v>
      </c>
      <c r="AQ494">
        <v>0</v>
      </c>
      <c r="AR494" t="s">
        <v>1655</v>
      </c>
      <c r="AS494" t="s">
        <v>1656</v>
      </c>
      <c r="AT494">
        <v>0.28999999999999998</v>
      </c>
      <c r="AU494" t="s">
        <v>43</v>
      </c>
      <c r="AV494" t="s">
        <v>44</v>
      </c>
      <c r="AW494" t="s">
        <v>45</v>
      </c>
      <c r="AX494" s="1">
        <v>0.59027777777777779</v>
      </c>
      <c r="AY494" t="s">
        <v>1657</v>
      </c>
      <c r="AZ494">
        <v>2839.9999999953429</v>
      </c>
      <c r="BA494">
        <v>1</v>
      </c>
      <c r="BB494">
        <v>0</v>
      </c>
      <c r="BC494">
        <v>70</v>
      </c>
      <c r="BD494">
        <v>0</v>
      </c>
      <c r="BE494">
        <f t="shared" si="79"/>
        <v>1</v>
      </c>
    </row>
    <row r="495" spans="1:57" x14ac:dyDescent="0.25">
      <c r="A495" t="s">
        <v>39</v>
      </c>
      <c r="B495" t="s">
        <v>1658</v>
      </c>
      <c r="C495">
        <v>80.7</v>
      </c>
      <c r="D495">
        <v>59.1</v>
      </c>
      <c r="G495">
        <f t="shared" si="70"/>
        <v>1</v>
      </c>
      <c r="H495">
        <f t="shared" si="71"/>
        <v>1</v>
      </c>
      <c r="I495">
        <f t="shared" si="72"/>
        <v>0</v>
      </c>
      <c r="J495">
        <v>71.2</v>
      </c>
      <c r="K495">
        <v>79.3</v>
      </c>
      <c r="L495">
        <v>59.1</v>
      </c>
      <c r="M495">
        <v>71.2</v>
      </c>
      <c r="N495">
        <v>37.200000000000003</v>
      </c>
      <c r="O495">
        <v>29.6</v>
      </c>
      <c r="S495">
        <f t="shared" si="73"/>
        <v>1</v>
      </c>
      <c r="T495">
        <f t="shared" si="74"/>
        <v>0</v>
      </c>
      <c r="U495">
        <f t="shared" si="75"/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31.1</v>
      </c>
      <c r="AG495">
        <f t="shared" si="76"/>
        <v>1</v>
      </c>
      <c r="AH495">
        <f t="shared" si="77"/>
        <v>1</v>
      </c>
      <c r="AI495">
        <f t="shared" si="78"/>
        <v>0</v>
      </c>
      <c r="AJ495">
        <v>169.4</v>
      </c>
      <c r="AK495">
        <v>1013</v>
      </c>
      <c r="AL495">
        <v>90</v>
      </c>
      <c r="AM495">
        <v>6.3</v>
      </c>
      <c r="AN495">
        <v>0</v>
      </c>
      <c r="AO495">
        <v>0</v>
      </c>
      <c r="AP495">
        <v>0</v>
      </c>
      <c r="AQ495">
        <v>0</v>
      </c>
      <c r="AR495" t="s">
        <v>1659</v>
      </c>
      <c r="AS495" t="s">
        <v>1660</v>
      </c>
      <c r="AT495">
        <v>0.59</v>
      </c>
      <c r="AU495" t="s">
        <v>43</v>
      </c>
      <c r="AV495" t="s">
        <v>44</v>
      </c>
      <c r="AW495" t="s">
        <v>419</v>
      </c>
      <c r="AX495" s="1">
        <v>0.6875</v>
      </c>
      <c r="AY495" t="s">
        <v>1661</v>
      </c>
      <c r="AZ495">
        <v>1769.999999996508</v>
      </c>
      <c r="BA495">
        <v>1</v>
      </c>
      <c r="BB495">
        <v>35</v>
      </c>
      <c r="BC495">
        <v>0</v>
      </c>
      <c r="BD495">
        <v>0</v>
      </c>
      <c r="BE495">
        <f t="shared" si="79"/>
        <v>1</v>
      </c>
    </row>
    <row r="496" spans="1:57" x14ac:dyDescent="0.25">
      <c r="A496" t="s">
        <v>39</v>
      </c>
      <c r="B496" t="s">
        <v>1662</v>
      </c>
      <c r="C496">
        <v>66.3</v>
      </c>
      <c r="D496">
        <v>50.1</v>
      </c>
      <c r="G496">
        <f t="shared" si="70"/>
        <v>1</v>
      </c>
      <c r="H496">
        <f t="shared" si="71"/>
        <v>1</v>
      </c>
      <c r="I496">
        <f t="shared" si="72"/>
        <v>0</v>
      </c>
      <c r="J496">
        <v>58.1</v>
      </c>
      <c r="K496">
        <v>66.3</v>
      </c>
      <c r="L496">
        <v>50.1</v>
      </c>
      <c r="M496">
        <v>58.1</v>
      </c>
      <c r="N496">
        <v>45.9</v>
      </c>
      <c r="O496">
        <v>64.5</v>
      </c>
      <c r="S496">
        <f t="shared" si="73"/>
        <v>0</v>
      </c>
      <c r="T496">
        <f t="shared" si="74"/>
        <v>0</v>
      </c>
      <c r="U496">
        <f t="shared" si="75"/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10.3</v>
      </c>
      <c r="AG496">
        <f t="shared" si="76"/>
        <v>1</v>
      </c>
      <c r="AH496">
        <f t="shared" si="77"/>
        <v>0</v>
      </c>
      <c r="AI496">
        <f t="shared" si="78"/>
        <v>1</v>
      </c>
      <c r="AJ496">
        <v>148.1</v>
      </c>
      <c r="AK496">
        <v>1018.8</v>
      </c>
      <c r="AL496">
        <v>90</v>
      </c>
      <c r="AM496">
        <v>6.3</v>
      </c>
      <c r="AN496">
        <v>0</v>
      </c>
      <c r="AO496">
        <v>0</v>
      </c>
      <c r="AP496">
        <v>0</v>
      </c>
      <c r="AQ496">
        <v>0</v>
      </c>
      <c r="AR496" t="s">
        <v>1663</v>
      </c>
      <c r="AS496" t="s">
        <v>1664</v>
      </c>
      <c r="AT496">
        <v>0.52</v>
      </c>
      <c r="AU496" t="s">
        <v>43</v>
      </c>
      <c r="AV496" t="s">
        <v>44</v>
      </c>
      <c r="AW496" t="s">
        <v>45</v>
      </c>
      <c r="AX496" s="1">
        <v>0.70138888888888884</v>
      </c>
      <c r="AY496" t="s">
        <v>1665</v>
      </c>
      <c r="AZ496">
        <v>460.00000000116421</v>
      </c>
      <c r="BA496">
        <v>1</v>
      </c>
      <c r="BB496">
        <v>0</v>
      </c>
      <c r="BC496">
        <v>10</v>
      </c>
      <c r="BD496">
        <v>0</v>
      </c>
      <c r="BE496">
        <f t="shared" si="79"/>
        <v>1</v>
      </c>
    </row>
    <row r="497" spans="1:57" x14ac:dyDescent="0.25">
      <c r="A497" t="s">
        <v>39</v>
      </c>
      <c r="B497" t="s">
        <v>1666</v>
      </c>
      <c r="C497">
        <v>66.3</v>
      </c>
      <c r="D497">
        <v>53.7</v>
      </c>
      <c r="G497">
        <f t="shared" si="70"/>
        <v>0</v>
      </c>
      <c r="H497">
        <f t="shared" si="71"/>
        <v>0</v>
      </c>
      <c r="I497">
        <f t="shared" si="72"/>
        <v>0</v>
      </c>
      <c r="J497">
        <v>61.6</v>
      </c>
      <c r="K497">
        <v>66.3</v>
      </c>
      <c r="L497">
        <v>53.7</v>
      </c>
      <c r="M497">
        <v>61.6</v>
      </c>
      <c r="N497">
        <v>48.5</v>
      </c>
      <c r="O497">
        <v>62.6</v>
      </c>
      <c r="S497">
        <f t="shared" si="73"/>
        <v>1</v>
      </c>
      <c r="T497">
        <f t="shared" si="74"/>
        <v>0</v>
      </c>
      <c r="U497">
        <f t="shared" si="75"/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10.3</v>
      </c>
      <c r="AG497">
        <f t="shared" si="76"/>
        <v>1</v>
      </c>
      <c r="AH497">
        <f t="shared" si="77"/>
        <v>0</v>
      </c>
      <c r="AI497">
        <f t="shared" si="78"/>
        <v>1</v>
      </c>
      <c r="AJ497">
        <v>336.2</v>
      </c>
      <c r="AK497">
        <v>1023.5</v>
      </c>
      <c r="AL497">
        <v>62.2</v>
      </c>
      <c r="AM497">
        <v>6.8</v>
      </c>
      <c r="AN497">
        <v>0</v>
      </c>
      <c r="AO497">
        <v>0</v>
      </c>
      <c r="AP497">
        <v>0</v>
      </c>
      <c r="AQ497">
        <v>0</v>
      </c>
      <c r="AR497" t="s">
        <v>1667</v>
      </c>
      <c r="AS497" t="s">
        <v>1668</v>
      </c>
      <c r="AT497">
        <v>0.25</v>
      </c>
      <c r="AU497" t="s">
        <v>43</v>
      </c>
      <c r="AV497" t="s">
        <v>44</v>
      </c>
      <c r="AW497" t="s">
        <v>45</v>
      </c>
      <c r="AX497" s="1">
        <v>0.63124999999999998</v>
      </c>
      <c r="AY497" t="s">
        <v>1669</v>
      </c>
      <c r="AZ497">
        <v>211.00000000675209</v>
      </c>
      <c r="BA497">
        <v>0</v>
      </c>
      <c r="BB497">
        <v>0</v>
      </c>
      <c r="BC497">
        <v>0.5</v>
      </c>
      <c r="BD497">
        <v>0</v>
      </c>
      <c r="BE497">
        <f t="shared" si="79"/>
        <v>0</v>
      </c>
    </row>
    <row r="498" spans="1:57" x14ac:dyDescent="0.25">
      <c r="A498" t="s">
        <v>39</v>
      </c>
      <c r="B498" t="s">
        <v>1670</v>
      </c>
      <c r="C498">
        <v>66.3</v>
      </c>
      <c r="D498">
        <v>57.3</v>
      </c>
      <c r="G498">
        <f t="shared" si="70"/>
        <v>0</v>
      </c>
      <c r="H498">
        <f t="shared" si="71"/>
        <v>0</v>
      </c>
      <c r="I498">
        <f t="shared" si="72"/>
        <v>0</v>
      </c>
      <c r="J498">
        <v>61.4</v>
      </c>
      <c r="K498">
        <v>66.3</v>
      </c>
      <c r="L498">
        <v>57.3</v>
      </c>
      <c r="M498">
        <v>61.4</v>
      </c>
      <c r="N498">
        <v>49</v>
      </c>
      <c r="O498">
        <v>64.599999999999994</v>
      </c>
      <c r="S498">
        <f t="shared" si="73"/>
        <v>0</v>
      </c>
      <c r="T498">
        <f t="shared" si="74"/>
        <v>0</v>
      </c>
      <c r="U498">
        <f t="shared" si="75"/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24.2</v>
      </c>
      <c r="AG498">
        <f t="shared" si="76"/>
        <v>1</v>
      </c>
      <c r="AH498">
        <f t="shared" si="77"/>
        <v>1</v>
      </c>
      <c r="AI498">
        <f t="shared" si="78"/>
        <v>0</v>
      </c>
      <c r="AJ498">
        <v>291.89999999999998</v>
      </c>
      <c r="AK498">
        <v>1006.8</v>
      </c>
      <c r="AL498">
        <v>55.8</v>
      </c>
      <c r="AM498">
        <v>5.7</v>
      </c>
      <c r="AN498">
        <v>0</v>
      </c>
      <c r="AO498">
        <v>0</v>
      </c>
      <c r="AP498">
        <v>0</v>
      </c>
      <c r="AQ498">
        <v>0</v>
      </c>
      <c r="AR498" t="s">
        <v>1671</v>
      </c>
      <c r="AS498" t="s">
        <v>1672</v>
      </c>
      <c r="AT498">
        <v>0.31</v>
      </c>
      <c r="AU498" t="s">
        <v>43</v>
      </c>
      <c r="AV498" t="s">
        <v>44</v>
      </c>
      <c r="AW498" t="s">
        <v>45</v>
      </c>
      <c r="AX498" s="1">
        <v>0.42708333333333331</v>
      </c>
      <c r="AY498" t="s">
        <v>1673</v>
      </c>
      <c r="AZ498">
        <v>1994.999999996508</v>
      </c>
      <c r="BA498">
        <v>1</v>
      </c>
      <c r="BB498">
        <v>50</v>
      </c>
      <c r="BC498">
        <v>0</v>
      </c>
      <c r="BD498">
        <v>0</v>
      </c>
      <c r="BE498">
        <f t="shared" si="79"/>
        <v>0</v>
      </c>
    </row>
    <row r="499" spans="1:57" x14ac:dyDescent="0.25">
      <c r="A499" t="s">
        <v>39</v>
      </c>
      <c r="B499" t="s">
        <v>1674</v>
      </c>
      <c r="C499">
        <v>62.7</v>
      </c>
      <c r="D499">
        <v>46.5</v>
      </c>
      <c r="G499">
        <f t="shared" si="70"/>
        <v>1</v>
      </c>
      <c r="H499">
        <f t="shared" si="71"/>
        <v>1</v>
      </c>
      <c r="I499">
        <f t="shared" si="72"/>
        <v>0</v>
      </c>
      <c r="J499">
        <v>54.6</v>
      </c>
      <c r="K499">
        <v>62.7</v>
      </c>
      <c r="L499">
        <v>41.6</v>
      </c>
      <c r="M499">
        <v>53.1</v>
      </c>
      <c r="N499">
        <v>45</v>
      </c>
      <c r="O499">
        <v>70.099999999999994</v>
      </c>
      <c r="S499">
        <f t="shared" si="73"/>
        <v>1</v>
      </c>
      <c r="T499">
        <f t="shared" si="74"/>
        <v>1</v>
      </c>
      <c r="U499">
        <f t="shared" si="75"/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13.9</v>
      </c>
      <c r="AG499">
        <f t="shared" si="76"/>
        <v>1</v>
      </c>
      <c r="AH499">
        <f t="shared" si="77"/>
        <v>0</v>
      </c>
      <c r="AI499">
        <f t="shared" si="78"/>
        <v>1</v>
      </c>
      <c r="AJ499">
        <v>257.7</v>
      </c>
      <c r="AK499">
        <v>1027.8</v>
      </c>
      <c r="AL499">
        <v>30</v>
      </c>
      <c r="AM499">
        <v>6.6</v>
      </c>
      <c r="AN499">
        <v>0</v>
      </c>
      <c r="AO499">
        <v>0</v>
      </c>
      <c r="AP499">
        <v>0</v>
      </c>
      <c r="AQ499">
        <v>0</v>
      </c>
      <c r="AR499" t="s">
        <v>1675</v>
      </c>
      <c r="AS499" t="s">
        <v>1676</v>
      </c>
      <c r="AT499">
        <v>0</v>
      </c>
      <c r="AU499" t="s">
        <v>43</v>
      </c>
      <c r="AV499" t="s">
        <v>44</v>
      </c>
      <c r="AW499" t="s">
        <v>45</v>
      </c>
      <c r="AX499" s="1">
        <v>0.50347222222222221</v>
      </c>
      <c r="AY499" t="s">
        <v>1677</v>
      </c>
      <c r="AZ499">
        <v>310.00000000465661</v>
      </c>
      <c r="BA499">
        <v>0</v>
      </c>
      <c r="BB499">
        <v>0</v>
      </c>
      <c r="BC499">
        <v>100</v>
      </c>
      <c r="BD499">
        <v>0</v>
      </c>
      <c r="BE499">
        <f t="shared" si="79"/>
        <v>1</v>
      </c>
    </row>
    <row r="500" spans="1:57" x14ac:dyDescent="0.25">
      <c r="A500" t="s">
        <v>39</v>
      </c>
      <c r="B500" t="s">
        <v>1662</v>
      </c>
      <c r="C500">
        <v>66.3</v>
      </c>
      <c r="D500">
        <v>50.1</v>
      </c>
      <c r="G500">
        <f t="shared" si="70"/>
        <v>1</v>
      </c>
      <c r="H500">
        <f t="shared" si="71"/>
        <v>1</v>
      </c>
      <c r="I500">
        <f t="shared" si="72"/>
        <v>0</v>
      </c>
      <c r="J500">
        <v>58.1</v>
      </c>
      <c r="K500">
        <v>66.3</v>
      </c>
      <c r="L500">
        <v>50.1</v>
      </c>
      <c r="M500">
        <v>58.1</v>
      </c>
      <c r="N500">
        <v>45.9</v>
      </c>
      <c r="O500">
        <v>64.5</v>
      </c>
      <c r="S500">
        <f t="shared" si="73"/>
        <v>0</v>
      </c>
      <c r="T500">
        <f t="shared" si="74"/>
        <v>0</v>
      </c>
      <c r="U500">
        <f t="shared" si="75"/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10.3</v>
      </c>
      <c r="AG500">
        <f t="shared" si="76"/>
        <v>1</v>
      </c>
      <c r="AH500">
        <f t="shared" si="77"/>
        <v>0</v>
      </c>
      <c r="AI500">
        <f t="shared" si="78"/>
        <v>1</v>
      </c>
      <c r="AJ500">
        <v>148.1</v>
      </c>
      <c r="AK500">
        <v>1018.8</v>
      </c>
      <c r="AL500">
        <v>90</v>
      </c>
      <c r="AM500">
        <v>6.3</v>
      </c>
      <c r="AN500">
        <v>0</v>
      </c>
      <c r="AO500">
        <v>0</v>
      </c>
      <c r="AP500">
        <v>0</v>
      </c>
      <c r="AQ500">
        <v>0</v>
      </c>
      <c r="AR500" t="s">
        <v>1663</v>
      </c>
      <c r="AS500" t="s">
        <v>1664</v>
      </c>
      <c r="AT500">
        <v>0.52</v>
      </c>
      <c r="AU500" t="s">
        <v>43</v>
      </c>
      <c r="AV500" t="s">
        <v>44</v>
      </c>
      <c r="AW500" t="s">
        <v>45</v>
      </c>
      <c r="AX500" s="1">
        <v>0.47847222222222219</v>
      </c>
      <c r="AY500" t="s">
        <v>1678</v>
      </c>
      <c r="AZ500">
        <v>420.99999999976723</v>
      </c>
      <c r="BA500">
        <v>1</v>
      </c>
      <c r="BB500">
        <v>0</v>
      </c>
      <c r="BC500">
        <v>10</v>
      </c>
      <c r="BD500">
        <v>0</v>
      </c>
      <c r="BE500">
        <f t="shared" si="79"/>
        <v>1</v>
      </c>
    </row>
    <row r="501" spans="1:57" x14ac:dyDescent="0.25">
      <c r="A501" t="s">
        <v>39</v>
      </c>
      <c r="B501" t="s">
        <v>1679</v>
      </c>
      <c r="C501">
        <v>71.7</v>
      </c>
      <c r="D501">
        <v>57.3</v>
      </c>
      <c r="G501">
        <f t="shared" si="70"/>
        <v>1</v>
      </c>
      <c r="H501">
        <f t="shared" si="71"/>
        <v>1</v>
      </c>
      <c r="I501">
        <f t="shared" si="72"/>
        <v>0</v>
      </c>
      <c r="J501">
        <v>62.4</v>
      </c>
      <c r="K501">
        <v>71.7</v>
      </c>
      <c r="L501">
        <v>57.3</v>
      </c>
      <c r="M501">
        <v>62.4</v>
      </c>
      <c r="N501">
        <v>50.2</v>
      </c>
      <c r="O501">
        <v>65.400000000000006</v>
      </c>
      <c r="S501">
        <f t="shared" si="73"/>
        <v>0</v>
      </c>
      <c r="T501">
        <f t="shared" si="74"/>
        <v>0</v>
      </c>
      <c r="U501">
        <f t="shared" si="75"/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16.100000000000001</v>
      </c>
      <c r="AG501">
        <f t="shared" si="76"/>
        <v>0</v>
      </c>
      <c r="AH501">
        <f t="shared" si="77"/>
        <v>0</v>
      </c>
      <c r="AI501">
        <f t="shared" si="78"/>
        <v>0</v>
      </c>
      <c r="AJ501">
        <v>316.89999999999998</v>
      </c>
      <c r="AK501">
        <v>1012</v>
      </c>
      <c r="AL501">
        <v>86.7</v>
      </c>
      <c r="AM501">
        <v>6.6</v>
      </c>
      <c r="AN501">
        <v>0</v>
      </c>
      <c r="AO501">
        <v>0</v>
      </c>
      <c r="AP501">
        <v>0</v>
      </c>
      <c r="AQ501">
        <v>0</v>
      </c>
      <c r="AR501" t="s">
        <v>1680</v>
      </c>
      <c r="AS501" t="s">
        <v>1681</v>
      </c>
      <c r="AT501">
        <v>0.63</v>
      </c>
      <c r="AU501" t="s">
        <v>43</v>
      </c>
      <c r="AV501" t="s">
        <v>44</v>
      </c>
      <c r="AW501" t="s">
        <v>45</v>
      </c>
      <c r="AX501" s="1">
        <v>0.58263888888888893</v>
      </c>
      <c r="AY501" t="s">
        <v>1682</v>
      </c>
      <c r="AZ501">
        <v>91.000000003259629</v>
      </c>
      <c r="BA501">
        <v>0</v>
      </c>
      <c r="BB501">
        <v>0</v>
      </c>
      <c r="BC501">
        <v>1</v>
      </c>
      <c r="BD501">
        <v>0</v>
      </c>
      <c r="BE501">
        <f t="shared" si="79"/>
        <v>0</v>
      </c>
    </row>
    <row r="502" spans="1:57" x14ac:dyDescent="0.25">
      <c r="A502" t="s">
        <v>39</v>
      </c>
      <c r="B502" t="s">
        <v>1683</v>
      </c>
      <c r="C502">
        <v>71.7</v>
      </c>
      <c r="D502">
        <v>60.9</v>
      </c>
      <c r="G502">
        <f t="shared" si="70"/>
        <v>0</v>
      </c>
      <c r="H502">
        <f t="shared" si="71"/>
        <v>0</v>
      </c>
      <c r="I502">
        <f t="shared" si="72"/>
        <v>0</v>
      </c>
      <c r="J502">
        <v>67.099999999999994</v>
      </c>
      <c r="K502">
        <v>71.7</v>
      </c>
      <c r="L502">
        <v>60.9</v>
      </c>
      <c r="M502">
        <v>67.099999999999994</v>
      </c>
      <c r="N502">
        <v>60.3</v>
      </c>
      <c r="O502">
        <v>79.400000000000006</v>
      </c>
      <c r="S502">
        <f t="shared" si="73"/>
        <v>1</v>
      </c>
      <c r="T502">
        <f t="shared" si="74"/>
        <v>1</v>
      </c>
      <c r="U502">
        <f t="shared" si="75"/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17.2</v>
      </c>
      <c r="AG502">
        <f t="shared" si="76"/>
        <v>0</v>
      </c>
      <c r="AH502">
        <f t="shared" si="77"/>
        <v>0</v>
      </c>
      <c r="AI502">
        <f t="shared" si="78"/>
        <v>0</v>
      </c>
      <c r="AJ502">
        <v>335.4</v>
      </c>
      <c r="AK502">
        <v>1012.4</v>
      </c>
      <c r="AL502">
        <v>49.2</v>
      </c>
      <c r="AM502">
        <v>6.8</v>
      </c>
      <c r="AN502">
        <v>0</v>
      </c>
      <c r="AO502">
        <v>0</v>
      </c>
      <c r="AP502">
        <v>0</v>
      </c>
      <c r="AQ502">
        <v>0</v>
      </c>
      <c r="AR502" t="s">
        <v>1684</v>
      </c>
      <c r="AS502" t="s">
        <v>1685</v>
      </c>
      <c r="AT502">
        <v>0.63</v>
      </c>
      <c r="AU502" t="s">
        <v>43</v>
      </c>
      <c r="AV502" t="s">
        <v>44</v>
      </c>
      <c r="AW502" t="s">
        <v>45</v>
      </c>
      <c r="AX502" s="1">
        <v>0.74236111111111114</v>
      </c>
      <c r="AY502" t="s">
        <v>1686</v>
      </c>
      <c r="AZ502">
        <v>921.00000000558794</v>
      </c>
      <c r="BA502">
        <v>1</v>
      </c>
      <c r="BB502">
        <v>0.1</v>
      </c>
      <c r="BC502">
        <v>0</v>
      </c>
      <c r="BD502">
        <v>0</v>
      </c>
      <c r="BE502">
        <f t="shared" si="79"/>
        <v>0</v>
      </c>
    </row>
    <row r="503" spans="1:57" x14ac:dyDescent="0.25">
      <c r="A503" t="s">
        <v>39</v>
      </c>
      <c r="B503" t="s">
        <v>1687</v>
      </c>
      <c r="C503">
        <v>82.5</v>
      </c>
      <c r="D503">
        <v>75.3</v>
      </c>
      <c r="G503">
        <f t="shared" si="70"/>
        <v>0</v>
      </c>
      <c r="H503">
        <f t="shared" si="71"/>
        <v>0</v>
      </c>
      <c r="I503">
        <f t="shared" si="72"/>
        <v>0</v>
      </c>
      <c r="J503">
        <v>78.7</v>
      </c>
      <c r="K503">
        <v>85.5</v>
      </c>
      <c r="L503">
        <v>75.3</v>
      </c>
      <c r="M503">
        <v>79.599999999999994</v>
      </c>
      <c r="N503">
        <v>65.5</v>
      </c>
      <c r="O503">
        <v>64.099999999999994</v>
      </c>
      <c r="S503">
        <f t="shared" si="73"/>
        <v>1</v>
      </c>
      <c r="T503">
        <f t="shared" si="74"/>
        <v>1</v>
      </c>
      <c r="U503">
        <f t="shared" si="75"/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18.3</v>
      </c>
      <c r="AG503">
        <f t="shared" si="76"/>
        <v>0</v>
      </c>
      <c r="AH503">
        <f t="shared" si="77"/>
        <v>0</v>
      </c>
      <c r="AI503">
        <f t="shared" si="78"/>
        <v>0</v>
      </c>
      <c r="AJ503">
        <v>310.10000000000002</v>
      </c>
      <c r="AK503">
        <v>1011.7</v>
      </c>
      <c r="AL503">
        <v>30</v>
      </c>
      <c r="AM503">
        <v>6.7</v>
      </c>
      <c r="AN503">
        <v>0</v>
      </c>
      <c r="AO503">
        <v>0</v>
      </c>
      <c r="AP503">
        <v>0</v>
      </c>
      <c r="AQ503">
        <v>0</v>
      </c>
      <c r="AR503" t="s">
        <v>1688</v>
      </c>
      <c r="AS503" t="s">
        <v>1689</v>
      </c>
      <c r="AT503">
        <v>0.89</v>
      </c>
      <c r="AU503" t="s">
        <v>43</v>
      </c>
      <c r="AV503" t="s">
        <v>44</v>
      </c>
      <c r="AW503" t="s">
        <v>45</v>
      </c>
      <c r="AX503" s="1">
        <v>0.64930555555555558</v>
      </c>
      <c r="AY503" t="s">
        <v>1690</v>
      </c>
      <c r="AZ503">
        <v>1100.0000000023281</v>
      </c>
      <c r="BA503">
        <v>1</v>
      </c>
      <c r="BB503">
        <v>0</v>
      </c>
      <c r="BC503">
        <v>3</v>
      </c>
      <c r="BD503">
        <v>0</v>
      </c>
      <c r="BE503">
        <f t="shared" si="79"/>
        <v>0</v>
      </c>
    </row>
    <row r="504" spans="1:57" x14ac:dyDescent="0.25">
      <c r="A504" t="s">
        <v>39</v>
      </c>
      <c r="B504" t="s">
        <v>1691</v>
      </c>
      <c r="C504">
        <v>48.3</v>
      </c>
      <c r="D504">
        <v>46.5</v>
      </c>
      <c r="G504">
        <f t="shared" si="70"/>
        <v>1</v>
      </c>
      <c r="H504">
        <f t="shared" si="71"/>
        <v>0</v>
      </c>
      <c r="I504">
        <f t="shared" si="72"/>
        <v>1</v>
      </c>
      <c r="J504">
        <v>46.8</v>
      </c>
      <c r="K504">
        <v>41.7</v>
      </c>
      <c r="L504">
        <v>37.799999999999997</v>
      </c>
      <c r="M504">
        <v>39.4</v>
      </c>
      <c r="N504">
        <v>32.799999999999997</v>
      </c>
      <c r="O504">
        <v>58.3</v>
      </c>
      <c r="S504">
        <f t="shared" si="73"/>
        <v>1</v>
      </c>
      <c r="T504">
        <f t="shared" si="74"/>
        <v>0</v>
      </c>
      <c r="U504">
        <f t="shared" si="75"/>
        <v>1</v>
      </c>
      <c r="V504">
        <v>0.02</v>
      </c>
      <c r="W504">
        <v>100</v>
      </c>
      <c r="X504">
        <v>4.17</v>
      </c>
      <c r="Y504" t="s">
        <v>103</v>
      </c>
      <c r="Z504">
        <v>0</v>
      </c>
      <c r="AA504">
        <v>0</v>
      </c>
      <c r="AB504">
        <v>0</v>
      </c>
      <c r="AC504">
        <v>26.4</v>
      </c>
      <c r="AG504">
        <f t="shared" si="76"/>
        <v>1</v>
      </c>
      <c r="AH504">
        <f t="shared" si="77"/>
        <v>1</v>
      </c>
      <c r="AI504">
        <f t="shared" si="78"/>
        <v>0</v>
      </c>
      <c r="AJ504">
        <v>324.8</v>
      </c>
      <c r="AK504">
        <v>1023.5</v>
      </c>
      <c r="AL504">
        <v>92.1</v>
      </c>
      <c r="AM504">
        <v>6.8</v>
      </c>
      <c r="AN504">
        <v>0</v>
      </c>
      <c r="AO504">
        <v>0</v>
      </c>
      <c r="AP504">
        <v>0</v>
      </c>
      <c r="AQ504">
        <v>0</v>
      </c>
      <c r="AR504" t="s">
        <v>1692</v>
      </c>
      <c r="AS504" t="s">
        <v>1693</v>
      </c>
      <c r="AT504">
        <v>0.08</v>
      </c>
      <c r="AU504" t="s">
        <v>1357</v>
      </c>
      <c r="AV504" t="s">
        <v>1694</v>
      </c>
      <c r="AW504" t="s">
        <v>103</v>
      </c>
      <c r="AX504" s="1">
        <v>0.4861111111111111</v>
      </c>
      <c r="AY504" t="s">
        <v>1695</v>
      </c>
      <c r="AZ504">
        <v>130.00000000465661</v>
      </c>
      <c r="BA504">
        <v>0</v>
      </c>
      <c r="BB504">
        <v>0</v>
      </c>
      <c r="BC504">
        <v>5</v>
      </c>
      <c r="BD504">
        <v>0</v>
      </c>
      <c r="BE504">
        <f t="shared" si="79"/>
        <v>1</v>
      </c>
    </row>
    <row r="505" spans="1:57" x14ac:dyDescent="0.25">
      <c r="A505" t="s">
        <v>39</v>
      </c>
      <c r="B505" t="s">
        <v>1696</v>
      </c>
      <c r="C505">
        <v>78.900000000000006</v>
      </c>
      <c r="D505">
        <v>64.5</v>
      </c>
      <c r="G505">
        <f t="shared" si="70"/>
        <v>0</v>
      </c>
      <c r="H505">
        <f t="shared" si="71"/>
        <v>0</v>
      </c>
      <c r="I505">
        <f t="shared" si="72"/>
        <v>0</v>
      </c>
      <c r="J505">
        <v>72.400000000000006</v>
      </c>
      <c r="K505">
        <v>78.900000000000006</v>
      </c>
      <c r="L505">
        <v>64.5</v>
      </c>
      <c r="M505">
        <v>72.400000000000006</v>
      </c>
      <c r="N505">
        <v>60.6</v>
      </c>
      <c r="O505">
        <v>67.900000000000006</v>
      </c>
      <c r="S505">
        <f t="shared" si="73"/>
        <v>0</v>
      </c>
      <c r="T505">
        <f t="shared" si="74"/>
        <v>0</v>
      </c>
      <c r="U505">
        <f t="shared" si="75"/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11.4</v>
      </c>
      <c r="AG505">
        <f t="shared" si="76"/>
        <v>1</v>
      </c>
      <c r="AH505">
        <f t="shared" si="77"/>
        <v>0</v>
      </c>
      <c r="AI505">
        <f t="shared" si="78"/>
        <v>1</v>
      </c>
      <c r="AJ505">
        <v>159.19999999999999</v>
      </c>
      <c r="AK505">
        <v>1013</v>
      </c>
      <c r="AL505">
        <v>31.8</v>
      </c>
      <c r="AM505">
        <v>6.8</v>
      </c>
      <c r="AN505">
        <v>0</v>
      </c>
      <c r="AO505">
        <v>0</v>
      </c>
      <c r="AP505">
        <v>0</v>
      </c>
      <c r="AQ505">
        <v>0</v>
      </c>
      <c r="AR505" t="s">
        <v>1697</v>
      </c>
      <c r="AS505" t="s">
        <v>1698</v>
      </c>
      <c r="AT505">
        <v>0.7</v>
      </c>
      <c r="AU505" t="s">
        <v>43</v>
      </c>
      <c r="AV505" t="s">
        <v>44</v>
      </c>
      <c r="AW505" t="s">
        <v>45</v>
      </c>
      <c r="AX505" s="1">
        <v>0.43402777777777779</v>
      </c>
      <c r="AY505" t="s">
        <v>1699</v>
      </c>
      <c r="AZ505">
        <v>289.99999999185093</v>
      </c>
      <c r="BA505">
        <v>0</v>
      </c>
      <c r="BB505">
        <v>0</v>
      </c>
      <c r="BC505">
        <v>0.05</v>
      </c>
      <c r="BD505">
        <v>0</v>
      </c>
      <c r="BE505">
        <f t="shared" si="79"/>
        <v>0</v>
      </c>
    </row>
    <row r="506" spans="1:57" x14ac:dyDescent="0.25">
      <c r="A506" t="s">
        <v>39</v>
      </c>
      <c r="B506" t="s">
        <v>1700</v>
      </c>
      <c r="C506">
        <v>73.5</v>
      </c>
      <c r="D506">
        <v>59.1</v>
      </c>
      <c r="G506">
        <f t="shared" si="70"/>
        <v>0</v>
      </c>
      <c r="H506">
        <f t="shared" si="71"/>
        <v>0</v>
      </c>
      <c r="I506">
        <f t="shared" si="72"/>
        <v>0</v>
      </c>
      <c r="J506">
        <v>66.099999999999994</v>
      </c>
      <c r="K506">
        <v>73.5</v>
      </c>
      <c r="L506">
        <v>59.1</v>
      </c>
      <c r="M506">
        <v>66.099999999999994</v>
      </c>
      <c r="N506">
        <v>57.5</v>
      </c>
      <c r="O506">
        <v>74.7</v>
      </c>
      <c r="S506">
        <f t="shared" si="73"/>
        <v>1</v>
      </c>
      <c r="T506">
        <f t="shared" si="74"/>
        <v>1</v>
      </c>
      <c r="U506">
        <f t="shared" si="75"/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10.3</v>
      </c>
      <c r="AG506">
        <f t="shared" si="76"/>
        <v>1</v>
      </c>
      <c r="AH506">
        <f t="shared" si="77"/>
        <v>0</v>
      </c>
      <c r="AI506">
        <f t="shared" si="78"/>
        <v>1</v>
      </c>
      <c r="AJ506">
        <v>153</v>
      </c>
      <c r="AK506">
        <v>1020.9</v>
      </c>
      <c r="AL506">
        <v>35</v>
      </c>
      <c r="AM506">
        <v>6.6</v>
      </c>
      <c r="AN506">
        <v>0</v>
      </c>
      <c r="AO506">
        <v>0</v>
      </c>
      <c r="AP506">
        <v>0</v>
      </c>
      <c r="AQ506">
        <v>0</v>
      </c>
      <c r="AR506" t="s">
        <v>1701</v>
      </c>
      <c r="AS506" t="s">
        <v>1702</v>
      </c>
      <c r="AT506">
        <v>0.72</v>
      </c>
      <c r="AU506" t="s">
        <v>43</v>
      </c>
      <c r="AV506" t="s">
        <v>44</v>
      </c>
      <c r="AW506" t="s">
        <v>45</v>
      </c>
      <c r="AX506" s="1">
        <v>0.6875</v>
      </c>
      <c r="AY506" t="s">
        <v>1703</v>
      </c>
      <c r="AZ506">
        <v>300.00000000349252</v>
      </c>
      <c r="BA506">
        <v>0</v>
      </c>
      <c r="BB506">
        <v>0</v>
      </c>
      <c r="BC506">
        <v>2</v>
      </c>
      <c r="BD506">
        <v>0</v>
      </c>
      <c r="BE506">
        <f t="shared" si="79"/>
        <v>0</v>
      </c>
    </row>
    <row r="507" spans="1:57" x14ac:dyDescent="0.25">
      <c r="A507" t="s">
        <v>39</v>
      </c>
      <c r="B507" t="s">
        <v>1704</v>
      </c>
      <c r="C507">
        <v>87.9</v>
      </c>
      <c r="D507">
        <v>71.7</v>
      </c>
      <c r="G507">
        <f t="shared" si="70"/>
        <v>1</v>
      </c>
      <c r="H507">
        <f t="shared" si="71"/>
        <v>1</v>
      </c>
      <c r="I507">
        <f t="shared" si="72"/>
        <v>0</v>
      </c>
      <c r="J507">
        <v>77.3</v>
      </c>
      <c r="K507">
        <v>86.4</v>
      </c>
      <c r="L507">
        <v>71.7</v>
      </c>
      <c r="M507">
        <v>77.7</v>
      </c>
      <c r="N507">
        <v>58.9</v>
      </c>
      <c r="O507">
        <v>55.7</v>
      </c>
      <c r="S507">
        <f t="shared" si="73"/>
        <v>1</v>
      </c>
      <c r="T507">
        <f t="shared" si="74"/>
        <v>0</v>
      </c>
      <c r="U507">
        <f t="shared" si="75"/>
        <v>1</v>
      </c>
      <c r="V507">
        <v>1.2E-2</v>
      </c>
      <c r="W507">
        <v>100</v>
      </c>
      <c r="X507">
        <v>4.17</v>
      </c>
      <c r="Y507" t="s">
        <v>103</v>
      </c>
      <c r="Z507">
        <v>0</v>
      </c>
      <c r="AA507">
        <v>0</v>
      </c>
      <c r="AB507">
        <v>0</v>
      </c>
      <c r="AC507">
        <v>17.2</v>
      </c>
      <c r="AG507">
        <f t="shared" si="76"/>
        <v>0</v>
      </c>
      <c r="AH507">
        <f t="shared" si="77"/>
        <v>0</v>
      </c>
      <c r="AI507">
        <f t="shared" si="78"/>
        <v>0</v>
      </c>
      <c r="AJ507">
        <v>292.39999999999998</v>
      </c>
      <c r="AK507">
        <v>1006.5</v>
      </c>
      <c r="AL507">
        <v>57.3</v>
      </c>
      <c r="AM507">
        <v>6.4</v>
      </c>
      <c r="AN507">
        <v>0</v>
      </c>
      <c r="AO507">
        <v>0</v>
      </c>
      <c r="AP507">
        <v>0</v>
      </c>
      <c r="AQ507">
        <v>0</v>
      </c>
      <c r="AR507" t="s">
        <v>1705</v>
      </c>
      <c r="AS507" t="s">
        <v>1706</v>
      </c>
      <c r="AT507">
        <v>0.41</v>
      </c>
      <c r="AU507" t="s">
        <v>106</v>
      </c>
      <c r="AV507" t="s">
        <v>438</v>
      </c>
      <c r="AW507" t="s">
        <v>103</v>
      </c>
      <c r="AX507" s="1">
        <v>0.72569444444444442</v>
      </c>
      <c r="AY507" t="s">
        <v>1707</v>
      </c>
      <c r="AZ507">
        <v>374.99999999650748</v>
      </c>
      <c r="BA507">
        <v>1</v>
      </c>
      <c r="BB507">
        <v>0</v>
      </c>
      <c r="BC507">
        <v>0.02</v>
      </c>
      <c r="BD507">
        <v>0</v>
      </c>
      <c r="BE507">
        <f t="shared" si="79"/>
        <v>1</v>
      </c>
    </row>
    <row r="508" spans="1:57" x14ac:dyDescent="0.25">
      <c r="A508" t="s">
        <v>39</v>
      </c>
      <c r="B508" t="s">
        <v>1708</v>
      </c>
      <c r="C508">
        <v>80.7</v>
      </c>
      <c r="D508">
        <v>66.3</v>
      </c>
      <c r="G508">
        <f t="shared" si="70"/>
        <v>1</v>
      </c>
      <c r="H508">
        <f t="shared" si="71"/>
        <v>1</v>
      </c>
      <c r="I508">
        <f t="shared" si="72"/>
        <v>0</v>
      </c>
      <c r="J508">
        <v>73.2</v>
      </c>
      <c r="K508">
        <v>78.900000000000006</v>
      </c>
      <c r="L508">
        <v>66.3</v>
      </c>
      <c r="M508">
        <v>73.099999999999994</v>
      </c>
      <c r="N508">
        <v>57.7</v>
      </c>
      <c r="O508">
        <v>62.4</v>
      </c>
      <c r="S508">
        <f t="shared" si="73"/>
        <v>1</v>
      </c>
      <c r="T508">
        <f t="shared" si="74"/>
        <v>0</v>
      </c>
      <c r="U508">
        <f t="shared" si="75"/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13.9</v>
      </c>
      <c r="AG508">
        <f t="shared" si="76"/>
        <v>1</v>
      </c>
      <c r="AH508">
        <f t="shared" si="77"/>
        <v>0</v>
      </c>
      <c r="AI508">
        <f t="shared" si="78"/>
        <v>1</v>
      </c>
      <c r="AJ508">
        <v>8.4</v>
      </c>
      <c r="AK508">
        <v>1010.4</v>
      </c>
      <c r="AL508">
        <v>0</v>
      </c>
      <c r="AM508">
        <v>6.2</v>
      </c>
      <c r="AN508">
        <v>0</v>
      </c>
      <c r="AO508">
        <v>0</v>
      </c>
      <c r="AP508">
        <v>0</v>
      </c>
      <c r="AQ508">
        <v>0</v>
      </c>
      <c r="AR508" t="s">
        <v>1709</v>
      </c>
      <c r="AS508" t="s">
        <v>1710</v>
      </c>
      <c r="AT508">
        <v>0.36</v>
      </c>
      <c r="AU508" t="s">
        <v>74</v>
      </c>
      <c r="AV508" t="s">
        <v>44</v>
      </c>
      <c r="AW508" t="s">
        <v>75</v>
      </c>
      <c r="AX508" s="1">
        <v>0.61388888888888893</v>
      </c>
      <c r="AY508" t="s">
        <v>1711</v>
      </c>
      <c r="AZ508">
        <v>1936.0000000032601</v>
      </c>
      <c r="BA508">
        <v>1</v>
      </c>
      <c r="BB508">
        <v>20</v>
      </c>
      <c r="BC508">
        <v>0</v>
      </c>
      <c r="BD508">
        <v>0</v>
      </c>
      <c r="BE508">
        <f t="shared" si="79"/>
        <v>1</v>
      </c>
    </row>
    <row r="509" spans="1:57" x14ac:dyDescent="0.25">
      <c r="A509" t="s">
        <v>39</v>
      </c>
      <c r="B509" t="s">
        <v>1712</v>
      </c>
      <c r="C509">
        <v>57.3</v>
      </c>
      <c r="D509">
        <v>53.7</v>
      </c>
      <c r="G509">
        <f t="shared" si="70"/>
        <v>0</v>
      </c>
      <c r="H509">
        <f t="shared" si="71"/>
        <v>0</v>
      </c>
      <c r="I509">
        <f t="shared" si="72"/>
        <v>0</v>
      </c>
      <c r="J509">
        <v>55.1</v>
      </c>
      <c r="K509">
        <v>57.3</v>
      </c>
      <c r="L509">
        <v>53.7</v>
      </c>
      <c r="M509">
        <v>55.1</v>
      </c>
      <c r="N509">
        <v>45.4</v>
      </c>
      <c r="O509">
        <v>70</v>
      </c>
      <c r="S509">
        <f t="shared" si="73"/>
        <v>1</v>
      </c>
      <c r="T509">
        <f t="shared" si="74"/>
        <v>1</v>
      </c>
      <c r="U509">
        <f t="shared" si="75"/>
        <v>0</v>
      </c>
      <c r="V509">
        <v>0.41</v>
      </c>
      <c r="W509">
        <v>100</v>
      </c>
      <c r="X509">
        <v>8.33</v>
      </c>
      <c r="Y509" t="s">
        <v>103</v>
      </c>
      <c r="Z509">
        <v>0</v>
      </c>
      <c r="AA509">
        <v>0</v>
      </c>
      <c r="AB509">
        <v>0</v>
      </c>
      <c r="AC509">
        <v>33.299999999999997</v>
      </c>
      <c r="AG509">
        <f t="shared" si="76"/>
        <v>1</v>
      </c>
      <c r="AH509">
        <f t="shared" si="77"/>
        <v>1</v>
      </c>
      <c r="AI509">
        <f t="shared" si="78"/>
        <v>0</v>
      </c>
      <c r="AJ509">
        <v>353.1</v>
      </c>
      <c r="AK509">
        <v>1022.9</v>
      </c>
      <c r="AL509">
        <v>89.6</v>
      </c>
      <c r="AM509">
        <v>6.5</v>
      </c>
      <c r="AN509">
        <v>0</v>
      </c>
      <c r="AO509">
        <v>0</v>
      </c>
      <c r="AP509">
        <v>0</v>
      </c>
      <c r="AQ509">
        <v>0</v>
      </c>
      <c r="AR509" t="s">
        <v>1713</v>
      </c>
      <c r="AS509" t="s">
        <v>1714</v>
      </c>
      <c r="AT509">
        <v>0.93</v>
      </c>
      <c r="AU509" t="s">
        <v>106</v>
      </c>
      <c r="AV509" t="s">
        <v>257</v>
      </c>
      <c r="AW509" t="s">
        <v>103</v>
      </c>
      <c r="AX509" s="1">
        <v>0.56180555555555556</v>
      </c>
      <c r="AY509" t="s">
        <v>1715</v>
      </c>
      <c r="AZ509">
        <v>211.00000000675209</v>
      </c>
      <c r="BA509">
        <v>0</v>
      </c>
      <c r="BB509">
        <v>5</v>
      </c>
      <c r="BC509">
        <v>0</v>
      </c>
      <c r="BD509">
        <v>0</v>
      </c>
      <c r="BE509">
        <f t="shared" si="79"/>
        <v>0</v>
      </c>
    </row>
    <row r="510" spans="1:57" x14ac:dyDescent="0.25">
      <c r="A510" t="s">
        <v>39</v>
      </c>
      <c r="B510" t="s">
        <v>1716</v>
      </c>
      <c r="C510">
        <v>53.7</v>
      </c>
      <c r="D510">
        <v>50.1</v>
      </c>
      <c r="G510">
        <f t="shared" si="70"/>
        <v>1</v>
      </c>
      <c r="H510">
        <f t="shared" si="71"/>
        <v>0</v>
      </c>
      <c r="I510">
        <f t="shared" si="72"/>
        <v>1</v>
      </c>
      <c r="J510">
        <v>50.6</v>
      </c>
      <c r="K510">
        <v>53.7</v>
      </c>
      <c r="L510">
        <v>50.1</v>
      </c>
      <c r="M510">
        <v>50.6</v>
      </c>
      <c r="N510">
        <v>31.9</v>
      </c>
      <c r="O510">
        <v>48.7</v>
      </c>
      <c r="S510">
        <f t="shared" si="73"/>
        <v>1</v>
      </c>
      <c r="T510">
        <f t="shared" si="74"/>
        <v>0</v>
      </c>
      <c r="U510">
        <f t="shared" si="75"/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28.9</v>
      </c>
      <c r="AG510">
        <f t="shared" si="76"/>
        <v>1</v>
      </c>
      <c r="AH510">
        <f t="shared" si="77"/>
        <v>1</v>
      </c>
      <c r="AI510">
        <f t="shared" si="78"/>
        <v>0</v>
      </c>
      <c r="AJ510">
        <v>327.39999999999998</v>
      </c>
      <c r="AK510">
        <v>1025.7</v>
      </c>
      <c r="AL510">
        <v>93</v>
      </c>
      <c r="AM510">
        <v>6.8</v>
      </c>
      <c r="AN510">
        <v>0</v>
      </c>
      <c r="AO510">
        <v>0</v>
      </c>
      <c r="AP510">
        <v>0</v>
      </c>
      <c r="AQ510">
        <v>0</v>
      </c>
      <c r="AR510" t="s">
        <v>1717</v>
      </c>
      <c r="AS510" t="s">
        <v>1718</v>
      </c>
      <c r="AT510">
        <v>0.8</v>
      </c>
      <c r="AU510" t="s">
        <v>275</v>
      </c>
      <c r="AV510" t="s">
        <v>276</v>
      </c>
      <c r="AW510" t="s">
        <v>277</v>
      </c>
      <c r="AX510" s="1">
        <v>0.62361111111111112</v>
      </c>
      <c r="AY510" t="s">
        <v>1719</v>
      </c>
      <c r="AZ510">
        <v>1786.9999999995341</v>
      </c>
      <c r="BA510">
        <v>1</v>
      </c>
      <c r="BB510">
        <v>0</v>
      </c>
      <c r="BC510">
        <v>6</v>
      </c>
      <c r="BD510">
        <v>0</v>
      </c>
      <c r="BE510">
        <f t="shared" si="79"/>
        <v>1</v>
      </c>
    </row>
    <row r="511" spans="1:57" x14ac:dyDescent="0.25">
      <c r="A511" t="s">
        <v>39</v>
      </c>
      <c r="B511" t="s">
        <v>1720</v>
      </c>
      <c r="C511">
        <v>68.099999999999994</v>
      </c>
      <c r="D511">
        <v>50.1</v>
      </c>
      <c r="G511">
        <f t="shared" si="70"/>
        <v>0</v>
      </c>
      <c r="H511">
        <f t="shared" si="71"/>
        <v>0</v>
      </c>
      <c r="I511">
        <f t="shared" si="72"/>
        <v>0</v>
      </c>
      <c r="J511">
        <v>58.9</v>
      </c>
      <c r="K511">
        <v>68.099999999999994</v>
      </c>
      <c r="L511">
        <v>50.1</v>
      </c>
      <c r="M511">
        <v>58.9</v>
      </c>
      <c r="N511">
        <v>45.4</v>
      </c>
      <c r="O511">
        <v>62.6</v>
      </c>
      <c r="S511">
        <f t="shared" si="73"/>
        <v>1</v>
      </c>
      <c r="T511">
        <f t="shared" si="74"/>
        <v>0</v>
      </c>
      <c r="U511">
        <f t="shared" si="75"/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6.9</v>
      </c>
      <c r="AG511">
        <f t="shared" si="76"/>
        <v>1</v>
      </c>
      <c r="AH511">
        <f t="shared" si="77"/>
        <v>0</v>
      </c>
      <c r="AI511">
        <f t="shared" si="78"/>
        <v>1</v>
      </c>
      <c r="AJ511">
        <v>145.4</v>
      </c>
      <c r="AK511">
        <v>1014.9</v>
      </c>
      <c r="AL511">
        <v>0</v>
      </c>
      <c r="AM511">
        <v>6.2</v>
      </c>
      <c r="AN511">
        <v>0</v>
      </c>
      <c r="AO511">
        <v>0</v>
      </c>
      <c r="AP511">
        <v>0</v>
      </c>
      <c r="AQ511">
        <v>0</v>
      </c>
      <c r="AR511" t="s">
        <v>1721</v>
      </c>
      <c r="AS511" t="s">
        <v>1722</v>
      </c>
      <c r="AT511">
        <v>0.02</v>
      </c>
      <c r="AU511" t="s">
        <v>74</v>
      </c>
      <c r="AV511" t="s">
        <v>44</v>
      </c>
      <c r="AW511" t="s">
        <v>75</v>
      </c>
      <c r="AX511" s="1">
        <v>0.5756944444444444</v>
      </c>
      <c r="AY511" t="s">
        <v>1723</v>
      </c>
      <c r="AZ511">
        <v>236.00000000442381</v>
      </c>
      <c r="BA511">
        <v>0</v>
      </c>
      <c r="BB511">
        <v>0</v>
      </c>
      <c r="BC511">
        <v>1</v>
      </c>
      <c r="BD511">
        <v>0</v>
      </c>
      <c r="BE511">
        <f t="shared" si="79"/>
        <v>0</v>
      </c>
    </row>
    <row r="512" spans="1:57" x14ac:dyDescent="0.25">
      <c r="A512" t="s">
        <v>39</v>
      </c>
      <c r="B512" t="s">
        <v>1720</v>
      </c>
      <c r="C512">
        <v>68.099999999999994</v>
      </c>
      <c r="D512">
        <v>50.1</v>
      </c>
      <c r="G512">
        <f t="shared" si="70"/>
        <v>0</v>
      </c>
      <c r="H512">
        <f t="shared" si="71"/>
        <v>0</v>
      </c>
      <c r="I512">
        <f t="shared" si="72"/>
        <v>0</v>
      </c>
      <c r="J512">
        <v>58.9</v>
      </c>
      <c r="K512">
        <v>68.099999999999994</v>
      </c>
      <c r="L512">
        <v>50.1</v>
      </c>
      <c r="M512">
        <v>58.9</v>
      </c>
      <c r="N512">
        <v>45.4</v>
      </c>
      <c r="O512">
        <v>62.6</v>
      </c>
      <c r="S512">
        <f t="shared" si="73"/>
        <v>1</v>
      </c>
      <c r="T512">
        <f t="shared" si="74"/>
        <v>0</v>
      </c>
      <c r="U512">
        <f t="shared" si="75"/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6.9</v>
      </c>
      <c r="AG512">
        <f t="shared" si="76"/>
        <v>1</v>
      </c>
      <c r="AH512">
        <f t="shared" si="77"/>
        <v>0</v>
      </c>
      <c r="AI512">
        <f t="shared" si="78"/>
        <v>1</v>
      </c>
      <c r="AJ512">
        <v>145.4</v>
      </c>
      <c r="AK512">
        <v>1014.9</v>
      </c>
      <c r="AL512">
        <v>0</v>
      </c>
      <c r="AM512">
        <v>6.2</v>
      </c>
      <c r="AN512">
        <v>0</v>
      </c>
      <c r="AO512">
        <v>0</v>
      </c>
      <c r="AP512">
        <v>0</v>
      </c>
      <c r="AQ512">
        <v>0</v>
      </c>
      <c r="AR512" t="s">
        <v>1721</v>
      </c>
      <c r="AS512" t="s">
        <v>1722</v>
      </c>
      <c r="AT512">
        <v>0.02</v>
      </c>
      <c r="AU512" t="s">
        <v>74</v>
      </c>
      <c r="AV512" t="s">
        <v>44</v>
      </c>
      <c r="AW512" t="s">
        <v>75</v>
      </c>
      <c r="AX512" s="1">
        <v>0.6069444444444444</v>
      </c>
      <c r="AY512" t="s">
        <v>1724</v>
      </c>
      <c r="AZ512">
        <v>230.99999999860299</v>
      </c>
      <c r="BA512">
        <v>0</v>
      </c>
      <c r="BB512">
        <v>0</v>
      </c>
      <c r="BC512">
        <v>1</v>
      </c>
      <c r="BD512">
        <v>0</v>
      </c>
      <c r="BE512">
        <f t="shared" si="79"/>
        <v>0</v>
      </c>
    </row>
    <row r="513" spans="1:57" x14ac:dyDescent="0.25">
      <c r="A513" t="s">
        <v>39</v>
      </c>
      <c r="B513" t="s">
        <v>1725</v>
      </c>
      <c r="C513">
        <v>62.7</v>
      </c>
      <c r="D513">
        <v>59.1</v>
      </c>
      <c r="G513">
        <f t="shared" si="70"/>
        <v>1</v>
      </c>
      <c r="H513">
        <f t="shared" si="71"/>
        <v>0</v>
      </c>
      <c r="I513">
        <f t="shared" si="72"/>
        <v>1</v>
      </c>
      <c r="J513">
        <v>61.4</v>
      </c>
      <c r="K513">
        <v>62.7</v>
      </c>
      <c r="L513">
        <v>59.1</v>
      </c>
      <c r="M513">
        <v>61.4</v>
      </c>
      <c r="N513">
        <v>48.8</v>
      </c>
      <c r="O513">
        <v>63.3</v>
      </c>
      <c r="S513">
        <f t="shared" si="73"/>
        <v>1</v>
      </c>
      <c r="T513">
        <f t="shared" si="74"/>
        <v>0</v>
      </c>
      <c r="U513">
        <f t="shared" si="75"/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16.100000000000001</v>
      </c>
      <c r="AG513">
        <f t="shared" si="76"/>
        <v>0</v>
      </c>
      <c r="AH513">
        <f t="shared" si="77"/>
        <v>0</v>
      </c>
      <c r="AI513">
        <f t="shared" si="78"/>
        <v>0</v>
      </c>
      <c r="AJ513">
        <v>332.8</v>
      </c>
      <c r="AK513">
        <v>1020.8</v>
      </c>
      <c r="AL513">
        <v>70</v>
      </c>
      <c r="AM513">
        <v>6.8</v>
      </c>
      <c r="AN513">
        <v>0</v>
      </c>
      <c r="AO513">
        <v>0</v>
      </c>
      <c r="AP513">
        <v>0</v>
      </c>
      <c r="AQ513">
        <v>0</v>
      </c>
      <c r="AR513" t="s">
        <v>1726</v>
      </c>
      <c r="AS513" t="s">
        <v>1727</v>
      </c>
      <c r="AT513">
        <v>0.37</v>
      </c>
      <c r="AU513" t="s">
        <v>43</v>
      </c>
      <c r="AV513" t="s">
        <v>44</v>
      </c>
      <c r="AW513" t="s">
        <v>45</v>
      </c>
      <c r="AX513" s="1">
        <v>0.55138888888888893</v>
      </c>
      <c r="AY513" t="s">
        <v>1728</v>
      </c>
      <c r="AZ513">
        <v>2100.9999999962752</v>
      </c>
      <c r="BA513">
        <v>1</v>
      </c>
      <c r="BB513">
        <v>0</v>
      </c>
      <c r="BC513">
        <v>20</v>
      </c>
      <c r="BD513">
        <v>0</v>
      </c>
      <c r="BE513">
        <f t="shared" si="79"/>
        <v>0</v>
      </c>
    </row>
    <row r="514" spans="1:57" x14ac:dyDescent="0.25">
      <c r="A514" t="s">
        <v>39</v>
      </c>
      <c r="B514" t="s">
        <v>1666</v>
      </c>
      <c r="C514">
        <v>66.3</v>
      </c>
      <c r="D514">
        <v>53.7</v>
      </c>
      <c r="G514">
        <f t="shared" si="70"/>
        <v>0</v>
      </c>
      <c r="H514">
        <f t="shared" si="71"/>
        <v>0</v>
      </c>
      <c r="I514">
        <f t="shared" si="72"/>
        <v>0</v>
      </c>
      <c r="J514">
        <v>61.6</v>
      </c>
      <c r="K514">
        <v>66.3</v>
      </c>
      <c r="L514">
        <v>53.7</v>
      </c>
      <c r="M514">
        <v>61.6</v>
      </c>
      <c r="N514">
        <v>48.5</v>
      </c>
      <c r="O514">
        <v>62.6</v>
      </c>
      <c r="S514">
        <f t="shared" si="73"/>
        <v>1</v>
      </c>
      <c r="T514">
        <f t="shared" si="74"/>
        <v>0</v>
      </c>
      <c r="U514">
        <f t="shared" si="75"/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10.3</v>
      </c>
      <c r="AG514">
        <f t="shared" si="76"/>
        <v>1</v>
      </c>
      <c r="AH514">
        <f t="shared" si="77"/>
        <v>0</v>
      </c>
      <c r="AI514">
        <f t="shared" si="78"/>
        <v>1</v>
      </c>
      <c r="AJ514">
        <v>336.2</v>
      </c>
      <c r="AK514">
        <v>1023.5</v>
      </c>
      <c r="AL514">
        <v>62.2</v>
      </c>
      <c r="AM514">
        <v>6.8</v>
      </c>
      <c r="AN514">
        <v>0</v>
      </c>
      <c r="AO514">
        <v>0</v>
      </c>
      <c r="AP514">
        <v>0</v>
      </c>
      <c r="AQ514">
        <v>0</v>
      </c>
      <c r="AR514" t="s">
        <v>1667</v>
      </c>
      <c r="AS514" t="s">
        <v>1668</v>
      </c>
      <c r="AT514">
        <v>0.25</v>
      </c>
      <c r="AU514" t="s">
        <v>43</v>
      </c>
      <c r="AV514" t="s">
        <v>44</v>
      </c>
      <c r="AW514" t="s">
        <v>45</v>
      </c>
      <c r="AX514" s="1">
        <v>0.43680555555555561</v>
      </c>
      <c r="AY514" t="s">
        <v>1729</v>
      </c>
      <c r="AZ514">
        <v>240.9999999997672</v>
      </c>
      <c r="BA514">
        <v>0</v>
      </c>
      <c r="BB514">
        <v>0</v>
      </c>
      <c r="BC514">
        <v>7</v>
      </c>
      <c r="BD514">
        <v>0</v>
      </c>
      <c r="BE514">
        <f t="shared" si="79"/>
        <v>0</v>
      </c>
    </row>
    <row r="515" spans="1:57" x14ac:dyDescent="0.25">
      <c r="A515" t="s">
        <v>39</v>
      </c>
      <c r="B515" t="s">
        <v>1730</v>
      </c>
      <c r="C515">
        <v>84.3</v>
      </c>
      <c r="D515">
        <v>69.900000000000006</v>
      </c>
      <c r="G515">
        <f t="shared" ref="G515:G578" si="80">IF(ABS(C515-INDEX($F$2:$F$13,MONTH(B515)))&gt;1.8,1,0)</f>
        <v>0</v>
      </c>
      <c r="H515">
        <f t="shared" ref="H515:H578" si="81">IF(C515&gt;=INDEX($F$2:$F$13,MONTH(B515))+1.8,1,0)</f>
        <v>0</v>
      </c>
      <c r="I515">
        <f t="shared" ref="I515:I578" si="82">IF(C515&lt;=INDEX($F$2:$F$13,MONTH(B515))-1.8,1,0)</f>
        <v>0</v>
      </c>
      <c r="J515">
        <v>76.900000000000006</v>
      </c>
      <c r="K515">
        <v>88.5</v>
      </c>
      <c r="L515">
        <v>69.900000000000006</v>
      </c>
      <c r="M515">
        <v>78.2</v>
      </c>
      <c r="N515">
        <v>61.8</v>
      </c>
      <c r="O515">
        <v>60.3</v>
      </c>
      <c r="S515">
        <f t="shared" ref="S515:S578" si="83">IF(OR(O515&lt;INDEX($Q$2:$Q$13,MONTH(B515)),O515&gt;INDEX($R$2:$R$13,MONTH(B515))),1,0)</f>
        <v>0</v>
      </c>
      <c r="T515">
        <f t="shared" ref="T515:T578" si="84">IF(O515&gt;INDEX($R$2:$R$13,MONTH(B515)),1,0)</f>
        <v>0</v>
      </c>
      <c r="U515">
        <f t="shared" ref="U515:U578" si="85">IF(O515&lt;INDEX($Q$2:$Q$13,MONTH(B515)),1,0)</f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20.8</v>
      </c>
      <c r="AG515">
        <f t="shared" ref="AG515:AG578" si="86">IF(OR(AC515&lt;INDEX($AE$2:$AE$13,MONTH(B515)),AC515&gt;INDEX($AF$2:$AF$13,MONTH(B515))),1,0)</f>
        <v>1</v>
      </c>
      <c r="AH515">
        <f t="shared" ref="AH515:AH578" si="87">IF(AC515&gt;INDEX($AF$2:$AF$13,MONTH(B515)),1,0)</f>
        <v>1</v>
      </c>
      <c r="AI515">
        <f t="shared" ref="AI515:AI578" si="88">IF(AC515&lt;INDEX($AE$2:$AE$13,MONTH(B515)),1,0)</f>
        <v>0</v>
      </c>
      <c r="AJ515">
        <v>300</v>
      </c>
      <c r="AK515">
        <v>1011</v>
      </c>
      <c r="AL515">
        <v>30</v>
      </c>
      <c r="AM515">
        <v>6.4</v>
      </c>
      <c r="AN515">
        <v>0</v>
      </c>
      <c r="AO515">
        <v>0</v>
      </c>
      <c r="AP515">
        <v>0</v>
      </c>
      <c r="AQ515">
        <v>0</v>
      </c>
      <c r="AR515" t="s">
        <v>1731</v>
      </c>
      <c r="AS515" t="s">
        <v>1732</v>
      </c>
      <c r="AT515">
        <v>0.52</v>
      </c>
      <c r="AU515" t="s">
        <v>43</v>
      </c>
      <c r="AV515" t="s">
        <v>44</v>
      </c>
      <c r="AW515" t="s">
        <v>45</v>
      </c>
      <c r="AX515" s="1">
        <v>0.78055555555555556</v>
      </c>
      <c r="AY515" t="s">
        <v>1733</v>
      </c>
      <c r="AZ515">
        <v>46.000000003259629</v>
      </c>
      <c r="BA515">
        <v>0</v>
      </c>
      <c r="BB515">
        <v>0</v>
      </c>
      <c r="BC515">
        <v>0.05</v>
      </c>
      <c r="BD515">
        <v>0</v>
      </c>
      <c r="BE515">
        <f t="shared" ref="BE515:BE578" si="89">IF((3*AH515+3*H515+2*U515+2*BA515-(2*(1-T515)+2*(1-I515)+2*(1-AI515)))&gt;=1,1,0)</f>
        <v>0</v>
      </c>
    </row>
    <row r="516" spans="1:57" x14ac:dyDescent="0.25">
      <c r="A516" t="s">
        <v>39</v>
      </c>
      <c r="B516" t="s">
        <v>1734</v>
      </c>
      <c r="C516">
        <v>51.9</v>
      </c>
      <c r="D516">
        <v>39.299999999999997</v>
      </c>
      <c r="G516">
        <f t="shared" si="80"/>
        <v>1</v>
      </c>
      <c r="H516">
        <f t="shared" si="81"/>
        <v>0</v>
      </c>
      <c r="I516">
        <f t="shared" si="82"/>
        <v>1</v>
      </c>
      <c r="J516">
        <v>47.6</v>
      </c>
      <c r="K516">
        <v>51.9</v>
      </c>
      <c r="L516">
        <v>32.200000000000003</v>
      </c>
      <c r="M516">
        <v>43.3</v>
      </c>
      <c r="N516">
        <v>31.5</v>
      </c>
      <c r="O516">
        <v>54.1</v>
      </c>
      <c r="S516">
        <f t="shared" si="83"/>
        <v>1</v>
      </c>
      <c r="T516">
        <f t="shared" si="84"/>
        <v>0</v>
      </c>
      <c r="U516">
        <f t="shared" si="85"/>
        <v>1</v>
      </c>
      <c r="V516">
        <v>0.11799999999999999</v>
      </c>
      <c r="W516">
        <v>100</v>
      </c>
      <c r="X516">
        <v>8.33</v>
      </c>
      <c r="Y516" t="s">
        <v>103</v>
      </c>
      <c r="Z516">
        <v>0</v>
      </c>
      <c r="AA516">
        <v>0</v>
      </c>
      <c r="AB516">
        <v>0</v>
      </c>
      <c r="AC516">
        <v>21.9</v>
      </c>
      <c r="AG516">
        <f t="shared" si="86"/>
        <v>1</v>
      </c>
      <c r="AH516">
        <f t="shared" si="87"/>
        <v>1</v>
      </c>
      <c r="AI516">
        <f t="shared" si="88"/>
        <v>0</v>
      </c>
      <c r="AJ516">
        <v>317.3</v>
      </c>
      <c r="AK516">
        <v>1022</v>
      </c>
      <c r="AL516">
        <v>66.7</v>
      </c>
      <c r="AM516">
        <v>6.8</v>
      </c>
      <c r="AN516">
        <v>0</v>
      </c>
      <c r="AO516">
        <v>0</v>
      </c>
      <c r="AP516">
        <v>0</v>
      </c>
      <c r="AQ516">
        <v>0</v>
      </c>
      <c r="AR516" t="s">
        <v>1735</v>
      </c>
      <c r="AS516" t="s">
        <v>1736</v>
      </c>
      <c r="AT516">
        <v>0.11</v>
      </c>
      <c r="AU516" t="s">
        <v>106</v>
      </c>
      <c r="AV516" t="s">
        <v>107</v>
      </c>
      <c r="AW516" t="s">
        <v>103</v>
      </c>
      <c r="AX516" s="1">
        <v>0.58611111111111114</v>
      </c>
      <c r="AY516" t="s">
        <v>1737</v>
      </c>
      <c r="AZ516">
        <v>1126.0000000032601</v>
      </c>
      <c r="BA516">
        <v>1</v>
      </c>
      <c r="BB516">
        <v>0</v>
      </c>
      <c r="BC516">
        <v>20</v>
      </c>
      <c r="BD516">
        <v>0</v>
      </c>
      <c r="BE516">
        <f t="shared" si="89"/>
        <v>1</v>
      </c>
    </row>
    <row r="517" spans="1:57" x14ac:dyDescent="0.25">
      <c r="A517" t="s">
        <v>39</v>
      </c>
      <c r="B517" t="s">
        <v>1738</v>
      </c>
      <c r="C517">
        <v>66.3</v>
      </c>
      <c r="D517">
        <v>55.5</v>
      </c>
      <c r="G517">
        <f t="shared" si="80"/>
        <v>1</v>
      </c>
      <c r="H517">
        <f t="shared" si="81"/>
        <v>1</v>
      </c>
      <c r="I517">
        <f t="shared" si="82"/>
        <v>0</v>
      </c>
      <c r="J517">
        <v>60.7</v>
      </c>
      <c r="K517">
        <v>66.3</v>
      </c>
      <c r="L517">
        <v>55.5</v>
      </c>
      <c r="M517">
        <v>60.7</v>
      </c>
      <c r="N517">
        <v>52.7</v>
      </c>
      <c r="O517">
        <v>75.3</v>
      </c>
      <c r="S517">
        <f t="shared" si="83"/>
        <v>1</v>
      </c>
      <c r="T517">
        <f t="shared" si="84"/>
        <v>1</v>
      </c>
      <c r="U517">
        <f t="shared" si="85"/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9.1999999999999993</v>
      </c>
      <c r="AG517">
        <f t="shared" si="86"/>
        <v>1</v>
      </c>
      <c r="AH517">
        <f t="shared" si="87"/>
        <v>0</v>
      </c>
      <c r="AI517">
        <f t="shared" si="88"/>
        <v>1</v>
      </c>
      <c r="AJ517">
        <v>65.2</v>
      </c>
      <c r="AK517">
        <v>1011</v>
      </c>
      <c r="AL517">
        <v>85.2</v>
      </c>
      <c r="AM517">
        <v>6.8</v>
      </c>
      <c r="AN517">
        <v>0</v>
      </c>
      <c r="AO517">
        <v>0</v>
      </c>
      <c r="AP517">
        <v>0</v>
      </c>
      <c r="AQ517">
        <v>0</v>
      </c>
      <c r="AR517" t="s">
        <v>1739</v>
      </c>
      <c r="AS517" t="s">
        <v>1740</v>
      </c>
      <c r="AT517">
        <v>0.66</v>
      </c>
      <c r="AU517" t="s">
        <v>43</v>
      </c>
      <c r="AV517" t="s">
        <v>44</v>
      </c>
      <c r="AW517" t="s">
        <v>45</v>
      </c>
      <c r="AX517" s="1">
        <v>0.78125</v>
      </c>
      <c r="AY517" t="s">
        <v>1741</v>
      </c>
      <c r="AZ517">
        <v>329.99999999650748</v>
      </c>
      <c r="BA517">
        <v>0</v>
      </c>
      <c r="BB517">
        <v>0</v>
      </c>
      <c r="BC517">
        <v>3</v>
      </c>
      <c r="BD517">
        <v>0</v>
      </c>
      <c r="BE517">
        <f t="shared" si="89"/>
        <v>1</v>
      </c>
    </row>
    <row r="518" spans="1:57" x14ac:dyDescent="0.25">
      <c r="A518" t="s">
        <v>39</v>
      </c>
      <c r="B518" t="s">
        <v>1742</v>
      </c>
      <c r="C518">
        <v>64.5</v>
      </c>
      <c r="D518">
        <v>50.1</v>
      </c>
      <c r="G518">
        <f t="shared" si="80"/>
        <v>1</v>
      </c>
      <c r="H518">
        <f t="shared" si="81"/>
        <v>0</v>
      </c>
      <c r="I518">
        <f t="shared" si="82"/>
        <v>1</v>
      </c>
      <c r="J518">
        <v>57.4</v>
      </c>
      <c r="K518">
        <v>64.5</v>
      </c>
      <c r="L518">
        <v>50.1</v>
      </c>
      <c r="M518">
        <v>57.4</v>
      </c>
      <c r="N518">
        <v>48.4</v>
      </c>
      <c r="O518">
        <v>72.900000000000006</v>
      </c>
      <c r="S518">
        <f t="shared" si="83"/>
        <v>1</v>
      </c>
      <c r="T518">
        <f t="shared" si="84"/>
        <v>1</v>
      </c>
      <c r="U518">
        <f t="shared" si="85"/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18.3</v>
      </c>
      <c r="AG518">
        <f t="shared" si="86"/>
        <v>0</v>
      </c>
      <c r="AH518">
        <f t="shared" si="87"/>
        <v>0</v>
      </c>
      <c r="AI518">
        <f t="shared" si="88"/>
        <v>0</v>
      </c>
      <c r="AJ518">
        <v>159.4</v>
      </c>
      <c r="AK518">
        <v>1016.5</v>
      </c>
      <c r="AL518">
        <v>50</v>
      </c>
      <c r="AM518">
        <v>6.8</v>
      </c>
      <c r="AN518">
        <v>0</v>
      </c>
      <c r="AO518">
        <v>0</v>
      </c>
      <c r="AP518">
        <v>0</v>
      </c>
      <c r="AQ518">
        <v>0</v>
      </c>
      <c r="AR518" t="s">
        <v>1743</v>
      </c>
      <c r="AS518" t="s">
        <v>1744</v>
      </c>
      <c r="AT518">
        <v>0.95</v>
      </c>
      <c r="AU518" t="s">
        <v>43</v>
      </c>
      <c r="AV518" t="s">
        <v>44</v>
      </c>
      <c r="AW518" t="s">
        <v>45</v>
      </c>
      <c r="AX518" s="1">
        <v>0.66666666666666663</v>
      </c>
      <c r="AY518" t="s">
        <v>1745</v>
      </c>
      <c r="AZ518">
        <v>515.00000000232831</v>
      </c>
      <c r="BA518">
        <v>1</v>
      </c>
      <c r="BB518">
        <v>0</v>
      </c>
      <c r="BC518">
        <v>5</v>
      </c>
      <c r="BD518">
        <v>0</v>
      </c>
      <c r="BE518">
        <f t="shared" si="89"/>
        <v>0</v>
      </c>
    </row>
    <row r="519" spans="1:57" x14ac:dyDescent="0.25">
      <c r="A519" t="s">
        <v>39</v>
      </c>
      <c r="B519" t="s">
        <v>1746</v>
      </c>
      <c r="C519">
        <v>82.5</v>
      </c>
      <c r="D519">
        <v>75.3</v>
      </c>
      <c r="G519">
        <f t="shared" si="80"/>
        <v>1</v>
      </c>
      <c r="H519">
        <f t="shared" si="81"/>
        <v>1</v>
      </c>
      <c r="I519">
        <f t="shared" si="82"/>
        <v>0</v>
      </c>
      <c r="J519">
        <v>79.2</v>
      </c>
      <c r="K519">
        <v>85.5</v>
      </c>
      <c r="L519">
        <v>75.3</v>
      </c>
      <c r="M519">
        <v>80.2</v>
      </c>
      <c r="N519">
        <v>65.599999999999994</v>
      </c>
      <c r="O519">
        <v>63.4</v>
      </c>
      <c r="S519">
        <f t="shared" si="83"/>
        <v>1</v>
      </c>
      <c r="T519">
        <f t="shared" si="84"/>
        <v>0</v>
      </c>
      <c r="U519">
        <f t="shared" si="85"/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17.2</v>
      </c>
      <c r="AG519">
        <f t="shared" si="86"/>
        <v>0</v>
      </c>
      <c r="AH519">
        <f t="shared" si="87"/>
        <v>0</v>
      </c>
      <c r="AI519">
        <f t="shared" si="88"/>
        <v>0</v>
      </c>
      <c r="AJ519">
        <v>313.10000000000002</v>
      </c>
      <c r="AK519">
        <v>1011.3</v>
      </c>
      <c r="AL519">
        <v>30</v>
      </c>
      <c r="AM519">
        <v>6.7</v>
      </c>
      <c r="AN519">
        <v>0</v>
      </c>
      <c r="AO519">
        <v>0</v>
      </c>
      <c r="AP519">
        <v>0</v>
      </c>
      <c r="AQ519">
        <v>0</v>
      </c>
      <c r="AR519" t="s">
        <v>1747</v>
      </c>
      <c r="AS519" t="s">
        <v>1748</v>
      </c>
      <c r="AT519">
        <v>0.92</v>
      </c>
      <c r="AU519" t="s">
        <v>43</v>
      </c>
      <c r="AV519" t="s">
        <v>44</v>
      </c>
      <c r="AW519" t="s">
        <v>45</v>
      </c>
      <c r="AX519" s="1">
        <v>0.7006944444444444</v>
      </c>
      <c r="AY519" t="s">
        <v>1749</v>
      </c>
      <c r="AZ519">
        <v>2650.9999999974389</v>
      </c>
      <c r="BA519">
        <v>1</v>
      </c>
      <c r="BB519">
        <v>0</v>
      </c>
      <c r="BC519">
        <v>20</v>
      </c>
      <c r="BD519">
        <v>0</v>
      </c>
      <c r="BE519">
        <f t="shared" si="89"/>
        <v>1</v>
      </c>
    </row>
    <row r="520" spans="1:57" x14ac:dyDescent="0.25">
      <c r="A520" t="s">
        <v>39</v>
      </c>
      <c r="B520" t="s">
        <v>1750</v>
      </c>
      <c r="C520">
        <v>84.3</v>
      </c>
      <c r="D520">
        <v>73.5</v>
      </c>
      <c r="G520">
        <f t="shared" si="80"/>
        <v>0</v>
      </c>
      <c r="H520">
        <f t="shared" si="81"/>
        <v>0</v>
      </c>
      <c r="I520">
        <f t="shared" si="82"/>
        <v>0</v>
      </c>
      <c r="J520">
        <v>80.2</v>
      </c>
      <c r="K520">
        <v>88.6</v>
      </c>
      <c r="L520">
        <v>73.5</v>
      </c>
      <c r="M520">
        <v>81.400000000000006</v>
      </c>
      <c r="N520">
        <v>63.8</v>
      </c>
      <c r="O520">
        <v>57.9</v>
      </c>
      <c r="S520">
        <f t="shared" si="83"/>
        <v>1</v>
      </c>
      <c r="T520">
        <f t="shared" si="84"/>
        <v>0</v>
      </c>
      <c r="U520">
        <f t="shared" si="85"/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23</v>
      </c>
      <c r="AG520">
        <f t="shared" si="86"/>
        <v>1</v>
      </c>
      <c r="AH520">
        <f t="shared" si="87"/>
        <v>1</v>
      </c>
      <c r="AI520">
        <f t="shared" si="88"/>
        <v>0</v>
      </c>
      <c r="AJ520">
        <v>305.2</v>
      </c>
      <c r="AK520">
        <v>1003.8</v>
      </c>
      <c r="AL520">
        <v>30</v>
      </c>
      <c r="AM520">
        <v>6.5</v>
      </c>
      <c r="AN520">
        <v>0</v>
      </c>
      <c r="AO520">
        <v>0</v>
      </c>
      <c r="AP520">
        <v>0</v>
      </c>
      <c r="AQ520">
        <v>0</v>
      </c>
      <c r="AR520" t="s">
        <v>1751</v>
      </c>
      <c r="AS520" t="s">
        <v>1752</v>
      </c>
      <c r="AT520">
        <v>0</v>
      </c>
      <c r="AU520" t="s">
        <v>43</v>
      </c>
      <c r="AV520" t="s">
        <v>44</v>
      </c>
      <c r="AW520" t="s">
        <v>45</v>
      </c>
      <c r="AX520" s="1">
        <v>3.125E-2</v>
      </c>
      <c r="AY520" t="s">
        <v>1753</v>
      </c>
      <c r="AZ520">
        <v>265.00000000465661</v>
      </c>
      <c r="BA520">
        <v>0</v>
      </c>
      <c r="BB520">
        <v>0</v>
      </c>
      <c r="BC520">
        <v>0.2</v>
      </c>
      <c r="BD520">
        <v>0</v>
      </c>
      <c r="BE520">
        <f t="shared" si="89"/>
        <v>0</v>
      </c>
    </row>
    <row r="521" spans="1:57" x14ac:dyDescent="0.25">
      <c r="A521" t="s">
        <v>39</v>
      </c>
      <c r="B521" t="s">
        <v>1633</v>
      </c>
      <c r="C521">
        <v>62.7</v>
      </c>
      <c r="D521">
        <v>53.7</v>
      </c>
      <c r="G521">
        <f t="shared" si="80"/>
        <v>1</v>
      </c>
      <c r="H521">
        <f t="shared" si="81"/>
        <v>0</v>
      </c>
      <c r="I521">
        <f t="shared" si="82"/>
        <v>1</v>
      </c>
      <c r="J521">
        <v>59.4</v>
      </c>
      <c r="K521">
        <v>62.7</v>
      </c>
      <c r="L521">
        <v>53.7</v>
      </c>
      <c r="M521">
        <v>59.4</v>
      </c>
      <c r="N521">
        <v>51.3</v>
      </c>
      <c r="O521">
        <v>74.900000000000006</v>
      </c>
      <c r="S521">
        <f t="shared" si="83"/>
        <v>1</v>
      </c>
      <c r="T521">
        <f t="shared" si="84"/>
        <v>1</v>
      </c>
      <c r="U521">
        <f t="shared" si="85"/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19.5</v>
      </c>
      <c r="AG521">
        <f t="shared" si="86"/>
        <v>1</v>
      </c>
      <c r="AH521">
        <f t="shared" si="87"/>
        <v>1</v>
      </c>
      <c r="AI521">
        <f t="shared" si="88"/>
        <v>0</v>
      </c>
      <c r="AJ521">
        <v>312</v>
      </c>
      <c r="AK521">
        <v>1013.4</v>
      </c>
      <c r="AL521">
        <v>36.700000000000003</v>
      </c>
      <c r="AM521">
        <v>6.3</v>
      </c>
      <c r="AN521">
        <v>0</v>
      </c>
      <c r="AO521">
        <v>0</v>
      </c>
      <c r="AP521">
        <v>0</v>
      </c>
      <c r="AQ521">
        <v>0</v>
      </c>
      <c r="AR521" t="s">
        <v>1634</v>
      </c>
      <c r="AS521" t="s">
        <v>1635</v>
      </c>
      <c r="AT521">
        <v>0</v>
      </c>
      <c r="AU521" t="s">
        <v>43</v>
      </c>
      <c r="AV521" t="s">
        <v>44</v>
      </c>
      <c r="AW521" t="s">
        <v>45</v>
      </c>
      <c r="AX521" s="1">
        <v>0.50624999999999998</v>
      </c>
      <c r="AY521" t="s">
        <v>1754</v>
      </c>
      <c r="AZ521">
        <v>1095.9999999997669</v>
      </c>
      <c r="BA521">
        <v>1</v>
      </c>
      <c r="BB521">
        <v>0</v>
      </c>
      <c r="BC521">
        <v>10</v>
      </c>
      <c r="BD521">
        <v>0</v>
      </c>
      <c r="BE521">
        <f t="shared" si="89"/>
        <v>1</v>
      </c>
    </row>
    <row r="522" spans="1:57" x14ac:dyDescent="0.25">
      <c r="A522" t="s">
        <v>39</v>
      </c>
      <c r="B522" t="s">
        <v>1755</v>
      </c>
      <c r="C522">
        <v>60.9</v>
      </c>
      <c r="D522">
        <v>53.7</v>
      </c>
      <c r="G522">
        <f t="shared" si="80"/>
        <v>0</v>
      </c>
      <c r="H522">
        <f t="shared" si="81"/>
        <v>0</v>
      </c>
      <c r="I522">
        <f t="shared" si="82"/>
        <v>0</v>
      </c>
      <c r="J522">
        <v>58.2</v>
      </c>
      <c r="K522">
        <v>60.9</v>
      </c>
      <c r="L522">
        <v>53.7</v>
      </c>
      <c r="M522">
        <v>58.2</v>
      </c>
      <c r="N522">
        <v>49.8</v>
      </c>
      <c r="O522">
        <v>73.8</v>
      </c>
      <c r="S522">
        <f t="shared" si="83"/>
        <v>1</v>
      </c>
      <c r="T522">
        <f t="shared" si="84"/>
        <v>1</v>
      </c>
      <c r="U522">
        <f t="shared" si="85"/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9.1999999999999993</v>
      </c>
      <c r="AG522">
        <f t="shared" si="86"/>
        <v>1</v>
      </c>
      <c r="AH522">
        <f t="shared" si="87"/>
        <v>0</v>
      </c>
      <c r="AI522">
        <f t="shared" si="88"/>
        <v>1</v>
      </c>
      <c r="AJ522">
        <v>41.9</v>
      </c>
      <c r="AK522">
        <v>1016.6</v>
      </c>
      <c r="AL522">
        <v>75.8</v>
      </c>
      <c r="AM522">
        <v>6.8</v>
      </c>
      <c r="AN522">
        <v>0</v>
      </c>
      <c r="AO522">
        <v>0</v>
      </c>
      <c r="AP522">
        <v>0</v>
      </c>
      <c r="AQ522">
        <v>0</v>
      </c>
      <c r="AR522" t="s">
        <v>1756</v>
      </c>
      <c r="AS522" t="s">
        <v>1757</v>
      </c>
      <c r="AT522">
        <v>0.36</v>
      </c>
      <c r="AU522" t="s">
        <v>43</v>
      </c>
      <c r="AV522" t="s">
        <v>44</v>
      </c>
      <c r="AW522" t="s">
        <v>45</v>
      </c>
      <c r="AX522" s="1">
        <v>0.70833333333333337</v>
      </c>
      <c r="AY522" t="s">
        <v>1758</v>
      </c>
      <c r="AZ522">
        <v>450</v>
      </c>
      <c r="BA522">
        <v>1</v>
      </c>
      <c r="BB522">
        <v>0</v>
      </c>
      <c r="BC522">
        <v>0.5</v>
      </c>
      <c r="BD522">
        <v>0</v>
      </c>
      <c r="BE522">
        <f t="shared" si="89"/>
        <v>0</v>
      </c>
    </row>
    <row r="523" spans="1:57" x14ac:dyDescent="0.25">
      <c r="A523" t="s">
        <v>39</v>
      </c>
      <c r="B523" t="s">
        <v>1759</v>
      </c>
      <c r="C523">
        <v>69.900000000000006</v>
      </c>
      <c r="D523">
        <v>57.3</v>
      </c>
      <c r="G523">
        <f t="shared" si="80"/>
        <v>1</v>
      </c>
      <c r="H523">
        <f t="shared" si="81"/>
        <v>1</v>
      </c>
      <c r="I523">
        <f t="shared" si="82"/>
        <v>0</v>
      </c>
      <c r="J523">
        <v>64</v>
      </c>
      <c r="K523">
        <v>69.900000000000006</v>
      </c>
      <c r="L523">
        <v>57.3</v>
      </c>
      <c r="M523">
        <v>64</v>
      </c>
      <c r="N523">
        <v>55.9</v>
      </c>
      <c r="O523">
        <v>75.7</v>
      </c>
      <c r="S523">
        <f t="shared" si="83"/>
        <v>1</v>
      </c>
      <c r="T523">
        <f t="shared" si="84"/>
        <v>1</v>
      </c>
      <c r="U523">
        <f t="shared" si="85"/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12.8</v>
      </c>
      <c r="AG523">
        <f t="shared" si="86"/>
        <v>1</v>
      </c>
      <c r="AH523">
        <f t="shared" si="87"/>
        <v>0</v>
      </c>
      <c r="AI523">
        <f t="shared" si="88"/>
        <v>1</v>
      </c>
      <c r="AJ523">
        <v>187.1</v>
      </c>
      <c r="AK523">
        <v>1011.5</v>
      </c>
      <c r="AL523">
        <v>65.5</v>
      </c>
      <c r="AM523">
        <v>6.8</v>
      </c>
      <c r="AN523">
        <v>0</v>
      </c>
      <c r="AO523">
        <v>0</v>
      </c>
      <c r="AP523">
        <v>0</v>
      </c>
      <c r="AQ523">
        <v>0</v>
      </c>
      <c r="AR523" t="s">
        <v>1760</v>
      </c>
      <c r="AS523" t="s">
        <v>1761</v>
      </c>
      <c r="AT523">
        <v>0.9</v>
      </c>
      <c r="AU523" t="s">
        <v>43</v>
      </c>
      <c r="AV523" t="s">
        <v>44</v>
      </c>
      <c r="AW523" t="s">
        <v>45</v>
      </c>
      <c r="AX523" s="1">
        <v>0.625</v>
      </c>
      <c r="AY523" t="s">
        <v>1762</v>
      </c>
      <c r="AZ523">
        <v>30.00000000349246</v>
      </c>
      <c r="BA523">
        <v>0</v>
      </c>
      <c r="BB523">
        <v>0</v>
      </c>
      <c r="BC523">
        <v>0.5</v>
      </c>
      <c r="BD523">
        <v>0</v>
      </c>
      <c r="BE523">
        <f t="shared" si="89"/>
        <v>1</v>
      </c>
    </row>
    <row r="524" spans="1:57" x14ac:dyDescent="0.25">
      <c r="A524" t="s">
        <v>39</v>
      </c>
      <c r="B524" t="s">
        <v>1763</v>
      </c>
      <c r="C524">
        <v>68.099999999999994</v>
      </c>
      <c r="D524">
        <v>55.5</v>
      </c>
      <c r="G524">
        <f t="shared" si="80"/>
        <v>0</v>
      </c>
      <c r="H524">
        <f t="shared" si="81"/>
        <v>0</v>
      </c>
      <c r="I524">
        <f t="shared" si="82"/>
        <v>0</v>
      </c>
      <c r="J524">
        <v>61.3</v>
      </c>
      <c r="K524">
        <v>68.099999999999994</v>
      </c>
      <c r="L524">
        <v>55.5</v>
      </c>
      <c r="M524">
        <v>61.3</v>
      </c>
      <c r="N524">
        <v>50.1</v>
      </c>
      <c r="O524">
        <v>67.599999999999994</v>
      </c>
      <c r="S524">
        <f t="shared" si="83"/>
        <v>1</v>
      </c>
      <c r="T524">
        <f t="shared" si="84"/>
        <v>1</v>
      </c>
      <c r="U524">
        <f t="shared" si="85"/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10.3</v>
      </c>
      <c r="AG524">
        <f t="shared" si="86"/>
        <v>1</v>
      </c>
      <c r="AH524">
        <f t="shared" si="87"/>
        <v>0</v>
      </c>
      <c r="AI524">
        <f t="shared" si="88"/>
        <v>1</v>
      </c>
      <c r="AJ524">
        <v>125.6</v>
      </c>
      <c r="AK524">
        <v>1014.6</v>
      </c>
      <c r="AL524">
        <v>61.7</v>
      </c>
      <c r="AM524">
        <v>6.8</v>
      </c>
      <c r="AN524">
        <v>0</v>
      </c>
      <c r="AO524">
        <v>0</v>
      </c>
      <c r="AP524">
        <v>0</v>
      </c>
      <c r="AQ524">
        <v>0</v>
      </c>
      <c r="AR524" t="s">
        <v>1764</v>
      </c>
      <c r="AS524" t="s">
        <v>1765</v>
      </c>
      <c r="AT524">
        <v>0.37</v>
      </c>
      <c r="AU524" t="s">
        <v>43</v>
      </c>
      <c r="AV524" t="s">
        <v>44</v>
      </c>
      <c r="AW524" t="s">
        <v>45</v>
      </c>
      <c r="AX524" s="1">
        <v>0.48541666666666672</v>
      </c>
      <c r="AY524" t="s">
        <v>1766</v>
      </c>
      <c r="AZ524">
        <v>150.9999999997672</v>
      </c>
      <c r="BA524">
        <v>0</v>
      </c>
      <c r="BB524">
        <v>0</v>
      </c>
      <c r="BC524">
        <v>0.1</v>
      </c>
      <c r="BD524">
        <v>0</v>
      </c>
      <c r="BE524">
        <f t="shared" si="89"/>
        <v>0</v>
      </c>
    </row>
    <row r="525" spans="1:57" x14ac:dyDescent="0.25">
      <c r="A525" t="s">
        <v>39</v>
      </c>
      <c r="B525" t="s">
        <v>1767</v>
      </c>
      <c r="C525">
        <v>82.5</v>
      </c>
      <c r="D525">
        <v>69.900000000000006</v>
      </c>
      <c r="G525">
        <f t="shared" si="80"/>
        <v>0</v>
      </c>
      <c r="H525">
        <f t="shared" si="81"/>
        <v>0</v>
      </c>
      <c r="I525">
        <f t="shared" si="82"/>
        <v>0</v>
      </c>
      <c r="J525">
        <v>76.3</v>
      </c>
      <c r="K525">
        <v>86.4</v>
      </c>
      <c r="L525">
        <v>69.900000000000006</v>
      </c>
      <c r="M525">
        <v>77.5</v>
      </c>
      <c r="N525">
        <v>67.099999999999994</v>
      </c>
      <c r="O525">
        <v>74</v>
      </c>
      <c r="S525">
        <f t="shared" si="83"/>
        <v>1</v>
      </c>
      <c r="T525">
        <f t="shared" si="84"/>
        <v>1</v>
      </c>
      <c r="U525">
        <f t="shared" si="85"/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12.8</v>
      </c>
      <c r="AG525">
        <f t="shared" si="86"/>
        <v>1</v>
      </c>
      <c r="AH525">
        <f t="shared" si="87"/>
        <v>0</v>
      </c>
      <c r="AI525">
        <f t="shared" si="88"/>
        <v>1</v>
      </c>
      <c r="AJ525">
        <v>307.3</v>
      </c>
      <c r="AK525">
        <v>1013.1</v>
      </c>
      <c r="AL525">
        <v>0</v>
      </c>
      <c r="AM525">
        <v>6.2</v>
      </c>
      <c r="AN525">
        <v>0</v>
      </c>
      <c r="AO525">
        <v>0</v>
      </c>
      <c r="AP525">
        <v>0</v>
      </c>
      <c r="AQ525">
        <v>0</v>
      </c>
      <c r="AR525" t="s">
        <v>1768</v>
      </c>
      <c r="AS525" t="s">
        <v>1769</v>
      </c>
      <c r="AT525">
        <v>0.5</v>
      </c>
      <c r="AU525" t="s">
        <v>74</v>
      </c>
      <c r="AV525" t="s">
        <v>44</v>
      </c>
      <c r="AW525" t="s">
        <v>75</v>
      </c>
      <c r="AX525" s="1">
        <v>0.22569444444444439</v>
      </c>
      <c r="AY525" t="s">
        <v>1770</v>
      </c>
      <c r="AZ525">
        <v>75.00000000349246</v>
      </c>
      <c r="BA525">
        <v>0</v>
      </c>
      <c r="BB525">
        <v>0</v>
      </c>
      <c r="BC525">
        <v>0.2</v>
      </c>
      <c r="BD525">
        <v>0</v>
      </c>
      <c r="BE525">
        <f t="shared" si="89"/>
        <v>0</v>
      </c>
    </row>
    <row r="526" spans="1:57" x14ac:dyDescent="0.25">
      <c r="A526" t="s">
        <v>39</v>
      </c>
      <c r="B526" t="s">
        <v>1771</v>
      </c>
      <c r="C526">
        <v>59.1</v>
      </c>
      <c r="D526">
        <v>48.3</v>
      </c>
      <c r="G526">
        <f t="shared" si="80"/>
        <v>0</v>
      </c>
      <c r="H526">
        <f t="shared" si="81"/>
        <v>0</v>
      </c>
      <c r="I526">
        <f t="shared" si="82"/>
        <v>0</v>
      </c>
      <c r="J526">
        <v>54.6</v>
      </c>
      <c r="K526">
        <v>59.1</v>
      </c>
      <c r="L526">
        <v>44.7</v>
      </c>
      <c r="M526">
        <v>54.5</v>
      </c>
      <c r="N526">
        <v>44.9</v>
      </c>
      <c r="O526">
        <v>70.2</v>
      </c>
      <c r="S526">
        <f t="shared" si="83"/>
        <v>1</v>
      </c>
      <c r="T526">
        <f t="shared" si="84"/>
        <v>1</v>
      </c>
      <c r="U526">
        <f t="shared" si="85"/>
        <v>0</v>
      </c>
      <c r="V526">
        <v>3.1E-2</v>
      </c>
      <c r="W526">
        <v>100</v>
      </c>
      <c r="X526">
        <v>4.17</v>
      </c>
      <c r="Y526" t="s">
        <v>103</v>
      </c>
      <c r="Z526">
        <v>0</v>
      </c>
      <c r="AA526">
        <v>0</v>
      </c>
      <c r="AB526">
        <v>0</v>
      </c>
      <c r="AC526">
        <v>34.4</v>
      </c>
      <c r="AG526">
        <f t="shared" si="86"/>
        <v>1</v>
      </c>
      <c r="AH526">
        <f t="shared" si="87"/>
        <v>1</v>
      </c>
      <c r="AI526">
        <f t="shared" si="88"/>
        <v>0</v>
      </c>
      <c r="AJ526">
        <v>319.39999999999998</v>
      </c>
      <c r="AK526">
        <v>1021</v>
      </c>
      <c r="AL526">
        <v>70</v>
      </c>
      <c r="AM526">
        <v>6.4</v>
      </c>
      <c r="AN526">
        <v>0</v>
      </c>
      <c r="AO526">
        <v>0</v>
      </c>
      <c r="AP526">
        <v>0</v>
      </c>
      <c r="AQ526">
        <v>0</v>
      </c>
      <c r="AR526" t="s">
        <v>1772</v>
      </c>
      <c r="AS526" t="s">
        <v>1773</v>
      </c>
      <c r="AT526">
        <v>0.9</v>
      </c>
      <c r="AU526" t="s">
        <v>106</v>
      </c>
      <c r="AV526" t="s">
        <v>1180</v>
      </c>
      <c r="AW526" t="s">
        <v>103</v>
      </c>
      <c r="AX526" s="1">
        <v>0.65555555555555556</v>
      </c>
      <c r="AY526" t="s">
        <v>1774</v>
      </c>
      <c r="AZ526">
        <v>105.00000000698491</v>
      </c>
      <c r="BA526">
        <v>0</v>
      </c>
      <c r="BB526">
        <v>0</v>
      </c>
      <c r="BC526">
        <v>0.1</v>
      </c>
      <c r="BD526">
        <v>0</v>
      </c>
      <c r="BE526">
        <f t="shared" si="89"/>
        <v>0</v>
      </c>
    </row>
    <row r="527" spans="1:57" x14ac:dyDescent="0.25">
      <c r="A527" t="s">
        <v>39</v>
      </c>
      <c r="B527" t="s">
        <v>1730</v>
      </c>
      <c r="C527">
        <v>84.3</v>
      </c>
      <c r="D527">
        <v>69.900000000000006</v>
      </c>
      <c r="G527">
        <f t="shared" si="80"/>
        <v>0</v>
      </c>
      <c r="H527">
        <f t="shared" si="81"/>
        <v>0</v>
      </c>
      <c r="I527">
        <f t="shared" si="82"/>
        <v>0</v>
      </c>
      <c r="J527">
        <v>76.900000000000006</v>
      </c>
      <c r="K527">
        <v>88.5</v>
      </c>
      <c r="L527">
        <v>69.900000000000006</v>
      </c>
      <c r="M527">
        <v>78.2</v>
      </c>
      <c r="N527">
        <v>61.8</v>
      </c>
      <c r="O527">
        <v>60.3</v>
      </c>
      <c r="S527">
        <f t="shared" si="83"/>
        <v>0</v>
      </c>
      <c r="T527">
        <f t="shared" si="84"/>
        <v>0</v>
      </c>
      <c r="U527">
        <f t="shared" si="85"/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20.8</v>
      </c>
      <c r="AG527">
        <f t="shared" si="86"/>
        <v>1</v>
      </c>
      <c r="AH527">
        <f t="shared" si="87"/>
        <v>1</v>
      </c>
      <c r="AI527">
        <f t="shared" si="88"/>
        <v>0</v>
      </c>
      <c r="AJ527">
        <v>300</v>
      </c>
      <c r="AK527">
        <v>1011</v>
      </c>
      <c r="AL527">
        <v>30</v>
      </c>
      <c r="AM527">
        <v>6.4</v>
      </c>
      <c r="AN527">
        <v>0</v>
      </c>
      <c r="AO527">
        <v>0</v>
      </c>
      <c r="AP527">
        <v>0</v>
      </c>
      <c r="AQ527">
        <v>0</v>
      </c>
      <c r="AR527" t="s">
        <v>1731</v>
      </c>
      <c r="AS527" t="s">
        <v>1732</v>
      </c>
      <c r="AT527">
        <v>0.52</v>
      </c>
      <c r="AU527" t="s">
        <v>43</v>
      </c>
      <c r="AV527" t="s">
        <v>44</v>
      </c>
      <c r="AW527" t="s">
        <v>45</v>
      </c>
      <c r="AX527" s="1">
        <v>0.68541666666666667</v>
      </c>
      <c r="AY527" t="s">
        <v>1775</v>
      </c>
      <c r="AZ527">
        <v>1307.999999999302</v>
      </c>
      <c r="BA527">
        <v>1</v>
      </c>
      <c r="BB527">
        <v>0</v>
      </c>
      <c r="BC527">
        <v>2</v>
      </c>
      <c r="BD527">
        <v>0</v>
      </c>
      <c r="BE527">
        <f t="shared" si="89"/>
        <v>0</v>
      </c>
    </row>
    <row r="528" spans="1:57" x14ac:dyDescent="0.25">
      <c r="A528" t="s">
        <v>39</v>
      </c>
      <c r="B528" t="s">
        <v>1776</v>
      </c>
      <c r="C528">
        <v>64.5</v>
      </c>
      <c r="D528">
        <v>59.1</v>
      </c>
      <c r="G528">
        <f t="shared" si="80"/>
        <v>1</v>
      </c>
      <c r="H528">
        <f t="shared" si="81"/>
        <v>0</v>
      </c>
      <c r="I528">
        <f t="shared" si="82"/>
        <v>1</v>
      </c>
      <c r="J528">
        <v>61.5</v>
      </c>
      <c r="K528">
        <v>64.5</v>
      </c>
      <c r="L528">
        <v>59.1</v>
      </c>
      <c r="M528">
        <v>61.5</v>
      </c>
      <c r="N528">
        <v>53.3</v>
      </c>
      <c r="O528">
        <v>74.900000000000006</v>
      </c>
      <c r="S528">
        <f t="shared" si="83"/>
        <v>1</v>
      </c>
      <c r="T528">
        <f t="shared" si="84"/>
        <v>1</v>
      </c>
      <c r="U528">
        <f t="shared" si="85"/>
        <v>0</v>
      </c>
      <c r="V528">
        <v>0.11799999999999999</v>
      </c>
      <c r="W528">
        <v>100</v>
      </c>
      <c r="X528">
        <v>8.33</v>
      </c>
      <c r="Y528" t="s">
        <v>103</v>
      </c>
      <c r="Z528">
        <v>0</v>
      </c>
      <c r="AA528">
        <v>0</v>
      </c>
      <c r="AB528">
        <v>0</v>
      </c>
      <c r="AC528">
        <v>20.8</v>
      </c>
      <c r="AG528">
        <f t="shared" si="86"/>
        <v>1</v>
      </c>
      <c r="AH528">
        <f t="shared" si="87"/>
        <v>1</v>
      </c>
      <c r="AI528">
        <f t="shared" si="88"/>
        <v>0</v>
      </c>
      <c r="AJ528">
        <v>350.5</v>
      </c>
      <c r="AK528">
        <v>1017.5</v>
      </c>
      <c r="AL528">
        <v>74.3</v>
      </c>
      <c r="AM528">
        <v>6.6</v>
      </c>
      <c r="AN528">
        <v>0</v>
      </c>
      <c r="AO528">
        <v>0</v>
      </c>
      <c r="AP528">
        <v>0</v>
      </c>
      <c r="AQ528">
        <v>0</v>
      </c>
      <c r="AR528" t="s">
        <v>1777</v>
      </c>
      <c r="AS528" t="s">
        <v>1778</v>
      </c>
      <c r="AT528">
        <v>0.05</v>
      </c>
      <c r="AU528" t="s">
        <v>106</v>
      </c>
      <c r="AV528" t="s">
        <v>257</v>
      </c>
      <c r="AW528" t="s">
        <v>103</v>
      </c>
      <c r="AX528" s="1">
        <v>0.57152777777777775</v>
      </c>
      <c r="AY528" t="s">
        <v>1779</v>
      </c>
      <c r="AZ528">
        <v>132.00000000069849</v>
      </c>
      <c r="BA528">
        <v>0</v>
      </c>
      <c r="BB528">
        <v>0</v>
      </c>
      <c r="BC528">
        <v>3</v>
      </c>
      <c r="BD528">
        <v>0</v>
      </c>
      <c r="BE528">
        <f t="shared" si="89"/>
        <v>1</v>
      </c>
    </row>
    <row r="529" spans="1:57" x14ac:dyDescent="0.25">
      <c r="A529" t="s">
        <v>39</v>
      </c>
      <c r="B529" t="s">
        <v>1780</v>
      </c>
      <c r="C529">
        <v>57.3</v>
      </c>
      <c r="D529">
        <v>46.5</v>
      </c>
      <c r="G529">
        <f t="shared" si="80"/>
        <v>1</v>
      </c>
      <c r="H529">
        <f t="shared" si="81"/>
        <v>0</v>
      </c>
      <c r="I529">
        <f t="shared" si="82"/>
        <v>1</v>
      </c>
      <c r="J529">
        <v>51.2</v>
      </c>
      <c r="K529">
        <v>57.3</v>
      </c>
      <c r="L529">
        <v>38.4</v>
      </c>
      <c r="M529">
        <v>48</v>
      </c>
      <c r="N529">
        <v>40.4</v>
      </c>
      <c r="O529">
        <v>67.900000000000006</v>
      </c>
      <c r="S529">
        <f t="shared" si="83"/>
        <v>0</v>
      </c>
      <c r="T529">
        <f t="shared" si="84"/>
        <v>0</v>
      </c>
      <c r="U529">
        <f t="shared" si="85"/>
        <v>0</v>
      </c>
      <c r="V529">
        <v>1.571</v>
      </c>
      <c r="W529">
        <v>100</v>
      </c>
      <c r="X529">
        <v>12.5</v>
      </c>
      <c r="Y529" t="s">
        <v>103</v>
      </c>
      <c r="Z529">
        <v>0</v>
      </c>
      <c r="AA529">
        <v>0</v>
      </c>
      <c r="AB529">
        <v>0</v>
      </c>
      <c r="AC529">
        <v>26.4</v>
      </c>
      <c r="AG529">
        <f t="shared" si="86"/>
        <v>1</v>
      </c>
      <c r="AH529">
        <f t="shared" si="87"/>
        <v>1</v>
      </c>
      <c r="AI529">
        <f t="shared" si="88"/>
        <v>0</v>
      </c>
      <c r="AJ529">
        <v>318.5</v>
      </c>
      <c r="AK529">
        <v>1014.6</v>
      </c>
      <c r="AL529">
        <v>89.2</v>
      </c>
      <c r="AM529">
        <v>6.2</v>
      </c>
      <c r="AN529">
        <v>0</v>
      </c>
      <c r="AO529">
        <v>0</v>
      </c>
      <c r="AP529">
        <v>0</v>
      </c>
      <c r="AQ529">
        <v>0</v>
      </c>
      <c r="AR529" t="s">
        <v>1781</v>
      </c>
      <c r="AS529" t="s">
        <v>1782</v>
      </c>
      <c r="AT529">
        <v>0.62</v>
      </c>
      <c r="AU529" t="s">
        <v>106</v>
      </c>
      <c r="AV529" t="s">
        <v>1783</v>
      </c>
      <c r="AW529" t="s">
        <v>103</v>
      </c>
      <c r="AX529" s="1">
        <v>0.58611111111111114</v>
      </c>
      <c r="AY529" t="s">
        <v>1784</v>
      </c>
      <c r="AZ529">
        <v>166.00000000675209</v>
      </c>
      <c r="BA529">
        <v>0</v>
      </c>
      <c r="BB529">
        <v>0</v>
      </c>
      <c r="BC529">
        <v>2</v>
      </c>
      <c r="BD529">
        <v>0</v>
      </c>
      <c r="BE529">
        <f t="shared" si="89"/>
        <v>0</v>
      </c>
    </row>
    <row r="530" spans="1:57" x14ac:dyDescent="0.25">
      <c r="A530" t="s">
        <v>39</v>
      </c>
      <c r="B530" t="s">
        <v>1785</v>
      </c>
      <c r="C530">
        <v>64.5</v>
      </c>
      <c r="D530">
        <v>60.9</v>
      </c>
      <c r="G530">
        <f t="shared" si="80"/>
        <v>1</v>
      </c>
      <c r="H530">
        <f t="shared" si="81"/>
        <v>0</v>
      </c>
      <c r="I530">
        <f t="shared" si="82"/>
        <v>1</v>
      </c>
      <c r="J530">
        <v>62.3</v>
      </c>
      <c r="K530">
        <v>64.5</v>
      </c>
      <c r="L530">
        <v>60.9</v>
      </c>
      <c r="M530">
        <v>62.3</v>
      </c>
      <c r="N530">
        <v>49.6</v>
      </c>
      <c r="O530">
        <v>63.3</v>
      </c>
      <c r="S530">
        <f t="shared" si="83"/>
        <v>1</v>
      </c>
      <c r="T530">
        <f t="shared" si="84"/>
        <v>0</v>
      </c>
      <c r="U530">
        <f t="shared" si="85"/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15</v>
      </c>
      <c r="AG530">
        <f t="shared" si="86"/>
        <v>1</v>
      </c>
      <c r="AH530">
        <f t="shared" si="87"/>
        <v>0</v>
      </c>
      <c r="AI530">
        <f t="shared" si="88"/>
        <v>1</v>
      </c>
      <c r="AJ530">
        <v>326.2</v>
      </c>
      <c r="AK530">
        <v>1023.6</v>
      </c>
      <c r="AL530">
        <v>56.7</v>
      </c>
      <c r="AM530">
        <v>6.8</v>
      </c>
      <c r="AN530">
        <v>0</v>
      </c>
      <c r="AO530">
        <v>0</v>
      </c>
      <c r="AP530">
        <v>0</v>
      </c>
      <c r="AQ530">
        <v>0</v>
      </c>
      <c r="AR530" t="s">
        <v>1786</v>
      </c>
      <c r="AS530" t="s">
        <v>1787</v>
      </c>
      <c r="AT530">
        <v>0.23</v>
      </c>
      <c r="AU530" t="s">
        <v>43</v>
      </c>
      <c r="AV530" t="s">
        <v>44</v>
      </c>
      <c r="AW530" t="s">
        <v>45</v>
      </c>
      <c r="AX530" s="1">
        <v>0.58680555555555558</v>
      </c>
      <c r="AY530" t="s">
        <v>1788</v>
      </c>
      <c r="AZ530">
        <v>1049.999999996508</v>
      </c>
      <c r="BA530">
        <v>1</v>
      </c>
      <c r="BB530">
        <v>0</v>
      </c>
      <c r="BC530">
        <v>4</v>
      </c>
      <c r="BD530">
        <v>0</v>
      </c>
      <c r="BE530">
        <f t="shared" si="89"/>
        <v>1</v>
      </c>
    </row>
    <row r="531" spans="1:57" x14ac:dyDescent="0.25">
      <c r="A531" t="s">
        <v>39</v>
      </c>
      <c r="B531" t="s">
        <v>1789</v>
      </c>
      <c r="C531">
        <v>75.3</v>
      </c>
      <c r="D531">
        <v>69.900000000000006</v>
      </c>
      <c r="G531">
        <f t="shared" si="80"/>
        <v>0</v>
      </c>
      <c r="H531">
        <f t="shared" si="81"/>
        <v>0</v>
      </c>
      <c r="I531">
        <f t="shared" si="82"/>
        <v>0</v>
      </c>
      <c r="J531">
        <v>71.599999999999994</v>
      </c>
      <c r="K531">
        <v>75.3</v>
      </c>
      <c r="L531">
        <v>69.900000000000006</v>
      </c>
      <c r="M531">
        <v>71.599999999999994</v>
      </c>
      <c r="N531">
        <v>58.2</v>
      </c>
      <c r="O531">
        <v>62.7</v>
      </c>
      <c r="S531">
        <f t="shared" si="83"/>
        <v>1</v>
      </c>
      <c r="T531">
        <f t="shared" si="84"/>
        <v>0</v>
      </c>
      <c r="U531">
        <f t="shared" si="85"/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17.2</v>
      </c>
      <c r="AG531">
        <f t="shared" si="86"/>
        <v>0</v>
      </c>
      <c r="AH531">
        <f t="shared" si="87"/>
        <v>0</v>
      </c>
      <c r="AI531">
        <f t="shared" si="88"/>
        <v>0</v>
      </c>
      <c r="AJ531">
        <v>326.7</v>
      </c>
      <c r="AK531">
        <v>1019.5</v>
      </c>
      <c r="AL531">
        <v>62.2</v>
      </c>
      <c r="AM531">
        <v>6.8</v>
      </c>
      <c r="AN531">
        <v>0</v>
      </c>
      <c r="AO531">
        <v>0</v>
      </c>
      <c r="AP531">
        <v>0</v>
      </c>
      <c r="AQ531">
        <v>0</v>
      </c>
      <c r="AR531" t="s">
        <v>1790</v>
      </c>
      <c r="AS531" t="s">
        <v>1791</v>
      </c>
      <c r="AT531">
        <v>0.14000000000000001</v>
      </c>
      <c r="AU531" t="s">
        <v>43</v>
      </c>
      <c r="AV531" t="s">
        <v>44</v>
      </c>
      <c r="AW531" t="s">
        <v>45</v>
      </c>
      <c r="AX531" s="1">
        <v>0.59722222222222221</v>
      </c>
      <c r="AY531" t="s">
        <v>1792</v>
      </c>
      <c r="AZ531">
        <v>1240.0000000081491</v>
      </c>
      <c r="BA531">
        <v>1</v>
      </c>
      <c r="BB531">
        <v>0</v>
      </c>
      <c r="BC531">
        <v>2.5</v>
      </c>
      <c r="BD531">
        <v>0</v>
      </c>
      <c r="BE531">
        <f t="shared" si="89"/>
        <v>0</v>
      </c>
    </row>
    <row r="532" spans="1:57" x14ac:dyDescent="0.25">
      <c r="A532" t="s">
        <v>39</v>
      </c>
      <c r="B532" t="s">
        <v>1625</v>
      </c>
      <c r="C532">
        <v>82.5</v>
      </c>
      <c r="D532">
        <v>68.099999999999994</v>
      </c>
      <c r="G532">
        <f t="shared" si="80"/>
        <v>0</v>
      </c>
      <c r="H532">
        <f t="shared" si="81"/>
        <v>0</v>
      </c>
      <c r="I532">
        <f t="shared" si="82"/>
        <v>0</v>
      </c>
      <c r="J532">
        <v>77</v>
      </c>
      <c r="K532">
        <v>84.8</v>
      </c>
      <c r="L532">
        <v>68.099999999999994</v>
      </c>
      <c r="M532">
        <v>77.8</v>
      </c>
      <c r="N532">
        <v>66.2</v>
      </c>
      <c r="O532">
        <v>70.099999999999994</v>
      </c>
      <c r="S532">
        <f t="shared" si="83"/>
        <v>1</v>
      </c>
      <c r="T532">
        <f t="shared" si="84"/>
        <v>1</v>
      </c>
      <c r="U532">
        <f t="shared" si="85"/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17.2</v>
      </c>
      <c r="AG532">
        <f t="shared" si="86"/>
        <v>0</v>
      </c>
      <c r="AH532">
        <f t="shared" si="87"/>
        <v>0</v>
      </c>
      <c r="AI532">
        <f t="shared" si="88"/>
        <v>0</v>
      </c>
      <c r="AJ532">
        <v>305.5</v>
      </c>
      <c r="AK532">
        <v>1011.7</v>
      </c>
      <c r="AL532">
        <v>30</v>
      </c>
      <c r="AM532">
        <v>6.8</v>
      </c>
      <c r="AN532">
        <v>0</v>
      </c>
      <c r="AO532">
        <v>0</v>
      </c>
      <c r="AP532">
        <v>0</v>
      </c>
      <c r="AQ532">
        <v>0</v>
      </c>
      <c r="AR532" t="s">
        <v>1626</v>
      </c>
      <c r="AS532" t="s">
        <v>1627</v>
      </c>
      <c r="AT532">
        <v>0.75</v>
      </c>
      <c r="AU532" t="s">
        <v>43</v>
      </c>
      <c r="AV532" t="s">
        <v>44</v>
      </c>
      <c r="AW532" t="s">
        <v>45</v>
      </c>
      <c r="AX532" s="1">
        <v>0.78472222222222221</v>
      </c>
      <c r="AY532" t="s">
        <v>1793</v>
      </c>
      <c r="AZ532">
        <v>1030.0000000046571</v>
      </c>
      <c r="BA532">
        <v>1</v>
      </c>
      <c r="BB532">
        <v>0</v>
      </c>
      <c r="BC532">
        <v>2</v>
      </c>
      <c r="BD532">
        <v>0</v>
      </c>
      <c r="BE532">
        <f t="shared" si="89"/>
        <v>0</v>
      </c>
    </row>
    <row r="533" spans="1:57" x14ac:dyDescent="0.25">
      <c r="A533" t="s">
        <v>39</v>
      </c>
      <c r="B533" t="s">
        <v>1650</v>
      </c>
      <c r="C533">
        <v>62.7</v>
      </c>
      <c r="D533">
        <v>57.3</v>
      </c>
      <c r="G533">
        <f t="shared" si="80"/>
        <v>1</v>
      </c>
      <c r="H533">
        <f t="shared" si="81"/>
        <v>0</v>
      </c>
      <c r="I533">
        <f t="shared" si="82"/>
        <v>1</v>
      </c>
      <c r="J533">
        <v>60.1</v>
      </c>
      <c r="K533">
        <v>62.7</v>
      </c>
      <c r="L533">
        <v>57.3</v>
      </c>
      <c r="M533">
        <v>60.1</v>
      </c>
      <c r="N533">
        <v>46.9</v>
      </c>
      <c r="O533">
        <v>61.9</v>
      </c>
      <c r="S533">
        <f t="shared" si="83"/>
        <v>1</v>
      </c>
      <c r="T533">
        <f t="shared" si="84"/>
        <v>0</v>
      </c>
      <c r="U533">
        <f t="shared" si="85"/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15</v>
      </c>
      <c r="AG533">
        <f t="shared" si="86"/>
        <v>1</v>
      </c>
      <c r="AH533">
        <f t="shared" si="87"/>
        <v>0</v>
      </c>
      <c r="AI533">
        <f t="shared" si="88"/>
        <v>1</v>
      </c>
      <c r="AJ533">
        <v>336.4</v>
      </c>
      <c r="AK533">
        <v>1022.7</v>
      </c>
      <c r="AL533">
        <v>77.5</v>
      </c>
      <c r="AM533">
        <v>6.8</v>
      </c>
      <c r="AN533">
        <v>0</v>
      </c>
      <c r="AO533">
        <v>0</v>
      </c>
      <c r="AP533">
        <v>0</v>
      </c>
      <c r="AQ533">
        <v>0</v>
      </c>
      <c r="AR533" t="s">
        <v>1651</v>
      </c>
      <c r="AS533" t="s">
        <v>1652</v>
      </c>
      <c r="AT533">
        <v>0.44</v>
      </c>
      <c r="AU533" t="s">
        <v>43</v>
      </c>
      <c r="AV533" t="s">
        <v>44</v>
      </c>
      <c r="AW533" t="s">
        <v>45</v>
      </c>
      <c r="AX533" s="1">
        <v>0.76666666666666672</v>
      </c>
      <c r="AY533" t="s">
        <v>1794</v>
      </c>
      <c r="AZ533">
        <v>1070.9999999916181</v>
      </c>
      <c r="BA533">
        <v>1</v>
      </c>
      <c r="BB533">
        <v>0</v>
      </c>
      <c r="BC533">
        <v>10</v>
      </c>
      <c r="BD533">
        <v>0</v>
      </c>
      <c r="BE533">
        <f t="shared" si="89"/>
        <v>1</v>
      </c>
    </row>
    <row r="534" spans="1:57" x14ac:dyDescent="0.25">
      <c r="A534" t="s">
        <v>39</v>
      </c>
      <c r="B534" t="s">
        <v>1795</v>
      </c>
      <c r="C534">
        <v>73.5</v>
      </c>
      <c r="D534">
        <v>55.5</v>
      </c>
      <c r="G534">
        <f t="shared" si="80"/>
        <v>0</v>
      </c>
      <c r="H534">
        <f t="shared" si="81"/>
        <v>0</v>
      </c>
      <c r="I534">
        <f t="shared" si="82"/>
        <v>0</v>
      </c>
      <c r="J534">
        <v>65</v>
      </c>
      <c r="K534">
        <v>73.5</v>
      </c>
      <c r="L534">
        <v>55.5</v>
      </c>
      <c r="M534">
        <v>65</v>
      </c>
      <c r="N534">
        <v>50.5</v>
      </c>
      <c r="O534">
        <v>61</v>
      </c>
      <c r="S534">
        <f t="shared" si="83"/>
        <v>1</v>
      </c>
      <c r="T534">
        <f t="shared" si="84"/>
        <v>0</v>
      </c>
      <c r="U534">
        <f t="shared" si="85"/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10.3</v>
      </c>
      <c r="AG534">
        <f t="shared" si="86"/>
        <v>1</v>
      </c>
      <c r="AH534">
        <f t="shared" si="87"/>
        <v>0</v>
      </c>
      <c r="AI534">
        <f t="shared" si="88"/>
        <v>1</v>
      </c>
      <c r="AJ534">
        <v>137.4</v>
      </c>
      <c r="AK534">
        <v>1015.9</v>
      </c>
      <c r="AL534">
        <v>42</v>
      </c>
      <c r="AM534">
        <v>6.3</v>
      </c>
      <c r="AN534">
        <v>0</v>
      </c>
      <c r="AO534">
        <v>0</v>
      </c>
      <c r="AP534">
        <v>0</v>
      </c>
      <c r="AQ534">
        <v>0</v>
      </c>
      <c r="AR534" t="s">
        <v>1796</v>
      </c>
      <c r="AS534" t="s">
        <v>1797</v>
      </c>
      <c r="AT534">
        <v>0.06</v>
      </c>
      <c r="AU534" t="s">
        <v>43</v>
      </c>
      <c r="AV534" t="s">
        <v>44</v>
      </c>
      <c r="AW534" t="s">
        <v>45</v>
      </c>
      <c r="AX534" s="1">
        <v>0.43333333333333329</v>
      </c>
      <c r="AY534" t="s">
        <v>1798</v>
      </c>
      <c r="AZ534">
        <v>1515.9999999962749</v>
      </c>
      <c r="BA534">
        <v>1</v>
      </c>
      <c r="BB534">
        <v>0</v>
      </c>
      <c r="BC534">
        <v>4</v>
      </c>
      <c r="BD534">
        <v>0</v>
      </c>
      <c r="BE534">
        <f t="shared" si="89"/>
        <v>0</v>
      </c>
    </row>
    <row r="535" spans="1:57" x14ac:dyDescent="0.25">
      <c r="A535" t="s">
        <v>39</v>
      </c>
      <c r="B535" t="s">
        <v>1720</v>
      </c>
      <c r="C535">
        <v>68.099999999999994</v>
      </c>
      <c r="D535">
        <v>50.1</v>
      </c>
      <c r="G535">
        <f t="shared" si="80"/>
        <v>0</v>
      </c>
      <c r="H535">
        <f t="shared" si="81"/>
        <v>0</v>
      </c>
      <c r="I535">
        <f t="shared" si="82"/>
        <v>0</v>
      </c>
      <c r="J535">
        <v>58.9</v>
      </c>
      <c r="K535">
        <v>68.099999999999994</v>
      </c>
      <c r="L535">
        <v>50.1</v>
      </c>
      <c r="M535">
        <v>58.9</v>
      </c>
      <c r="N535">
        <v>45.4</v>
      </c>
      <c r="O535">
        <v>62.6</v>
      </c>
      <c r="S535">
        <f t="shared" si="83"/>
        <v>1</v>
      </c>
      <c r="T535">
        <f t="shared" si="84"/>
        <v>0</v>
      </c>
      <c r="U535">
        <f t="shared" si="85"/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6.9</v>
      </c>
      <c r="AG535">
        <f t="shared" si="86"/>
        <v>1</v>
      </c>
      <c r="AH535">
        <f t="shared" si="87"/>
        <v>0</v>
      </c>
      <c r="AI535">
        <f t="shared" si="88"/>
        <v>1</v>
      </c>
      <c r="AJ535">
        <v>145.4</v>
      </c>
      <c r="AK535">
        <v>1014.9</v>
      </c>
      <c r="AL535">
        <v>0</v>
      </c>
      <c r="AM535">
        <v>6.2</v>
      </c>
      <c r="AN535">
        <v>0</v>
      </c>
      <c r="AO535">
        <v>0</v>
      </c>
      <c r="AP535">
        <v>0</v>
      </c>
      <c r="AQ535">
        <v>0</v>
      </c>
      <c r="AR535" t="s">
        <v>1721</v>
      </c>
      <c r="AS535" t="s">
        <v>1722</v>
      </c>
      <c r="AT535">
        <v>0.02</v>
      </c>
      <c r="AU535" t="s">
        <v>74</v>
      </c>
      <c r="AV535" t="s">
        <v>44</v>
      </c>
      <c r="AW535" t="s">
        <v>75</v>
      </c>
      <c r="AX535" s="1">
        <v>0.61736111111111114</v>
      </c>
      <c r="AY535" t="s">
        <v>1799</v>
      </c>
      <c r="AZ535">
        <v>606.00000000558794</v>
      </c>
      <c r="BA535">
        <v>1</v>
      </c>
      <c r="BB535">
        <v>0</v>
      </c>
      <c r="BC535">
        <v>3</v>
      </c>
      <c r="BD535">
        <v>0</v>
      </c>
      <c r="BE535">
        <f t="shared" si="89"/>
        <v>0</v>
      </c>
    </row>
    <row r="536" spans="1:57" x14ac:dyDescent="0.25">
      <c r="A536" t="s">
        <v>39</v>
      </c>
      <c r="B536" t="s">
        <v>1800</v>
      </c>
      <c r="C536">
        <v>57.3</v>
      </c>
      <c r="D536">
        <v>51.9</v>
      </c>
      <c r="G536">
        <f t="shared" si="80"/>
        <v>1</v>
      </c>
      <c r="H536">
        <f t="shared" si="81"/>
        <v>0</v>
      </c>
      <c r="I536">
        <f t="shared" si="82"/>
        <v>1</v>
      </c>
      <c r="J536">
        <v>53</v>
      </c>
      <c r="K536">
        <v>57.3</v>
      </c>
      <c r="L536">
        <v>51.9</v>
      </c>
      <c r="M536">
        <v>53</v>
      </c>
      <c r="N536">
        <v>43</v>
      </c>
      <c r="O536">
        <v>69.2</v>
      </c>
      <c r="S536">
        <f t="shared" si="83"/>
        <v>1</v>
      </c>
      <c r="T536">
        <f t="shared" si="84"/>
        <v>1</v>
      </c>
      <c r="U536">
        <f t="shared" si="85"/>
        <v>0</v>
      </c>
      <c r="V536">
        <v>0.35</v>
      </c>
      <c r="W536">
        <v>100</v>
      </c>
      <c r="X536">
        <v>4.17</v>
      </c>
      <c r="Y536" t="s">
        <v>103</v>
      </c>
      <c r="Z536">
        <v>0</v>
      </c>
      <c r="AA536">
        <v>0</v>
      </c>
      <c r="AB536">
        <v>0</v>
      </c>
      <c r="AC536">
        <v>31.1</v>
      </c>
      <c r="AG536">
        <f t="shared" si="86"/>
        <v>1</v>
      </c>
      <c r="AH536">
        <f t="shared" si="87"/>
        <v>1</v>
      </c>
      <c r="AI536">
        <f t="shared" si="88"/>
        <v>0</v>
      </c>
      <c r="AJ536">
        <v>320.60000000000002</v>
      </c>
      <c r="AK536">
        <v>1012</v>
      </c>
      <c r="AL536">
        <v>98.2</v>
      </c>
      <c r="AM536">
        <v>6.7</v>
      </c>
      <c r="AN536">
        <v>0</v>
      </c>
      <c r="AO536">
        <v>0</v>
      </c>
      <c r="AP536">
        <v>0</v>
      </c>
      <c r="AQ536">
        <v>0</v>
      </c>
      <c r="AR536" t="s">
        <v>1801</v>
      </c>
      <c r="AS536" t="s">
        <v>1802</v>
      </c>
      <c r="AT536">
        <v>0.73</v>
      </c>
      <c r="AU536" t="s">
        <v>1357</v>
      </c>
      <c r="AV536" t="s">
        <v>1803</v>
      </c>
      <c r="AW536" t="s">
        <v>103</v>
      </c>
      <c r="AX536" s="1">
        <v>0.73541666666666672</v>
      </c>
      <c r="AY536" t="s">
        <v>1804</v>
      </c>
      <c r="AZ536">
        <v>140.99999999860299</v>
      </c>
      <c r="BA536">
        <v>0</v>
      </c>
      <c r="BB536">
        <v>0</v>
      </c>
      <c r="BC536">
        <v>5</v>
      </c>
      <c r="BD536">
        <v>0</v>
      </c>
      <c r="BE536">
        <f t="shared" si="89"/>
        <v>1</v>
      </c>
    </row>
    <row r="537" spans="1:57" x14ac:dyDescent="0.25">
      <c r="A537" t="s">
        <v>39</v>
      </c>
      <c r="B537" t="s">
        <v>1805</v>
      </c>
      <c r="C537">
        <v>57.3</v>
      </c>
      <c r="D537">
        <v>48.3</v>
      </c>
      <c r="G537">
        <f t="shared" si="80"/>
        <v>1</v>
      </c>
      <c r="H537">
        <f t="shared" si="81"/>
        <v>0</v>
      </c>
      <c r="I537">
        <f t="shared" si="82"/>
        <v>1</v>
      </c>
      <c r="J537">
        <v>53.6</v>
      </c>
      <c r="K537">
        <v>57.3</v>
      </c>
      <c r="L537">
        <v>46.4</v>
      </c>
      <c r="M537">
        <v>53.4</v>
      </c>
      <c r="N537">
        <v>36.200000000000003</v>
      </c>
      <c r="O537">
        <v>52.1</v>
      </c>
      <c r="S537">
        <f t="shared" si="83"/>
        <v>1</v>
      </c>
      <c r="T537">
        <f t="shared" si="84"/>
        <v>0</v>
      </c>
      <c r="U537">
        <f t="shared" si="85"/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15</v>
      </c>
      <c r="AG537">
        <f t="shared" si="86"/>
        <v>1</v>
      </c>
      <c r="AH537">
        <f t="shared" si="87"/>
        <v>0</v>
      </c>
      <c r="AI537">
        <f t="shared" si="88"/>
        <v>1</v>
      </c>
      <c r="AJ537">
        <v>321.7</v>
      </c>
      <c r="AK537">
        <v>1028.3</v>
      </c>
      <c r="AL537">
        <v>48.3</v>
      </c>
      <c r="AM537">
        <v>6.8</v>
      </c>
      <c r="AN537">
        <v>0</v>
      </c>
      <c r="AO537">
        <v>0</v>
      </c>
      <c r="AP537">
        <v>0</v>
      </c>
      <c r="AQ537">
        <v>0</v>
      </c>
      <c r="AR537" t="s">
        <v>1806</v>
      </c>
      <c r="AS537" t="s">
        <v>1807</v>
      </c>
      <c r="AT537">
        <v>0.88</v>
      </c>
      <c r="AU537" t="s">
        <v>43</v>
      </c>
      <c r="AV537" t="s">
        <v>44</v>
      </c>
      <c r="AW537" t="s">
        <v>45</v>
      </c>
      <c r="AX537" s="1">
        <v>0.55138888888888893</v>
      </c>
      <c r="AY537" t="s">
        <v>1808</v>
      </c>
      <c r="AZ537">
        <v>1145.999999995111</v>
      </c>
      <c r="BA537">
        <v>1</v>
      </c>
      <c r="BB537">
        <v>0</v>
      </c>
      <c r="BC537">
        <v>4</v>
      </c>
      <c r="BD537">
        <v>0</v>
      </c>
      <c r="BE537">
        <f t="shared" si="89"/>
        <v>1</v>
      </c>
    </row>
    <row r="538" spans="1:57" x14ac:dyDescent="0.25">
      <c r="A538" t="s">
        <v>39</v>
      </c>
      <c r="B538" t="s">
        <v>1809</v>
      </c>
      <c r="C538">
        <v>75.3</v>
      </c>
      <c r="D538">
        <v>59.1</v>
      </c>
      <c r="G538">
        <f t="shared" si="80"/>
        <v>1</v>
      </c>
      <c r="H538">
        <f t="shared" si="81"/>
        <v>0</v>
      </c>
      <c r="I538">
        <f t="shared" si="82"/>
        <v>1</v>
      </c>
      <c r="J538">
        <v>70.3</v>
      </c>
      <c r="K538">
        <v>75.3</v>
      </c>
      <c r="L538">
        <v>59.1</v>
      </c>
      <c r="M538">
        <v>70.3</v>
      </c>
      <c r="N538">
        <v>51.5</v>
      </c>
      <c r="O538">
        <v>52</v>
      </c>
      <c r="S538">
        <f t="shared" si="83"/>
        <v>1</v>
      </c>
      <c r="T538">
        <f t="shared" si="84"/>
        <v>0</v>
      </c>
      <c r="U538">
        <f t="shared" si="85"/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18.3</v>
      </c>
      <c r="AG538">
        <f t="shared" si="86"/>
        <v>0</v>
      </c>
      <c r="AH538">
        <f t="shared" si="87"/>
        <v>0</v>
      </c>
      <c r="AI538">
        <f t="shared" si="88"/>
        <v>0</v>
      </c>
      <c r="AJ538">
        <v>313.2</v>
      </c>
      <c r="AK538">
        <v>1013.9</v>
      </c>
      <c r="AL538">
        <v>50</v>
      </c>
      <c r="AM538">
        <v>6.3</v>
      </c>
      <c r="AN538">
        <v>0</v>
      </c>
      <c r="AO538">
        <v>0</v>
      </c>
      <c r="AP538">
        <v>0</v>
      </c>
      <c r="AQ538">
        <v>0</v>
      </c>
      <c r="AR538" t="s">
        <v>1810</v>
      </c>
      <c r="AS538" t="s">
        <v>1811</v>
      </c>
      <c r="AT538">
        <v>0.95</v>
      </c>
      <c r="AU538" t="s">
        <v>43</v>
      </c>
      <c r="AV538" t="s">
        <v>44</v>
      </c>
      <c r="AW538" t="s">
        <v>45</v>
      </c>
      <c r="AX538" s="1">
        <v>0.59652777777777777</v>
      </c>
      <c r="AY538" t="s">
        <v>1812</v>
      </c>
      <c r="AZ538">
        <v>1450.9999999939459</v>
      </c>
      <c r="BA538">
        <v>1</v>
      </c>
      <c r="BB538">
        <v>0</v>
      </c>
      <c r="BC538">
        <v>15</v>
      </c>
      <c r="BD538">
        <v>0</v>
      </c>
      <c r="BE538">
        <f t="shared" si="89"/>
        <v>0</v>
      </c>
    </row>
    <row r="539" spans="1:57" x14ac:dyDescent="0.25">
      <c r="A539" t="s">
        <v>39</v>
      </c>
      <c r="B539" t="s">
        <v>1813</v>
      </c>
      <c r="C539">
        <v>75.3</v>
      </c>
      <c r="D539">
        <v>62.7</v>
      </c>
      <c r="G539">
        <f t="shared" si="80"/>
        <v>1</v>
      </c>
      <c r="H539">
        <f t="shared" si="81"/>
        <v>0</v>
      </c>
      <c r="I539">
        <f t="shared" si="82"/>
        <v>1</v>
      </c>
      <c r="J539">
        <v>69.8</v>
      </c>
      <c r="K539">
        <v>75.3</v>
      </c>
      <c r="L539">
        <v>62.7</v>
      </c>
      <c r="M539">
        <v>69.8</v>
      </c>
      <c r="N539">
        <v>53.7</v>
      </c>
      <c r="O539">
        <v>58.4</v>
      </c>
      <c r="S539">
        <f t="shared" si="83"/>
        <v>1</v>
      </c>
      <c r="T539">
        <f t="shared" si="84"/>
        <v>0</v>
      </c>
      <c r="U539">
        <f t="shared" si="85"/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19.5</v>
      </c>
      <c r="AG539">
        <f t="shared" si="86"/>
        <v>1</v>
      </c>
      <c r="AH539">
        <f t="shared" si="87"/>
        <v>1</v>
      </c>
      <c r="AI539">
        <f t="shared" si="88"/>
        <v>0</v>
      </c>
      <c r="AJ539">
        <v>317.89999999999998</v>
      </c>
      <c r="AK539">
        <v>1012.3</v>
      </c>
      <c r="AL539">
        <v>32.6</v>
      </c>
      <c r="AM539">
        <v>6.8</v>
      </c>
      <c r="AN539">
        <v>0</v>
      </c>
      <c r="AO539">
        <v>0</v>
      </c>
      <c r="AP539">
        <v>0</v>
      </c>
      <c r="AQ539">
        <v>0</v>
      </c>
      <c r="AR539" t="s">
        <v>1814</v>
      </c>
      <c r="AS539" t="s">
        <v>1815</v>
      </c>
      <c r="AT539">
        <v>0.15</v>
      </c>
      <c r="AU539" t="s">
        <v>43</v>
      </c>
      <c r="AV539" t="s">
        <v>44</v>
      </c>
      <c r="AW539" t="s">
        <v>45</v>
      </c>
      <c r="AX539" s="1">
        <v>0.42986111111111108</v>
      </c>
      <c r="AY539" t="s">
        <v>1816</v>
      </c>
      <c r="AZ539">
        <v>1926.000000002095</v>
      </c>
      <c r="BA539">
        <v>1</v>
      </c>
      <c r="BB539">
        <v>0</v>
      </c>
      <c r="BC539">
        <v>10</v>
      </c>
      <c r="BD539">
        <v>0</v>
      </c>
      <c r="BE539">
        <f t="shared" si="89"/>
        <v>1</v>
      </c>
    </row>
    <row r="540" spans="1:57" x14ac:dyDescent="0.25">
      <c r="A540" t="s">
        <v>39</v>
      </c>
      <c r="B540" t="s">
        <v>1817</v>
      </c>
      <c r="C540">
        <v>84.3</v>
      </c>
      <c r="D540">
        <v>77.099999999999994</v>
      </c>
      <c r="G540">
        <f t="shared" si="80"/>
        <v>0</v>
      </c>
      <c r="H540">
        <f t="shared" si="81"/>
        <v>0</v>
      </c>
      <c r="I540">
        <f t="shared" si="82"/>
        <v>0</v>
      </c>
      <c r="J540">
        <v>80.7</v>
      </c>
      <c r="K540">
        <v>87.6</v>
      </c>
      <c r="L540">
        <v>77.099999999999994</v>
      </c>
      <c r="M540">
        <v>82.1</v>
      </c>
      <c r="N540">
        <v>65.5</v>
      </c>
      <c r="O540">
        <v>60.3</v>
      </c>
      <c r="S540">
        <f t="shared" si="83"/>
        <v>0</v>
      </c>
      <c r="T540">
        <f t="shared" si="84"/>
        <v>0</v>
      </c>
      <c r="U540">
        <f t="shared" si="85"/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12.8</v>
      </c>
      <c r="AG540">
        <f t="shared" si="86"/>
        <v>1</v>
      </c>
      <c r="AH540">
        <f t="shared" si="87"/>
        <v>0</v>
      </c>
      <c r="AI540">
        <f t="shared" si="88"/>
        <v>1</v>
      </c>
      <c r="AJ540">
        <v>323.5</v>
      </c>
      <c r="AK540">
        <v>1010.5</v>
      </c>
      <c r="AL540">
        <v>30</v>
      </c>
      <c r="AM540">
        <v>6.3</v>
      </c>
      <c r="AN540">
        <v>0</v>
      </c>
      <c r="AO540">
        <v>0</v>
      </c>
      <c r="AP540">
        <v>0</v>
      </c>
      <c r="AQ540">
        <v>0</v>
      </c>
      <c r="AR540" t="s">
        <v>1818</v>
      </c>
      <c r="AS540" t="s">
        <v>1819</v>
      </c>
      <c r="AT540">
        <v>0.59</v>
      </c>
      <c r="AU540" t="s">
        <v>43</v>
      </c>
      <c r="AV540" t="s">
        <v>44</v>
      </c>
      <c r="AW540" t="s">
        <v>45</v>
      </c>
      <c r="AX540" s="1">
        <v>0.80138888888888893</v>
      </c>
      <c r="AY540" t="s">
        <v>1820</v>
      </c>
      <c r="AZ540">
        <v>566.00000000093132</v>
      </c>
      <c r="BA540">
        <v>1</v>
      </c>
      <c r="BB540">
        <v>0</v>
      </c>
      <c r="BC540">
        <v>0.15</v>
      </c>
      <c r="BD540">
        <v>0</v>
      </c>
      <c r="BE540">
        <f t="shared" si="89"/>
        <v>0</v>
      </c>
    </row>
    <row r="541" spans="1:57" x14ac:dyDescent="0.25">
      <c r="A541" t="s">
        <v>39</v>
      </c>
      <c r="B541" t="s">
        <v>1650</v>
      </c>
      <c r="C541">
        <v>62.7</v>
      </c>
      <c r="D541">
        <v>57.3</v>
      </c>
      <c r="G541">
        <f t="shared" si="80"/>
        <v>1</v>
      </c>
      <c r="H541">
        <f t="shared" si="81"/>
        <v>0</v>
      </c>
      <c r="I541">
        <f t="shared" si="82"/>
        <v>1</v>
      </c>
      <c r="J541">
        <v>60.1</v>
      </c>
      <c r="K541">
        <v>62.7</v>
      </c>
      <c r="L541">
        <v>57.3</v>
      </c>
      <c r="M541">
        <v>60.1</v>
      </c>
      <c r="N541">
        <v>46.9</v>
      </c>
      <c r="O541">
        <v>61.9</v>
      </c>
      <c r="S541">
        <f t="shared" si="83"/>
        <v>1</v>
      </c>
      <c r="T541">
        <f t="shared" si="84"/>
        <v>0</v>
      </c>
      <c r="U541">
        <f t="shared" si="85"/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15</v>
      </c>
      <c r="AG541">
        <f t="shared" si="86"/>
        <v>1</v>
      </c>
      <c r="AH541">
        <f t="shared" si="87"/>
        <v>0</v>
      </c>
      <c r="AI541">
        <f t="shared" si="88"/>
        <v>1</v>
      </c>
      <c r="AJ541">
        <v>336.4</v>
      </c>
      <c r="AK541">
        <v>1022.7</v>
      </c>
      <c r="AL541">
        <v>77.5</v>
      </c>
      <c r="AM541">
        <v>6.8</v>
      </c>
      <c r="AN541">
        <v>0</v>
      </c>
      <c r="AO541">
        <v>0</v>
      </c>
      <c r="AP541">
        <v>0</v>
      </c>
      <c r="AQ541">
        <v>0</v>
      </c>
      <c r="AR541" t="s">
        <v>1651</v>
      </c>
      <c r="AS541" t="s">
        <v>1652</v>
      </c>
      <c r="AT541">
        <v>0.44</v>
      </c>
      <c r="AU541" t="s">
        <v>43</v>
      </c>
      <c r="AV541" t="s">
        <v>44</v>
      </c>
      <c r="AW541" t="s">
        <v>45</v>
      </c>
      <c r="AX541" s="1">
        <v>0.625</v>
      </c>
      <c r="AY541" t="s">
        <v>1821</v>
      </c>
      <c r="AZ541">
        <v>104.9999999965075</v>
      </c>
      <c r="BA541">
        <v>0</v>
      </c>
      <c r="BB541">
        <v>0</v>
      </c>
      <c r="BC541">
        <v>1</v>
      </c>
      <c r="BD541">
        <v>0</v>
      </c>
      <c r="BE541">
        <f t="shared" si="89"/>
        <v>0</v>
      </c>
    </row>
    <row r="542" spans="1:57" x14ac:dyDescent="0.25">
      <c r="A542" t="s">
        <v>39</v>
      </c>
      <c r="B542" t="s">
        <v>1822</v>
      </c>
      <c r="C542">
        <v>86.1</v>
      </c>
      <c r="D542">
        <v>73.5</v>
      </c>
      <c r="G542">
        <f t="shared" si="80"/>
        <v>1</v>
      </c>
      <c r="H542">
        <f t="shared" si="81"/>
        <v>1</v>
      </c>
      <c r="I542">
        <f t="shared" si="82"/>
        <v>0</v>
      </c>
      <c r="J542">
        <v>81.5</v>
      </c>
      <c r="K542">
        <v>87.6</v>
      </c>
      <c r="L542">
        <v>73.5</v>
      </c>
      <c r="M542">
        <v>82.4</v>
      </c>
      <c r="N542">
        <v>64.5</v>
      </c>
      <c r="O542">
        <v>57.6</v>
      </c>
      <c r="S542">
        <f t="shared" si="83"/>
        <v>1</v>
      </c>
      <c r="T542">
        <f t="shared" si="84"/>
        <v>0</v>
      </c>
      <c r="U542">
        <f t="shared" si="85"/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20.8</v>
      </c>
      <c r="AG542">
        <f t="shared" si="86"/>
        <v>1</v>
      </c>
      <c r="AH542">
        <f t="shared" si="87"/>
        <v>1</v>
      </c>
      <c r="AI542">
        <f t="shared" si="88"/>
        <v>0</v>
      </c>
      <c r="AJ542">
        <v>309.8</v>
      </c>
      <c r="AK542">
        <v>1010.5</v>
      </c>
      <c r="AL542">
        <v>30</v>
      </c>
      <c r="AM542">
        <v>6.5</v>
      </c>
      <c r="AN542">
        <v>0</v>
      </c>
      <c r="AO542">
        <v>0</v>
      </c>
      <c r="AP542">
        <v>0</v>
      </c>
      <c r="AQ542">
        <v>0</v>
      </c>
      <c r="AR542" t="s">
        <v>1823</v>
      </c>
      <c r="AS542" t="s">
        <v>1824</v>
      </c>
      <c r="AT542">
        <v>0.67</v>
      </c>
      <c r="AU542" t="s">
        <v>43</v>
      </c>
      <c r="AV542" t="s">
        <v>44</v>
      </c>
      <c r="AW542" t="s">
        <v>45</v>
      </c>
      <c r="AX542" s="1">
        <v>0.8881944444444444</v>
      </c>
      <c r="AY542" t="s">
        <v>1825</v>
      </c>
      <c r="AZ542">
        <v>895.99999999743886</v>
      </c>
      <c r="BA542">
        <v>1</v>
      </c>
      <c r="BB542">
        <v>0</v>
      </c>
      <c r="BC542">
        <v>10</v>
      </c>
      <c r="BD542">
        <v>0</v>
      </c>
      <c r="BE542">
        <f t="shared" si="89"/>
        <v>1</v>
      </c>
    </row>
    <row r="543" spans="1:57" x14ac:dyDescent="0.25">
      <c r="A543" t="s">
        <v>39</v>
      </c>
      <c r="B543" t="s">
        <v>1826</v>
      </c>
      <c r="C543">
        <v>84.3</v>
      </c>
      <c r="D543">
        <v>68.099999999999994</v>
      </c>
      <c r="G543">
        <f t="shared" si="80"/>
        <v>0</v>
      </c>
      <c r="H543">
        <f t="shared" si="81"/>
        <v>0</v>
      </c>
      <c r="I543">
        <f t="shared" si="82"/>
        <v>0</v>
      </c>
      <c r="J543">
        <v>77.400000000000006</v>
      </c>
      <c r="K543">
        <v>88.6</v>
      </c>
      <c r="L543">
        <v>68.099999999999994</v>
      </c>
      <c r="M543">
        <v>78.599999999999994</v>
      </c>
      <c r="N543">
        <v>66.3</v>
      </c>
      <c r="O543">
        <v>69.5</v>
      </c>
      <c r="S543">
        <f t="shared" si="83"/>
        <v>1</v>
      </c>
      <c r="T543">
        <f t="shared" si="84"/>
        <v>1</v>
      </c>
      <c r="U543">
        <f t="shared" si="85"/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12.8</v>
      </c>
      <c r="AG543">
        <f t="shared" si="86"/>
        <v>1</v>
      </c>
      <c r="AH543">
        <f t="shared" si="87"/>
        <v>0</v>
      </c>
      <c r="AI543">
        <f t="shared" si="88"/>
        <v>1</v>
      </c>
      <c r="AJ543">
        <v>73.599999999999994</v>
      </c>
      <c r="AK543">
        <v>1009.4</v>
      </c>
      <c r="AL543">
        <v>31.9</v>
      </c>
      <c r="AM543">
        <v>6.7</v>
      </c>
      <c r="AN543">
        <v>0</v>
      </c>
      <c r="AO543">
        <v>0</v>
      </c>
      <c r="AP543">
        <v>0</v>
      </c>
      <c r="AQ543">
        <v>0</v>
      </c>
      <c r="AR543" t="s">
        <v>1827</v>
      </c>
      <c r="AS543" t="s">
        <v>1828</v>
      </c>
      <c r="AT543">
        <v>0.11</v>
      </c>
      <c r="AU543" t="s">
        <v>43</v>
      </c>
      <c r="AV543" t="s">
        <v>44</v>
      </c>
      <c r="AW543" t="s">
        <v>45</v>
      </c>
      <c r="AX543" s="1">
        <v>0.47847222222222219</v>
      </c>
      <c r="AY543" t="s">
        <v>1829</v>
      </c>
      <c r="AZ543">
        <v>2980.9999999939459</v>
      </c>
      <c r="BA543">
        <v>1</v>
      </c>
      <c r="BB543">
        <v>5</v>
      </c>
      <c r="BC543">
        <v>0</v>
      </c>
      <c r="BD543">
        <v>0</v>
      </c>
      <c r="BE543">
        <f t="shared" si="89"/>
        <v>0</v>
      </c>
    </row>
    <row r="544" spans="1:57" x14ac:dyDescent="0.25">
      <c r="A544" t="s">
        <v>39</v>
      </c>
      <c r="B544" t="s">
        <v>1750</v>
      </c>
      <c r="C544">
        <v>84.3</v>
      </c>
      <c r="D544">
        <v>73.5</v>
      </c>
      <c r="G544">
        <f t="shared" si="80"/>
        <v>0</v>
      </c>
      <c r="H544">
        <f t="shared" si="81"/>
        <v>0</v>
      </c>
      <c r="I544">
        <f t="shared" si="82"/>
        <v>0</v>
      </c>
      <c r="J544">
        <v>80.2</v>
      </c>
      <c r="K544">
        <v>88.6</v>
      </c>
      <c r="L544">
        <v>73.5</v>
      </c>
      <c r="M544">
        <v>81.400000000000006</v>
      </c>
      <c r="N544">
        <v>63.8</v>
      </c>
      <c r="O544">
        <v>57.9</v>
      </c>
      <c r="S544">
        <f t="shared" si="83"/>
        <v>1</v>
      </c>
      <c r="T544">
        <f t="shared" si="84"/>
        <v>0</v>
      </c>
      <c r="U544">
        <f t="shared" si="85"/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23</v>
      </c>
      <c r="AG544">
        <f t="shared" si="86"/>
        <v>1</v>
      </c>
      <c r="AH544">
        <f t="shared" si="87"/>
        <v>1</v>
      </c>
      <c r="AI544">
        <f t="shared" si="88"/>
        <v>0</v>
      </c>
      <c r="AJ544">
        <v>305.2</v>
      </c>
      <c r="AK544">
        <v>1003.8</v>
      </c>
      <c r="AL544">
        <v>30</v>
      </c>
      <c r="AM544">
        <v>6.5</v>
      </c>
      <c r="AN544">
        <v>0</v>
      </c>
      <c r="AO544">
        <v>0</v>
      </c>
      <c r="AP544">
        <v>0</v>
      </c>
      <c r="AQ544">
        <v>0</v>
      </c>
      <c r="AR544" t="s">
        <v>1751</v>
      </c>
      <c r="AS544" t="s">
        <v>1752</v>
      </c>
      <c r="AT544">
        <v>0</v>
      </c>
      <c r="AU544" t="s">
        <v>43</v>
      </c>
      <c r="AV544" t="s">
        <v>44</v>
      </c>
      <c r="AW544" t="s">
        <v>45</v>
      </c>
      <c r="AX544" s="1">
        <v>0.91666666666666663</v>
      </c>
      <c r="AY544" t="s">
        <v>1830</v>
      </c>
      <c r="AZ544">
        <v>3460.0000000046571</v>
      </c>
      <c r="BA544">
        <v>1</v>
      </c>
      <c r="BB544">
        <v>0</v>
      </c>
      <c r="BC544">
        <v>100</v>
      </c>
      <c r="BD544">
        <v>0</v>
      </c>
      <c r="BE544">
        <f t="shared" si="89"/>
        <v>1</v>
      </c>
    </row>
    <row r="545" spans="1:57" x14ac:dyDescent="0.25">
      <c r="A545" t="s">
        <v>39</v>
      </c>
      <c r="B545" t="s">
        <v>1831</v>
      </c>
      <c r="C545">
        <v>84.3</v>
      </c>
      <c r="D545">
        <v>75.3</v>
      </c>
      <c r="G545">
        <f t="shared" si="80"/>
        <v>0</v>
      </c>
      <c r="H545">
        <f t="shared" si="81"/>
        <v>0</v>
      </c>
      <c r="I545">
        <f t="shared" si="82"/>
        <v>0</v>
      </c>
      <c r="J545">
        <v>80.5</v>
      </c>
      <c r="K545">
        <v>84.8</v>
      </c>
      <c r="L545">
        <v>75.3</v>
      </c>
      <c r="M545">
        <v>80.7</v>
      </c>
      <c r="N545">
        <v>58.7</v>
      </c>
      <c r="O545">
        <v>48.2</v>
      </c>
      <c r="S545">
        <f t="shared" si="83"/>
        <v>1</v>
      </c>
      <c r="T545">
        <f t="shared" si="84"/>
        <v>0</v>
      </c>
      <c r="U545">
        <f t="shared" si="85"/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30</v>
      </c>
      <c r="AG545">
        <f t="shared" si="86"/>
        <v>1</v>
      </c>
      <c r="AH545">
        <f t="shared" si="87"/>
        <v>1</v>
      </c>
      <c r="AI545">
        <f t="shared" si="88"/>
        <v>0</v>
      </c>
      <c r="AJ545">
        <v>298.60000000000002</v>
      </c>
      <c r="AK545">
        <v>1003.9</v>
      </c>
      <c r="AL545">
        <v>40.799999999999997</v>
      </c>
      <c r="AM545">
        <v>6.5</v>
      </c>
      <c r="AN545">
        <v>0</v>
      </c>
      <c r="AO545">
        <v>0</v>
      </c>
      <c r="AP545">
        <v>0</v>
      </c>
      <c r="AQ545">
        <v>0</v>
      </c>
      <c r="AR545" t="s">
        <v>1832</v>
      </c>
      <c r="AS545" t="s">
        <v>1833</v>
      </c>
      <c r="AT545">
        <v>0.89</v>
      </c>
      <c r="AU545" t="s">
        <v>43</v>
      </c>
      <c r="AV545" t="s">
        <v>44</v>
      </c>
      <c r="AW545" t="s">
        <v>45</v>
      </c>
      <c r="AX545" s="1">
        <v>0.86111111111111116</v>
      </c>
      <c r="AY545" t="s">
        <v>1834</v>
      </c>
      <c r="AZ545">
        <v>830.00000000232831</v>
      </c>
      <c r="BA545">
        <v>1</v>
      </c>
      <c r="BB545">
        <v>0</v>
      </c>
      <c r="BC545">
        <v>10</v>
      </c>
      <c r="BD545">
        <v>0</v>
      </c>
      <c r="BE545">
        <f t="shared" si="89"/>
        <v>1</v>
      </c>
    </row>
    <row r="546" spans="1:57" x14ac:dyDescent="0.25">
      <c r="A546" t="s">
        <v>39</v>
      </c>
      <c r="B546" t="s">
        <v>1835</v>
      </c>
      <c r="C546">
        <v>84.3</v>
      </c>
      <c r="D546">
        <v>69.900000000000006</v>
      </c>
      <c r="G546">
        <f t="shared" si="80"/>
        <v>0</v>
      </c>
      <c r="H546">
        <f t="shared" si="81"/>
        <v>0</v>
      </c>
      <c r="I546">
        <f t="shared" si="82"/>
        <v>0</v>
      </c>
      <c r="J546">
        <v>77.900000000000006</v>
      </c>
      <c r="K546">
        <v>86.6</v>
      </c>
      <c r="L546">
        <v>69.900000000000006</v>
      </c>
      <c r="M546">
        <v>78.7</v>
      </c>
      <c r="N546">
        <v>63.8</v>
      </c>
      <c r="O546">
        <v>63.2</v>
      </c>
      <c r="S546">
        <f t="shared" si="83"/>
        <v>1</v>
      </c>
      <c r="T546">
        <f t="shared" si="84"/>
        <v>1</v>
      </c>
      <c r="U546">
        <f t="shared" si="85"/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24.2</v>
      </c>
      <c r="AG546">
        <f t="shared" si="86"/>
        <v>1</v>
      </c>
      <c r="AH546">
        <f t="shared" si="87"/>
        <v>1</v>
      </c>
      <c r="AI546">
        <f t="shared" si="88"/>
        <v>0</v>
      </c>
      <c r="AJ546">
        <v>304.5</v>
      </c>
      <c r="AK546">
        <v>1009.7</v>
      </c>
      <c r="AL546">
        <v>30</v>
      </c>
      <c r="AM546">
        <v>6.5</v>
      </c>
      <c r="AN546">
        <v>0</v>
      </c>
      <c r="AO546">
        <v>0</v>
      </c>
      <c r="AP546">
        <v>0</v>
      </c>
      <c r="AQ546">
        <v>0</v>
      </c>
      <c r="AR546" t="s">
        <v>1836</v>
      </c>
      <c r="AS546" t="s">
        <v>1837</v>
      </c>
      <c r="AT546">
        <v>0.23</v>
      </c>
      <c r="AU546" t="s">
        <v>43</v>
      </c>
      <c r="AV546" t="s">
        <v>44</v>
      </c>
      <c r="AW546" t="s">
        <v>45</v>
      </c>
      <c r="AX546" s="1">
        <v>0.83611111111111114</v>
      </c>
      <c r="AY546" t="s">
        <v>1838</v>
      </c>
      <c r="AZ546">
        <v>2715.9999999997672</v>
      </c>
      <c r="BA546">
        <v>1</v>
      </c>
      <c r="BB546">
        <v>0</v>
      </c>
      <c r="BC546">
        <v>50</v>
      </c>
      <c r="BD546">
        <v>0</v>
      </c>
      <c r="BE546">
        <f t="shared" si="89"/>
        <v>1</v>
      </c>
    </row>
    <row r="547" spans="1:57" x14ac:dyDescent="0.25">
      <c r="A547" t="s">
        <v>39</v>
      </c>
      <c r="B547" t="s">
        <v>1839</v>
      </c>
      <c r="C547">
        <v>73.5</v>
      </c>
      <c r="D547">
        <v>68.099999999999994</v>
      </c>
      <c r="G547">
        <f t="shared" si="80"/>
        <v>0</v>
      </c>
      <c r="H547">
        <f t="shared" si="81"/>
        <v>0</v>
      </c>
      <c r="I547">
        <f t="shared" si="82"/>
        <v>0</v>
      </c>
      <c r="J547">
        <v>70.3</v>
      </c>
      <c r="K547">
        <v>73.5</v>
      </c>
      <c r="L547">
        <v>68.099999999999994</v>
      </c>
      <c r="M547">
        <v>70.3</v>
      </c>
      <c r="N547">
        <v>56.5</v>
      </c>
      <c r="O547">
        <v>61.8</v>
      </c>
      <c r="S547">
        <f t="shared" si="83"/>
        <v>1</v>
      </c>
      <c r="T547">
        <f t="shared" si="84"/>
        <v>0</v>
      </c>
      <c r="U547">
        <f t="shared" si="85"/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18.3</v>
      </c>
      <c r="AG547">
        <f t="shared" si="86"/>
        <v>1</v>
      </c>
      <c r="AH547">
        <f t="shared" si="87"/>
        <v>1</v>
      </c>
      <c r="AI547">
        <f t="shared" si="88"/>
        <v>0</v>
      </c>
      <c r="AJ547">
        <v>321.60000000000002</v>
      </c>
      <c r="AK547">
        <v>1019.7</v>
      </c>
      <c r="AL547">
        <v>46.7</v>
      </c>
      <c r="AM547">
        <v>6.8</v>
      </c>
      <c r="AN547">
        <v>0</v>
      </c>
      <c r="AO547">
        <v>0</v>
      </c>
      <c r="AP547">
        <v>0</v>
      </c>
      <c r="AQ547">
        <v>0</v>
      </c>
      <c r="AR547" t="s">
        <v>1840</v>
      </c>
      <c r="AS547" t="s">
        <v>1841</v>
      </c>
      <c r="AT547">
        <v>0.18</v>
      </c>
      <c r="AU547" t="s">
        <v>43</v>
      </c>
      <c r="AV547" t="s">
        <v>44</v>
      </c>
      <c r="AW547" t="s">
        <v>45</v>
      </c>
      <c r="AX547" s="1">
        <v>0.61111111111111116</v>
      </c>
      <c r="AY547" t="s">
        <v>1842</v>
      </c>
      <c r="AZ547">
        <v>190.00000000116421</v>
      </c>
      <c r="BA547">
        <v>0</v>
      </c>
      <c r="BB547">
        <v>0</v>
      </c>
      <c r="BC547">
        <v>1</v>
      </c>
      <c r="BD547">
        <v>0</v>
      </c>
      <c r="BE547">
        <f t="shared" si="89"/>
        <v>0</v>
      </c>
    </row>
    <row r="548" spans="1:57" x14ac:dyDescent="0.25">
      <c r="A548" t="s">
        <v>39</v>
      </c>
      <c r="B548" t="s">
        <v>1843</v>
      </c>
      <c r="C548">
        <v>82.5</v>
      </c>
      <c r="D548">
        <v>68.099999999999994</v>
      </c>
      <c r="G548">
        <f t="shared" si="80"/>
        <v>1</v>
      </c>
      <c r="H548">
        <f t="shared" si="81"/>
        <v>1</v>
      </c>
      <c r="I548">
        <f t="shared" si="82"/>
        <v>0</v>
      </c>
      <c r="J548">
        <v>76.7</v>
      </c>
      <c r="K548">
        <v>84.1</v>
      </c>
      <c r="L548">
        <v>68.099999999999994</v>
      </c>
      <c r="M548">
        <v>77.3</v>
      </c>
      <c r="N548">
        <v>63.1</v>
      </c>
      <c r="O548">
        <v>63.3</v>
      </c>
      <c r="S548">
        <f t="shared" si="83"/>
        <v>1</v>
      </c>
      <c r="T548">
        <f t="shared" si="84"/>
        <v>0</v>
      </c>
      <c r="U548">
        <f t="shared" si="85"/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13.9</v>
      </c>
      <c r="AG548">
        <f t="shared" si="86"/>
        <v>1</v>
      </c>
      <c r="AH548">
        <f t="shared" si="87"/>
        <v>0</v>
      </c>
      <c r="AI548">
        <f t="shared" si="88"/>
        <v>1</v>
      </c>
      <c r="AJ548">
        <v>317</v>
      </c>
      <c r="AK548">
        <v>1014.2</v>
      </c>
      <c r="AL548">
        <v>30</v>
      </c>
      <c r="AM548">
        <v>6.6</v>
      </c>
      <c r="AN548">
        <v>0</v>
      </c>
      <c r="AO548">
        <v>0</v>
      </c>
      <c r="AP548">
        <v>0</v>
      </c>
      <c r="AQ548">
        <v>0</v>
      </c>
      <c r="AR548" t="s">
        <v>1844</v>
      </c>
      <c r="AS548" t="s">
        <v>1845</v>
      </c>
      <c r="AT548">
        <v>0.95</v>
      </c>
      <c r="AU548" t="s">
        <v>43</v>
      </c>
      <c r="AV548" t="s">
        <v>44</v>
      </c>
      <c r="AW548" t="s">
        <v>45</v>
      </c>
      <c r="AX548" s="1">
        <v>0.1041666666666667</v>
      </c>
      <c r="AY548" t="s">
        <v>1846</v>
      </c>
      <c r="AZ548">
        <v>280.00000000116421</v>
      </c>
      <c r="BA548">
        <v>0</v>
      </c>
      <c r="BB548">
        <v>0</v>
      </c>
      <c r="BC548">
        <v>0</v>
      </c>
      <c r="BD548">
        <v>8</v>
      </c>
      <c r="BE548">
        <f t="shared" si="89"/>
        <v>1</v>
      </c>
    </row>
    <row r="549" spans="1:57" x14ac:dyDescent="0.25">
      <c r="A549" t="s">
        <v>39</v>
      </c>
      <c r="B549" t="s">
        <v>1847</v>
      </c>
      <c r="C549">
        <v>87.9</v>
      </c>
      <c r="D549">
        <v>80.7</v>
      </c>
      <c r="G549">
        <f t="shared" si="80"/>
        <v>1</v>
      </c>
      <c r="H549">
        <f t="shared" si="81"/>
        <v>1</v>
      </c>
      <c r="I549">
        <f t="shared" si="82"/>
        <v>0</v>
      </c>
      <c r="J549">
        <v>84.3</v>
      </c>
      <c r="K549">
        <v>91.6</v>
      </c>
      <c r="L549">
        <v>81.900000000000006</v>
      </c>
      <c r="M549">
        <v>86.4</v>
      </c>
      <c r="N549">
        <v>65.3</v>
      </c>
      <c r="O549">
        <v>53.3</v>
      </c>
      <c r="S549">
        <f t="shared" si="83"/>
        <v>1</v>
      </c>
      <c r="T549">
        <f t="shared" si="84"/>
        <v>0</v>
      </c>
      <c r="U549">
        <f t="shared" si="85"/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21.9</v>
      </c>
      <c r="AG549">
        <f t="shared" si="86"/>
        <v>1</v>
      </c>
      <c r="AH549">
        <f t="shared" si="87"/>
        <v>1</v>
      </c>
      <c r="AI549">
        <f t="shared" si="88"/>
        <v>0</v>
      </c>
      <c r="AJ549">
        <v>309.8</v>
      </c>
      <c r="AK549">
        <v>1008.7</v>
      </c>
      <c r="AL549">
        <v>30</v>
      </c>
      <c r="AM549">
        <v>6.4</v>
      </c>
      <c r="AN549">
        <v>0</v>
      </c>
      <c r="AO549">
        <v>0</v>
      </c>
      <c r="AP549">
        <v>0</v>
      </c>
      <c r="AQ549">
        <v>0</v>
      </c>
      <c r="AR549" t="s">
        <v>1848</v>
      </c>
      <c r="AS549" t="s">
        <v>1849</v>
      </c>
      <c r="AT549">
        <v>0.91</v>
      </c>
      <c r="AU549" t="s">
        <v>43</v>
      </c>
      <c r="AV549" t="s">
        <v>44</v>
      </c>
      <c r="AW549" t="s">
        <v>45</v>
      </c>
      <c r="AX549" s="1">
        <v>0.72222222222222221</v>
      </c>
      <c r="AY549" t="s">
        <v>1850</v>
      </c>
      <c r="AZ549">
        <v>865.00000000116415</v>
      </c>
      <c r="BA549">
        <v>1</v>
      </c>
      <c r="BB549">
        <v>5</v>
      </c>
      <c r="BC549">
        <v>0</v>
      </c>
      <c r="BD549">
        <v>0</v>
      </c>
      <c r="BE549">
        <f t="shared" si="89"/>
        <v>1</v>
      </c>
    </row>
    <row r="550" spans="1:57" x14ac:dyDescent="0.25">
      <c r="A550" t="s">
        <v>39</v>
      </c>
      <c r="B550" t="s">
        <v>1687</v>
      </c>
      <c r="C550">
        <v>82.5</v>
      </c>
      <c r="D550">
        <v>75.3</v>
      </c>
      <c r="G550">
        <f t="shared" si="80"/>
        <v>0</v>
      </c>
      <c r="H550">
        <f t="shared" si="81"/>
        <v>0</v>
      </c>
      <c r="I550">
        <f t="shared" si="82"/>
        <v>0</v>
      </c>
      <c r="J550">
        <v>78.7</v>
      </c>
      <c r="K550">
        <v>85.5</v>
      </c>
      <c r="L550">
        <v>75.3</v>
      </c>
      <c r="M550">
        <v>79.599999999999994</v>
      </c>
      <c r="N550">
        <v>65.5</v>
      </c>
      <c r="O550">
        <v>64.099999999999994</v>
      </c>
      <c r="S550">
        <f t="shared" si="83"/>
        <v>1</v>
      </c>
      <c r="T550">
        <f t="shared" si="84"/>
        <v>1</v>
      </c>
      <c r="U550">
        <f t="shared" si="85"/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18.3</v>
      </c>
      <c r="AG550">
        <f t="shared" si="86"/>
        <v>0</v>
      </c>
      <c r="AH550">
        <f t="shared" si="87"/>
        <v>0</v>
      </c>
      <c r="AI550">
        <f t="shared" si="88"/>
        <v>0</v>
      </c>
      <c r="AJ550">
        <v>310.10000000000002</v>
      </c>
      <c r="AK550">
        <v>1011.7</v>
      </c>
      <c r="AL550">
        <v>30</v>
      </c>
      <c r="AM550">
        <v>6.7</v>
      </c>
      <c r="AN550">
        <v>0</v>
      </c>
      <c r="AO550">
        <v>0</v>
      </c>
      <c r="AP550">
        <v>0</v>
      </c>
      <c r="AQ550">
        <v>0</v>
      </c>
      <c r="AR550" t="s">
        <v>1688</v>
      </c>
      <c r="AS550" t="s">
        <v>1689</v>
      </c>
      <c r="AT550">
        <v>0.89</v>
      </c>
      <c r="AU550" t="s">
        <v>43</v>
      </c>
      <c r="AV550" t="s">
        <v>44</v>
      </c>
      <c r="AW550" t="s">
        <v>45</v>
      </c>
      <c r="AX550" s="1">
        <v>0.1173611111111111</v>
      </c>
      <c r="AY550" t="s">
        <v>1851</v>
      </c>
      <c r="AZ550">
        <v>195.9999999997672</v>
      </c>
      <c r="BA550">
        <v>0</v>
      </c>
      <c r="BB550">
        <v>0</v>
      </c>
      <c r="BC550">
        <v>0</v>
      </c>
      <c r="BD550">
        <v>1</v>
      </c>
      <c r="BE550">
        <f t="shared" si="89"/>
        <v>0</v>
      </c>
    </row>
    <row r="551" spans="1:57" x14ac:dyDescent="0.25">
      <c r="A551" t="s">
        <v>39</v>
      </c>
      <c r="B551" t="s">
        <v>1852</v>
      </c>
      <c r="C551">
        <v>82.5</v>
      </c>
      <c r="D551">
        <v>64.5</v>
      </c>
      <c r="G551">
        <f t="shared" si="80"/>
        <v>1</v>
      </c>
      <c r="H551">
        <f t="shared" si="81"/>
        <v>1</v>
      </c>
      <c r="I551">
        <f t="shared" si="82"/>
        <v>0</v>
      </c>
      <c r="J551">
        <v>76.400000000000006</v>
      </c>
      <c r="K551">
        <v>82.6</v>
      </c>
      <c r="L551">
        <v>64.5</v>
      </c>
      <c r="M551">
        <v>76.400000000000006</v>
      </c>
      <c r="N551">
        <v>56.5</v>
      </c>
      <c r="O551">
        <v>50.6</v>
      </c>
      <c r="S551">
        <f t="shared" si="83"/>
        <v>1</v>
      </c>
      <c r="T551">
        <f t="shared" si="84"/>
        <v>0</v>
      </c>
      <c r="U551">
        <f t="shared" si="85"/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19.5</v>
      </c>
      <c r="AG551">
        <f t="shared" si="86"/>
        <v>1</v>
      </c>
      <c r="AH551">
        <f t="shared" si="87"/>
        <v>1</v>
      </c>
      <c r="AI551">
        <f t="shared" si="88"/>
        <v>0</v>
      </c>
      <c r="AJ551">
        <v>305.10000000000002</v>
      </c>
      <c r="AK551">
        <v>1008.2</v>
      </c>
      <c r="AL551">
        <v>0</v>
      </c>
      <c r="AM551">
        <v>6.2</v>
      </c>
      <c r="AN551">
        <v>0</v>
      </c>
      <c r="AO551">
        <v>0</v>
      </c>
      <c r="AP551">
        <v>0</v>
      </c>
      <c r="AQ551">
        <v>0</v>
      </c>
      <c r="AR551" t="s">
        <v>1853</v>
      </c>
      <c r="AS551" t="s">
        <v>1854</v>
      </c>
      <c r="AT551">
        <v>0.75</v>
      </c>
      <c r="AU551" t="s">
        <v>74</v>
      </c>
      <c r="AV551" t="s">
        <v>44</v>
      </c>
      <c r="AW551" t="s">
        <v>75</v>
      </c>
      <c r="AX551" s="1">
        <v>0.75486111111111109</v>
      </c>
      <c r="AY551" t="s">
        <v>1855</v>
      </c>
      <c r="AZ551">
        <v>743.00000000162981</v>
      </c>
      <c r="BA551">
        <v>1</v>
      </c>
      <c r="BB551">
        <v>0</v>
      </c>
      <c r="BC551">
        <v>50</v>
      </c>
      <c r="BD551">
        <v>0</v>
      </c>
      <c r="BE551">
        <f t="shared" si="89"/>
        <v>1</v>
      </c>
    </row>
    <row r="552" spans="1:57" x14ac:dyDescent="0.25">
      <c r="A552" t="s">
        <v>39</v>
      </c>
      <c r="B552" t="s">
        <v>1856</v>
      </c>
      <c r="C552">
        <v>80.7</v>
      </c>
      <c r="D552">
        <v>71.7</v>
      </c>
      <c r="G552">
        <f t="shared" si="80"/>
        <v>0</v>
      </c>
      <c r="H552">
        <f t="shared" si="81"/>
        <v>0</v>
      </c>
      <c r="I552">
        <f t="shared" si="82"/>
        <v>0</v>
      </c>
      <c r="J552">
        <v>76.099999999999994</v>
      </c>
      <c r="K552">
        <v>81.5</v>
      </c>
      <c r="L552">
        <v>71.7</v>
      </c>
      <c r="M552">
        <v>76.2</v>
      </c>
      <c r="N552">
        <v>59.6</v>
      </c>
      <c r="O552">
        <v>56.7</v>
      </c>
      <c r="S552">
        <f t="shared" si="83"/>
        <v>1</v>
      </c>
      <c r="T552">
        <f t="shared" si="84"/>
        <v>0</v>
      </c>
      <c r="U552">
        <f t="shared" si="85"/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17.2</v>
      </c>
      <c r="AG552">
        <f t="shared" si="86"/>
        <v>0</v>
      </c>
      <c r="AH552">
        <f t="shared" si="87"/>
        <v>0</v>
      </c>
      <c r="AI552">
        <f t="shared" si="88"/>
        <v>0</v>
      </c>
      <c r="AJ552">
        <v>306.3</v>
      </c>
      <c r="AK552">
        <v>1013.9</v>
      </c>
      <c r="AL552">
        <v>30</v>
      </c>
      <c r="AM552">
        <v>6.7</v>
      </c>
      <c r="AN552">
        <v>0</v>
      </c>
      <c r="AO552">
        <v>0</v>
      </c>
      <c r="AP552">
        <v>0</v>
      </c>
      <c r="AQ552">
        <v>0</v>
      </c>
      <c r="AR552" t="s">
        <v>1857</v>
      </c>
      <c r="AS552" t="s">
        <v>1858</v>
      </c>
      <c r="AT552">
        <v>0.23</v>
      </c>
      <c r="AU552" t="s">
        <v>43</v>
      </c>
      <c r="AV552" t="s">
        <v>44</v>
      </c>
      <c r="AW552" t="s">
        <v>45</v>
      </c>
      <c r="AX552" s="1">
        <v>0.72152777777777777</v>
      </c>
      <c r="AY552" t="s">
        <v>1859</v>
      </c>
      <c r="AZ552">
        <v>206.00000000093129</v>
      </c>
      <c r="BA552">
        <v>0</v>
      </c>
      <c r="BB552">
        <v>0</v>
      </c>
      <c r="BC552">
        <v>10</v>
      </c>
      <c r="BD552">
        <v>0</v>
      </c>
      <c r="BE552">
        <f t="shared" si="89"/>
        <v>0</v>
      </c>
    </row>
    <row r="553" spans="1:57" x14ac:dyDescent="0.25">
      <c r="A553" t="s">
        <v>39</v>
      </c>
      <c r="B553" t="s">
        <v>1860</v>
      </c>
      <c r="C553">
        <v>80.7</v>
      </c>
      <c r="D553">
        <v>55.5</v>
      </c>
      <c r="G553">
        <f t="shared" si="80"/>
        <v>1</v>
      </c>
      <c r="H553">
        <f t="shared" si="81"/>
        <v>1</v>
      </c>
      <c r="I553">
        <f t="shared" si="82"/>
        <v>0</v>
      </c>
      <c r="J553">
        <v>67.5</v>
      </c>
      <c r="K553">
        <v>79.2</v>
      </c>
      <c r="L553">
        <v>55.5</v>
      </c>
      <c r="M553">
        <v>67.400000000000006</v>
      </c>
      <c r="N553">
        <v>42.2</v>
      </c>
      <c r="O553">
        <v>43.7</v>
      </c>
      <c r="S553">
        <f t="shared" si="83"/>
        <v>1</v>
      </c>
      <c r="T553">
        <f t="shared" si="84"/>
        <v>0</v>
      </c>
      <c r="U553">
        <f t="shared" si="85"/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21.9</v>
      </c>
      <c r="AG553">
        <f t="shared" si="86"/>
        <v>1</v>
      </c>
      <c r="AH553">
        <f t="shared" si="87"/>
        <v>1</v>
      </c>
      <c r="AI553">
        <f t="shared" si="88"/>
        <v>0</v>
      </c>
      <c r="AJ553">
        <v>150.6</v>
      </c>
      <c r="AK553">
        <v>1012.9</v>
      </c>
      <c r="AL553">
        <v>30</v>
      </c>
      <c r="AM553">
        <v>6.5</v>
      </c>
      <c r="AN553">
        <v>0</v>
      </c>
      <c r="AO553">
        <v>0</v>
      </c>
      <c r="AP553">
        <v>0</v>
      </c>
      <c r="AQ553">
        <v>0</v>
      </c>
      <c r="AR553" t="s">
        <v>1861</v>
      </c>
      <c r="AS553" t="s">
        <v>1862</v>
      </c>
      <c r="AT553">
        <v>0.25</v>
      </c>
      <c r="AU553" t="s">
        <v>43</v>
      </c>
      <c r="AV553" t="s">
        <v>44</v>
      </c>
      <c r="AW553" t="s">
        <v>45</v>
      </c>
      <c r="AX553" s="1">
        <v>0.81527777777777777</v>
      </c>
      <c r="AY553" t="s">
        <v>1863</v>
      </c>
      <c r="AZ553">
        <v>275.99999999860302</v>
      </c>
      <c r="BA553">
        <v>0</v>
      </c>
      <c r="BB553">
        <v>0</v>
      </c>
      <c r="BC553">
        <v>10</v>
      </c>
      <c r="BD553">
        <v>0</v>
      </c>
      <c r="BE553">
        <f t="shared" si="89"/>
        <v>1</v>
      </c>
    </row>
    <row r="554" spans="1:57" x14ac:dyDescent="0.25">
      <c r="A554" t="s">
        <v>39</v>
      </c>
      <c r="B554" t="s">
        <v>1860</v>
      </c>
      <c r="C554">
        <v>80.7</v>
      </c>
      <c r="D554">
        <v>55.5</v>
      </c>
      <c r="G554">
        <f t="shared" si="80"/>
        <v>1</v>
      </c>
      <c r="H554">
        <f t="shared" si="81"/>
        <v>1</v>
      </c>
      <c r="I554">
        <f t="shared" si="82"/>
        <v>0</v>
      </c>
      <c r="J554">
        <v>67.5</v>
      </c>
      <c r="K554">
        <v>79.2</v>
      </c>
      <c r="L554">
        <v>55.5</v>
      </c>
      <c r="M554">
        <v>67.400000000000006</v>
      </c>
      <c r="N554">
        <v>42.2</v>
      </c>
      <c r="O554">
        <v>43.7</v>
      </c>
      <c r="S554">
        <f t="shared" si="83"/>
        <v>1</v>
      </c>
      <c r="T554">
        <f t="shared" si="84"/>
        <v>0</v>
      </c>
      <c r="U554">
        <f t="shared" si="85"/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21.9</v>
      </c>
      <c r="AG554">
        <f t="shared" si="86"/>
        <v>1</v>
      </c>
      <c r="AH554">
        <f t="shared" si="87"/>
        <v>1</v>
      </c>
      <c r="AI554">
        <f t="shared" si="88"/>
        <v>0</v>
      </c>
      <c r="AJ554">
        <v>150.6</v>
      </c>
      <c r="AK554">
        <v>1012.9</v>
      </c>
      <c r="AL554">
        <v>30</v>
      </c>
      <c r="AM554">
        <v>6.5</v>
      </c>
      <c r="AN554">
        <v>0</v>
      </c>
      <c r="AO554">
        <v>0</v>
      </c>
      <c r="AP554">
        <v>0</v>
      </c>
      <c r="AQ554">
        <v>0</v>
      </c>
      <c r="AR554" t="s">
        <v>1861</v>
      </c>
      <c r="AS554" t="s">
        <v>1862</v>
      </c>
      <c r="AT554">
        <v>0.25</v>
      </c>
      <c r="AU554" t="s">
        <v>43</v>
      </c>
      <c r="AV554" t="s">
        <v>44</v>
      </c>
      <c r="AW554" t="s">
        <v>45</v>
      </c>
      <c r="AX554" s="1">
        <v>0.94791666666666663</v>
      </c>
      <c r="AY554" t="s">
        <v>1864</v>
      </c>
      <c r="AZ554">
        <v>535.00000000465661</v>
      </c>
      <c r="BA554">
        <v>1</v>
      </c>
      <c r="BB554">
        <v>0</v>
      </c>
      <c r="BC554">
        <v>20</v>
      </c>
      <c r="BD554">
        <v>0</v>
      </c>
      <c r="BE554">
        <f t="shared" si="89"/>
        <v>1</v>
      </c>
    </row>
    <row r="555" spans="1:57" x14ac:dyDescent="0.25">
      <c r="A555" t="s">
        <v>39</v>
      </c>
      <c r="B555" t="s">
        <v>1704</v>
      </c>
      <c r="C555">
        <v>87.9</v>
      </c>
      <c r="D555">
        <v>71.7</v>
      </c>
      <c r="G555">
        <f t="shared" si="80"/>
        <v>1</v>
      </c>
      <c r="H555">
        <f t="shared" si="81"/>
        <v>1</v>
      </c>
      <c r="I555">
        <f t="shared" si="82"/>
        <v>0</v>
      </c>
      <c r="J555">
        <v>77.3</v>
      </c>
      <c r="K555">
        <v>86.4</v>
      </c>
      <c r="L555">
        <v>71.7</v>
      </c>
      <c r="M555">
        <v>77.7</v>
      </c>
      <c r="N555">
        <v>58.9</v>
      </c>
      <c r="O555">
        <v>55.7</v>
      </c>
      <c r="S555">
        <f t="shared" si="83"/>
        <v>1</v>
      </c>
      <c r="T555">
        <f t="shared" si="84"/>
        <v>0</v>
      </c>
      <c r="U555">
        <f t="shared" si="85"/>
        <v>1</v>
      </c>
      <c r="V555">
        <v>1.2E-2</v>
      </c>
      <c r="W555">
        <v>100</v>
      </c>
      <c r="X555">
        <v>4.17</v>
      </c>
      <c r="Y555" t="s">
        <v>103</v>
      </c>
      <c r="Z555">
        <v>0</v>
      </c>
      <c r="AA555">
        <v>0</v>
      </c>
      <c r="AB555">
        <v>0</v>
      </c>
      <c r="AC555">
        <v>17.2</v>
      </c>
      <c r="AG555">
        <f t="shared" si="86"/>
        <v>0</v>
      </c>
      <c r="AH555">
        <f t="shared" si="87"/>
        <v>0</v>
      </c>
      <c r="AI555">
        <f t="shared" si="88"/>
        <v>0</v>
      </c>
      <c r="AJ555">
        <v>292.39999999999998</v>
      </c>
      <c r="AK555">
        <v>1006.5</v>
      </c>
      <c r="AL555">
        <v>57.3</v>
      </c>
      <c r="AM555">
        <v>6.4</v>
      </c>
      <c r="AN555">
        <v>0</v>
      </c>
      <c r="AO555">
        <v>0</v>
      </c>
      <c r="AP555">
        <v>0</v>
      </c>
      <c r="AQ555">
        <v>0</v>
      </c>
      <c r="AR555" t="s">
        <v>1705</v>
      </c>
      <c r="AS555" t="s">
        <v>1706</v>
      </c>
      <c r="AT555">
        <v>0.41</v>
      </c>
      <c r="AU555" t="s">
        <v>106</v>
      </c>
      <c r="AV555" t="s">
        <v>438</v>
      </c>
      <c r="AW555" t="s">
        <v>103</v>
      </c>
      <c r="AX555" s="1">
        <v>0.6875</v>
      </c>
      <c r="AY555" t="s">
        <v>1865</v>
      </c>
      <c r="AZ555">
        <v>169.99999999883579</v>
      </c>
      <c r="BA555">
        <v>0</v>
      </c>
      <c r="BB555">
        <v>3</v>
      </c>
      <c r="BC555">
        <v>0</v>
      </c>
      <c r="BD555">
        <v>0</v>
      </c>
      <c r="BE555">
        <f t="shared" si="89"/>
        <v>0</v>
      </c>
    </row>
    <row r="556" spans="1:57" x14ac:dyDescent="0.25">
      <c r="A556" t="s">
        <v>39</v>
      </c>
      <c r="B556" t="s">
        <v>1866</v>
      </c>
      <c r="C556">
        <v>64.5</v>
      </c>
      <c r="D556">
        <v>59.1</v>
      </c>
      <c r="G556">
        <f t="shared" si="80"/>
        <v>1</v>
      </c>
      <c r="H556">
        <f t="shared" si="81"/>
        <v>0</v>
      </c>
      <c r="I556">
        <f t="shared" si="82"/>
        <v>1</v>
      </c>
      <c r="J556">
        <v>61.3</v>
      </c>
      <c r="K556">
        <v>64.5</v>
      </c>
      <c r="L556">
        <v>59.1</v>
      </c>
      <c r="M556">
        <v>61.3</v>
      </c>
      <c r="N556">
        <v>43.5</v>
      </c>
      <c r="O556">
        <v>52</v>
      </c>
      <c r="S556">
        <f t="shared" si="83"/>
        <v>1</v>
      </c>
      <c r="T556">
        <f t="shared" si="84"/>
        <v>0</v>
      </c>
      <c r="U556">
        <f t="shared" si="85"/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26.4</v>
      </c>
      <c r="AG556">
        <f t="shared" si="86"/>
        <v>1</v>
      </c>
      <c r="AH556">
        <f t="shared" si="87"/>
        <v>1</v>
      </c>
      <c r="AI556">
        <f t="shared" si="88"/>
        <v>0</v>
      </c>
      <c r="AJ556">
        <v>349.8</v>
      </c>
      <c r="AK556">
        <v>1021.5</v>
      </c>
      <c r="AL556">
        <v>47.6</v>
      </c>
      <c r="AM556">
        <v>6.8</v>
      </c>
      <c r="AN556">
        <v>0</v>
      </c>
      <c r="AO556">
        <v>0</v>
      </c>
      <c r="AP556">
        <v>0</v>
      </c>
      <c r="AQ556">
        <v>0</v>
      </c>
      <c r="AR556" t="s">
        <v>1867</v>
      </c>
      <c r="AS556" t="s">
        <v>1868</v>
      </c>
      <c r="AT556">
        <v>0.91</v>
      </c>
      <c r="AU556" t="s">
        <v>43</v>
      </c>
      <c r="AV556" t="s">
        <v>44</v>
      </c>
      <c r="AW556" t="s">
        <v>45</v>
      </c>
      <c r="AX556" s="1">
        <v>0.44791666666666669</v>
      </c>
      <c r="AY556" t="s">
        <v>1869</v>
      </c>
      <c r="AZ556">
        <v>110.00000000232831</v>
      </c>
      <c r="BA556">
        <v>0</v>
      </c>
      <c r="BB556">
        <v>0</v>
      </c>
      <c r="BC556">
        <v>1</v>
      </c>
      <c r="BD556">
        <v>0</v>
      </c>
      <c r="BE556">
        <f t="shared" si="89"/>
        <v>1</v>
      </c>
    </row>
    <row r="557" spans="1:57" x14ac:dyDescent="0.25">
      <c r="A557" t="s">
        <v>39</v>
      </c>
      <c r="B557" t="s">
        <v>1870</v>
      </c>
      <c r="C557">
        <v>78.900000000000006</v>
      </c>
      <c r="D557">
        <v>71.7</v>
      </c>
      <c r="G557">
        <f t="shared" si="80"/>
        <v>0</v>
      </c>
      <c r="H557">
        <f t="shared" si="81"/>
        <v>0</v>
      </c>
      <c r="I557">
        <f t="shared" si="82"/>
        <v>0</v>
      </c>
      <c r="J557">
        <v>75.2</v>
      </c>
      <c r="K557">
        <v>78.900000000000006</v>
      </c>
      <c r="L557">
        <v>71.7</v>
      </c>
      <c r="M557">
        <v>75.2</v>
      </c>
      <c r="N557">
        <v>54.2</v>
      </c>
      <c r="O557">
        <v>48.3</v>
      </c>
      <c r="S557">
        <f t="shared" si="83"/>
        <v>1</v>
      </c>
      <c r="T557">
        <f t="shared" si="84"/>
        <v>0</v>
      </c>
      <c r="U557">
        <f t="shared" si="85"/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20.8</v>
      </c>
      <c r="AG557">
        <f t="shared" si="86"/>
        <v>1</v>
      </c>
      <c r="AH557">
        <f t="shared" si="87"/>
        <v>1</v>
      </c>
      <c r="AI557">
        <f t="shared" si="88"/>
        <v>0</v>
      </c>
      <c r="AJ557">
        <v>336.7</v>
      </c>
      <c r="AK557">
        <v>1018.5</v>
      </c>
      <c r="AL557">
        <v>30</v>
      </c>
      <c r="AM557">
        <v>6.8</v>
      </c>
      <c r="AN557">
        <v>0</v>
      </c>
      <c r="AO557">
        <v>0</v>
      </c>
      <c r="AP557">
        <v>0</v>
      </c>
      <c r="AQ557">
        <v>0</v>
      </c>
      <c r="AR557" t="s">
        <v>1871</v>
      </c>
      <c r="AS557" t="s">
        <v>1872</v>
      </c>
      <c r="AT557">
        <v>0.02</v>
      </c>
      <c r="AU557" t="s">
        <v>43</v>
      </c>
      <c r="AV557" t="s">
        <v>44</v>
      </c>
      <c r="AW557" t="s">
        <v>45</v>
      </c>
      <c r="AX557" s="1">
        <v>0.4201388888888889</v>
      </c>
      <c r="AY557" t="s">
        <v>1873</v>
      </c>
      <c r="AZ557">
        <v>84.999999994179234</v>
      </c>
      <c r="BA557">
        <v>0</v>
      </c>
      <c r="BB557">
        <v>0</v>
      </c>
      <c r="BC557">
        <v>0.5</v>
      </c>
      <c r="BD557">
        <v>0</v>
      </c>
      <c r="BE557">
        <f t="shared" si="89"/>
        <v>0</v>
      </c>
    </row>
    <row r="558" spans="1:57" x14ac:dyDescent="0.25">
      <c r="A558" t="s">
        <v>39</v>
      </c>
      <c r="B558" t="s">
        <v>1874</v>
      </c>
      <c r="C558">
        <v>62.7</v>
      </c>
      <c r="D558">
        <v>51.9</v>
      </c>
      <c r="G558">
        <f t="shared" si="80"/>
        <v>0</v>
      </c>
      <c r="H558">
        <f t="shared" si="81"/>
        <v>0</v>
      </c>
      <c r="I558">
        <f t="shared" si="82"/>
        <v>0</v>
      </c>
      <c r="J558">
        <v>57.4</v>
      </c>
      <c r="K558">
        <v>62.7</v>
      </c>
      <c r="L558">
        <v>51.9</v>
      </c>
      <c r="M558">
        <v>57.4</v>
      </c>
      <c r="N558">
        <v>43.9</v>
      </c>
      <c r="O558">
        <v>60.9</v>
      </c>
      <c r="S558">
        <f t="shared" si="83"/>
        <v>1</v>
      </c>
      <c r="T558">
        <f t="shared" si="84"/>
        <v>0</v>
      </c>
      <c r="U558">
        <f t="shared" si="85"/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36.9</v>
      </c>
      <c r="AG558">
        <f t="shared" si="86"/>
        <v>1</v>
      </c>
      <c r="AH558">
        <f t="shared" si="87"/>
        <v>1</v>
      </c>
      <c r="AI558">
        <f t="shared" si="88"/>
        <v>0</v>
      </c>
      <c r="AJ558">
        <v>162.1</v>
      </c>
      <c r="AK558">
        <v>1011</v>
      </c>
      <c r="AL558">
        <v>91.3</v>
      </c>
      <c r="AM558">
        <v>6.6</v>
      </c>
      <c r="AN558">
        <v>0</v>
      </c>
      <c r="AO558">
        <v>0</v>
      </c>
      <c r="AP558">
        <v>0</v>
      </c>
      <c r="AQ558">
        <v>0</v>
      </c>
      <c r="AR558" t="s">
        <v>1875</v>
      </c>
      <c r="AS558" t="s">
        <v>1876</v>
      </c>
      <c r="AT558">
        <v>0.82</v>
      </c>
      <c r="AU558" t="s">
        <v>275</v>
      </c>
      <c r="AV558" t="s">
        <v>276</v>
      </c>
      <c r="AW558" t="s">
        <v>419</v>
      </c>
      <c r="AX558" s="1">
        <v>0.78402777777777777</v>
      </c>
      <c r="AY558" t="s">
        <v>1877</v>
      </c>
      <c r="AZ558">
        <v>150.9999999997672</v>
      </c>
      <c r="BA558">
        <v>0</v>
      </c>
      <c r="BB558">
        <v>0</v>
      </c>
      <c r="BC558">
        <v>3</v>
      </c>
      <c r="BD558">
        <v>0</v>
      </c>
      <c r="BE558">
        <f t="shared" si="89"/>
        <v>0</v>
      </c>
    </row>
    <row r="559" spans="1:57" x14ac:dyDescent="0.25">
      <c r="A559" t="s">
        <v>39</v>
      </c>
      <c r="B559" t="s">
        <v>1878</v>
      </c>
      <c r="C559">
        <v>64.5</v>
      </c>
      <c r="D559">
        <v>57.3</v>
      </c>
      <c r="G559">
        <f t="shared" si="80"/>
        <v>1</v>
      </c>
      <c r="H559">
        <f t="shared" si="81"/>
        <v>1</v>
      </c>
      <c r="I559">
        <f t="shared" si="82"/>
        <v>0</v>
      </c>
      <c r="J559">
        <v>59.5</v>
      </c>
      <c r="K559">
        <v>64.5</v>
      </c>
      <c r="L559">
        <v>57.3</v>
      </c>
      <c r="M559">
        <v>59.5</v>
      </c>
      <c r="N559">
        <v>43.9</v>
      </c>
      <c r="O559">
        <v>56.7</v>
      </c>
      <c r="S559">
        <f t="shared" si="83"/>
        <v>1</v>
      </c>
      <c r="T559">
        <f t="shared" si="84"/>
        <v>0</v>
      </c>
      <c r="U559">
        <f t="shared" si="85"/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26.4</v>
      </c>
      <c r="AG559">
        <f t="shared" si="86"/>
        <v>1</v>
      </c>
      <c r="AH559">
        <f t="shared" si="87"/>
        <v>1</v>
      </c>
      <c r="AI559">
        <f t="shared" si="88"/>
        <v>0</v>
      </c>
      <c r="AJ559">
        <v>175</v>
      </c>
      <c r="AK559">
        <v>1009.2</v>
      </c>
      <c r="AL559">
        <v>71.7</v>
      </c>
      <c r="AM559">
        <v>6.8</v>
      </c>
      <c r="AN559">
        <v>0</v>
      </c>
      <c r="AO559">
        <v>0</v>
      </c>
      <c r="AP559">
        <v>0</v>
      </c>
      <c r="AQ559">
        <v>0</v>
      </c>
      <c r="AR559" t="s">
        <v>1879</v>
      </c>
      <c r="AS559" t="s">
        <v>1880</v>
      </c>
      <c r="AT559">
        <v>0.18</v>
      </c>
      <c r="AU559" t="s">
        <v>43</v>
      </c>
      <c r="AV559" t="s">
        <v>44</v>
      </c>
      <c r="AW559" t="s">
        <v>45</v>
      </c>
      <c r="AX559" s="1">
        <v>0.73263888888888884</v>
      </c>
      <c r="AY559" t="s">
        <v>1881</v>
      </c>
      <c r="AZ559">
        <v>124.9999999988358</v>
      </c>
      <c r="BA559">
        <v>0</v>
      </c>
      <c r="BB559">
        <v>0</v>
      </c>
      <c r="BC559">
        <v>2</v>
      </c>
      <c r="BD559">
        <v>0</v>
      </c>
      <c r="BE559">
        <f t="shared" si="89"/>
        <v>1</v>
      </c>
    </row>
    <row r="560" spans="1:57" x14ac:dyDescent="0.25">
      <c r="A560" t="s">
        <v>39</v>
      </c>
      <c r="B560" t="s">
        <v>1882</v>
      </c>
      <c r="C560">
        <v>66.3</v>
      </c>
      <c r="D560">
        <v>60.9</v>
      </c>
      <c r="G560">
        <f t="shared" si="80"/>
        <v>1</v>
      </c>
      <c r="H560">
        <f t="shared" si="81"/>
        <v>0</v>
      </c>
      <c r="I560">
        <f t="shared" si="82"/>
        <v>1</v>
      </c>
      <c r="J560">
        <v>62.9</v>
      </c>
      <c r="K560">
        <v>66.3</v>
      </c>
      <c r="L560">
        <v>60.9</v>
      </c>
      <c r="M560">
        <v>62.9</v>
      </c>
      <c r="N560">
        <v>43.6</v>
      </c>
      <c r="O560">
        <v>49.4</v>
      </c>
      <c r="S560">
        <f t="shared" si="83"/>
        <v>1</v>
      </c>
      <c r="T560">
        <f t="shared" si="84"/>
        <v>0</v>
      </c>
      <c r="U560">
        <f t="shared" si="85"/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18.3</v>
      </c>
      <c r="AG560">
        <f t="shared" si="86"/>
        <v>1</v>
      </c>
      <c r="AH560">
        <f t="shared" si="87"/>
        <v>1</v>
      </c>
      <c r="AI560">
        <f t="shared" si="88"/>
        <v>0</v>
      </c>
      <c r="AJ560">
        <v>347.5</v>
      </c>
      <c r="AK560">
        <v>1021.8</v>
      </c>
      <c r="AL560">
        <v>51.7</v>
      </c>
      <c r="AM560">
        <v>6.8</v>
      </c>
      <c r="AN560">
        <v>0</v>
      </c>
      <c r="AO560">
        <v>0</v>
      </c>
      <c r="AP560">
        <v>0</v>
      </c>
      <c r="AQ560">
        <v>0</v>
      </c>
      <c r="AR560" t="s">
        <v>1883</v>
      </c>
      <c r="AS560" t="s">
        <v>1884</v>
      </c>
      <c r="AT560">
        <v>0.59</v>
      </c>
      <c r="AU560" t="s">
        <v>43</v>
      </c>
      <c r="AV560" t="s">
        <v>44</v>
      </c>
      <c r="AW560" t="s">
        <v>45</v>
      </c>
      <c r="AX560" s="1">
        <v>0.53402777777777777</v>
      </c>
      <c r="AY560" t="s">
        <v>1885</v>
      </c>
      <c r="AZ560">
        <v>370.9999999939464</v>
      </c>
      <c r="BA560">
        <v>1</v>
      </c>
      <c r="BB560">
        <v>0</v>
      </c>
      <c r="BC560">
        <v>1</v>
      </c>
      <c r="BD560">
        <v>0</v>
      </c>
      <c r="BE560">
        <f t="shared" si="89"/>
        <v>1</v>
      </c>
    </row>
    <row r="561" spans="1:57" x14ac:dyDescent="0.25">
      <c r="A561" t="s">
        <v>39</v>
      </c>
      <c r="B561" t="s">
        <v>1886</v>
      </c>
      <c r="C561">
        <v>77.099999999999994</v>
      </c>
      <c r="D561">
        <v>50.1</v>
      </c>
      <c r="G561">
        <f t="shared" si="80"/>
        <v>1</v>
      </c>
      <c r="H561">
        <f t="shared" si="81"/>
        <v>1</v>
      </c>
      <c r="I561">
        <f t="shared" si="82"/>
        <v>0</v>
      </c>
      <c r="J561">
        <v>58.2</v>
      </c>
      <c r="K561">
        <v>77.099999999999994</v>
      </c>
      <c r="L561">
        <v>50.1</v>
      </c>
      <c r="M561">
        <v>58.2</v>
      </c>
      <c r="N561">
        <v>50.9</v>
      </c>
      <c r="O561">
        <v>79.8</v>
      </c>
      <c r="S561">
        <f t="shared" si="83"/>
        <v>1</v>
      </c>
      <c r="T561">
        <f t="shared" si="84"/>
        <v>1</v>
      </c>
      <c r="U561">
        <f t="shared" si="85"/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20.8</v>
      </c>
      <c r="AG561">
        <f t="shared" si="86"/>
        <v>1</v>
      </c>
      <c r="AH561">
        <f t="shared" si="87"/>
        <v>1</v>
      </c>
      <c r="AI561">
        <f t="shared" si="88"/>
        <v>0</v>
      </c>
      <c r="AJ561">
        <v>185.1</v>
      </c>
      <c r="AK561">
        <v>1001.8</v>
      </c>
      <c r="AL561">
        <v>90.5</v>
      </c>
      <c r="AM561">
        <v>6.6</v>
      </c>
      <c r="AN561">
        <v>0</v>
      </c>
      <c r="AO561">
        <v>0</v>
      </c>
      <c r="AP561">
        <v>0</v>
      </c>
      <c r="AQ561">
        <v>0</v>
      </c>
      <c r="AR561" t="s">
        <v>1887</v>
      </c>
      <c r="AS561" t="s">
        <v>1888</v>
      </c>
      <c r="AT561">
        <v>0.68</v>
      </c>
      <c r="AU561" t="s">
        <v>275</v>
      </c>
      <c r="AV561" t="s">
        <v>276</v>
      </c>
      <c r="AW561" t="s">
        <v>277</v>
      </c>
      <c r="AX561" s="1">
        <v>0.58958333333333335</v>
      </c>
      <c r="AY561" t="s">
        <v>1889</v>
      </c>
      <c r="AZ561">
        <v>145.9999999939464</v>
      </c>
      <c r="BA561">
        <v>0</v>
      </c>
      <c r="BB561">
        <v>0</v>
      </c>
      <c r="BC561">
        <v>6</v>
      </c>
      <c r="BD561">
        <v>0</v>
      </c>
      <c r="BE561">
        <f t="shared" si="89"/>
        <v>1</v>
      </c>
    </row>
    <row r="562" spans="1:57" x14ac:dyDescent="0.25">
      <c r="A562" t="s">
        <v>39</v>
      </c>
      <c r="B562" t="s">
        <v>1890</v>
      </c>
      <c r="C562">
        <v>77.099999999999994</v>
      </c>
      <c r="D562">
        <v>60.9</v>
      </c>
      <c r="G562">
        <f t="shared" si="80"/>
        <v>1</v>
      </c>
      <c r="H562">
        <f t="shared" si="81"/>
        <v>1</v>
      </c>
      <c r="I562">
        <f t="shared" si="82"/>
        <v>0</v>
      </c>
      <c r="J562">
        <v>68.599999999999994</v>
      </c>
      <c r="K562">
        <v>77.099999999999994</v>
      </c>
      <c r="L562">
        <v>60.9</v>
      </c>
      <c r="M562">
        <v>68.599999999999994</v>
      </c>
      <c r="N562">
        <v>59.6</v>
      </c>
      <c r="O562">
        <v>73.8</v>
      </c>
      <c r="S562">
        <f t="shared" si="83"/>
        <v>1</v>
      </c>
      <c r="T562">
        <f t="shared" si="84"/>
        <v>1</v>
      </c>
      <c r="U562">
        <f t="shared" si="85"/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13.9</v>
      </c>
      <c r="AG562">
        <f t="shared" si="86"/>
        <v>1</v>
      </c>
      <c r="AH562">
        <f t="shared" si="87"/>
        <v>0</v>
      </c>
      <c r="AI562">
        <f t="shared" si="88"/>
        <v>1</v>
      </c>
      <c r="AJ562">
        <v>319.39999999999998</v>
      </c>
      <c r="AK562">
        <v>1011</v>
      </c>
      <c r="AL562">
        <v>58.3</v>
      </c>
      <c r="AM562">
        <v>6.8</v>
      </c>
      <c r="AN562">
        <v>0</v>
      </c>
      <c r="AO562">
        <v>0</v>
      </c>
      <c r="AP562">
        <v>0</v>
      </c>
      <c r="AQ562">
        <v>0</v>
      </c>
      <c r="AR562" t="s">
        <v>1891</v>
      </c>
      <c r="AS562" t="s">
        <v>1892</v>
      </c>
      <c r="AT562">
        <v>0.55000000000000004</v>
      </c>
      <c r="AU562" t="s">
        <v>43</v>
      </c>
      <c r="AV562" t="s">
        <v>44</v>
      </c>
      <c r="AW562" t="s">
        <v>45</v>
      </c>
      <c r="AX562" s="1">
        <v>0.51666666666666672</v>
      </c>
      <c r="AY562" t="s">
        <v>1893</v>
      </c>
      <c r="AZ562">
        <v>232.9999999946449</v>
      </c>
      <c r="BA562">
        <v>0</v>
      </c>
      <c r="BB562">
        <v>0</v>
      </c>
      <c r="BC562">
        <v>5</v>
      </c>
      <c r="BD562">
        <v>0</v>
      </c>
      <c r="BE562">
        <f t="shared" si="89"/>
        <v>1</v>
      </c>
    </row>
    <row r="563" spans="1:57" x14ac:dyDescent="0.25">
      <c r="A563" t="s">
        <v>39</v>
      </c>
      <c r="B563" t="s">
        <v>1894</v>
      </c>
      <c r="C563">
        <v>71.7</v>
      </c>
      <c r="D563">
        <v>59.1</v>
      </c>
      <c r="G563">
        <f t="shared" si="80"/>
        <v>1</v>
      </c>
      <c r="H563">
        <f t="shared" si="81"/>
        <v>0</v>
      </c>
      <c r="I563">
        <f t="shared" si="82"/>
        <v>1</v>
      </c>
      <c r="J563">
        <v>66.5</v>
      </c>
      <c r="K563">
        <v>71.7</v>
      </c>
      <c r="L563">
        <v>59.1</v>
      </c>
      <c r="M563">
        <v>66.5</v>
      </c>
      <c r="N563">
        <v>59</v>
      </c>
      <c r="O563">
        <v>77.2</v>
      </c>
      <c r="S563">
        <f t="shared" si="83"/>
        <v>1</v>
      </c>
      <c r="T563">
        <f t="shared" si="84"/>
        <v>1</v>
      </c>
      <c r="U563">
        <f t="shared" si="85"/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15</v>
      </c>
      <c r="AG563">
        <f t="shared" si="86"/>
        <v>1</v>
      </c>
      <c r="AH563">
        <f t="shared" si="87"/>
        <v>0</v>
      </c>
      <c r="AI563">
        <f t="shared" si="88"/>
        <v>1</v>
      </c>
      <c r="AJ563">
        <v>320.89999999999998</v>
      </c>
      <c r="AK563">
        <v>1021.3</v>
      </c>
      <c r="AL563">
        <v>38.299999999999997</v>
      </c>
      <c r="AM563">
        <v>6.8</v>
      </c>
      <c r="AN563">
        <v>0</v>
      </c>
      <c r="AO563">
        <v>0</v>
      </c>
      <c r="AP563">
        <v>0</v>
      </c>
      <c r="AQ563">
        <v>0</v>
      </c>
      <c r="AR563" t="s">
        <v>1895</v>
      </c>
      <c r="AS563" t="s">
        <v>1896</v>
      </c>
      <c r="AT563">
        <v>0.79</v>
      </c>
      <c r="AU563" t="s">
        <v>43</v>
      </c>
      <c r="AV563" t="s">
        <v>80</v>
      </c>
      <c r="AW563" t="s">
        <v>45</v>
      </c>
      <c r="AX563" s="1">
        <v>0.39583333333333331</v>
      </c>
      <c r="AY563" t="s">
        <v>1897</v>
      </c>
      <c r="AZ563">
        <v>90</v>
      </c>
      <c r="BA563">
        <v>0</v>
      </c>
      <c r="BB563">
        <v>0.2</v>
      </c>
      <c r="BC563">
        <v>0</v>
      </c>
      <c r="BD563">
        <v>0</v>
      </c>
      <c r="BE563">
        <f t="shared" si="89"/>
        <v>0</v>
      </c>
    </row>
    <row r="564" spans="1:57" x14ac:dyDescent="0.25">
      <c r="A564" t="s">
        <v>39</v>
      </c>
      <c r="B564" t="s">
        <v>1898</v>
      </c>
      <c r="C564">
        <v>64.5</v>
      </c>
      <c r="D564">
        <v>60.9</v>
      </c>
      <c r="G564">
        <f t="shared" si="80"/>
        <v>1</v>
      </c>
      <c r="H564">
        <f t="shared" si="81"/>
        <v>0</v>
      </c>
      <c r="I564">
        <f t="shared" si="82"/>
        <v>1</v>
      </c>
      <c r="J564">
        <v>62.5</v>
      </c>
      <c r="K564">
        <v>64.5</v>
      </c>
      <c r="L564">
        <v>60.9</v>
      </c>
      <c r="M564">
        <v>62.5</v>
      </c>
      <c r="N564">
        <v>49.8</v>
      </c>
      <c r="O564">
        <v>63.4</v>
      </c>
      <c r="S564">
        <f t="shared" si="83"/>
        <v>1</v>
      </c>
      <c r="T564">
        <f t="shared" si="84"/>
        <v>0</v>
      </c>
      <c r="U564">
        <f t="shared" si="85"/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12.8</v>
      </c>
      <c r="AG564">
        <f t="shared" si="86"/>
        <v>1</v>
      </c>
      <c r="AH564">
        <f t="shared" si="87"/>
        <v>0</v>
      </c>
      <c r="AI564">
        <f t="shared" si="88"/>
        <v>1</v>
      </c>
      <c r="AJ564">
        <v>352.9</v>
      </c>
      <c r="AK564">
        <v>1024.3</v>
      </c>
      <c r="AL564">
        <v>90</v>
      </c>
      <c r="AM564">
        <v>6.8</v>
      </c>
      <c r="AN564">
        <v>0</v>
      </c>
      <c r="AO564">
        <v>0</v>
      </c>
      <c r="AP564">
        <v>0</v>
      </c>
      <c r="AQ564">
        <v>0</v>
      </c>
      <c r="AR564" t="s">
        <v>1899</v>
      </c>
      <c r="AS564" t="s">
        <v>1900</v>
      </c>
      <c r="AT564">
        <v>0.3</v>
      </c>
      <c r="AU564" t="s">
        <v>43</v>
      </c>
      <c r="AV564" t="s">
        <v>44</v>
      </c>
      <c r="AW564" t="s">
        <v>45</v>
      </c>
      <c r="AX564" s="1">
        <v>0.49930555555555561</v>
      </c>
      <c r="AY564" t="s">
        <v>1901</v>
      </c>
      <c r="AZ564">
        <v>46.000000003259629</v>
      </c>
      <c r="BA564">
        <v>0</v>
      </c>
      <c r="BB564">
        <v>0</v>
      </c>
      <c r="BC564">
        <v>1.5</v>
      </c>
      <c r="BD564">
        <v>0</v>
      </c>
      <c r="BE564">
        <f t="shared" si="89"/>
        <v>0</v>
      </c>
    </row>
    <row r="565" spans="1:57" x14ac:dyDescent="0.25">
      <c r="A565" t="s">
        <v>39</v>
      </c>
      <c r="B565" t="s">
        <v>1870</v>
      </c>
      <c r="C565">
        <v>78.900000000000006</v>
      </c>
      <c r="D565">
        <v>71.7</v>
      </c>
      <c r="G565">
        <f t="shared" si="80"/>
        <v>0</v>
      </c>
      <c r="H565">
        <f t="shared" si="81"/>
        <v>0</v>
      </c>
      <c r="I565">
        <f t="shared" si="82"/>
        <v>0</v>
      </c>
      <c r="J565">
        <v>75.2</v>
      </c>
      <c r="K565">
        <v>78.900000000000006</v>
      </c>
      <c r="L565">
        <v>71.7</v>
      </c>
      <c r="M565">
        <v>75.2</v>
      </c>
      <c r="N565">
        <v>54.2</v>
      </c>
      <c r="O565">
        <v>48.3</v>
      </c>
      <c r="S565">
        <f t="shared" si="83"/>
        <v>1</v>
      </c>
      <c r="T565">
        <f t="shared" si="84"/>
        <v>0</v>
      </c>
      <c r="U565">
        <f t="shared" si="85"/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20.8</v>
      </c>
      <c r="AG565">
        <f t="shared" si="86"/>
        <v>1</v>
      </c>
      <c r="AH565">
        <f t="shared" si="87"/>
        <v>1</v>
      </c>
      <c r="AI565">
        <f t="shared" si="88"/>
        <v>0</v>
      </c>
      <c r="AJ565">
        <v>336.7</v>
      </c>
      <c r="AK565">
        <v>1018.5</v>
      </c>
      <c r="AL565">
        <v>30</v>
      </c>
      <c r="AM565">
        <v>6.8</v>
      </c>
      <c r="AN565">
        <v>0</v>
      </c>
      <c r="AO565">
        <v>0</v>
      </c>
      <c r="AP565">
        <v>0</v>
      </c>
      <c r="AQ565">
        <v>0</v>
      </c>
      <c r="AR565" t="s">
        <v>1871</v>
      </c>
      <c r="AS565" t="s">
        <v>1872</v>
      </c>
      <c r="AT565">
        <v>0.02</v>
      </c>
      <c r="AU565" t="s">
        <v>43</v>
      </c>
      <c r="AV565" t="s">
        <v>44</v>
      </c>
      <c r="AW565" t="s">
        <v>45</v>
      </c>
      <c r="AX565" s="1">
        <v>0.48541666666666672</v>
      </c>
      <c r="AY565" t="s">
        <v>1902</v>
      </c>
      <c r="AZ565">
        <v>410.99999999860302</v>
      </c>
      <c r="BA565">
        <v>1</v>
      </c>
      <c r="BB565">
        <v>0</v>
      </c>
      <c r="BC565">
        <v>5</v>
      </c>
      <c r="BD565">
        <v>0</v>
      </c>
      <c r="BE565">
        <f t="shared" si="89"/>
        <v>1</v>
      </c>
    </row>
    <row r="566" spans="1:57" x14ac:dyDescent="0.25">
      <c r="A566" t="s">
        <v>39</v>
      </c>
      <c r="B566" t="s">
        <v>1903</v>
      </c>
      <c r="C566">
        <v>93.3</v>
      </c>
      <c r="D566">
        <v>77.099999999999994</v>
      </c>
      <c r="G566">
        <f t="shared" si="80"/>
        <v>1</v>
      </c>
      <c r="H566">
        <f t="shared" si="81"/>
        <v>1</v>
      </c>
      <c r="I566">
        <f t="shared" si="82"/>
        <v>0</v>
      </c>
      <c r="J566">
        <v>85.6</v>
      </c>
      <c r="K566">
        <v>93.5</v>
      </c>
      <c r="L566">
        <v>77.099999999999994</v>
      </c>
      <c r="M566">
        <v>85.6</v>
      </c>
      <c r="N566">
        <v>58</v>
      </c>
      <c r="O566">
        <v>40.799999999999997</v>
      </c>
      <c r="S566">
        <f t="shared" si="83"/>
        <v>1</v>
      </c>
      <c r="T566">
        <f t="shared" si="84"/>
        <v>0</v>
      </c>
      <c r="U566">
        <f t="shared" si="85"/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13.9</v>
      </c>
      <c r="AG566">
        <f t="shared" si="86"/>
        <v>1</v>
      </c>
      <c r="AH566">
        <f t="shared" si="87"/>
        <v>0</v>
      </c>
      <c r="AI566">
        <f t="shared" si="88"/>
        <v>1</v>
      </c>
      <c r="AJ566">
        <v>151.5</v>
      </c>
      <c r="AK566">
        <v>1006.9</v>
      </c>
      <c r="AL566">
        <v>0</v>
      </c>
      <c r="AM566">
        <v>6.2</v>
      </c>
      <c r="AN566">
        <v>0</v>
      </c>
      <c r="AO566">
        <v>0</v>
      </c>
      <c r="AP566">
        <v>0</v>
      </c>
      <c r="AQ566">
        <v>0</v>
      </c>
      <c r="AR566" t="s">
        <v>1904</v>
      </c>
      <c r="AS566" t="s">
        <v>1905</v>
      </c>
      <c r="AT566">
        <v>0.86</v>
      </c>
      <c r="AU566" t="s">
        <v>74</v>
      </c>
      <c r="AV566" t="s">
        <v>44</v>
      </c>
      <c r="AW566" t="s">
        <v>75</v>
      </c>
      <c r="AX566" s="1">
        <v>0.65277777777777779</v>
      </c>
      <c r="AY566" t="s">
        <v>1906</v>
      </c>
      <c r="AZ566">
        <v>379.99999999185093</v>
      </c>
      <c r="BA566">
        <v>1</v>
      </c>
      <c r="BB566">
        <v>0</v>
      </c>
      <c r="BC566">
        <v>70</v>
      </c>
      <c r="BD566">
        <v>0</v>
      </c>
      <c r="BE566">
        <f t="shared" si="89"/>
        <v>1</v>
      </c>
    </row>
    <row r="567" spans="1:57" x14ac:dyDescent="0.25">
      <c r="A567" t="s">
        <v>39</v>
      </c>
      <c r="B567" t="s">
        <v>1789</v>
      </c>
      <c r="C567">
        <v>75.3</v>
      </c>
      <c r="D567">
        <v>69.900000000000006</v>
      </c>
      <c r="G567">
        <f t="shared" si="80"/>
        <v>0</v>
      </c>
      <c r="H567">
        <f t="shared" si="81"/>
        <v>0</v>
      </c>
      <c r="I567">
        <f t="shared" si="82"/>
        <v>0</v>
      </c>
      <c r="J567">
        <v>71.599999999999994</v>
      </c>
      <c r="K567">
        <v>75.3</v>
      </c>
      <c r="L567">
        <v>69.900000000000006</v>
      </c>
      <c r="M567">
        <v>71.599999999999994</v>
      </c>
      <c r="N567">
        <v>58.2</v>
      </c>
      <c r="O567">
        <v>62.7</v>
      </c>
      <c r="S567">
        <f t="shared" si="83"/>
        <v>1</v>
      </c>
      <c r="T567">
        <f t="shared" si="84"/>
        <v>0</v>
      </c>
      <c r="U567">
        <f t="shared" si="85"/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17.2</v>
      </c>
      <c r="AG567">
        <f t="shared" si="86"/>
        <v>0</v>
      </c>
      <c r="AH567">
        <f t="shared" si="87"/>
        <v>0</v>
      </c>
      <c r="AI567">
        <f t="shared" si="88"/>
        <v>0</v>
      </c>
      <c r="AJ567">
        <v>326.7</v>
      </c>
      <c r="AK567">
        <v>1019.5</v>
      </c>
      <c r="AL567">
        <v>62.2</v>
      </c>
      <c r="AM567">
        <v>6.8</v>
      </c>
      <c r="AN567">
        <v>0</v>
      </c>
      <c r="AO567">
        <v>0</v>
      </c>
      <c r="AP567">
        <v>0</v>
      </c>
      <c r="AQ567">
        <v>0</v>
      </c>
      <c r="AR567" t="s">
        <v>1790</v>
      </c>
      <c r="AS567" t="s">
        <v>1791</v>
      </c>
      <c r="AT567">
        <v>0.14000000000000001</v>
      </c>
      <c r="AU567" t="s">
        <v>43</v>
      </c>
      <c r="AV567" t="s">
        <v>44</v>
      </c>
      <c r="AW567" t="s">
        <v>45</v>
      </c>
      <c r="AX567" s="1">
        <v>0.7006944444444444</v>
      </c>
      <c r="AY567" t="s">
        <v>1907</v>
      </c>
      <c r="AZ567">
        <v>191.00000000442381</v>
      </c>
      <c r="BA567">
        <v>0</v>
      </c>
      <c r="BB567">
        <v>0</v>
      </c>
      <c r="BC567">
        <v>10</v>
      </c>
      <c r="BD567">
        <v>0</v>
      </c>
      <c r="BE567">
        <f t="shared" si="89"/>
        <v>0</v>
      </c>
    </row>
    <row r="568" spans="1:57" x14ac:dyDescent="0.25">
      <c r="A568" t="s">
        <v>39</v>
      </c>
      <c r="B568" t="s">
        <v>1847</v>
      </c>
      <c r="C568">
        <v>87.9</v>
      </c>
      <c r="D568">
        <v>80.7</v>
      </c>
      <c r="G568">
        <f t="shared" si="80"/>
        <v>1</v>
      </c>
      <c r="H568">
        <f t="shared" si="81"/>
        <v>1</v>
      </c>
      <c r="I568">
        <f t="shared" si="82"/>
        <v>0</v>
      </c>
      <c r="J568">
        <v>84.3</v>
      </c>
      <c r="K568">
        <v>91.6</v>
      </c>
      <c r="L568">
        <v>81.900000000000006</v>
      </c>
      <c r="M568">
        <v>86.4</v>
      </c>
      <c r="N568">
        <v>65.3</v>
      </c>
      <c r="O568">
        <v>53.3</v>
      </c>
      <c r="S568">
        <f t="shared" si="83"/>
        <v>1</v>
      </c>
      <c r="T568">
        <f t="shared" si="84"/>
        <v>0</v>
      </c>
      <c r="U568">
        <f t="shared" si="85"/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21.9</v>
      </c>
      <c r="AG568">
        <f t="shared" si="86"/>
        <v>1</v>
      </c>
      <c r="AH568">
        <f t="shared" si="87"/>
        <v>1</v>
      </c>
      <c r="AI568">
        <f t="shared" si="88"/>
        <v>0</v>
      </c>
      <c r="AJ568">
        <v>309.8</v>
      </c>
      <c r="AK568">
        <v>1008.7</v>
      </c>
      <c r="AL568">
        <v>30</v>
      </c>
      <c r="AM568">
        <v>6.4</v>
      </c>
      <c r="AN568">
        <v>0</v>
      </c>
      <c r="AO568">
        <v>0</v>
      </c>
      <c r="AP568">
        <v>0</v>
      </c>
      <c r="AQ568">
        <v>0</v>
      </c>
      <c r="AR568" t="s">
        <v>1848</v>
      </c>
      <c r="AS568" t="s">
        <v>1849</v>
      </c>
      <c r="AT568">
        <v>0.91</v>
      </c>
      <c r="AU568" t="s">
        <v>43</v>
      </c>
      <c r="AV568" t="s">
        <v>44</v>
      </c>
      <c r="AW568" t="s">
        <v>45</v>
      </c>
      <c r="AX568" s="1">
        <v>0.37777777777777782</v>
      </c>
      <c r="AY568" t="s">
        <v>1908</v>
      </c>
      <c r="AZ568">
        <v>656.00000000093132</v>
      </c>
      <c r="BA568">
        <v>1</v>
      </c>
      <c r="BB568">
        <v>30</v>
      </c>
      <c r="BC568">
        <v>0</v>
      </c>
      <c r="BD568">
        <v>0</v>
      </c>
      <c r="BE568">
        <f t="shared" si="89"/>
        <v>1</v>
      </c>
    </row>
    <row r="569" spans="1:57" x14ac:dyDescent="0.25">
      <c r="A569" t="s">
        <v>39</v>
      </c>
      <c r="B569" t="s">
        <v>1909</v>
      </c>
      <c r="C569">
        <v>66.3</v>
      </c>
      <c r="D569">
        <v>48.3</v>
      </c>
      <c r="G569">
        <f t="shared" si="80"/>
        <v>1</v>
      </c>
      <c r="H569">
        <f t="shared" si="81"/>
        <v>1</v>
      </c>
      <c r="I569">
        <f t="shared" si="82"/>
        <v>0</v>
      </c>
      <c r="J569">
        <v>56.9</v>
      </c>
      <c r="K569">
        <v>66.3</v>
      </c>
      <c r="L569">
        <v>45.2</v>
      </c>
      <c r="M569">
        <v>56.4</v>
      </c>
      <c r="N569">
        <v>42.3</v>
      </c>
      <c r="O569">
        <v>59.7</v>
      </c>
      <c r="S569">
        <f t="shared" si="83"/>
        <v>1</v>
      </c>
      <c r="T569">
        <f t="shared" si="84"/>
        <v>0</v>
      </c>
      <c r="U569">
        <f t="shared" si="85"/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8.1</v>
      </c>
      <c r="AG569">
        <f t="shared" si="86"/>
        <v>1</v>
      </c>
      <c r="AH569">
        <f t="shared" si="87"/>
        <v>0</v>
      </c>
      <c r="AI569">
        <f t="shared" si="88"/>
        <v>1</v>
      </c>
      <c r="AJ569">
        <v>154</v>
      </c>
      <c r="AK569">
        <v>1022.6</v>
      </c>
      <c r="AL569">
        <v>30</v>
      </c>
      <c r="AM569">
        <v>6.4</v>
      </c>
      <c r="AN569">
        <v>0</v>
      </c>
      <c r="AO569">
        <v>0</v>
      </c>
      <c r="AP569">
        <v>0</v>
      </c>
      <c r="AQ569">
        <v>0</v>
      </c>
      <c r="AR569" t="s">
        <v>1910</v>
      </c>
      <c r="AS569" t="s">
        <v>1911</v>
      </c>
      <c r="AT569">
        <v>0.26</v>
      </c>
      <c r="AU569" t="s">
        <v>43</v>
      </c>
      <c r="AV569" t="s">
        <v>44</v>
      </c>
      <c r="AW569" t="s">
        <v>45</v>
      </c>
      <c r="AX569" s="1">
        <v>0.53194444444444444</v>
      </c>
      <c r="AY569" t="s">
        <v>1912</v>
      </c>
      <c r="AZ569">
        <v>403.99999999674043</v>
      </c>
      <c r="BA569">
        <v>1</v>
      </c>
      <c r="BB569">
        <v>0</v>
      </c>
      <c r="BC569">
        <v>30</v>
      </c>
      <c r="BD569">
        <v>0</v>
      </c>
      <c r="BE569">
        <f t="shared" si="89"/>
        <v>1</v>
      </c>
    </row>
    <row r="570" spans="1:57" x14ac:dyDescent="0.25">
      <c r="A570" t="s">
        <v>39</v>
      </c>
      <c r="B570" t="s">
        <v>1913</v>
      </c>
      <c r="C570">
        <v>62.7</v>
      </c>
      <c r="D570">
        <v>53.7</v>
      </c>
      <c r="G570">
        <f t="shared" si="80"/>
        <v>0</v>
      </c>
      <c r="H570">
        <f t="shared" si="81"/>
        <v>0</v>
      </c>
      <c r="I570">
        <f t="shared" si="82"/>
        <v>0</v>
      </c>
      <c r="J570">
        <v>59.1</v>
      </c>
      <c r="K570">
        <v>62.7</v>
      </c>
      <c r="L570">
        <v>53.7</v>
      </c>
      <c r="M570">
        <v>59.1</v>
      </c>
      <c r="N570">
        <v>49</v>
      </c>
      <c r="O570">
        <v>69.5</v>
      </c>
      <c r="S570">
        <f t="shared" si="83"/>
        <v>1</v>
      </c>
      <c r="T570">
        <f t="shared" si="84"/>
        <v>1</v>
      </c>
      <c r="U570">
        <f t="shared" si="85"/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19.5</v>
      </c>
      <c r="AG570">
        <f t="shared" si="86"/>
        <v>1</v>
      </c>
      <c r="AH570">
        <f t="shared" si="87"/>
        <v>1</v>
      </c>
      <c r="AI570">
        <f t="shared" si="88"/>
        <v>0</v>
      </c>
      <c r="AJ570">
        <v>297.5</v>
      </c>
      <c r="AK570">
        <v>1025.2</v>
      </c>
      <c r="AL570">
        <v>33.299999999999997</v>
      </c>
      <c r="AM570">
        <v>6.8</v>
      </c>
      <c r="AN570">
        <v>0</v>
      </c>
      <c r="AO570">
        <v>0</v>
      </c>
      <c r="AP570">
        <v>0</v>
      </c>
      <c r="AQ570">
        <v>0</v>
      </c>
      <c r="AR570" t="s">
        <v>1914</v>
      </c>
      <c r="AS570" t="s">
        <v>1915</v>
      </c>
      <c r="AT570">
        <v>0.25</v>
      </c>
      <c r="AU570" t="s">
        <v>43</v>
      </c>
      <c r="AV570" t="s">
        <v>44</v>
      </c>
      <c r="AW570" t="s">
        <v>45</v>
      </c>
      <c r="AX570" s="1">
        <v>0.56180555555555556</v>
      </c>
      <c r="AY570" t="s">
        <v>1916</v>
      </c>
      <c r="AZ570">
        <v>351.00000000209548</v>
      </c>
      <c r="BA570">
        <v>0</v>
      </c>
      <c r="BB570">
        <v>0</v>
      </c>
      <c r="BC570">
        <v>10</v>
      </c>
      <c r="BD570">
        <v>0</v>
      </c>
      <c r="BE570">
        <f t="shared" si="89"/>
        <v>0</v>
      </c>
    </row>
    <row r="571" spans="1:57" x14ac:dyDescent="0.25">
      <c r="A571" t="s">
        <v>39</v>
      </c>
      <c r="B571" t="s">
        <v>1870</v>
      </c>
      <c r="C571">
        <v>78.900000000000006</v>
      </c>
      <c r="D571">
        <v>71.7</v>
      </c>
      <c r="G571">
        <f t="shared" si="80"/>
        <v>0</v>
      </c>
      <c r="H571">
        <f t="shared" si="81"/>
        <v>0</v>
      </c>
      <c r="I571">
        <f t="shared" si="82"/>
        <v>0</v>
      </c>
      <c r="J571">
        <v>75.2</v>
      </c>
      <c r="K571">
        <v>78.900000000000006</v>
      </c>
      <c r="L571">
        <v>71.7</v>
      </c>
      <c r="M571">
        <v>75.2</v>
      </c>
      <c r="N571">
        <v>54.2</v>
      </c>
      <c r="O571">
        <v>48.3</v>
      </c>
      <c r="S571">
        <f t="shared" si="83"/>
        <v>1</v>
      </c>
      <c r="T571">
        <f t="shared" si="84"/>
        <v>0</v>
      </c>
      <c r="U571">
        <f t="shared" si="85"/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20.8</v>
      </c>
      <c r="AG571">
        <f t="shared" si="86"/>
        <v>1</v>
      </c>
      <c r="AH571">
        <f t="shared" si="87"/>
        <v>1</v>
      </c>
      <c r="AI571">
        <f t="shared" si="88"/>
        <v>0</v>
      </c>
      <c r="AJ571">
        <v>336.7</v>
      </c>
      <c r="AK571">
        <v>1018.5</v>
      </c>
      <c r="AL571">
        <v>30</v>
      </c>
      <c r="AM571">
        <v>6.8</v>
      </c>
      <c r="AN571">
        <v>0</v>
      </c>
      <c r="AO571">
        <v>0</v>
      </c>
      <c r="AP571">
        <v>0</v>
      </c>
      <c r="AQ571">
        <v>0</v>
      </c>
      <c r="AR571" t="s">
        <v>1871</v>
      </c>
      <c r="AS571" t="s">
        <v>1872</v>
      </c>
      <c r="AT571">
        <v>0.02</v>
      </c>
      <c r="AU571" t="s">
        <v>43</v>
      </c>
      <c r="AV571" t="s">
        <v>44</v>
      </c>
      <c r="AW571" t="s">
        <v>45</v>
      </c>
      <c r="AX571" s="1">
        <v>0.87222222222222223</v>
      </c>
      <c r="AY571" t="s">
        <v>1917</v>
      </c>
      <c r="AZ571">
        <v>84.000000001396984</v>
      </c>
      <c r="BA571">
        <v>0</v>
      </c>
      <c r="BB571">
        <v>0</v>
      </c>
      <c r="BC571">
        <v>1</v>
      </c>
      <c r="BD571">
        <v>0</v>
      </c>
      <c r="BE571">
        <f t="shared" si="89"/>
        <v>0</v>
      </c>
    </row>
    <row r="572" spans="1:57" x14ac:dyDescent="0.25">
      <c r="A572" t="s">
        <v>39</v>
      </c>
      <c r="B572" t="s">
        <v>1918</v>
      </c>
      <c r="C572">
        <v>86.1</v>
      </c>
      <c r="D572">
        <v>69.900000000000006</v>
      </c>
      <c r="G572">
        <f t="shared" si="80"/>
        <v>1</v>
      </c>
      <c r="H572">
        <f t="shared" si="81"/>
        <v>1</v>
      </c>
      <c r="I572">
        <f t="shared" si="82"/>
        <v>0</v>
      </c>
      <c r="J572">
        <v>77.599999999999994</v>
      </c>
      <c r="K572">
        <v>89.8</v>
      </c>
      <c r="L572">
        <v>69.900000000000006</v>
      </c>
      <c r="M572">
        <v>79.2</v>
      </c>
      <c r="N572">
        <v>65.2</v>
      </c>
      <c r="O572">
        <v>66.400000000000006</v>
      </c>
      <c r="S572">
        <f t="shared" si="83"/>
        <v>1</v>
      </c>
      <c r="T572">
        <f t="shared" si="84"/>
        <v>1</v>
      </c>
      <c r="U572">
        <f t="shared" si="85"/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21.9</v>
      </c>
      <c r="AG572">
        <f t="shared" si="86"/>
        <v>1</v>
      </c>
      <c r="AH572">
        <f t="shared" si="87"/>
        <v>1</v>
      </c>
      <c r="AI572">
        <f t="shared" si="88"/>
        <v>0</v>
      </c>
      <c r="AJ572">
        <v>301.3</v>
      </c>
      <c r="AK572">
        <v>1008.8</v>
      </c>
      <c r="AL572">
        <v>30</v>
      </c>
      <c r="AM572">
        <v>6.5</v>
      </c>
      <c r="AN572">
        <v>0</v>
      </c>
      <c r="AO572">
        <v>0</v>
      </c>
      <c r="AP572">
        <v>0</v>
      </c>
      <c r="AQ572">
        <v>0</v>
      </c>
      <c r="AR572" t="s">
        <v>1919</v>
      </c>
      <c r="AS572" t="s">
        <v>1920</v>
      </c>
      <c r="AT572">
        <v>0.6</v>
      </c>
      <c r="AU572" t="s">
        <v>43</v>
      </c>
      <c r="AV572" t="s">
        <v>44</v>
      </c>
      <c r="AW572" t="s">
        <v>45</v>
      </c>
      <c r="AX572" s="1">
        <v>0.45833333333333331</v>
      </c>
      <c r="AY572" t="s">
        <v>1921</v>
      </c>
      <c r="AZ572">
        <v>720</v>
      </c>
      <c r="BA572">
        <v>1</v>
      </c>
      <c r="BB572">
        <v>0</v>
      </c>
      <c r="BC572">
        <v>30</v>
      </c>
      <c r="BD572">
        <v>0</v>
      </c>
      <c r="BE572">
        <f t="shared" si="89"/>
        <v>1</v>
      </c>
    </row>
    <row r="573" spans="1:57" x14ac:dyDescent="0.25">
      <c r="A573" t="s">
        <v>39</v>
      </c>
      <c r="B573" t="s">
        <v>1922</v>
      </c>
      <c r="C573">
        <v>84.3</v>
      </c>
      <c r="D573">
        <v>80.7</v>
      </c>
      <c r="G573">
        <f t="shared" si="80"/>
        <v>0</v>
      </c>
      <c r="H573">
        <f t="shared" si="81"/>
        <v>0</v>
      </c>
      <c r="I573">
        <f t="shared" si="82"/>
        <v>0</v>
      </c>
      <c r="J573">
        <v>82.1</v>
      </c>
      <c r="K573">
        <v>87.6</v>
      </c>
      <c r="L573">
        <v>82.4</v>
      </c>
      <c r="M573">
        <v>84.3</v>
      </c>
      <c r="N573">
        <v>66.099999999999994</v>
      </c>
      <c r="O573">
        <v>58.5</v>
      </c>
      <c r="S573">
        <f t="shared" si="83"/>
        <v>1</v>
      </c>
      <c r="T573">
        <f t="shared" si="84"/>
        <v>0</v>
      </c>
      <c r="U573">
        <f t="shared" si="85"/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23</v>
      </c>
      <c r="AG573">
        <f t="shared" si="86"/>
        <v>1</v>
      </c>
      <c r="AH573">
        <f t="shared" si="87"/>
        <v>1</v>
      </c>
      <c r="AI573">
        <f t="shared" si="88"/>
        <v>0</v>
      </c>
      <c r="AJ573">
        <v>310.5</v>
      </c>
      <c r="AK573">
        <v>1006.8</v>
      </c>
      <c r="AL573">
        <v>37.299999999999997</v>
      </c>
      <c r="AM573">
        <v>6.5</v>
      </c>
      <c r="AN573">
        <v>0</v>
      </c>
      <c r="AO573">
        <v>0</v>
      </c>
      <c r="AP573">
        <v>0</v>
      </c>
      <c r="AQ573">
        <v>0</v>
      </c>
      <c r="AR573" t="s">
        <v>1923</v>
      </c>
      <c r="AS573" t="s">
        <v>1924</v>
      </c>
      <c r="AT573">
        <v>0.8</v>
      </c>
      <c r="AU573" t="s">
        <v>43</v>
      </c>
      <c r="AV573" t="s">
        <v>44</v>
      </c>
      <c r="AW573" t="s">
        <v>45</v>
      </c>
      <c r="AX573" s="1">
        <v>0.18263888888888891</v>
      </c>
      <c r="AY573" t="s">
        <v>1925</v>
      </c>
      <c r="AZ573">
        <v>66.999999998370185</v>
      </c>
      <c r="BA573">
        <v>0</v>
      </c>
      <c r="BB573">
        <v>0</v>
      </c>
      <c r="BC573">
        <v>0.1</v>
      </c>
      <c r="BD573">
        <v>0</v>
      </c>
      <c r="BE573">
        <f t="shared" si="89"/>
        <v>0</v>
      </c>
    </row>
    <row r="574" spans="1:57" x14ac:dyDescent="0.25">
      <c r="A574" t="s">
        <v>39</v>
      </c>
      <c r="B574" t="s">
        <v>1918</v>
      </c>
      <c r="C574">
        <v>86.1</v>
      </c>
      <c r="D574">
        <v>69.900000000000006</v>
      </c>
      <c r="G574">
        <f t="shared" si="80"/>
        <v>1</v>
      </c>
      <c r="H574">
        <f t="shared" si="81"/>
        <v>1</v>
      </c>
      <c r="I574">
        <f t="shared" si="82"/>
        <v>0</v>
      </c>
      <c r="J574">
        <v>77.599999999999994</v>
      </c>
      <c r="K574">
        <v>89.8</v>
      </c>
      <c r="L574">
        <v>69.900000000000006</v>
      </c>
      <c r="M574">
        <v>79.2</v>
      </c>
      <c r="N574">
        <v>65.2</v>
      </c>
      <c r="O574">
        <v>66.400000000000006</v>
      </c>
      <c r="S574">
        <f t="shared" si="83"/>
        <v>1</v>
      </c>
      <c r="T574">
        <f t="shared" si="84"/>
        <v>1</v>
      </c>
      <c r="U574">
        <f t="shared" si="85"/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21.9</v>
      </c>
      <c r="AG574">
        <f t="shared" si="86"/>
        <v>1</v>
      </c>
      <c r="AH574">
        <f t="shared" si="87"/>
        <v>1</v>
      </c>
      <c r="AI574">
        <f t="shared" si="88"/>
        <v>0</v>
      </c>
      <c r="AJ574">
        <v>301.3</v>
      </c>
      <c r="AK574">
        <v>1008.8</v>
      </c>
      <c r="AL574">
        <v>30</v>
      </c>
      <c r="AM574">
        <v>6.5</v>
      </c>
      <c r="AN574">
        <v>0</v>
      </c>
      <c r="AO574">
        <v>0</v>
      </c>
      <c r="AP574">
        <v>0</v>
      </c>
      <c r="AQ574">
        <v>0</v>
      </c>
      <c r="AR574" t="s">
        <v>1919</v>
      </c>
      <c r="AS574" t="s">
        <v>1920</v>
      </c>
      <c r="AT574">
        <v>0.6</v>
      </c>
      <c r="AU574" t="s">
        <v>43</v>
      </c>
      <c r="AV574" t="s">
        <v>44</v>
      </c>
      <c r="AW574" t="s">
        <v>45</v>
      </c>
      <c r="AX574" s="1">
        <v>0.45069444444444451</v>
      </c>
      <c r="AY574" t="s">
        <v>1926</v>
      </c>
      <c r="AZ574">
        <v>680.99999999860302</v>
      </c>
      <c r="BA574">
        <v>1</v>
      </c>
      <c r="BB574">
        <v>0</v>
      </c>
      <c r="BC574">
        <v>7</v>
      </c>
      <c r="BD574">
        <v>0</v>
      </c>
      <c r="BE574">
        <f t="shared" si="89"/>
        <v>1</v>
      </c>
    </row>
    <row r="575" spans="1:57" x14ac:dyDescent="0.25">
      <c r="A575" t="s">
        <v>39</v>
      </c>
      <c r="B575" t="s">
        <v>1927</v>
      </c>
      <c r="C575">
        <v>77.099999999999994</v>
      </c>
      <c r="D575">
        <v>62.7</v>
      </c>
      <c r="G575">
        <f t="shared" si="80"/>
        <v>1</v>
      </c>
      <c r="H575">
        <f t="shared" si="81"/>
        <v>0</v>
      </c>
      <c r="I575">
        <f t="shared" si="82"/>
        <v>1</v>
      </c>
      <c r="J575">
        <v>72.099999999999994</v>
      </c>
      <c r="K575">
        <v>77.099999999999994</v>
      </c>
      <c r="L575">
        <v>62.7</v>
      </c>
      <c r="M575">
        <v>72.099999999999994</v>
      </c>
      <c r="N575">
        <v>57.3</v>
      </c>
      <c r="O575">
        <v>61.7</v>
      </c>
      <c r="S575">
        <f t="shared" si="83"/>
        <v>0</v>
      </c>
      <c r="T575">
        <f t="shared" si="84"/>
        <v>0</v>
      </c>
      <c r="U575">
        <f t="shared" si="85"/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13.9</v>
      </c>
      <c r="AG575">
        <f t="shared" si="86"/>
        <v>1</v>
      </c>
      <c r="AH575">
        <f t="shared" si="87"/>
        <v>0</v>
      </c>
      <c r="AI575">
        <f t="shared" si="88"/>
        <v>1</v>
      </c>
      <c r="AJ575">
        <v>309.89999999999998</v>
      </c>
      <c r="AK575">
        <v>1013.9</v>
      </c>
      <c r="AL575">
        <v>33.299999999999997</v>
      </c>
      <c r="AM575">
        <v>6.4</v>
      </c>
      <c r="AN575">
        <v>0</v>
      </c>
      <c r="AO575">
        <v>0</v>
      </c>
      <c r="AP575">
        <v>0</v>
      </c>
      <c r="AQ575">
        <v>0</v>
      </c>
      <c r="AR575" t="s">
        <v>1928</v>
      </c>
      <c r="AS575" t="s">
        <v>1929</v>
      </c>
      <c r="AT575">
        <v>0.24</v>
      </c>
      <c r="AU575" t="s">
        <v>43</v>
      </c>
      <c r="AV575" t="s">
        <v>44</v>
      </c>
      <c r="AW575" t="s">
        <v>45</v>
      </c>
      <c r="AX575" s="1">
        <v>0.84652777777777777</v>
      </c>
      <c r="AY575" t="s">
        <v>1930</v>
      </c>
      <c r="AZ575">
        <v>290.99999999511061</v>
      </c>
      <c r="BA575">
        <v>0</v>
      </c>
      <c r="BB575">
        <v>0</v>
      </c>
      <c r="BC575">
        <v>1.5</v>
      </c>
      <c r="BD575">
        <v>0</v>
      </c>
      <c r="BE575">
        <f t="shared" si="89"/>
        <v>0</v>
      </c>
    </row>
    <row r="576" spans="1:57" x14ac:dyDescent="0.25">
      <c r="A576" t="s">
        <v>39</v>
      </c>
      <c r="B576" t="s">
        <v>1931</v>
      </c>
      <c r="C576">
        <v>78.900000000000006</v>
      </c>
      <c r="D576">
        <v>64.5</v>
      </c>
      <c r="G576">
        <f t="shared" si="80"/>
        <v>1</v>
      </c>
      <c r="H576">
        <f t="shared" si="81"/>
        <v>1</v>
      </c>
      <c r="I576">
        <f t="shared" si="82"/>
        <v>0</v>
      </c>
      <c r="J576">
        <v>73.5</v>
      </c>
      <c r="K576">
        <v>78.900000000000006</v>
      </c>
      <c r="L576">
        <v>64.5</v>
      </c>
      <c r="M576">
        <v>73.5</v>
      </c>
      <c r="N576">
        <v>53.1</v>
      </c>
      <c r="O576">
        <v>50.2</v>
      </c>
      <c r="S576">
        <f t="shared" si="83"/>
        <v>1</v>
      </c>
      <c r="T576">
        <f t="shared" si="84"/>
        <v>0</v>
      </c>
      <c r="U576">
        <f t="shared" si="85"/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38</v>
      </c>
      <c r="AG576">
        <f t="shared" si="86"/>
        <v>1</v>
      </c>
      <c r="AH576">
        <f t="shared" si="87"/>
        <v>1</v>
      </c>
      <c r="AI576">
        <f t="shared" si="88"/>
        <v>0</v>
      </c>
      <c r="AJ576">
        <v>171.5</v>
      </c>
      <c r="AK576">
        <v>1012.5</v>
      </c>
      <c r="AL576">
        <v>90</v>
      </c>
      <c r="AM576">
        <v>6.5</v>
      </c>
      <c r="AN576">
        <v>0</v>
      </c>
      <c r="AO576">
        <v>0</v>
      </c>
      <c r="AP576">
        <v>0</v>
      </c>
      <c r="AQ576">
        <v>0</v>
      </c>
      <c r="AR576" t="s">
        <v>1932</v>
      </c>
      <c r="AS576" t="s">
        <v>1933</v>
      </c>
      <c r="AT576">
        <v>0.03</v>
      </c>
      <c r="AU576" t="s">
        <v>43</v>
      </c>
      <c r="AV576" t="s">
        <v>44</v>
      </c>
      <c r="AW576" t="s">
        <v>419</v>
      </c>
      <c r="AX576" s="1">
        <v>0.68819444444444444</v>
      </c>
      <c r="AY576" t="s">
        <v>1934</v>
      </c>
      <c r="AZ576">
        <v>233.9999999979045</v>
      </c>
      <c r="BA576">
        <v>0</v>
      </c>
      <c r="BB576">
        <v>0</v>
      </c>
      <c r="BC576">
        <v>2</v>
      </c>
      <c r="BD576">
        <v>0</v>
      </c>
      <c r="BE576">
        <f t="shared" si="89"/>
        <v>1</v>
      </c>
    </row>
    <row r="577" spans="1:57" x14ac:dyDescent="0.25">
      <c r="A577" t="s">
        <v>39</v>
      </c>
      <c r="B577" t="s">
        <v>1935</v>
      </c>
      <c r="C577">
        <v>80.7</v>
      </c>
      <c r="D577">
        <v>66.3</v>
      </c>
      <c r="G577">
        <f t="shared" si="80"/>
        <v>0</v>
      </c>
      <c r="H577">
        <f t="shared" si="81"/>
        <v>0</v>
      </c>
      <c r="I577">
        <f t="shared" si="82"/>
        <v>0</v>
      </c>
      <c r="J577">
        <v>74</v>
      </c>
      <c r="K577">
        <v>84.1</v>
      </c>
      <c r="L577">
        <v>66.3</v>
      </c>
      <c r="M577">
        <v>74.2</v>
      </c>
      <c r="N577">
        <v>63.9</v>
      </c>
      <c r="O577">
        <v>71.5</v>
      </c>
      <c r="S577">
        <f t="shared" si="83"/>
        <v>1</v>
      </c>
      <c r="T577">
        <f t="shared" si="84"/>
        <v>1</v>
      </c>
      <c r="U577">
        <f t="shared" si="85"/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11.4</v>
      </c>
      <c r="AG577">
        <f t="shared" si="86"/>
        <v>1</v>
      </c>
      <c r="AH577">
        <f t="shared" si="87"/>
        <v>0</v>
      </c>
      <c r="AI577">
        <f t="shared" si="88"/>
        <v>1</v>
      </c>
      <c r="AJ577">
        <v>338.6</v>
      </c>
      <c r="AK577">
        <v>1009.3</v>
      </c>
      <c r="AL577">
        <v>37.299999999999997</v>
      </c>
      <c r="AM577">
        <v>6.5</v>
      </c>
      <c r="AN577">
        <v>0</v>
      </c>
      <c r="AO577">
        <v>0</v>
      </c>
      <c r="AP577">
        <v>0</v>
      </c>
      <c r="AQ577">
        <v>0</v>
      </c>
      <c r="AR577" t="s">
        <v>1936</v>
      </c>
      <c r="AS577" t="s">
        <v>1937</v>
      </c>
      <c r="AT577">
        <v>0.44</v>
      </c>
      <c r="AU577" t="s">
        <v>43</v>
      </c>
      <c r="AV577" t="s">
        <v>44</v>
      </c>
      <c r="AW577" t="s">
        <v>45</v>
      </c>
      <c r="AX577" s="1">
        <v>0.52430555555555558</v>
      </c>
      <c r="AY577" t="s">
        <v>1938</v>
      </c>
      <c r="AZ577">
        <v>114.99999999767169</v>
      </c>
      <c r="BA577">
        <v>0</v>
      </c>
      <c r="BB577">
        <v>0</v>
      </c>
      <c r="BC577">
        <v>2</v>
      </c>
      <c r="BD577">
        <v>0</v>
      </c>
      <c r="BE577">
        <f t="shared" si="89"/>
        <v>0</v>
      </c>
    </row>
    <row r="578" spans="1:57" x14ac:dyDescent="0.25">
      <c r="A578" t="s">
        <v>39</v>
      </c>
      <c r="B578" t="s">
        <v>1939</v>
      </c>
      <c r="C578">
        <v>84.3</v>
      </c>
      <c r="D578">
        <v>68.099999999999994</v>
      </c>
      <c r="G578">
        <f t="shared" si="80"/>
        <v>1</v>
      </c>
      <c r="H578">
        <f t="shared" si="81"/>
        <v>1</v>
      </c>
      <c r="I578">
        <f t="shared" si="82"/>
        <v>0</v>
      </c>
      <c r="J578">
        <v>77.900000000000006</v>
      </c>
      <c r="K578">
        <v>84</v>
      </c>
      <c r="L578">
        <v>68.099999999999994</v>
      </c>
      <c r="M578">
        <v>77.900000000000006</v>
      </c>
      <c r="N578">
        <v>57.2</v>
      </c>
      <c r="O578">
        <v>49.7</v>
      </c>
      <c r="S578">
        <f t="shared" si="83"/>
        <v>1</v>
      </c>
      <c r="T578">
        <f t="shared" si="84"/>
        <v>0</v>
      </c>
      <c r="U578">
        <f t="shared" si="85"/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18.3</v>
      </c>
      <c r="AG578">
        <f t="shared" si="86"/>
        <v>0</v>
      </c>
      <c r="AH578">
        <f t="shared" si="87"/>
        <v>0</v>
      </c>
      <c r="AI578">
        <f t="shared" si="88"/>
        <v>0</v>
      </c>
      <c r="AJ578">
        <v>310.39999999999998</v>
      </c>
      <c r="AK578">
        <v>1009.8</v>
      </c>
      <c r="AL578">
        <v>0</v>
      </c>
      <c r="AM578">
        <v>6.2</v>
      </c>
      <c r="AN578">
        <v>0</v>
      </c>
      <c r="AO578">
        <v>0</v>
      </c>
      <c r="AP578">
        <v>0</v>
      </c>
      <c r="AQ578">
        <v>0</v>
      </c>
      <c r="AR578" t="s">
        <v>1940</v>
      </c>
      <c r="AS578" t="s">
        <v>1941</v>
      </c>
      <c r="AT578">
        <v>0.79</v>
      </c>
      <c r="AU578" t="s">
        <v>74</v>
      </c>
      <c r="AV578" t="s">
        <v>44</v>
      </c>
      <c r="AW578" t="s">
        <v>75</v>
      </c>
      <c r="AX578" s="1">
        <v>0.47499999999999998</v>
      </c>
      <c r="AY578" t="s">
        <v>1942</v>
      </c>
      <c r="AZ578">
        <v>116.00000000093129</v>
      </c>
      <c r="BA578">
        <v>0</v>
      </c>
      <c r="BB578">
        <v>0</v>
      </c>
      <c r="BC578">
        <v>0.5</v>
      </c>
      <c r="BD578">
        <v>0</v>
      </c>
      <c r="BE578">
        <f t="shared" si="89"/>
        <v>0</v>
      </c>
    </row>
    <row r="579" spans="1:57" x14ac:dyDescent="0.25">
      <c r="A579" t="s">
        <v>39</v>
      </c>
      <c r="B579" t="s">
        <v>1943</v>
      </c>
      <c r="C579">
        <v>64.5</v>
      </c>
      <c r="D579">
        <v>60.9</v>
      </c>
      <c r="G579">
        <f t="shared" ref="G579:G642" si="90">IF(ABS(C579-INDEX($F$2:$F$13,MONTH(B579)))&gt;1.8,1,0)</f>
        <v>1</v>
      </c>
      <c r="H579">
        <f t="shared" ref="H579:H642" si="91">IF(C579&gt;=INDEX($F$2:$F$13,MONTH(B579))+1.8,1,0)</f>
        <v>0</v>
      </c>
      <c r="I579">
        <f t="shared" ref="I579:I642" si="92">IF(C579&lt;=INDEX($F$2:$F$13,MONTH(B579))-1.8,1,0)</f>
        <v>1</v>
      </c>
      <c r="J579">
        <v>61.7</v>
      </c>
      <c r="K579">
        <v>64.5</v>
      </c>
      <c r="L579">
        <v>60.9</v>
      </c>
      <c r="M579">
        <v>61.7</v>
      </c>
      <c r="N579">
        <v>46.5</v>
      </c>
      <c r="O579">
        <v>57.5</v>
      </c>
      <c r="S579">
        <f t="shared" ref="S579:S642" si="93">IF(OR(O579&lt;INDEX($Q$2:$Q$13,MONTH(B579)),O579&gt;INDEX($R$2:$R$13,MONTH(B579))),1,0)</f>
        <v>1</v>
      </c>
      <c r="T579">
        <f t="shared" ref="T579:T642" si="94">IF(O579&gt;INDEX($R$2:$R$13,MONTH(B579)),1,0)</f>
        <v>0</v>
      </c>
      <c r="U579">
        <f t="shared" ref="U579:U642" si="95">IF(O579&lt;INDEX($Q$2:$Q$13,MONTH(B579)),1,0)</f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23</v>
      </c>
      <c r="AG579">
        <f t="shared" ref="AG579:AG642" si="96">IF(OR(AC579&lt;INDEX($AE$2:$AE$13,MONTH(B579)),AC579&gt;INDEX($AF$2:$AF$13,MONTH(B579))),1,0)</f>
        <v>1</v>
      </c>
      <c r="AH579">
        <f t="shared" ref="AH579:AH642" si="97">IF(AC579&gt;INDEX($AF$2:$AF$13,MONTH(B579)),1,0)</f>
        <v>1</v>
      </c>
      <c r="AI579">
        <f t="shared" ref="AI579:AI642" si="98">IF(AC579&lt;INDEX($AE$2:$AE$13,MONTH(B579)),1,0)</f>
        <v>0</v>
      </c>
      <c r="AJ579">
        <v>343.7</v>
      </c>
      <c r="AK579">
        <v>1022.9</v>
      </c>
      <c r="AL579">
        <v>55</v>
      </c>
      <c r="AM579">
        <v>6.8</v>
      </c>
      <c r="AN579">
        <v>0</v>
      </c>
      <c r="AO579">
        <v>0</v>
      </c>
      <c r="AP579">
        <v>0</v>
      </c>
      <c r="AQ579">
        <v>0</v>
      </c>
      <c r="AR579" t="s">
        <v>1944</v>
      </c>
      <c r="AS579" t="s">
        <v>1945</v>
      </c>
      <c r="AT579">
        <v>0.16</v>
      </c>
      <c r="AU579" t="s">
        <v>43</v>
      </c>
      <c r="AV579" t="s">
        <v>44</v>
      </c>
      <c r="AW579" t="s">
        <v>45</v>
      </c>
      <c r="AX579" s="1">
        <v>0.42708333333333331</v>
      </c>
      <c r="AY579" t="s">
        <v>1946</v>
      </c>
      <c r="AZ579">
        <v>524.99999999301508</v>
      </c>
      <c r="BA579">
        <v>1</v>
      </c>
      <c r="BB579">
        <v>0</v>
      </c>
      <c r="BC579">
        <v>400</v>
      </c>
      <c r="BD579">
        <v>0</v>
      </c>
      <c r="BE579">
        <f t="shared" ref="BE579:BE642" si="99">IF((3*AH579+3*H579+2*U579+2*BA579-(2*(1-T579)+2*(1-I579)+2*(1-AI579)))&gt;=1,1,0)</f>
        <v>1</v>
      </c>
    </row>
    <row r="580" spans="1:57" x14ac:dyDescent="0.25">
      <c r="A580" t="s">
        <v>39</v>
      </c>
      <c r="B580" t="s">
        <v>1947</v>
      </c>
      <c r="C580">
        <v>62.7</v>
      </c>
      <c r="D580">
        <v>59.1</v>
      </c>
      <c r="G580">
        <f t="shared" si="90"/>
        <v>1</v>
      </c>
      <c r="H580">
        <f t="shared" si="91"/>
        <v>0</v>
      </c>
      <c r="I580">
        <f t="shared" si="92"/>
        <v>1</v>
      </c>
      <c r="J580">
        <v>60.7</v>
      </c>
      <c r="K580">
        <v>62.7</v>
      </c>
      <c r="L580">
        <v>59.1</v>
      </c>
      <c r="M580">
        <v>60.7</v>
      </c>
      <c r="N580">
        <v>44.6</v>
      </c>
      <c r="O580">
        <v>55.4</v>
      </c>
      <c r="S580">
        <f t="shared" si="93"/>
        <v>1</v>
      </c>
      <c r="T580">
        <f t="shared" si="94"/>
        <v>0</v>
      </c>
      <c r="U580">
        <f t="shared" si="95"/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19.5</v>
      </c>
      <c r="AG580">
        <f t="shared" si="96"/>
        <v>1</v>
      </c>
      <c r="AH580">
        <f t="shared" si="97"/>
        <v>1</v>
      </c>
      <c r="AI580">
        <f t="shared" si="98"/>
        <v>0</v>
      </c>
      <c r="AJ580">
        <v>343.6</v>
      </c>
      <c r="AK580">
        <v>1021.4</v>
      </c>
      <c r="AL580">
        <v>58.3</v>
      </c>
      <c r="AM580">
        <v>6.8</v>
      </c>
      <c r="AN580">
        <v>0</v>
      </c>
      <c r="AO580">
        <v>0</v>
      </c>
      <c r="AP580">
        <v>0</v>
      </c>
      <c r="AQ580">
        <v>0</v>
      </c>
      <c r="AR580" t="s">
        <v>1948</v>
      </c>
      <c r="AS580" t="s">
        <v>1949</v>
      </c>
      <c r="AT580">
        <v>0.08</v>
      </c>
      <c r="AU580" t="s">
        <v>43</v>
      </c>
      <c r="AV580" t="s">
        <v>44</v>
      </c>
      <c r="AW580" t="s">
        <v>45</v>
      </c>
      <c r="AX580" s="1">
        <v>0.75</v>
      </c>
      <c r="AY580" t="s">
        <v>1950</v>
      </c>
      <c r="AZ580">
        <v>225</v>
      </c>
      <c r="BA580">
        <v>0</v>
      </c>
      <c r="BB580">
        <v>0</v>
      </c>
      <c r="BC580">
        <v>1</v>
      </c>
      <c r="BD580">
        <v>0</v>
      </c>
      <c r="BE580">
        <f t="shared" si="99"/>
        <v>1</v>
      </c>
    </row>
    <row r="581" spans="1:57" x14ac:dyDescent="0.25">
      <c r="A581" t="s">
        <v>39</v>
      </c>
      <c r="B581" t="s">
        <v>1951</v>
      </c>
      <c r="C581">
        <v>82.5</v>
      </c>
      <c r="D581">
        <v>68.099999999999994</v>
      </c>
      <c r="G581">
        <f t="shared" si="90"/>
        <v>1</v>
      </c>
      <c r="H581">
        <f t="shared" si="91"/>
        <v>1</v>
      </c>
      <c r="I581">
        <f t="shared" si="92"/>
        <v>0</v>
      </c>
      <c r="J581">
        <v>74.599999999999994</v>
      </c>
      <c r="K581">
        <v>83</v>
      </c>
      <c r="L581">
        <v>68.099999999999994</v>
      </c>
      <c r="M581">
        <v>74.900000000000006</v>
      </c>
      <c r="N581">
        <v>57.4</v>
      </c>
      <c r="O581">
        <v>55.6</v>
      </c>
      <c r="S581">
        <f t="shared" si="93"/>
        <v>1</v>
      </c>
      <c r="T581">
        <f t="shared" si="94"/>
        <v>0</v>
      </c>
      <c r="U581">
        <f t="shared" si="95"/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9.1999999999999993</v>
      </c>
      <c r="AG581">
        <f t="shared" si="96"/>
        <v>1</v>
      </c>
      <c r="AH581">
        <f t="shared" si="97"/>
        <v>0</v>
      </c>
      <c r="AI581">
        <f t="shared" si="98"/>
        <v>1</v>
      </c>
      <c r="AJ581">
        <v>154.1</v>
      </c>
      <c r="AK581">
        <v>1011.3</v>
      </c>
      <c r="AL581">
        <v>30</v>
      </c>
      <c r="AM581">
        <v>6.5</v>
      </c>
      <c r="AN581">
        <v>0</v>
      </c>
      <c r="AO581">
        <v>0</v>
      </c>
      <c r="AP581">
        <v>0</v>
      </c>
      <c r="AQ581">
        <v>0</v>
      </c>
      <c r="AR581" t="s">
        <v>1952</v>
      </c>
      <c r="AS581" t="s">
        <v>1953</v>
      </c>
      <c r="AT581">
        <v>0.25</v>
      </c>
      <c r="AU581" t="s">
        <v>43</v>
      </c>
      <c r="AV581" t="s">
        <v>44</v>
      </c>
      <c r="AW581" t="s">
        <v>45</v>
      </c>
      <c r="AX581" s="1">
        <v>0.91597222222222219</v>
      </c>
      <c r="AY581" t="s">
        <v>1954</v>
      </c>
      <c r="AZ581">
        <v>1185.9999999997669</v>
      </c>
      <c r="BA581">
        <v>1</v>
      </c>
      <c r="BB581">
        <v>0</v>
      </c>
      <c r="BC581">
        <v>4</v>
      </c>
      <c r="BD581">
        <v>0</v>
      </c>
      <c r="BE581">
        <f t="shared" si="99"/>
        <v>1</v>
      </c>
    </row>
    <row r="582" spans="1:57" x14ac:dyDescent="0.25">
      <c r="A582" t="s">
        <v>39</v>
      </c>
      <c r="B582" t="s">
        <v>1658</v>
      </c>
      <c r="C582">
        <v>80.7</v>
      </c>
      <c r="D582">
        <v>59.1</v>
      </c>
      <c r="G582">
        <f t="shared" si="90"/>
        <v>1</v>
      </c>
      <c r="H582">
        <f t="shared" si="91"/>
        <v>1</v>
      </c>
      <c r="I582">
        <f t="shared" si="92"/>
        <v>0</v>
      </c>
      <c r="J582">
        <v>71.2</v>
      </c>
      <c r="K582">
        <v>79.3</v>
      </c>
      <c r="L582">
        <v>59.1</v>
      </c>
      <c r="M582">
        <v>71.2</v>
      </c>
      <c r="N582">
        <v>37.200000000000003</v>
      </c>
      <c r="O582">
        <v>29.6</v>
      </c>
      <c r="S582">
        <f t="shared" si="93"/>
        <v>1</v>
      </c>
      <c r="T582">
        <f t="shared" si="94"/>
        <v>0</v>
      </c>
      <c r="U582">
        <f t="shared" si="95"/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31.1</v>
      </c>
      <c r="AG582">
        <f t="shared" si="96"/>
        <v>1</v>
      </c>
      <c r="AH582">
        <f t="shared" si="97"/>
        <v>1</v>
      </c>
      <c r="AI582">
        <f t="shared" si="98"/>
        <v>0</v>
      </c>
      <c r="AJ582">
        <v>169.4</v>
      </c>
      <c r="AK582">
        <v>1013</v>
      </c>
      <c r="AL582">
        <v>90</v>
      </c>
      <c r="AM582">
        <v>6.3</v>
      </c>
      <c r="AN582">
        <v>0</v>
      </c>
      <c r="AO582">
        <v>0</v>
      </c>
      <c r="AP582">
        <v>0</v>
      </c>
      <c r="AQ582">
        <v>0</v>
      </c>
      <c r="AR582" t="s">
        <v>1659</v>
      </c>
      <c r="AS582" t="s">
        <v>1660</v>
      </c>
      <c r="AT582">
        <v>0.59</v>
      </c>
      <c r="AU582" t="s">
        <v>43</v>
      </c>
      <c r="AV582" t="s">
        <v>44</v>
      </c>
      <c r="AW582" t="s">
        <v>419</v>
      </c>
      <c r="AX582" s="1">
        <v>0.53055555555555556</v>
      </c>
      <c r="AY582" t="s">
        <v>1955</v>
      </c>
      <c r="AZ582">
        <v>696.00000000558794</v>
      </c>
      <c r="BA582">
        <v>1</v>
      </c>
      <c r="BB582">
        <v>0</v>
      </c>
      <c r="BC582">
        <v>15</v>
      </c>
      <c r="BD582">
        <v>0</v>
      </c>
      <c r="BE582">
        <f t="shared" si="99"/>
        <v>1</v>
      </c>
    </row>
    <row r="583" spans="1:57" x14ac:dyDescent="0.25">
      <c r="A583" t="s">
        <v>39</v>
      </c>
      <c r="B583" t="s">
        <v>1746</v>
      </c>
      <c r="C583">
        <v>82.5</v>
      </c>
      <c r="D583">
        <v>75.3</v>
      </c>
      <c r="G583">
        <f t="shared" si="90"/>
        <v>1</v>
      </c>
      <c r="H583">
        <f t="shared" si="91"/>
        <v>1</v>
      </c>
      <c r="I583">
        <f t="shared" si="92"/>
        <v>0</v>
      </c>
      <c r="J583">
        <v>79.2</v>
      </c>
      <c r="K583">
        <v>85.5</v>
      </c>
      <c r="L583">
        <v>75.3</v>
      </c>
      <c r="M583">
        <v>80.2</v>
      </c>
      <c r="N583">
        <v>65.599999999999994</v>
      </c>
      <c r="O583">
        <v>63.4</v>
      </c>
      <c r="S583">
        <f t="shared" si="93"/>
        <v>1</v>
      </c>
      <c r="T583">
        <f t="shared" si="94"/>
        <v>0</v>
      </c>
      <c r="U583">
        <f t="shared" si="95"/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17.2</v>
      </c>
      <c r="AG583">
        <f t="shared" si="96"/>
        <v>0</v>
      </c>
      <c r="AH583">
        <f t="shared" si="97"/>
        <v>0</v>
      </c>
      <c r="AI583">
        <f t="shared" si="98"/>
        <v>0</v>
      </c>
      <c r="AJ583">
        <v>313.10000000000002</v>
      </c>
      <c r="AK583">
        <v>1011.3</v>
      </c>
      <c r="AL583">
        <v>30</v>
      </c>
      <c r="AM583">
        <v>6.7</v>
      </c>
      <c r="AN583">
        <v>0</v>
      </c>
      <c r="AO583">
        <v>0</v>
      </c>
      <c r="AP583">
        <v>0</v>
      </c>
      <c r="AQ583">
        <v>0</v>
      </c>
      <c r="AR583" t="s">
        <v>1747</v>
      </c>
      <c r="AS583" t="s">
        <v>1748</v>
      </c>
      <c r="AT583">
        <v>0.92</v>
      </c>
      <c r="AU583" t="s">
        <v>43</v>
      </c>
      <c r="AV583" t="s">
        <v>44</v>
      </c>
      <c r="AW583" t="s">
        <v>45</v>
      </c>
      <c r="AX583" s="1">
        <v>0.86111111111111116</v>
      </c>
      <c r="AY583" t="s">
        <v>1956</v>
      </c>
      <c r="AZ583">
        <v>249.99999999767169</v>
      </c>
      <c r="BA583">
        <v>0</v>
      </c>
      <c r="BB583">
        <v>0</v>
      </c>
      <c r="BC583">
        <v>5</v>
      </c>
      <c r="BD583">
        <v>0</v>
      </c>
      <c r="BE583">
        <f t="shared" si="99"/>
        <v>0</v>
      </c>
    </row>
    <row r="584" spans="1:57" x14ac:dyDescent="0.25">
      <c r="A584" t="s">
        <v>39</v>
      </c>
      <c r="B584" t="s">
        <v>1847</v>
      </c>
      <c r="C584">
        <v>87.9</v>
      </c>
      <c r="D584">
        <v>80.7</v>
      </c>
      <c r="G584">
        <f t="shared" si="90"/>
        <v>1</v>
      </c>
      <c r="H584">
        <f t="shared" si="91"/>
        <v>1</v>
      </c>
      <c r="I584">
        <f t="shared" si="92"/>
        <v>0</v>
      </c>
      <c r="J584">
        <v>84.3</v>
      </c>
      <c r="K584">
        <v>91.6</v>
      </c>
      <c r="L584">
        <v>81.900000000000006</v>
      </c>
      <c r="M584">
        <v>86.4</v>
      </c>
      <c r="N584">
        <v>65.3</v>
      </c>
      <c r="O584">
        <v>53.3</v>
      </c>
      <c r="S584">
        <f t="shared" si="93"/>
        <v>1</v>
      </c>
      <c r="T584">
        <f t="shared" si="94"/>
        <v>0</v>
      </c>
      <c r="U584">
        <f t="shared" si="95"/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21.9</v>
      </c>
      <c r="AG584">
        <f t="shared" si="96"/>
        <v>1</v>
      </c>
      <c r="AH584">
        <f t="shared" si="97"/>
        <v>1</v>
      </c>
      <c r="AI584">
        <f t="shared" si="98"/>
        <v>0</v>
      </c>
      <c r="AJ584">
        <v>309.8</v>
      </c>
      <c r="AK584">
        <v>1008.7</v>
      </c>
      <c r="AL584">
        <v>30</v>
      </c>
      <c r="AM584">
        <v>6.4</v>
      </c>
      <c r="AN584">
        <v>0</v>
      </c>
      <c r="AO584">
        <v>0</v>
      </c>
      <c r="AP584">
        <v>0</v>
      </c>
      <c r="AQ584">
        <v>0</v>
      </c>
      <c r="AR584" t="s">
        <v>1848</v>
      </c>
      <c r="AS584" t="s">
        <v>1849</v>
      </c>
      <c r="AT584">
        <v>0.91</v>
      </c>
      <c r="AU584" t="s">
        <v>43</v>
      </c>
      <c r="AV584" t="s">
        <v>44</v>
      </c>
      <c r="AW584" t="s">
        <v>45</v>
      </c>
      <c r="AX584" s="1">
        <v>0.55833333333333335</v>
      </c>
      <c r="AY584" t="s">
        <v>1957</v>
      </c>
      <c r="AZ584">
        <v>1836.000000002095</v>
      </c>
      <c r="BA584">
        <v>1</v>
      </c>
      <c r="BB584">
        <v>0</v>
      </c>
      <c r="BC584">
        <v>10</v>
      </c>
      <c r="BD584">
        <v>0</v>
      </c>
      <c r="BE584">
        <f t="shared" si="99"/>
        <v>1</v>
      </c>
    </row>
    <row r="585" spans="1:57" x14ac:dyDescent="0.25">
      <c r="A585" t="s">
        <v>39</v>
      </c>
      <c r="B585" t="s">
        <v>1958</v>
      </c>
      <c r="C585">
        <v>66.3</v>
      </c>
      <c r="D585">
        <v>62.7</v>
      </c>
      <c r="G585">
        <f t="shared" si="90"/>
        <v>0</v>
      </c>
      <c r="H585">
        <f t="shared" si="91"/>
        <v>0</v>
      </c>
      <c r="I585">
        <f t="shared" si="92"/>
        <v>0</v>
      </c>
      <c r="J585">
        <v>64.7</v>
      </c>
      <c r="K585">
        <v>66.3</v>
      </c>
      <c r="L585">
        <v>62.7</v>
      </c>
      <c r="M585">
        <v>64.7</v>
      </c>
      <c r="N585">
        <v>53.7</v>
      </c>
      <c r="O585">
        <v>67.7</v>
      </c>
      <c r="S585">
        <f t="shared" si="93"/>
        <v>0</v>
      </c>
      <c r="T585">
        <f t="shared" si="94"/>
        <v>0</v>
      </c>
      <c r="U585">
        <f t="shared" si="95"/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32.200000000000003</v>
      </c>
      <c r="AG585">
        <f t="shared" si="96"/>
        <v>1</v>
      </c>
      <c r="AH585">
        <f t="shared" si="97"/>
        <v>1</v>
      </c>
      <c r="AI585">
        <f t="shared" si="98"/>
        <v>0</v>
      </c>
      <c r="AJ585">
        <v>174.7</v>
      </c>
      <c r="AK585">
        <v>1015.7</v>
      </c>
      <c r="AL585">
        <v>88.5</v>
      </c>
      <c r="AM585">
        <v>6.8</v>
      </c>
      <c r="AN585">
        <v>0</v>
      </c>
      <c r="AO585">
        <v>0</v>
      </c>
      <c r="AP585">
        <v>0</v>
      </c>
      <c r="AQ585">
        <v>0</v>
      </c>
      <c r="AR585" t="s">
        <v>1959</v>
      </c>
      <c r="AS585" t="s">
        <v>1960</v>
      </c>
      <c r="AT585">
        <v>0.75</v>
      </c>
      <c r="AU585" t="s">
        <v>43</v>
      </c>
      <c r="AV585" t="s">
        <v>44</v>
      </c>
      <c r="AW585" t="s">
        <v>419</v>
      </c>
      <c r="AX585" s="1">
        <v>0.50347222222222221</v>
      </c>
      <c r="AY585" t="s">
        <v>1961</v>
      </c>
      <c r="AZ585">
        <v>135</v>
      </c>
      <c r="BA585">
        <v>0</v>
      </c>
      <c r="BB585">
        <v>0</v>
      </c>
      <c r="BC585">
        <v>0.7</v>
      </c>
      <c r="BD585">
        <v>0</v>
      </c>
      <c r="BE585">
        <f t="shared" si="99"/>
        <v>0</v>
      </c>
    </row>
    <row r="586" spans="1:57" x14ac:dyDescent="0.25">
      <c r="A586" t="s">
        <v>39</v>
      </c>
      <c r="B586" t="s">
        <v>1866</v>
      </c>
      <c r="C586">
        <v>64.5</v>
      </c>
      <c r="D586">
        <v>59.1</v>
      </c>
      <c r="G586">
        <f t="shared" si="90"/>
        <v>1</v>
      </c>
      <c r="H586">
        <f t="shared" si="91"/>
        <v>0</v>
      </c>
      <c r="I586">
        <f t="shared" si="92"/>
        <v>1</v>
      </c>
      <c r="J586">
        <v>61.3</v>
      </c>
      <c r="K586">
        <v>64.5</v>
      </c>
      <c r="L586">
        <v>59.1</v>
      </c>
      <c r="M586">
        <v>61.3</v>
      </c>
      <c r="N586">
        <v>43.5</v>
      </c>
      <c r="O586">
        <v>52</v>
      </c>
      <c r="S586">
        <f t="shared" si="93"/>
        <v>1</v>
      </c>
      <c r="T586">
        <f t="shared" si="94"/>
        <v>0</v>
      </c>
      <c r="U586">
        <f t="shared" si="95"/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26.4</v>
      </c>
      <c r="AG586">
        <f t="shared" si="96"/>
        <v>1</v>
      </c>
      <c r="AH586">
        <f t="shared" si="97"/>
        <v>1</v>
      </c>
      <c r="AI586">
        <f t="shared" si="98"/>
        <v>0</v>
      </c>
      <c r="AJ586">
        <v>349.8</v>
      </c>
      <c r="AK586">
        <v>1021.5</v>
      </c>
      <c r="AL586">
        <v>47.6</v>
      </c>
      <c r="AM586">
        <v>6.8</v>
      </c>
      <c r="AN586">
        <v>0</v>
      </c>
      <c r="AO586">
        <v>0</v>
      </c>
      <c r="AP586">
        <v>0</v>
      </c>
      <c r="AQ586">
        <v>0</v>
      </c>
      <c r="AR586" t="s">
        <v>1867</v>
      </c>
      <c r="AS586" t="s">
        <v>1868</v>
      </c>
      <c r="AT586">
        <v>0.91</v>
      </c>
      <c r="AU586" t="s">
        <v>43</v>
      </c>
      <c r="AV586" t="s">
        <v>44</v>
      </c>
      <c r="AW586" t="s">
        <v>45</v>
      </c>
      <c r="AX586" s="1">
        <v>0.55208333333333337</v>
      </c>
      <c r="AY586" t="s">
        <v>1962</v>
      </c>
      <c r="AZ586">
        <v>1064.9999999930151</v>
      </c>
      <c r="BA586">
        <v>1</v>
      </c>
      <c r="BB586">
        <v>0</v>
      </c>
      <c r="BC586">
        <v>40</v>
      </c>
      <c r="BD586">
        <v>0</v>
      </c>
      <c r="BE586">
        <f t="shared" si="99"/>
        <v>1</v>
      </c>
    </row>
    <row r="587" spans="1:57" x14ac:dyDescent="0.25">
      <c r="A587" t="s">
        <v>39</v>
      </c>
      <c r="B587" t="s">
        <v>1963</v>
      </c>
      <c r="C587">
        <v>64.5</v>
      </c>
      <c r="D587">
        <v>53.7</v>
      </c>
      <c r="G587">
        <f t="shared" si="90"/>
        <v>1</v>
      </c>
      <c r="H587">
        <f t="shared" si="91"/>
        <v>1</v>
      </c>
      <c r="I587">
        <f t="shared" si="92"/>
        <v>0</v>
      </c>
      <c r="J587">
        <v>56.9</v>
      </c>
      <c r="K587">
        <v>64.5</v>
      </c>
      <c r="L587">
        <v>53.7</v>
      </c>
      <c r="M587">
        <v>56.9</v>
      </c>
      <c r="N587">
        <v>50.7</v>
      </c>
      <c r="O587">
        <v>80.099999999999994</v>
      </c>
      <c r="S587">
        <f t="shared" si="93"/>
        <v>1</v>
      </c>
      <c r="T587">
        <f t="shared" si="94"/>
        <v>1</v>
      </c>
      <c r="U587">
        <f t="shared" si="95"/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8.1</v>
      </c>
      <c r="AG587">
        <f t="shared" si="96"/>
        <v>1</v>
      </c>
      <c r="AH587">
        <f t="shared" si="97"/>
        <v>0</v>
      </c>
      <c r="AI587">
        <f t="shared" si="98"/>
        <v>1</v>
      </c>
      <c r="AJ587">
        <v>177.9</v>
      </c>
      <c r="AK587">
        <v>1021.1</v>
      </c>
      <c r="AL587">
        <v>69.099999999999994</v>
      </c>
      <c r="AM587">
        <v>6.8</v>
      </c>
      <c r="AN587">
        <v>0</v>
      </c>
      <c r="AO587">
        <v>0</v>
      </c>
      <c r="AP587">
        <v>0</v>
      </c>
      <c r="AQ587">
        <v>0</v>
      </c>
      <c r="AR587" t="s">
        <v>1964</v>
      </c>
      <c r="AS587" t="s">
        <v>1965</v>
      </c>
      <c r="AT587">
        <v>0.64</v>
      </c>
      <c r="AU587" t="s">
        <v>43</v>
      </c>
      <c r="AV587" t="s">
        <v>44</v>
      </c>
      <c r="AW587" t="s">
        <v>45</v>
      </c>
      <c r="AX587" s="1">
        <v>0.72222222222222221</v>
      </c>
      <c r="AY587" t="s">
        <v>1966</v>
      </c>
      <c r="AZ587">
        <v>1250.000000009313</v>
      </c>
      <c r="BA587">
        <v>1</v>
      </c>
      <c r="BB587">
        <v>0.01</v>
      </c>
      <c r="BC587">
        <v>0</v>
      </c>
      <c r="BD587">
        <v>0</v>
      </c>
      <c r="BE587">
        <f t="shared" si="99"/>
        <v>1</v>
      </c>
    </row>
    <row r="588" spans="1:57" x14ac:dyDescent="0.25">
      <c r="A588" t="s">
        <v>39</v>
      </c>
      <c r="B588" t="s">
        <v>1967</v>
      </c>
      <c r="C588">
        <v>77.099999999999994</v>
      </c>
      <c r="D588">
        <v>71.7</v>
      </c>
      <c r="G588">
        <f t="shared" si="90"/>
        <v>1</v>
      </c>
      <c r="H588">
        <f t="shared" si="91"/>
        <v>0</v>
      </c>
      <c r="I588">
        <f t="shared" si="92"/>
        <v>1</v>
      </c>
      <c r="J588">
        <v>74.599999999999994</v>
      </c>
      <c r="K588">
        <v>77.099999999999994</v>
      </c>
      <c r="L588">
        <v>71.7</v>
      </c>
      <c r="M588">
        <v>74.599999999999994</v>
      </c>
      <c r="N588">
        <v>60.3</v>
      </c>
      <c r="O588">
        <v>61.8</v>
      </c>
      <c r="S588">
        <f t="shared" si="93"/>
        <v>1</v>
      </c>
      <c r="T588">
        <f t="shared" si="94"/>
        <v>1</v>
      </c>
      <c r="U588">
        <f t="shared" si="95"/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28.9</v>
      </c>
      <c r="AG588">
        <f t="shared" si="96"/>
        <v>1</v>
      </c>
      <c r="AH588">
        <f t="shared" si="97"/>
        <v>1</v>
      </c>
      <c r="AI588">
        <f t="shared" si="98"/>
        <v>0</v>
      </c>
      <c r="AJ588">
        <v>316.2</v>
      </c>
      <c r="AK588">
        <v>1010</v>
      </c>
      <c r="AL588">
        <v>65</v>
      </c>
      <c r="AM588">
        <v>6.8</v>
      </c>
      <c r="AN588">
        <v>0</v>
      </c>
      <c r="AO588">
        <v>0</v>
      </c>
      <c r="AP588">
        <v>0</v>
      </c>
      <c r="AQ588">
        <v>0</v>
      </c>
      <c r="AR588" t="s">
        <v>1968</v>
      </c>
      <c r="AS588" t="s">
        <v>1969</v>
      </c>
      <c r="AT588">
        <v>0.28000000000000003</v>
      </c>
      <c r="AU588" t="s">
        <v>43</v>
      </c>
      <c r="AV588" t="s">
        <v>44</v>
      </c>
      <c r="AW588" t="s">
        <v>45</v>
      </c>
      <c r="AX588" s="1">
        <v>0.40902777777777782</v>
      </c>
      <c r="AY588" t="s">
        <v>1970</v>
      </c>
      <c r="AZ588">
        <v>355.99999999743892</v>
      </c>
      <c r="BA588">
        <v>0</v>
      </c>
      <c r="BB588">
        <v>0.01</v>
      </c>
      <c r="BC588">
        <v>0</v>
      </c>
      <c r="BD588">
        <v>0</v>
      </c>
      <c r="BE588">
        <f t="shared" si="99"/>
        <v>1</v>
      </c>
    </row>
    <row r="589" spans="1:57" x14ac:dyDescent="0.25">
      <c r="A589" t="s">
        <v>39</v>
      </c>
      <c r="B589" t="s">
        <v>1971</v>
      </c>
      <c r="C589">
        <v>78.900000000000006</v>
      </c>
      <c r="D589">
        <v>66.3</v>
      </c>
      <c r="G589">
        <f t="shared" si="90"/>
        <v>0</v>
      </c>
      <c r="H589">
        <f t="shared" si="91"/>
        <v>0</v>
      </c>
      <c r="I589">
        <f t="shared" si="92"/>
        <v>0</v>
      </c>
      <c r="J589">
        <v>73.099999999999994</v>
      </c>
      <c r="K589">
        <v>78.900000000000006</v>
      </c>
      <c r="L589">
        <v>66.3</v>
      </c>
      <c r="M589">
        <v>73.099999999999994</v>
      </c>
      <c r="N589">
        <v>62.1</v>
      </c>
      <c r="O589">
        <v>68.900000000000006</v>
      </c>
      <c r="S589">
        <f t="shared" si="93"/>
        <v>1</v>
      </c>
      <c r="T589">
        <f t="shared" si="94"/>
        <v>1</v>
      </c>
      <c r="U589">
        <f t="shared" si="95"/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13.9</v>
      </c>
      <c r="AG589">
        <f t="shared" si="96"/>
        <v>1</v>
      </c>
      <c r="AH589">
        <f t="shared" si="97"/>
        <v>0</v>
      </c>
      <c r="AI589">
        <f t="shared" si="98"/>
        <v>1</v>
      </c>
      <c r="AJ589">
        <v>111</v>
      </c>
      <c r="AK589">
        <v>1014.8</v>
      </c>
      <c r="AL589">
        <v>43.8</v>
      </c>
      <c r="AM589">
        <v>6.5</v>
      </c>
      <c r="AN589">
        <v>0</v>
      </c>
      <c r="AO589">
        <v>0</v>
      </c>
      <c r="AP589">
        <v>0</v>
      </c>
      <c r="AQ589">
        <v>0</v>
      </c>
      <c r="AR589" t="s">
        <v>1972</v>
      </c>
      <c r="AS589" t="s">
        <v>1973</v>
      </c>
      <c r="AT589">
        <v>0.83</v>
      </c>
      <c r="AU589" t="s">
        <v>43</v>
      </c>
      <c r="AV589" t="s">
        <v>44</v>
      </c>
      <c r="AW589" t="s">
        <v>45</v>
      </c>
      <c r="AX589" s="1">
        <v>0.64166666666666672</v>
      </c>
      <c r="AY589" t="s">
        <v>1974</v>
      </c>
      <c r="AZ589">
        <v>145.9999999939464</v>
      </c>
      <c r="BA589">
        <v>0</v>
      </c>
      <c r="BB589">
        <v>0</v>
      </c>
      <c r="BC589">
        <v>0.01</v>
      </c>
      <c r="BD589">
        <v>0</v>
      </c>
      <c r="BE589">
        <f t="shared" si="99"/>
        <v>0</v>
      </c>
    </row>
    <row r="590" spans="1:57" x14ac:dyDescent="0.25">
      <c r="A590" t="s">
        <v>39</v>
      </c>
      <c r="B590" t="s">
        <v>1975</v>
      </c>
      <c r="C590">
        <v>86.1</v>
      </c>
      <c r="D590">
        <v>78.900000000000006</v>
      </c>
      <c r="G590">
        <f t="shared" si="90"/>
        <v>1</v>
      </c>
      <c r="H590">
        <f t="shared" si="91"/>
        <v>1</v>
      </c>
      <c r="I590">
        <f t="shared" si="92"/>
        <v>0</v>
      </c>
      <c r="J590">
        <v>82.6</v>
      </c>
      <c r="K590">
        <v>90.8</v>
      </c>
      <c r="L590">
        <v>78.900000000000006</v>
      </c>
      <c r="M590">
        <v>84.6</v>
      </c>
      <c r="N590">
        <v>66</v>
      </c>
      <c r="O590">
        <v>57.7</v>
      </c>
      <c r="S590">
        <f t="shared" si="93"/>
        <v>1</v>
      </c>
      <c r="T590">
        <f t="shared" si="94"/>
        <v>0</v>
      </c>
      <c r="U590">
        <f t="shared" si="95"/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21.9</v>
      </c>
      <c r="AG590">
        <f t="shared" si="96"/>
        <v>1</v>
      </c>
      <c r="AH590">
        <f t="shared" si="97"/>
        <v>1</v>
      </c>
      <c r="AI590">
        <f t="shared" si="98"/>
        <v>0</v>
      </c>
      <c r="AJ590">
        <v>312.10000000000002</v>
      </c>
      <c r="AK590">
        <v>1010.6</v>
      </c>
      <c r="AL590">
        <v>0</v>
      </c>
      <c r="AM590">
        <v>6.2</v>
      </c>
      <c r="AN590">
        <v>0</v>
      </c>
      <c r="AO590">
        <v>0</v>
      </c>
      <c r="AP590">
        <v>0</v>
      </c>
      <c r="AQ590">
        <v>0</v>
      </c>
      <c r="AR590" t="s">
        <v>1976</v>
      </c>
      <c r="AS590" t="s">
        <v>1977</v>
      </c>
      <c r="AT590">
        <v>0.18</v>
      </c>
      <c r="AU590" t="s">
        <v>74</v>
      </c>
      <c r="AV590" t="s">
        <v>44</v>
      </c>
      <c r="AW590" t="s">
        <v>75</v>
      </c>
      <c r="AX590" s="1">
        <v>0.97152777777777777</v>
      </c>
      <c r="AY590" t="s">
        <v>1978</v>
      </c>
      <c r="AZ590">
        <v>435.99999999627471</v>
      </c>
      <c r="BA590">
        <v>1</v>
      </c>
      <c r="BB590">
        <v>0</v>
      </c>
      <c r="BC590">
        <v>2</v>
      </c>
      <c r="BD590">
        <v>0</v>
      </c>
      <c r="BE590">
        <f t="shared" si="99"/>
        <v>1</v>
      </c>
    </row>
    <row r="591" spans="1:57" x14ac:dyDescent="0.25">
      <c r="A591" t="s">
        <v>39</v>
      </c>
      <c r="B591" t="s">
        <v>1979</v>
      </c>
      <c r="C591">
        <v>82.5</v>
      </c>
      <c r="D591">
        <v>71.7</v>
      </c>
      <c r="G591">
        <f t="shared" si="90"/>
        <v>1</v>
      </c>
      <c r="H591">
        <f t="shared" si="91"/>
        <v>1</v>
      </c>
      <c r="I591">
        <f t="shared" si="92"/>
        <v>0</v>
      </c>
      <c r="J591">
        <v>78.599999999999994</v>
      </c>
      <c r="K591">
        <v>84.1</v>
      </c>
      <c r="L591">
        <v>71.7</v>
      </c>
      <c r="M591">
        <v>79.2</v>
      </c>
      <c r="N591">
        <v>65</v>
      </c>
      <c r="O591">
        <v>63.9</v>
      </c>
      <c r="S591">
        <f t="shared" si="93"/>
        <v>1</v>
      </c>
      <c r="T591">
        <f t="shared" si="94"/>
        <v>1</v>
      </c>
      <c r="U591">
        <f t="shared" si="95"/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20.8</v>
      </c>
      <c r="AG591">
        <f t="shared" si="96"/>
        <v>1</v>
      </c>
      <c r="AH591">
        <f t="shared" si="97"/>
        <v>1</v>
      </c>
      <c r="AI591">
        <f t="shared" si="98"/>
        <v>0</v>
      </c>
      <c r="AJ591">
        <v>306</v>
      </c>
      <c r="AK591">
        <v>1010.4</v>
      </c>
      <c r="AL591">
        <v>30</v>
      </c>
      <c r="AM591">
        <v>6.4</v>
      </c>
      <c r="AN591">
        <v>0</v>
      </c>
      <c r="AO591">
        <v>0</v>
      </c>
      <c r="AP591">
        <v>0</v>
      </c>
      <c r="AQ591">
        <v>0</v>
      </c>
      <c r="AR591" t="s">
        <v>1980</v>
      </c>
      <c r="AS591" t="s">
        <v>1981</v>
      </c>
      <c r="AT591">
        <v>0</v>
      </c>
      <c r="AU591" t="s">
        <v>43</v>
      </c>
      <c r="AV591" t="s">
        <v>44</v>
      </c>
      <c r="AW591" t="s">
        <v>45</v>
      </c>
      <c r="AX591" s="1">
        <v>0.75347222222222221</v>
      </c>
      <c r="AY591" t="s">
        <v>1982</v>
      </c>
      <c r="AZ591">
        <v>205.0000000081491</v>
      </c>
      <c r="BA591">
        <v>0</v>
      </c>
      <c r="BB591">
        <v>0</v>
      </c>
      <c r="BC591">
        <v>0.01</v>
      </c>
      <c r="BD591">
        <v>0</v>
      </c>
      <c r="BE591">
        <f t="shared" si="99"/>
        <v>1</v>
      </c>
    </row>
    <row r="592" spans="1:57" x14ac:dyDescent="0.25">
      <c r="A592" t="s">
        <v>39</v>
      </c>
      <c r="B592" t="s">
        <v>1983</v>
      </c>
      <c r="C592">
        <v>82.5</v>
      </c>
      <c r="D592">
        <v>75.3</v>
      </c>
      <c r="G592">
        <f t="shared" si="90"/>
        <v>0</v>
      </c>
      <c r="H592">
        <f t="shared" si="91"/>
        <v>0</v>
      </c>
      <c r="I592">
        <f t="shared" si="92"/>
        <v>0</v>
      </c>
      <c r="J592">
        <v>79.3</v>
      </c>
      <c r="K592">
        <v>84.1</v>
      </c>
      <c r="L592">
        <v>75.3</v>
      </c>
      <c r="M592">
        <v>80</v>
      </c>
      <c r="N592">
        <v>62.4</v>
      </c>
      <c r="O592">
        <v>56.8</v>
      </c>
      <c r="S592">
        <f t="shared" si="93"/>
        <v>1</v>
      </c>
      <c r="T592">
        <f t="shared" si="94"/>
        <v>0</v>
      </c>
      <c r="U592">
        <f t="shared" si="95"/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23</v>
      </c>
      <c r="AG592">
        <f t="shared" si="96"/>
        <v>1</v>
      </c>
      <c r="AH592">
        <f t="shared" si="97"/>
        <v>1</v>
      </c>
      <c r="AI592">
        <f t="shared" si="98"/>
        <v>0</v>
      </c>
      <c r="AJ592">
        <v>303.39999999999998</v>
      </c>
      <c r="AK592">
        <v>1005.9</v>
      </c>
      <c r="AL592">
        <v>30</v>
      </c>
      <c r="AM592">
        <v>6.5</v>
      </c>
      <c r="AN592">
        <v>0</v>
      </c>
      <c r="AO592">
        <v>0</v>
      </c>
      <c r="AP592">
        <v>0</v>
      </c>
      <c r="AQ592">
        <v>0</v>
      </c>
      <c r="AR592" t="s">
        <v>1984</v>
      </c>
      <c r="AS592" t="s">
        <v>1985</v>
      </c>
      <c r="AT592">
        <v>0.46</v>
      </c>
      <c r="AU592" t="s">
        <v>43</v>
      </c>
      <c r="AV592" t="s">
        <v>44</v>
      </c>
      <c r="AW592" t="s">
        <v>45</v>
      </c>
      <c r="AX592" s="1">
        <v>0.55208333333333337</v>
      </c>
      <c r="AY592" t="s">
        <v>1986</v>
      </c>
      <c r="AZ592">
        <v>119.99999999301509</v>
      </c>
      <c r="BA592">
        <v>0</v>
      </c>
      <c r="BB592">
        <v>0</v>
      </c>
      <c r="BC592">
        <v>0.05</v>
      </c>
      <c r="BD592">
        <v>0</v>
      </c>
      <c r="BE592">
        <f t="shared" si="99"/>
        <v>0</v>
      </c>
    </row>
    <row r="593" spans="1:57" x14ac:dyDescent="0.25">
      <c r="A593" t="s">
        <v>39</v>
      </c>
      <c r="B593" t="s">
        <v>1987</v>
      </c>
      <c r="C593">
        <v>78.900000000000006</v>
      </c>
      <c r="D593">
        <v>68.099999999999994</v>
      </c>
      <c r="G593">
        <f t="shared" si="90"/>
        <v>0</v>
      </c>
      <c r="H593">
        <f t="shared" si="91"/>
        <v>0</v>
      </c>
      <c r="I593">
        <f t="shared" si="92"/>
        <v>0</v>
      </c>
      <c r="J593">
        <v>74.2</v>
      </c>
      <c r="K593">
        <v>78.900000000000006</v>
      </c>
      <c r="L593">
        <v>68.099999999999994</v>
      </c>
      <c r="M593">
        <v>74.2</v>
      </c>
      <c r="N593">
        <v>64.3</v>
      </c>
      <c r="O593">
        <v>71.5</v>
      </c>
      <c r="S593">
        <f t="shared" si="93"/>
        <v>1</v>
      </c>
      <c r="T593">
        <f t="shared" si="94"/>
        <v>1</v>
      </c>
      <c r="U593">
        <f t="shared" si="95"/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19.5</v>
      </c>
      <c r="AG593">
        <f t="shared" si="96"/>
        <v>1</v>
      </c>
      <c r="AH593">
        <f t="shared" si="97"/>
        <v>1</v>
      </c>
      <c r="AI593">
        <f t="shared" si="98"/>
        <v>0</v>
      </c>
      <c r="AJ593">
        <v>313</v>
      </c>
      <c r="AK593">
        <v>1015.9</v>
      </c>
      <c r="AL593">
        <v>47.5</v>
      </c>
      <c r="AM593">
        <v>6.8</v>
      </c>
      <c r="AN593">
        <v>0</v>
      </c>
      <c r="AO593">
        <v>0</v>
      </c>
      <c r="AP593">
        <v>0</v>
      </c>
      <c r="AQ593">
        <v>0</v>
      </c>
      <c r="AR593" t="s">
        <v>1988</v>
      </c>
      <c r="AS593" t="s">
        <v>1989</v>
      </c>
      <c r="AT593">
        <v>0.59</v>
      </c>
      <c r="AU593" t="s">
        <v>43</v>
      </c>
      <c r="AV593" t="s">
        <v>44</v>
      </c>
      <c r="AW593" t="s">
        <v>45</v>
      </c>
      <c r="AX593" s="1">
        <v>0.57291666666666663</v>
      </c>
      <c r="AY593" t="s">
        <v>1990</v>
      </c>
      <c r="AZ593">
        <v>7300.0000000011642</v>
      </c>
      <c r="BA593">
        <v>1</v>
      </c>
      <c r="BB593">
        <v>0</v>
      </c>
      <c r="BC593">
        <v>450</v>
      </c>
      <c r="BD593">
        <v>0</v>
      </c>
      <c r="BE593">
        <f t="shared" si="99"/>
        <v>1</v>
      </c>
    </row>
    <row r="594" spans="1:57" x14ac:dyDescent="0.25">
      <c r="A594" t="s">
        <v>39</v>
      </c>
      <c r="B594" t="s">
        <v>1991</v>
      </c>
      <c r="C594">
        <v>86.1</v>
      </c>
      <c r="D594">
        <v>73.5</v>
      </c>
      <c r="G594">
        <f t="shared" si="90"/>
        <v>1</v>
      </c>
      <c r="H594">
        <f t="shared" si="91"/>
        <v>1</v>
      </c>
      <c r="I594">
        <f t="shared" si="92"/>
        <v>0</v>
      </c>
      <c r="J594">
        <v>79.400000000000006</v>
      </c>
      <c r="K594">
        <v>88.6</v>
      </c>
      <c r="L594">
        <v>73.5</v>
      </c>
      <c r="M594">
        <v>80.900000000000006</v>
      </c>
      <c r="N594">
        <v>66.3</v>
      </c>
      <c r="O594">
        <v>65.099999999999994</v>
      </c>
      <c r="S594">
        <f t="shared" si="93"/>
        <v>1</v>
      </c>
      <c r="T594">
        <f t="shared" si="94"/>
        <v>1</v>
      </c>
      <c r="U594">
        <f t="shared" si="95"/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11.4</v>
      </c>
      <c r="AG594">
        <f t="shared" si="96"/>
        <v>1</v>
      </c>
      <c r="AH594">
        <f t="shared" si="97"/>
        <v>0</v>
      </c>
      <c r="AI594">
        <f t="shared" si="98"/>
        <v>1</v>
      </c>
      <c r="AJ594">
        <v>307.89999999999998</v>
      </c>
      <c r="AK594">
        <v>1009</v>
      </c>
      <c r="AL594">
        <v>42</v>
      </c>
      <c r="AM594">
        <v>6.5</v>
      </c>
      <c r="AN594">
        <v>0</v>
      </c>
      <c r="AO594">
        <v>0</v>
      </c>
      <c r="AP594">
        <v>0</v>
      </c>
      <c r="AQ594">
        <v>0</v>
      </c>
      <c r="AR594" t="s">
        <v>1992</v>
      </c>
      <c r="AS594" t="s">
        <v>1993</v>
      </c>
      <c r="AT594">
        <v>0.22</v>
      </c>
      <c r="AU594" t="s">
        <v>43</v>
      </c>
      <c r="AV594" t="s">
        <v>44</v>
      </c>
      <c r="AW594" t="s">
        <v>45</v>
      </c>
      <c r="AX594" s="1">
        <v>0.85</v>
      </c>
      <c r="AY594" t="s">
        <v>1994</v>
      </c>
      <c r="AZ594">
        <v>1236.0000000055879</v>
      </c>
      <c r="BA594">
        <v>1</v>
      </c>
      <c r="BB594">
        <v>0.01</v>
      </c>
      <c r="BC594">
        <v>0</v>
      </c>
      <c r="BD594">
        <v>0</v>
      </c>
      <c r="BE594">
        <f t="shared" si="99"/>
        <v>1</v>
      </c>
    </row>
    <row r="595" spans="1:57" x14ac:dyDescent="0.25">
      <c r="A595" t="s">
        <v>39</v>
      </c>
      <c r="B595" t="s">
        <v>1995</v>
      </c>
      <c r="C595">
        <v>66.3</v>
      </c>
      <c r="D595">
        <v>48.3</v>
      </c>
      <c r="G595">
        <f t="shared" si="90"/>
        <v>1</v>
      </c>
      <c r="H595">
        <f t="shared" si="91"/>
        <v>1</v>
      </c>
      <c r="I595">
        <f t="shared" si="92"/>
        <v>0</v>
      </c>
      <c r="J595">
        <v>60.4</v>
      </c>
      <c r="K595">
        <v>66.3</v>
      </c>
      <c r="L595">
        <v>45.7</v>
      </c>
      <c r="M595">
        <v>60.3</v>
      </c>
      <c r="N595">
        <v>44.3</v>
      </c>
      <c r="O595">
        <v>57.7</v>
      </c>
      <c r="S595">
        <f t="shared" si="93"/>
        <v>1</v>
      </c>
      <c r="T595">
        <f t="shared" si="94"/>
        <v>0</v>
      </c>
      <c r="U595">
        <f t="shared" si="95"/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27.5</v>
      </c>
      <c r="AG595">
        <f t="shared" si="96"/>
        <v>1</v>
      </c>
      <c r="AH595">
        <f t="shared" si="97"/>
        <v>1</v>
      </c>
      <c r="AI595">
        <f t="shared" si="98"/>
        <v>0</v>
      </c>
      <c r="AJ595">
        <v>267.39999999999998</v>
      </c>
      <c r="AK595">
        <v>1012.1</v>
      </c>
      <c r="AL595">
        <v>31.1</v>
      </c>
      <c r="AM595">
        <v>6.7</v>
      </c>
      <c r="AN595">
        <v>0</v>
      </c>
      <c r="AO595">
        <v>0</v>
      </c>
      <c r="AP595">
        <v>0</v>
      </c>
      <c r="AQ595">
        <v>0</v>
      </c>
      <c r="AR595" t="s">
        <v>1996</v>
      </c>
      <c r="AS595" t="s">
        <v>1997</v>
      </c>
      <c r="AT595">
        <v>0.11</v>
      </c>
      <c r="AU595" t="s">
        <v>43</v>
      </c>
      <c r="AV595" t="s">
        <v>44</v>
      </c>
      <c r="AW595" t="s">
        <v>45</v>
      </c>
      <c r="AX595" s="1">
        <v>0.59722222222222221</v>
      </c>
      <c r="AY595" t="s">
        <v>1998</v>
      </c>
      <c r="AZ595">
        <v>130.00000000465661</v>
      </c>
      <c r="BA595">
        <v>0</v>
      </c>
      <c r="BB595">
        <v>0</v>
      </c>
      <c r="BC595">
        <v>8</v>
      </c>
      <c r="BD595">
        <v>0</v>
      </c>
      <c r="BE595">
        <f t="shared" si="99"/>
        <v>1</v>
      </c>
    </row>
    <row r="596" spans="1:57" x14ac:dyDescent="0.25">
      <c r="A596" t="s">
        <v>39</v>
      </c>
      <c r="B596" t="s">
        <v>1999</v>
      </c>
      <c r="C596">
        <v>60.9</v>
      </c>
      <c r="D596">
        <v>44.7</v>
      </c>
      <c r="G596">
        <f t="shared" si="90"/>
        <v>0</v>
      </c>
      <c r="H596">
        <f t="shared" si="91"/>
        <v>0</v>
      </c>
      <c r="I596">
        <f t="shared" si="92"/>
        <v>0</v>
      </c>
      <c r="J596">
        <v>53.8</v>
      </c>
      <c r="K596">
        <v>60.9</v>
      </c>
      <c r="L596">
        <v>39.799999999999997</v>
      </c>
      <c r="M596">
        <v>52.2</v>
      </c>
      <c r="N596">
        <v>44.3</v>
      </c>
      <c r="O596">
        <v>71.400000000000006</v>
      </c>
      <c r="S596">
        <f t="shared" si="93"/>
        <v>1</v>
      </c>
      <c r="T596">
        <f t="shared" si="94"/>
        <v>1</v>
      </c>
      <c r="U596">
        <f t="shared" si="95"/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13.9</v>
      </c>
      <c r="AG596">
        <f t="shared" si="96"/>
        <v>1</v>
      </c>
      <c r="AH596">
        <f t="shared" si="97"/>
        <v>0</v>
      </c>
      <c r="AI596">
        <f t="shared" si="98"/>
        <v>1</v>
      </c>
      <c r="AJ596">
        <v>274.5</v>
      </c>
      <c r="AK596">
        <v>1016.2</v>
      </c>
      <c r="AL596">
        <v>50</v>
      </c>
      <c r="AM596">
        <v>6.8</v>
      </c>
      <c r="AN596">
        <v>0</v>
      </c>
      <c r="AO596">
        <v>0</v>
      </c>
      <c r="AP596">
        <v>0</v>
      </c>
      <c r="AQ596">
        <v>0</v>
      </c>
      <c r="AR596" t="s">
        <v>2000</v>
      </c>
      <c r="AS596" t="s">
        <v>2001</v>
      </c>
      <c r="AT596">
        <v>0.15</v>
      </c>
      <c r="AU596" t="s">
        <v>43</v>
      </c>
      <c r="AV596" t="s">
        <v>44</v>
      </c>
      <c r="AW596" t="s">
        <v>45</v>
      </c>
      <c r="AX596" s="1">
        <v>0.61388888888888893</v>
      </c>
      <c r="AY596" t="s">
        <v>2002</v>
      </c>
      <c r="AZ596">
        <v>570.99999999627471</v>
      </c>
      <c r="BA596">
        <v>1</v>
      </c>
      <c r="BB596">
        <v>0</v>
      </c>
      <c r="BC596">
        <v>25</v>
      </c>
      <c r="BD596">
        <v>0</v>
      </c>
      <c r="BE596">
        <f t="shared" si="99"/>
        <v>0</v>
      </c>
    </row>
    <row r="597" spans="1:57" x14ac:dyDescent="0.25">
      <c r="A597" t="s">
        <v>39</v>
      </c>
      <c r="B597" t="s">
        <v>2003</v>
      </c>
      <c r="C597">
        <v>66.3</v>
      </c>
      <c r="D597">
        <v>46.5</v>
      </c>
      <c r="G597">
        <f t="shared" si="90"/>
        <v>1</v>
      </c>
      <c r="H597">
        <f t="shared" si="91"/>
        <v>1</v>
      </c>
      <c r="I597">
        <f t="shared" si="92"/>
        <v>0</v>
      </c>
      <c r="J597">
        <v>56.9</v>
      </c>
      <c r="K597">
        <v>66.3</v>
      </c>
      <c r="L597">
        <v>41.6</v>
      </c>
      <c r="M597">
        <v>55.7</v>
      </c>
      <c r="N597">
        <v>40</v>
      </c>
      <c r="O597">
        <v>55.7</v>
      </c>
      <c r="S597">
        <f t="shared" si="93"/>
        <v>1</v>
      </c>
      <c r="T597">
        <f t="shared" si="94"/>
        <v>0</v>
      </c>
      <c r="U597">
        <f t="shared" si="95"/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10.3</v>
      </c>
      <c r="AG597">
        <f t="shared" si="96"/>
        <v>1</v>
      </c>
      <c r="AH597">
        <f t="shared" si="97"/>
        <v>0</v>
      </c>
      <c r="AI597">
        <f t="shared" si="98"/>
        <v>1</v>
      </c>
      <c r="AJ597">
        <v>179.6</v>
      </c>
      <c r="AK597">
        <v>1015.7</v>
      </c>
      <c r="AL597">
        <v>34.299999999999997</v>
      </c>
      <c r="AM597">
        <v>6.6</v>
      </c>
      <c r="AN597">
        <v>0</v>
      </c>
      <c r="AO597">
        <v>0</v>
      </c>
      <c r="AP597">
        <v>0</v>
      </c>
      <c r="AQ597">
        <v>0</v>
      </c>
      <c r="AR597" t="s">
        <v>2004</v>
      </c>
      <c r="AS597" t="s">
        <v>2005</v>
      </c>
      <c r="AT597">
        <v>0.96</v>
      </c>
      <c r="AU597" t="s">
        <v>43</v>
      </c>
      <c r="AV597" t="s">
        <v>44</v>
      </c>
      <c r="AW597" t="s">
        <v>45</v>
      </c>
      <c r="AX597" s="1">
        <v>0.57638888888888884</v>
      </c>
      <c r="AY597" t="s">
        <v>2006</v>
      </c>
      <c r="AZ597">
        <v>249.99999999767169</v>
      </c>
      <c r="BA597">
        <v>0</v>
      </c>
      <c r="BB597">
        <v>0</v>
      </c>
      <c r="BC597">
        <v>1</v>
      </c>
      <c r="BD597">
        <v>0</v>
      </c>
      <c r="BE597">
        <f t="shared" si="99"/>
        <v>1</v>
      </c>
    </row>
    <row r="598" spans="1:57" x14ac:dyDescent="0.25">
      <c r="A598" t="s">
        <v>39</v>
      </c>
      <c r="B598" t="s">
        <v>2007</v>
      </c>
      <c r="C598">
        <v>71.7</v>
      </c>
      <c r="D598">
        <v>64.5</v>
      </c>
      <c r="G598">
        <f t="shared" si="90"/>
        <v>1</v>
      </c>
      <c r="H598">
        <f t="shared" si="91"/>
        <v>0</v>
      </c>
      <c r="I598">
        <f t="shared" si="92"/>
        <v>1</v>
      </c>
      <c r="J598">
        <v>68.400000000000006</v>
      </c>
      <c r="K598">
        <v>71.7</v>
      </c>
      <c r="L598">
        <v>64.5</v>
      </c>
      <c r="M598">
        <v>68.400000000000006</v>
      </c>
      <c r="N598">
        <v>54.2</v>
      </c>
      <c r="O598">
        <v>60.7</v>
      </c>
      <c r="S598">
        <f t="shared" si="93"/>
        <v>0</v>
      </c>
      <c r="T598">
        <f t="shared" si="94"/>
        <v>0</v>
      </c>
      <c r="U598">
        <f t="shared" si="95"/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16.100000000000001</v>
      </c>
      <c r="AG598">
        <f t="shared" si="96"/>
        <v>0</v>
      </c>
      <c r="AH598">
        <f t="shared" si="97"/>
        <v>0</v>
      </c>
      <c r="AI598">
        <f t="shared" si="98"/>
        <v>0</v>
      </c>
      <c r="AJ598">
        <v>314.60000000000002</v>
      </c>
      <c r="AK598">
        <v>1017.4</v>
      </c>
      <c r="AL598">
        <v>40.799999999999997</v>
      </c>
      <c r="AM598">
        <v>6.8</v>
      </c>
      <c r="AN598">
        <v>0</v>
      </c>
      <c r="AO598">
        <v>0</v>
      </c>
      <c r="AP598">
        <v>0</v>
      </c>
      <c r="AQ598">
        <v>0</v>
      </c>
      <c r="AR598" t="s">
        <v>2008</v>
      </c>
      <c r="AS598" t="s">
        <v>2009</v>
      </c>
      <c r="AT598">
        <v>0.46</v>
      </c>
      <c r="AU598" t="s">
        <v>43</v>
      </c>
      <c r="AV598" t="s">
        <v>80</v>
      </c>
      <c r="AW598" t="s">
        <v>45</v>
      </c>
      <c r="AX598" s="1">
        <v>0.76388888888888884</v>
      </c>
      <c r="AY598" t="s">
        <v>2010</v>
      </c>
      <c r="AZ598">
        <v>309.99999999417918</v>
      </c>
      <c r="BA598">
        <v>0</v>
      </c>
      <c r="BB598">
        <v>0</v>
      </c>
      <c r="BC598">
        <v>0.01</v>
      </c>
      <c r="BD598">
        <v>0</v>
      </c>
      <c r="BE598">
        <f t="shared" si="99"/>
        <v>0</v>
      </c>
    </row>
    <row r="599" spans="1:57" x14ac:dyDescent="0.25">
      <c r="A599" t="s">
        <v>39</v>
      </c>
      <c r="B599" t="s">
        <v>2011</v>
      </c>
      <c r="C599">
        <v>80.7</v>
      </c>
      <c r="D599">
        <v>71.7</v>
      </c>
      <c r="G599">
        <f t="shared" si="90"/>
        <v>1</v>
      </c>
      <c r="H599">
        <f t="shared" si="91"/>
        <v>0</v>
      </c>
      <c r="I599">
        <f t="shared" si="92"/>
        <v>1</v>
      </c>
      <c r="J599">
        <v>77.3</v>
      </c>
      <c r="K599">
        <v>83.4</v>
      </c>
      <c r="L599">
        <v>71.7</v>
      </c>
      <c r="M599">
        <v>78</v>
      </c>
      <c r="N599">
        <v>66.900000000000006</v>
      </c>
      <c r="O599">
        <v>70.599999999999994</v>
      </c>
      <c r="S599">
        <f t="shared" si="93"/>
        <v>1</v>
      </c>
      <c r="T599">
        <f t="shared" si="94"/>
        <v>1</v>
      </c>
      <c r="U599">
        <f t="shared" si="95"/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21.9</v>
      </c>
      <c r="AG599">
        <f t="shared" si="96"/>
        <v>1</v>
      </c>
      <c r="AH599">
        <f t="shared" si="97"/>
        <v>1</v>
      </c>
      <c r="AI599">
        <f t="shared" si="98"/>
        <v>0</v>
      </c>
      <c r="AJ599">
        <v>317.89999999999998</v>
      </c>
      <c r="AK599">
        <v>1008.1</v>
      </c>
      <c r="AL599">
        <v>34.5</v>
      </c>
      <c r="AM599">
        <v>6.8</v>
      </c>
      <c r="AN599">
        <v>0</v>
      </c>
      <c r="AO599">
        <v>0</v>
      </c>
      <c r="AP599">
        <v>0</v>
      </c>
      <c r="AQ599">
        <v>0</v>
      </c>
      <c r="AR599" t="s">
        <v>2012</v>
      </c>
      <c r="AS599" t="s">
        <v>2013</v>
      </c>
      <c r="AT599">
        <v>0.25</v>
      </c>
      <c r="AU599" t="s">
        <v>43</v>
      </c>
      <c r="AV599" t="s">
        <v>44</v>
      </c>
      <c r="AW599" t="s">
        <v>45</v>
      </c>
      <c r="AX599" s="1">
        <v>0.78055555555555556</v>
      </c>
      <c r="AY599" t="s">
        <v>2014</v>
      </c>
      <c r="AZ599">
        <v>256.00000000675209</v>
      </c>
      <c r="BA599">
        <v>0</v>
      </c>
      <c r="BB599">
        <v>0</v>
      </c>
      <c r="BC599">
        <v>0.1</v>
      </c>
      <c r="BD599">
        <v>0</v>
      </c>
      <c r="BE599">
        <f t="shared" si="99"/>
        <v>1</v>
      </c>
    </row>
    <row r="600" spans="1:57" x14ac:dyDescent="0.25">
      <c r="A600" t="s">
        <v>39</v>
      </c>
      <c r="B600" t="s">
        <v>2015</v>
      </c>
      <c r="C600">
        <v>84.3</v>
      </c>
      <c r="D600">
        <v>75.3</v>
      </c>
      <c r="G600">
        <f t="shared" si="90"/>
        <v>0</v>
      </c>
      <c r="H600">
        <f t="shared" si="91"/>
        <v>0</v>
      </c>
      <c r="I600">
        <f t="shared" si="92"/>
        <v>0</v>
      </c>
      <c r="J600">
        <v>79.900000000000006</v>
      </c>
      <c r="K600">
        <v>85.2</v>
      </c>
      <c r="L600">
        <v>75.3</v>
      </c>
      <c r="M600">
        <v>80.3</v>
      </c>
      <c r="N600">
        <v>62</v>
      </c>
      <c r="O600">
        <v>54.9</v>
      </c>
      <c r="S600">
        <f t="shared" si="93"/>
        <v>1</v>
      </c>
      <c r="T600">
        <f t="shared" si="94"/>
        <v>0</v>
      </c>
      <c r="U600">
        <f t="shared" si="95"/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19.5</v>
      </c>
      <c r="AG600">
        <f t="shared" si="96"/>
        <v>1</v>
      </c>
      <c r="AH600">
        <f t="shared" si="97"/>
        <v>1</v>
      </c>
      <c r="AI600">
        <f t="shared" si="98"/>
        <v>0</v>
      </c>
      <c r="AJ600">
        <v>302.89999999999998</v>
      </c>
      <c r="AK600">
        <v>1010.7</v>
      </c>
      <c r="AL600">
        <v>30</v>
      </c>
      <c r="AM600">
        <v>6.5</v>
      </c>
      <c r="AN600">
        <v>0</v>
      </c>
      <c r="AO600">
        <v>0</v>
      </c>
      <c r="AP600">
        <v>0</v>
      </c>
      <c r="AQ600">
        <v>0</v>
      </c>
      <c r="AR600" t="s">
        <v>2016</v>
      </c>
      <c r="AS600" t="s">
        <v>2017</v>
      </c>
      <c r="AT600">
        <v>0.65</v>
      </c>
      <c r="AU600" t="s">
        <v>43</v>
      </c>
      <c r="AV600" t="s">
        <v>44</v>
      </c>
      <c r="AW600" t="s">
        <v>45</v>
      </c>
      <c r="AX600" s="1">
        <v>0.59722222222222221</v>
      </c>
      <c r="AY600" t="s">
        <v>2018</v>
      </c>
      <c r="AZ600">
        <v>290.00000000232831</v>
      </c>
      <c r="BA600">
        <v>0</v>
      </c>
      <c r="BB600">
        <v>1</v>
      </c>
      <c r="BC600">
        <v>0</v>
      </c>
      <c r="BD600">
        <v>0</v>
      </c>
      <c r="BE600">
        <f t="shared" si="99"/>
        <v>0</v>
      </c>
    </row>
    <row r="601" spans="1:57" x14ac:dyDescent="0.25">
      <c r="A601" t="s">
        <v>39</v>
      </c>
      <c r="B601" t="s">
        <v>2019</v>
      </c>
      <c r="C601">
        <v>62.7</v>
      </c>
      <c r="D601">
        <v>46.5</v>
      </c>
      <c r="G601">
        <f t="shared" si="90"/>
        <v>0</v>
      </c>
      <c r="H601">
        <f t="shared" si="91"/>
        <v>0</v>
      </c>
      <c r="I601">
        <f t="shared" si="92"/>
        <v>0</v>
      </c>
      <c r="J601">
        <v>56</v>
      </c>
      <c r="K601">
        <v>62.7</v>
      </c>
      <c r="L601">
        <v>42.5</v>
      </c>
      <c r="M601">
        <v>55.6</v>
      </c>
      <c r="N601">
        <v>45.3</v>
      </c>
      <c r="O601">
        <v>68.2</v>
      </c>
      <c r="S601">
        <f t="shared" si="93"/>
        <v>1</v>
      </c>
      <c r="T601">
        <f t="shared" si="94"/>
        <v>1</v>
      </c>
      <c r="U601">
        <f t="shared" si="95"/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13.9</v>
      </c>
      <c r="AG601">
        <f t="shared" si="96"/>
        <v>1</v>
      </c>
      <c r="AH601">
        <f t="shared" si="97"/>
        <v>0</v>
      </c>
      <c r="AI601">
        <f t="shared" si="98"/>
        <v>1</v>
      </c>
      <c r="AJ601">
        <v>212.8</v>
      </c>
      <c r="AK601">
        <v>1015.4</v>
      </c>
      <c r="AL601">
        <v>43.6</v>
      </c>
      <c r="AM601">
        <v>6.8</v>
      </c>
      <c r="AN601">
        <v>0</v>
      </c>
      <c r="AO601">
        <v>0</v>
      </c>
      <c r="AP601">
        <v>0</v>
      </c>
      <c r="AQ601">
        <v>0</v>
      </c>
      <c r="AR601" t="s">
        <v>2020</v>
      </c>
      <c r="AS601" t="s">
        <v>2021</v>
      </c>
      <c r="AT601">
        <v>0.18</v>
      </c>
      <c r="AU601" t="s">
        <v>43</v>
      </c>
      <c r="AV601" t="s">
        <v>44</v>
      </c>
      <c r="AW601" t="s">
        <v>45</v>
      </c>
      <c r="AX601" s="1">
        <v>0.58333333333333337</v>
      </c>
      <c r="AY601" t="s">
        <v>2022</v>
      </c>
      <c r="AZ601">
        <v>259.99999999883579</v>
      </c>
      <c r="BA601">
        <v>0</v>
      </c>
      <c r="BB601">
        <v>0</v>
      </c>
      <c r="BC601">
        <v>5</v>
      </c>
      <c r="BD601">
        <v>0</v>
      </c>
      <c r="BE601">
        <f t="shared" si="99"/>
        <v>0</v>
      </c>
    </row>
    <row r="602" spans="1:57" x14ac:dyDescent="0.25">
      <c r="A602" t="s">
        <v>39</v>
      </c>
      <c r="B602" t="s">
        <v>2023</v>
      </c>
      <c r="C602">
        <v>75.3</v>
      </c>
      <c r="D602">
        <v>57.3</v>
      </c>
      <c r="G602">
        <f t="shared" si="90"/>
        <v>1</v>
      </c>
      <c r="H602">
        <f t="shared" si="91"/>
        <v>1</v>
      </c>
      <c r="I602">
        <f t="shared" si="92"/>
        <v>0</v>
      </c>
      <c r="J602">
        <v>65.599999999999994</v>
      </c>
      <c r="K602">
        <v>75.3</v>
      </c>
      <c r="L602">
        <v>57.3</v>
      </c>
      <c r="M602">
        <v>65.599999999999994</v>
      </c>
      <c r="N602">
        <v>54.5</v>
      </c>
      <c r="O602">
        <v>67.8</v>
      </c>
      <c r="S602">
        <f t="shared" si="93"/>
        <v>0</v>
      </c>
      <c r="T602">
        <f t="shared" si="94"/>
        <v>0</v>
      </c>
      <c r="U602">
        <f t="shared" si="95"/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12.8</v>
      </c>
      <c r="AG602">
        <f t="shared" si="96"/>
        <v>1</v>
      </c>
      <c r="AH602">
        <f t="shared" si="97"/>
        <v>0</v>
      </c>
      <c r="AI602">
        <f t="shared" si="98"/>
        <v>1</v>
      </c>
      <c r="AJ602">
        <v>176.7</v>
      </c>
      <c r="AK602">
        <v>1009.7</v>
      </c>
      <c r="AL602">
        <v>44.2</v>
      </c>
      <c r="AM602">
        <v>6.8</v>
      </c>
      <c r="AN602">
        <v>0</v>
      </c>
      <c r="AO602">
        <v>0</v>
      </c>
      <c r="AP602">
        <v>0</v>
      </c>
      <c r="AQ602">
        <v>0</v>
      </c>
      <c r="AR602" t="s">
        <v>2024</v>
      </c>
      <c r="AS602" t="s">
        <v>2025</v>
      </c>
      <c r="AT602">
        <v>0.39</v>
      </c>
      <c r="AU602" t="s">
        <v>43</v>
      </c>
      <c r="AV602" t="s">
        <v>2026</v>
      </c>
      <c r="AW602" t="s">
        <v>45</v>
      </c>
      <c r="AX602" s="1">
        <v>0.6381944444444444</v>
      </c>
      <c r="AY602" t="s">
        <v>2027</v>
      </c>
      <c r="AZ602">
        <v>191.00000000442381</v>
      </c>
      <c r="BA602">
        <v>0</v>
      </c>
      <c r="BB602">
        <v>0</v>
      </c>
      <c r="BC602">
        <v>0.5</v>
      </c>
      <c r="BD602">
        <v>0</v>
      </c>
      <c r="BE602">
        <f t="shared" si="99"/>
        <v>0</v>
      </c>
    </row>
    <row r="603" spans="1:57" x14ac:dyDescent="0.25">
      <c r="A603" t="s">
        <v>39</v>
      </c>
      <c r="B603" t="s">
        <v>2007</v>
      </c>
      <c r="C603">
        <v>71.7</v>
      </c>
      <c r="D603">
        <v>64.5</v>
      </c>
      <c r="G603">
        <f t="shared" si="90"/>
        <v>1</v>
      </c>
      <c r="H603">
        <f t="shared" si="91"/>
        <v>0</v>
      </c>
      <c r="I603">
        <f t="shared" si="92"/>
        <v>1</v>
      </c>
      <c r="J603">
        <v>68.400000000000006</v>
      </c>
      <c r="K603">
        <v>71.7</v>
      </c>
      <c r="L603">
        <v>64.5</v>
      </c>
      <c r="M603">
        <v>68.400000000000006</v>
      </c>
      <c r="N603">
        <v>54.2</v>
      </c>
      <c r="O603">
        <v>60.7</v>
      </c>
      <c r="S603">
        <f t="shared" si="93"/>
        <v>0</v>
      </c>
      <c r="T603">
        <f t="shared" si="94"/>
        <v>0</v>
      </c>
      <c r="U603">
        <f t="shared" si="95"/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16.100000000000001</v>
      </c>
      <c r="AG603">
        <f t="shared" si="96"/>
        <v>0</v>
      </c>
      <c r="AH603">
        <f t="shared" si="97"/>
        <v>0</v>
      </c>
      <c r="AI603">
        <f t="shared" si="98"/>
        <v>0</v>
      </c>
      <c r="AJ603">
        <v>314.60000000000002</v>
      </c>
      <c r="AK603">
        <v>1017.4</v>
      </c>
      <c r="AL603">
        <v>40.799999999999997</v>
      </c>
      <c r="AM603">
        <v>6.8</v>
      </c>
      <c r="AN603">
        <v>0</v>
      </c>
      <c r="AO603">
        <v>0</v>
      </c>
      <c r="AP603">
        <v>0</v>
      </c>
      <c r="AQ603">
        <v>0</v>
      </c>
      <c r="AR603" t="s">
        <v>2008</v>
      </c>
      <c r="AS603" t="s">
        <v>2009</v>
      </c>
      <c r="AT603">
        <v>0.46</v>
      </c>
      <c r="AU603" t="s">
        <v>43</v>
      </c>
      <c r="AV603" t="s">
        <v>80</v>
      </c>
      <c r="AW603" t="s">
        <v>45</v>
      </c>
      <c r="AX603" s="1">
        <v>0.71527777777777779</v>
      </c>
      <c r="AY603" t="s">
        <v>2028</v>
      </c>
      <c r="AZ603">
        <v>349.99999999883579</v>
      </c>
      <c r="BA603">
        <v>0</v>
      </c>
      <c r="BB603">
        <v>0</v>
      </c>
      <c r="BC603">
        <v>0.01</v>
      </c>
      <c r="BD603">
        <v>0</v>
      </c>
      <c r="BE603">
        <f t="shared" si="99"/>
        <v>0</v>
      </c>
    </row>
    <row r="604" spans="1:57" x14ac:dyDescent="0.25">
      <c r="A604" t="s">
        <v>39</v>
      </c>
      <c r="B604" t="s">
        <v>2007</v>
      </c>
      <c r="C604">
        <v>71.7</v>
      </c>
      <c r="D604">
        <v>64.5</v>
      </c>
      <c r="G604">
        <f t="shared" si="90"/>
        <v>1</v>
      </c>
      <c r="H604">
        <f t="shared" si="91"/>
        <v>0</v>
      </c>
      <c r="I604">
        <f t="shared" si="92"/>
        <v>1</v>
      </c>
      <c r="J604">
        <v>68.400000000000006</v>
      </c>
      <c r="K604">
        <v>71.7</v>
      </c>
      <c r="L604">
        <v>64.5</v>
      </c>
      <c r="M604">
        <v>68.400000000000006</v>
      </c>
      <c r="N604">
        <v>54.2</v>
      </c>
      <c r="O604">
        <v>60.7</v>
      </c>
      <c r="S604">
        <f t="shared" si="93"/>
        <v>0</v>
      </c>
      <c r="T604">
        <f t="shared" si="94"/>
        <v>0</v>
      </c>
      <c r="U604">
        <f t="shared" si="95"/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16.100000000000001</v>
      </c>
      <c r="AG604">
        <f t="shared" si="96"/>
        <v>0</v>
      </c>
      <c r="AH604">
        <f t="shared" si="97"/>
        <v>0</v>
      </c>
      <c r="AI604">
        <f t="shared" si="98"/>
        <v>0</v>
      </c>
      <c r="AJ604">
        <v>314.60000000000002</v>
      </c>
      <c r="AK604">
        <v>1017.4</v>
      </c>
      <c r="AL604">
        <v>40.799999999999997</v>
      </c>
      <c r="AM604">
        <v>6.8</v>
      </c>
      <c r="AN604">
        <v>0</v>
      </c>
      <c r="AO604">
        <v>0</v>
      </c>
      <c r="AP604">
        <v>0</v>
      </c>
      <c r="AQ604">
        <v>0</v>
      </c>
      <c r="AR604" t="s">
        <v>2008</v>
      </c>
      <c r="AS604" t="s">
        <v>2009</v>
      </c>
      <c r="AT604">
        <v>0.46</v>
      </c>
      <c r="AU604" t="s">
        <v>43</v>
      </c>
      <c r="AV604" t="s">
        <v>80</v>
      </c>
      <c r="AW604" t="s">
        <v>45</v>
      </c>
      <c r="AX604" s="1">
        <v>0.75972222222222219</v>
      </c>
      <c r="AY604" t="s">
        <v>2029</v>
      </c>
      <c r="AZ604">
        <v>765.99999999278225</v>
      </c>
      <c r="BA604">
        <v>1</v>
      </c>
      <c r="BB604">
        <v>0</v>
      </c>
      <c r="BC604">
        <v>0.05</v>
      </c>
      <c r="BD604">
        <v>0</v>
      </c>
      <c r="BE604">
        <f t="shared" si="99"/>
        <v>0</v>
      </c>
    </row>
    <row r="605" spans="1:57" x14ac:dyDescent="0.25">
      <c r="A605" t="s">
        <v>39</v>
      </c>
      <c r="B605" t="s">
        <v>2030</v>
      </c>
      <c r="C605">
        <v>89.7</v>
      </c>
      <c r="D605">
        <v>69.900000000000006</v>
      </c>
      <c r="G605">
        <f t="shared" si="90"/>
        <v>1</v>
      </c>
      <c r="H605">
        <f t="shared" si="91"/>
        <v>1</v>
      </c>
      <c r="I605">
        <f t="shared" si="92"/>
        <v>0</v>
      </c>
      <c r="J605">
        <v>80.3</v>
      </c>
      <c r="K605">
        <v>90.5</v>
      </c>
      <c r="L605">
        <v>69.900000000000006</v>
      </c>
      <c r="M605">
        <v>80.900000000000006</v>
      </c>
      <c r="N605">
        <v>62.2</v>
      </c>
      <c r="O605">
        <v>55.9</v>
      </c>
      <c r="S605">
        <f t="shared" si="93"/>
        <v>1</v>
      </c>
      <c r="T605">
        <f t="shared" si="94"/>
        <v>0</v>
      </c>
      <c r="U605">
        <f t="shared" si="95"/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10.3</v>
      </c>
      <c r="AG605">
        <f t="shared" si="96"/>
        <v>1</v>
      </c>
      <c r="AH605">
        <f t="shared" si="97"/>
        <v>0</v>
      </c>
      <c r="AI605">
        <f t="shared" si="98"/>
        <v>1</v>
      </c>
      <c r="AJ605">
        <v>141.5</v>
      </c>
      <c r="AK605">
        <v>1010.6</v>
      </c>
      <c r="AL605">
        <v>0</v>
      </c>
      <c r="AM605">
        <v>6.2</v>
      </c>
      <c r="AN605">
        <v>0</v>
      </c>
      <c r="AO605">
        <v>0</v>
      </c>
      <c r="AP605">
        <v>0</v>
      </c>
      <c r="AQ605">
        <v>0</v>
      </c>
      <c r="AR605" t="s">
        <v>2031</v>
      </c>
      <c r="AS605" t="s">
        <v>2032</v>
      </c>
      <c r="AT605">
        <v>0.67</v>
      </c>
      <c r="AU605" t="s">
        <v>74</v>
      </c>
      <c r="AV605" t="s">
        <v>44</v>
      </c>
      <c r="AW605" t="s">
        <v>75</v>
      </c>
      <c r="AX605" s="1">
        <v>0.19722222222222219</v>
      </c>
      <c r="AY605" t="s">
        <v>2033</v>
      </c>
      <c r="AZ605">
        <v>1005.9999999997671</v>
      </c>
      <c r="BA605">
        <v>1</v>
      </c>
      <c r="BB605">
        <v>0</v>
      </c>
      <c r="BC605">
        <v>15</v>
      </c>
      <c r="BD605">
        <v>0</v>
      </c>
      <c r="BE605">
        <f t="shared" si="99"/>
        <v>1</v>
      </c>
    </row>
    <row r="606" spans="1:57" x14ac:dyDescent="0.25">
      <c r="A606" t="s">
        <v>39</v>
      </c>
      <c r="B606" t="s">
        <v>2034</v>
      </c>
      <c r="C606">
        <v>55.5</v>
      </c>
      <c r="D606">
        <v>53.7</v>
      </c>
      <c r="G606">
        <f t="shared" si="90"/>
        <v>1</v>
      </c>
      <c r="H606">
        <f t="shared" si="91"/>
        <v>0</v>
      </c>
      <c r="I606">
        <f t="shared" si="92"/>
        <v>1</v>
      </c>
      <c r="J606">
        <v>54.2</v>
      </c>
      <c r="K606">
        <v>55.5</v>
      </c>
      <c r="L606">
        <v>53.7</v>
      </c>
      <c r="M606">
        <v>54.2</v>
      </c>
      <c r="N606">
        <v>40.9</v>
      </c>
      <c r="O606">
        <v>61</v>
      </c>
      <c r="S606">
        <f t="shared" si="93"/>
        <v>1</v>
      </c>
      <c r="T606">
        <f t="shared" si="94"/>
        <v>0</v>
      </c>
      <c r="U606">
        <f t="shared" si="95"/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17.2</v>
      </c>
      <c r="AG606">
        <f t="shared" si="96"/>
        <v>1</v>
      </c>
      <c r="AH606">
        <f t="shared" si="97"/>
        <v>0</v>
      </c>
      <c r="AI606">
        <f t="shared" si="98"/>
        <v>1</v>
      </c>
      <c r="AJ606">
        <v>344.5</v>
      </c>
      <c r="AK606">
        <v>1026.9000000000001</v>
      </c>
      <c r="AL606">
        <v>90</v>
      </c>
      <c r="AM606">
        <v>6.8</v>
      </c>
      <c r="AN606">
        <v>0</v>
      </c>
      <c r="AO606">
        <v>0</v>
      </c>
      <c r="AP606">
        <v>0</v>
      </c>
      <c r="AQ606">
        <v>0</v>
      </c>
      <c r="AR606" t="s">
        <v>2035</v>
      </c>
      <c r="AS606" t="s">
        <v>2036</v>
      </c>
      <c r="AT606">
        <v>0.14000000000000001</v>
      </c>
      <c r="AU606" t="s">
        <v>43</v>
      </c>
      <c r="AV606" t="s">
        <v>44</v>
      </c>
      <c r="AW606" t="s">
        <v>45</v>
      </c>
      <c r="AX606" s="1">
        <v>0.61805555555555558</v>
      </c>
      <c r="AY606" t="s">
        <v>2037</v>
      </c>
      <c r="AZ606">
        <v>1000.000000001164</v>
      </c>
      <c r="BA606">
        <v>1</v>
      </c>
      <c r="BB606">
        <v>0</v>
      </c>
      <c r="BC606">
        <v>2</v>
      </c>
      <c r="BD606">
        <v>0</v>
      </c>
      <c r="BE606">
        <f t="shared" si="99"/>
        <v>1</v>
      </c>
    </row>
    <row r="607" spans="1:57" x14ac:dyDescent="0.25">
      <c r="A607" t="s">
        <v>39</v>
      </c>
      <c r="B607" t="s">
        <v>2038</v>
      </c>
      <c r="C607">
        <v>73.5</v>
      </c>
      <c r="D607">
        <v>55.5</v>
      </c>
      <c r="G607">
        <f t="shared" si="90"/>
        <v>1</v>
      </c>
      <c r="H607">
        <f t="shared" si="91"/>
        <v>1</v>
      </c>
      <c r="I607">
        <f t="shared" si="92"/>
        <v>0</v>
      </c>
      <c r="J607">
        <v>63.2</v>
      </c>
      <c r="K607">
        <v>73.5</v>
      </c>
      <c r="L607">
        <v>55.5</v>
      </c>
      <c r="M607">
        <v>63.2</v>
      </c>
      <c r="N607">
        <v>51.4</v>
      </c>
      <c r="O607">
        <v>66.400000000000006</v>
      </c>
      <c r="S607">
        <f t="shared" si="93"/>
        <v>1</v>
      </c>
      <c r="T607">
        <f t="shared" si="94"/>
        <v>1</v>
      </c>
      <c r="U607">
        <f t="shared" si="95"/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18.3</v>
      </c>
      <c r="AG607">
        <f t="shared" si="96"/>
        <v>0</v>
      </c>
      <c r="AH607">
        <f t="shared" si="97"/>
        <v>0</v>
      </c>
      <c r="AI607">
        <f t="shared" si="98"/>
        <v>0</v>
      </c>
      <c r="AJ607">
        <v>153.5</v>
      </c>
      <c r="AK607">
        <v>1010.9</v>
      </c>
      <c r="AL607">
        <v>0</v>
      </c>
      <c r="AM607">
        <v>6.2</v>
      </c>
      <c r="AN607">
        <v>0</v>
      </c>
      <c r="AO607">
        <v>0</v>
      </c>
      <c r="AP607">
        <v>0</v>
      </c>
      <c r="AQ607">
        <v>0</v>
      </c>
      <c r="AR607" t="s">
        <v>2039</v>
      </c>
      <c r="AS607" t="s">
        <v>2040</v>
      </c>
      <c r="AT607">
        <v>0.67</v>
      </c>
      <c r="AU607" t="s">
        <v>74</v>
      </c>
      <c r="AV607" t="s">
        <v>44</v>
      </c>
      <c r="AW607" t="s">
        <v>75</v>
      </c>
      <c r="AX607" s="1">
        <v>0.68055555555555558</v>
      </c>
      <c r="AY607" t="s">
        <v>2041</v>
      </c>
      <c r="AZ607">
        <v>1184.999999996508</v>
      </c>
      <c r="BA607">
        <v>1</v>
      </c>
      <c r="BB607">
        <v>0</v>
      </c>
      <c r="BC607">
        <v>3</v>
      </c>
      <c r="BD607">
        <v>0</v>
      </c>
      <c r="BE607">
        <f t="shared" si="99"/>
        <v>1</v>
      </c>
    </row>
    <row r="608" spans="1:57" x14ac:dyDescent="0.25">
      <c r="A608" t="s">
        <v>39</v>
      </c>
      <c r="B608" t="s">
        <v>2042</v>
      </c>
      <c r="C608">
        <v>68.099999999999994</v>
      </c>
      <c r="D608">
        <v>53.7</v>
      </c>
      <c r="G608">
        <f t="shared" si="90"/>
        <v>1</v>
      </c>
      <c r="H608">
        <f t="shared" si="91"/>
        <v>1</v>
      </c>
      <c r="I608">
        <f t="shared" si="92"/>
        <v>0</v>
      </c>
      <c r="J608">
        <v>60</v>
      </c>
      <c r="K608">
        <v>68.099999999999994</v>
      </c>
      <c r="L608">
        <v>53.7</v>
      </c>
      <c r="M608">
        <v>60</v>
      </c>
      <c r="N608">
        <v>48.1</v>
      </c>
      <c r="O608">
        <v>65.3</v>
      </c>
      <c r="S608">
        <f t="shared" si="93"/>
        <v>0</v>
      </c>
      <c r="T608">
        <f t="shared" si="94"/>
        <v>0</v>
      </c>
      <c r="U608">
        <f t="shared" si="95"/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20.8</v>
      </c>
      <c r="AG608">
        <f t="shared" si="96"/>
        <v>1</v>
      </c>
      <c r="AH608">
        <f t="shared" si="97"/>
        <v>1</v>
      </c>
      <c r="AI608">
        <f t="shared" si="98"/>
        <v>0</v>
      </c>
      <c r="AJ608">
        <v>169.5</v>
      </c>
      <c r="AK608">
        <v>1014.7</v>
      </c>
      <c r="AL608">
        <v>53.3</v>
      </c>
      <c r="AM608">
        <v>6.8</v>
      </c>
      <c r="AN608">
        <v>0</v>
      </c>
      <c r="AO608">
        <v>0</v>
      </c>
      <c r="AP608">
        <v>0</v>
      </c>
      <c r="AQ608">
        <v>0</v>
      </c>
      <c r="AR608" t="s">
        <v>2043</v>
      </c>
      <c r="AS608" t="s">
        <v>2044</v>
      </c>
      <c r="AT608">
        <v>0</v>
      </c>
      <c r="AU608" t="s">
        <v>43</v>
      </c>
      <c r="AV608" t="s">
        <v>2026</v>
      </c>
      <c r="AW608" t="s">
        <v>45</v>
      </c>
      <c r="AX608" s="1">
        <v>0.70486111111111116</v>
      </c>
      <c r="AY608" t="s">
        <v>2045</v>
      </c>
      <c r="AZ608">
        <v>1654.9999999988361</v>
      </c>
      <c r="BA608">
        <v>1</v>
      </c>
      <c r="BB608">
        <v>0</v>
      </c>
      <c r="BC608">
        <v>30</v>
      </c>
      <c r="BD608">
        <v>0</v>
      </c>
      <c r="BE608">
        <f t="shared" si="99"/>
        <v>1</v>
      </c>
    </row>
    <row r="609" spans="1:57" x14ac:dyDescent="0.25">
      <c r="A609" t="s">
        <v>39</v>
      </c>
      <c r="B609" t="s">
        <v>2046</v>
      </c>
      <c r="C609">
        <v>64.5</v>
      </c>
      <c r="D609">
        <v>57.3</v>
      </c>
      <c r="G609">
        <f t="shared" si="90"/>
        <v>1</v>
      </c>
      <c r="H609">
        <f t="shared" si="91"/>
        <v>1</v>
      </c>
      <c r="I609">
        <f t="shared" si="92"/>
        <v>0</v>
      </c>
      <c r="J609">
        <v>60.8</v>
      </c>
      <c r="K609">
        <v>64.5</v>
      </c>
      <c r="L609">
        <v>57.3</v>
      </c>
      <c r="M609">
        <v>60.8</v>
      </c>
      <c r="N609">
        <v>52.1</v>
      </c>
      <c r="O609">
        <v>73.400000000000006</v>
      </c>
      <c r="S609">
        <f t="shared" si="93"/>
        <v>1</v>
      </c>
      <c r="T609">
        <f t="shared" si="94"/>
        <v>1</v>
      </c>
      <c r="U609">
        <f t="shared" si="95"/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20.8</v>
      </c>
      <c r="AG609">
        <f t="shared" si="96"/>
        <v>1</v>
      </c>
      <c r="AH609">
        <f t="shared" si="97"/>
        <v>1</v>
      </c>
      <c r="AI609">
        <f t="shared" si="98"/>
        <v>0</v>
      </c>
      <c r="AJ609">
        <v>172.7</v>
      </c>
      <c r="AK609">
        <v>1014.6</v>
      </c>
      <c r="AL609">
        <v>76.7</v>
      </c>
      <c r="AM609">
        <v>6.8</v>
      </c>
      <c r="AN609">
        <v>0</v>
      </c>
      <c r="AO609">
        <v>0</v>
      </c>
      <c r="AP609">
        <v>0</v>
      </c>
      <c r="AQ609">
        <v>0</v>
      </c>
      <c r="AR609" t="s">
        <v>2047</v>
      </c>
      <c r="AS609" t="s">
        <v>2048</v>
      </c>
      <c r="AT609">
        <v>0.03</v>
      </c>
      <c r="AU609" t="s">
        <v>43</v>
      </c>
      <c r="AV609" t="s">
        <v>44</v>
      </c>
      <c r="AW609" t="s">
        <v>45</v>
      </c>
      <c r="AX609" s="1">
        <v>0.68055555555555558</v>
      </c>
      <c r="AY609" t="s">
        <v>2049</v>
      </c>
      <c r="AZ609">
        <v>210.00000000349249</v>
      </c>
      <c r="BA609">
        <v>0</v>
      </c>
      <c r="BB609">
        <v>0</v>
      </c>
      <c r="BC609">
        <v>2</v>
      </c>
      <c r="BD609">
        <v>0</v>
      </c>
      <c r="BE609">
        <f t="shared" si="99"/>
        <v>1</v>
      </c>
    </row>
    <row r="610" spans="1:57" x14ac:dyDescent="0.25">
      <c r="A610" t="s">
        <v>39</v>
      </c>
      <c r="B610" t="s">
        <v>2050</v>
      </c>
      <c r="C610">
        <v>84.3</v>
      </c>
      <c r="D610">
        <v>71.7</v>
      </c>
      <c r="G610">
        <f t="shared" si="90"/>
        <v>0</v>
      </c>
      <c r="H610">
        <f t="shared" si="91"/>
        <v>0</v>
      </c>
      <c r="I610">
        <f t="shared" si="92"/>
        <v>0</v>
      </c>
      <c r="J610">
        <v>79.3</v>
      </c>
      <c r="K610">
        <v>87.6</v>
      </c>
      <c r="L610">
        <v>71.7</v>
      </c>
      <c r="M610">
        <v>79.900000000000006</v>
      </c>
      <c r="N610">
        <v>62.2</v>
      </c>
      <c r="O610">
        <v>56.7</v>
      </c>
      <c r="S610">
        <f t="shared" si="93"/>
        <v>1</v>
      </c>
      <c r="T610">
        <f t="shared" si="94"/>
        <v>0</v>
      </c>
      <c r="U610">
        <f t="shared" si="95"/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15</v>
      </c>
      <c r="AG610">
        <f t="shared" si="96"/>
        <v>1</v>
      </c>
      <c r="AH610">
        <f t="shared" si="97"/>
        <v>0</v>
      </c>
      <c r="AI610">
        <f t="shared" si="98"/>
        <v>1</v>
      </c>
      <c r="AJ610">
        <v>313.10000000000002</v>
      </c>
      <c r="AK610">
        <v>1008.8</v>
      </c>
      <c r="AL610">
        <v>30</v>
      </c>
      <c r="AM610">
        <v>6.3</v>
      </c>
      <c r="AN610">
        <v>0</v>
      </c>
      <c r="AO610">
        <v>0</v>
      </c>
      <c r="AP610">
        <v>0</v>
      </c>
      <c r="AQ610">
        <v>0</v>
      </c>
      <c r="AR610" t="s">
        <v>2051</v>
      </c>
      <c r="AS610" t="s">
        <v>2052</v>
      </c>
      <c r="AT610">
        <v>0.05</v>
      </c>
      <c r="AU610" t="s">
        <v>43</v>
      </c>
      <c r="AV610" t="s">
        <v>44</v>
      </c>
      <c r="AW610" t="s">
        <v>45</v>
      </c>
      <c r="AX610" s="1">
        <v>0.95138888888888884</v>
      </c>
      <c r="AY610" t="s">
        <v>2053</v>
      </c>
      <c r="AZ610">
        <v>560.00000000232831</v>
      </c>
      <c r="BA610">
        <v>1</v>
      </c>
      <c r="BB610">
        <v>0</v>
      </c>
      <c r="BC610">
        <v>1</v>
      </c>
      <c r="BD610">
        <v>0</v>
      </c>
      <c r="BE610">
        <f t="shared" si="99"/>
        <v>0</v>
      </c>
    </row>
    <row r="611" spans="1:57" x14ac:dyDescent="0.25">
      <c r="A611" t="s">
        <v>39</v>
      </c>
      <c r="B611" t="s">
        <v>2054</v>
      </c>
      <c r="C611">
        <v>68.099999999999994</v>
      </c>
      <c r="D611">
        <v>50.1</v>
      </c>
      <c r="G611">
        <f t="shared" si="90"/>
        <v>0</v>
      </c>
      <c r="H611">
        <f t="shared" si="91"/>
        <v>0</v>
      </c>
      <c r="I611">
        <f t="shared" si="92"/>
        <v>0</v>
      </c>
      <c r="J611">
        <v>58.7</v>
      </c>
      <c r="K611">
        <v>68.099999999999994</v>
      </c>
      <c r="L611">
        <v>50.1</v>
      </c>
      <c r="M611">
        <v>58.7</v>
      </c>
      <c r="N611">
        <v>43.7</v>
      </c>
      <c r="O611">
        <v>58.8</v>
      </c>
      <c r="S611">
        <f t="shared" si="93"/>
        <v>1</v>
      </c>
      <c r="T611">
        <f t="shared" si="94"/>
        <v>0</v>
      </c>
      <c r="U611">
        <f t="shared" si="95"/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9.1999999999999993</v>
      </c>
      <c r="AG611">
        <f t="shared" si="96"/>
        <v>1</v>
      </c>
      <c r="AH611">
        <f t="shared" si="97"/>
        <v>0</v>
      </c>
      <c r="AI611">
        <f t="shared" si="98"/>
        <v>1</v>
      </c>
      <c r="AJ611">
        <v>182.5</v>
      </c>
      <c r="AK611">
        <v>1015</v>
      </c>
      <c r="AL611">
        <v>0</v>
      </c>
      <c r="AM611">
        <v>6.2</v>
      </c>
      <c r="AN611">
        <v>0</v>
      </c>
      <c r="AO611">
        <v>0</v>
      </c>
      <c r="AP611">
        <v>0</v>
      </c>
      <c r="AQ611">
        <v>0</v>
      </c>
      <c r="AR611" t="s">
        <v>2055</v>
      </c>
      <c r="AS611" t="s">
        <v>2056</v>
      </c>
      <c r="AT611">
        <v>0.13</v>
      </c>
      <c r="AU611" t="s">
        <v>74</v>
      </c>
      <c r="AV611" t="s">
        <v>44</v>
      </c>
      <c r="AW611" t="s">
        <v>75</v>
      </c>
      <c r="AX611" s="1">
        <v>0.66319444444444442</v>
      </c>
      <c r="AY611" t="s">
        <v>2057</v>
      </c>
      <c r="AZ611">
        <v>304.99999999883579</v>
      </c>
      <c r="BA611">
        <v>0</v>
      </c>
      <c r="BB611">
        <v>0</v>
      </c>
      <c r="BC611">
        <v>1.5</v>
      </c>
      <c r="BD611">
        <v>0</v>
      </c>
      <c r="BE611">
        <f t="shared" si="99"/>
        <v>0</v>
      </c>
    </row>
    <row r="612" spans="1:57" x14ac:dyDescent="0.25">
      <c r="A612" t="s">
        <v>39</v>
      </c>
      <c r="B612" t="s">
        <v>2058</v>
      </c>
      <c r="C612">
        <v>82.5</v>
      </c>
      <c r="D612">
        <v>71.7</v>
      </c>
      <c r="G612">
        <f t="shared" si="90"/>
        <v>0</v>
      </c>
      <c r="H612">
        <f t="shared" si="91"/>
        <v>0</v>
      </c>
      <c r="I612">
        <f t="shared" si="92"/>
        <v>0</v>
      </c>
      <c r="J612">
        <v>78.400000000000006</v>
      </c>
      <c r="K612">
        <v>84.8</v>
      </c>
      <c r="L612">
        <v>71.7</v>
      </c>
      <c r="M612">
        <v>79.099999999999994</v>
      </c>
      <c r="N612">
        <v>61.4</v>
      </c>
      <c r="O612">
        <v>56.2</v>
      </c>
      <c r="S612">
        <f t="shared" si="93"/>
        <v>1</v>
      </c>
      <c r="T612">
        <f t="shared" si="94"/>
        <v>0</v>
      </c>
      <c r="U612">
        <f t="shared" si="95"/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23</v>
      </c>
      <c r="AG612">
        <f t="shared" si="96"/>
        <v>1</v>
      </c>
      <c r="AH612">
        <f t="shared" si="97"/>
        <v>1</v>
      </c>
      <c r="AI612">
        <f t="shared" si="98"/>
        <v>0</v>
      </c>
      <c r="AJ612">
        <v>299.5</v>
      </c>
      <c r="AK612">
        <v>1009.8</v>
      </c>
      <c r="AL612">
        <v>30</v>
      </c>
      <c r="AM612">
        <v>6.8</v>
      </c>
      <c r="AN612">
        <v>0</v>
      </c>
      <c r="AO612">
        <v>0</v>
      </c>
      <c r="AP612">
        <v>0</v>
      </c>
      <c r="AQ612">
        <v>0</v>
      </c>
      <c r="AR612" t="s">
        <v>2059</v>
      </c>
      <c r="AS612" t="s">
        <v>2060</v>
      </c>
      <c r="AT612">
        <v>0.19</v>
      </c>
      <c r="AU612" t="s">
        <v>43</v>
      </c>
      <c r="AV612" t="s">
        <v>44</v>
      </c>
      <c r="AW612" t="s">
        <v>45</v>
      </c>
      <c r="AX612" s="1">
        <v>0.57986111111111116</v>
      </c>
      <c r="AY612" t="s">
        <v>2061</v>
      </c>
      <c r="AZ612">
        <v>10445.000000005821</v>
      </c>
      <c r="BA612">
        <v>1</v>
      </c>
      <c r="BB612">
        <v>0</v>
      </c>
      <c r="BC612">
        <v>600</v>
      </c>
      <c r="BD612">
        <v>0</v>
      </c>
      <c r="BE612">
        <f t="shared" si="99"/>
        <v>1</v>
      </c>
    </row>
    <row r="613" spans="1:57" x14ac:dyDescent="0.25">
      <c r="A613" t="s">
        <v>39</v>
      </c>
      <c r="B613" t="s">
        <v>2062</v>
      </c>
      <c r="C613">
        <v>78.900000000000006</v>
      </c>
      <c r="D613">
        <v>71.7</v>
      </c>
      <c r="G613">
        <f t="shared" si="90"/>
        <v>1</v>
      </c>
      <c r="H613">
        <f t="shared" si="91"/>
        <v>0</v>
      </c>
      <c r="I613">
        <f t="shared" si="92"/>
        <v>1</v>
      </c>
      <c r="J613">
        <v>74.8</v>
      </c>
      <c r="K613">
        <v>78.900000000000006</v>
      </c>
      <c r="L613">
        <v>71.7</v>
      </c>
      <c r="M613">
        <v>74.8</v>
      </c>
      <c r="N613">
        <v>55.7</v>
      </c>
      <c r="O613">
        <v>51.9</v>
      </c>
      <c r="S613">
        <f t="shared" si="93"/>
        <v>1</v>
      </c>
      <c r="T613">
        <f t="shared" si="94"/>
        <v>0</v>
      </c>
      <c r="U613">
        <f t="shared" si="95"/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24.2</v>
      </c>
      <c r="AG613">
        <f t="shared" si="96"/>
        <v>1</v>
      </c>
      <c r="AH613">
        <f t="shared" si="97"/>
        <v>1</v>
      </c>
      <c r="AI613">
        <f t="shared" si="98"/>
        <v>0</v>
      </c>
      <c r="AJ613">
        <v>314</v>
      </c>
      <c r="AK613">
        <v>1013.9</v>
      </c>
      <c r="AL613">
        <v>30</v>
      </c>
      <c r="AM613">
        <v>6.6</v>
      </c>
      <c r="AN613">
        <v>0</v>
      </c>
      <c r="AO613">
        <v>0</v>
      </c>
      <c r="AP613">
        <v>0</v>
      </c>
      <c r="AQ613">
        <v>0</v>
      </c>
      <c r="AR613" t="s">
        <v>2063</v>
      </c>
      <c r="AS613" t="s">
        <v>2064</v>
      </c>
      <c r="AT613">
        <v>0.38</v>
      </c>
      <c r="AU613" t="s">
        <v>43</v>
      </c>
      <c r="AV613" t="s">
        <v>44</v>
      </c>
      <c r="AW613" t="s">
        <v>45</v>
      </c>
      <c r="AX613" s="1">
        <v>0.70833333333333337</v>
      </c>
      <c r="AY613" t="s">
        <v>2065</v>
      </c>
      <c r="AZ613">
        <v>209.99999999301511</v>
      </c>
      <c r="BA613">
        <v>0</v>
      </c>
      <c r="BB613">
        <v>0</v>
      </c>
      <c r="BC613">
        <v>1</v>
      </c>
      <c r="BD613">
        <v>0</v>
      </c>
      <c r="BE613">
        <f t="shared" si="99"/>
        <v>1</v>
      </c>
    </row>
    <row r="614" spans="1:57" x14ac:dyDescent="0.25">
      <c r="A614" t="s">
        <v>39</v>
      </c>
      <c r="B614" t="s">
        <v>2066</v>
      </c>
      <c r="C614">
        <v>71.7</v>
      </c>
      <c r="D614">
        <v>50.1</v>
      </c>
      <c r="G614">
        <f t="shared" si="90"/>
        <v>1</v>
      </c>
      <c r="H614">
        <f t="shared" si="91"/>
        <v>1</v>
      </c>
      <c r="I614">
        <f t="shared" si="92"/>
        <v>0</v>
      </c>
      <c r="J614">
        <v>59.7</v>
      </c>
      <c r="K614">
        <v>71.7</v>
      </c>
      <c r="L614">
        <v>50.1</v>
      </c>
      <c r="M614">
        <v>59.7</v>
      </c>
      <c r="N614">
        <v>40.200000000000003</v>
      </c>
      <c r="O614">
        <v>51.1</v>
      </c>
      <c r="S614">
        <f t="shared" si="93"/>
        <v>1</v>
      </c>
      <c r="T614">
        <f t="shared" si="94"/>
        <v>0</v>
      </c>
      <c r="U614">
        <f t="shared" si="95"/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17.2</v>
      </c>
      <c r="AG614">
        <f t="shared" si="96"/>
        <v>0</v>
      </c>
      <c r="AH614">
        <f t="shared" si="97"/>
        <v>0</v>
      </c>
      <c r="AI614">
        <f t="shared" si="98"/>
        <v>0</v>
      </c>
      <c r="AJ614">
        <v>171.7</v>
      </c>
      <c r="AK614">
        <v>1016.7</v>
      </c>
      <c r="AL614">
        <v>60</v>
      </c>
      <c r="AM614">
        <v>6.8</v>
      </c>
      <c r="AN614">
        <v>0</v>
      </c>
      <c r="AO614">
        <v>0</v>
      </c>
      <c r="AP614">
        <v>0</v>
      </c>
      <c r="AQ614">
        <v>0</v>
      </c>
      <c r="AR614" t="s">
        <v>2067</v>
      </c>
      <c r="AS614" t="s">
        <v>2068</v>
      </c>
      <c r="AT614">
        <v>0.42</v>
      </c>
      <c r="AU614" t="s">
        <v>43</v>
      </c>
      <c r="AV614" t="s">
        <v>44</v>
      </c>
      <c r="AW614" t="s">
        <v>45</v>
      </c>
      <c r="AX614" s="1">
        <v>0.65625</v>
      </c>
      <c r="AY614" t="s">
        <v>2069</v>
      </c>
      <c r="AZ614">
        <v>985.00000000465661</v>
      </c>
      <c r="BA614">
        <v>1</v>
      </c>
      <c r="BB614">
        <v>0</v>
      </c>
      <c r="BC614">
        <v>3</v>
      </c>
      <c r="BD614">
        <v>0</v>
      </c>
      <c r="BE614">
        <f t="shared" si="99"/>
        <v>1</v>
      </c>
    </row>
    <row r="615" spans="1:57" x14ac:dyDescent="0.25">
      <c r="A615" t="s">
        <v>39</v>
      </c>
      <c r="B615" t="s">
        <v>2070</v>
      </c>
      <c r="C615">
        <v>73.5</v>
      </c>
      <c r="D615">
        <v>66.3</v>
      </c>
      <c r="G615">
        <f t="shared" si="90"/>
        <v>1</v>
      </c>
      <c r="H615">
        <f t="shared" si="91"/>
        <v>0</v>
      </c>
      <c r="I615">
        <f t="shared" si="92"/>
        <v>1</v>
      </c>
      <c r="J615">
        <v>70.3</v>
      </c>
      <c r="K615">
        <v>73.5</v>
      </c>
      <c r="L615">
        <v>66.3</v>
      </c>
      <c r="M615">
        <v>70.3</v>
      </c>
      <c r="N615">
        <v>56.3</v>
      </c>
      <c r="O615">
        <v>61.5</v>
      </c>
      <c r="S615">
        <f t="shared" si="93"/>
        <v>0</v>
      </c>
      <c r="T615">
        <f t="shared" si="94"/>
        <v>0</v>
      </c>
      <c r="U615">
        <f t="shared" si="95"/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17.2</v>
      </c>
      <c r="AG615">
        <f t="shared" si="96"/>
        <v>0</v>
      </c>
      <c r="AH615">
        <f t="shared" si="97"/>
        <v>0</v>
      </c>
      <c r="AI615">
        <f t="shared" si="98"/>
        <v>0</v>
      </c>
      <c r="AJ615">
        <v>311.89999999999998</v>
      </c>
      <c r="AK615">
        <v>1014.3</v>
      </c>
      <c r="AL615">
        <v>46.5</v>
      </c>
      <c r="AM615">
        <v>6.6</v>
      </c>
      <c r="AN615">
        <v>0</v>
      </c>
      <c r="AO615">
        <v>0</v>
      </c>
      <c r="AP615">
        <v>0</v>
      </c>
      <c r="AQ615">
        <v>0</v>
      </c>
      <c r="AR615" t="s">
        <v>2071</v>
      </c>
      <c r="AS615" t="s">
        <v>2072</v>
      </c>
      <c r="AT615">
        <v>0.25</v>
      </c>
      <c r="AU615" t="s">
        <v>43</v>
      </c>
      <c r="AV615" t="s">
        <v>44</v>
      </c>
      <c r="AW615" t="s">
        <v>45</v>
      </c>
      <c r="AX615" s="1">
        <v>0.4861111111111111</v>
      </c>
      <c r="AY615" t="s">
        <v>2073</v>
      </c>
      <c r="AZ615">
        <v>744.99999999767169</v>
      </c>
      <c r="BA615">
        <v>1</v>
      </c>
      <c r="BB615">
        <v>0</v>
      </c>
      <c r="BC615">
        <v>1</v>
      </c>
      <c r="BD615">
        <v>0</v>
      </c>
      <c r="BE615">
        <f t="shared" si="99"/>
        <v>0</v>
      </c>
    </row>
    <row r="616" spans="1:57" x14ac:dyDescent="0.25">
      <c r="A616" t="s">
        <v>39</v>
      </c>
      <c r="B616" t="s">
        <v>2074</v>
      </c>
      <c r="C616">
        <v>62.7</v>
      </c>
      <c r="D616">
        <v>55.5</v>
      </c>
      <c r="G616">
        <f t="shared" si="90"/>
        <v>1</v>
      </c>
      <c r="H616">
        <f t="shared" si="91"/>
        <v>0</v>
      </c>
      <c r="I616">
        <f t="shared" si="92"/>
        <v>1</v>
      </c>
      <c r="J616">
        <v>58.6</v>
      </c>
      <c r="K616">
        <v>62.7</v>
      </c>
      <c r="L616">
        <v>55.5</v>
      </c>
      <c r="M616">
        <v>58.6</v>
      </c>
      <c r="N616">
        <v>45.1</v>
      </c>
      <c r="O616">
        <v>61.2</v>
      </c>
      <c r="S616">
        <f t="shared" si="93"/>
        <v>1</v>
      </c>
      <c r="T616">
        <f t="shared" si="94"/>
        <v>0</v>
      </c>
      <c r="U616">
        <f t="shared" si="95"/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19.5</v>
      </c>
      <c r="AG616">
        <f t="shared" si="96"/>
        <v>1</v>
      </c>
      <c r="AH616">
        <f t="shared" si="97"/>
        <v>1</v>
      </c>
      <c r="AI616">
        <f t="shared" si="98"/>
        <v>0</v>
      </c>
      <c r="AJ616">
        <v>319.3</v>
      </c>
      <c r="AK616">
        <v>1013.4</v>
      </c>
      <c r="AL616">
        <v>56.7</v>
      </c>
      <c r="AM616">
        <v>6.7</v>
      </c>
      <c r="AN616">
        <v>0</v>
      </c>
      <c r="AO616">
        <v>0</v>
      </c>
      <c r="AP616">
        <v>0</v>
      </c>
      <c r="AQ616">
        <v>0</v>
      </c>
      <c r="AR616" t="s">
        <v>2075</v>
      </c>
      <c r="AS616" t="s">
        <v>2076</v>
      </c>
      <c r="AT616">
        <v>0.25</v>
      </c>
      <c r="AU616" t="s">
        <v>43</v>
      </c>
      <c r="AV616" t="s">
        <v>44</v>
      </c>
      <c r="AW616" t="s">
        <v>45</v>
      </c>
      <c r="AX616" s="1">
        <v>0.56944444444444442</v>
      </c>
      <c r="AY616" t="s">
        <v>2077</v>
      </c>
      <c r="AZ616">
        <v>1339.9999999988361</v>
      </c>
      <c r="BA616">
        <v>1</v>
      </c>
      <c r="BB616">
        <v>0</v>
      </c>
      <c r="BC616">
        <v>3</v>
      </c>
      <c r="BD616">
        <v>0</v>
      </c>
      <c r="BE616">
        <f t="shared" si="99"/>
        <v>1</v>
      </c>
    </row>
    <row r="617" spans="1:57" x14ac:dyDescent="0.25">
      <c r="A617" t="s">
        <v>39</v>
      </c>
      <c r="B617" t="s">
        <v>2078</v>
      </c>
      <c r="C617">
        <v>75.3</v>
      </c>
      <c r="D617">
        <v>60.9</v>
      </c>
      <c r="G617">
        <f t="shared" si="90"/>
        <v>1</v>
      </c>
      <c r="H617">
        <f t="shared" si="91"/>
        <v>0</v>
      </c>
      <c r="I617">
        <f t="shared" si="92"/>
        <v>1</v>
      </c>
      <c r="J617">
        <v>70.5</v>
      </c>
      <c r="K617">
        <v>75.3</v>
      </c>
      <c r="L617">
        <v>60.9</v>
      </c>
      <c r="M617">
        <v>70.5</v>
      </c>
      <c r="N617">
        <v>52.3</v>
      </c>
      <c r="O617">
        <v>53.3</v>
      </c>
      <c r="S617">
        <f t="shared" si="93"/>
        <v>1</v>
      </c>
      <c r="T617">
        <f t="shared" si="94"/>
        <v>0</v>
      </c>
      <c r="U617">
        <f t="shared" si="95"/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26.4</v>
      </c>
      <c r="AG617">
        <f t="shared" si="96"/>
        <v>1</v>
      </c>
      <c r="AH617">
        <f t="shared" si="97"/>
        <v>1</v>
      </c>
      <c r="AI617">
        <f t="shared" si="98"/>
        <v>0</v>
      </c>
      <c r="AJ617">
        <v>304</v>
      </c>
      <c r="AK617">
        <v>1015</v>
      </c>
      <c r="AL617">
        <v>30</v>
      </c>
      <c r="AM617">
        <v>6.6</v>
      </c>
      <c r="AN617">
        <v>0</v>
      </c>
      <c r="AO617">
        <v>0</v>
      </c>
      <c r="AP617">
        <v>0</v>
      </c>
      <c r="AQ617">
        <v>0</v>
      </c>
      <c r="AR617" t="s">
        <v>2079</v>
      </c>
      <c r="AS617" t="s">
        <v>2080</v>
      </c>
      <c r="AT617">
        <v>0.39</v>
      </c>
      <c r="AU617" t="s">
        <v>43</v>
      </c>
      <c r="AV617" t="s">
        <v>44</v>
      </c>
      <c r="AW617" t="s">
        <v>45</v>
      </c>
      <c r="AX617" s="1">
        <v>0.65625</v>
      </c>
      <c r="AY617" t="s">
        <v>2081</v>
      </c>
      <c r="AZ617">
        <v>1955.0000000023281</v>
      </c>
      <c r="BA617">
        <v>1</v>
      </c>
      <c r="BB617">
        <v>0</v>
      </c>
      <c r="BC617">
        <v>110</v>
      </c>
      <c r="BD617">
        <v>0</v>
      </c>
      <c r="BE617">
        <f t="shared" si="99"/>
        <v>1</v>
      </c>
    </row>
    <row r="618" spans="1:57" x14ac:dyDescent="0.25">
      <c r="A618" t="s">
        <v>39</v>
      </c>
      <c r="B618" t="s">
        <v>2082</v>
      </c>
      <c r="C618">
        <v>87.9</v>
      </c>
      <c r="D618">
        <v>69.900000000000006</v>
      </c>
      <c r="G618">
        <f t="shared" si="90"/>
        <v>1</v>
      </c>
      <c r="H618">
        <f t="shared" si="91"/>
        <v>1</v>
      </c>
      <c r="I618">
        <f t="shared" si="92"/>
        <v>0</v>
      </c>
      <c r="J618">
        <v>79.2</v>
      </c>
      <c r="K618">
        <v>92.1</v>
      </c>
      <c r="L618">
        <v>69.900000000000006</v>
      </c>
      <c r="M618">
        <v>80.5</v>
      </c>
      <c r="N618">
        <v>60.9</v>
      </c>
      <c r="O618">
        <v>54.4</v>
      </c>
      <c r="S618">
        <f t="shared" si="93"/>
        <v>1</v>
      </c>
      <c r="T618">
        <f t="shared" si="94"/>
        <v>0</v>
      </c>
      <c r="U618">
        <f t="shared" si="95"/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11.4</v>
      </c>
      <c r="AG618">
        <f t="shared" si="96"/>
        <v>1</v>
      </c>
      <c r="AH618">
        <f t="shared" si="97"/>
        <v>0</v>
      </c>
      <c r="AI618">
        <f t="shared" si="98"/>
        <v>1</v>
      </c>
      <c r="AJ618">
        <v>168</v>
      </c>
      <c r="AK618">
        <v>1009.4</v>
      </c>
      <c r="AL618">
        <v>0</v>
      </c>
      <c r="AM618">
        <v>6.2</v>
      </c>
      <c r="AN618">
        <v>0</v>
      </c>
      <c r="AO618">
        <v>0</v>
      </c>
      <c r="AP618">
        <v>0</v>
      </c>
      <c r="AQ618">
        <v>0</v>
      </c>
      <c r="AR618" t="s">
        <v>2083</v>
      </c>
      <c r="AS618" t="s">
        <v>2084</v>
      </c>
      <c r="AT618">
        <v>0.09</v>
      </c>
      <c r="AU618" t="s">
        <v>74</v>
      </c>
      <c r="AV618" t="s">
        <v>44</v>
      </c>
      <c r="AW618" t="s">
        <v>75</v>
      </c>
      <c r="AX618" s="1">
        <v>0.68055555555555558</v>
      </c>
      <c r="AY618" t="s">
        <v>2085</v>
      </c>
      <c r="AZ618">
        <v>2530.0000000011642</v>
      </c>
      <c r="BA618">
        <v>1</v>
      </c>
      <c r="BB618">
        <v>0</v>
      </c>
      <c r="BC618">
        <v>10</v>
      </c>
      <c r="BD618">
        <v>0</v>
      </c>
      <c r="BE618">
        <f t="shared" si="99"/>
        <v>1</v>
      </c>
    </row>
    <row r="619" spans="1:57" x14ac:dyDescent="0.25">
      <c r="A619" t="s">
        <v>39</v>
      </c>
      <c r="B619" t="s">
        <v>2086</v>
      </c>
      <c r="C619">
        <v>66.3</v>
      </c>
      <c r="D619">
        <v>64.5</v>
      </c>
      <c r="G619">
        <f t="shared" si="90"/>
        <v>1</v>
      </c>
      <c r="H619">
        <f t="shared" si="91"/>
        <v>0</v>
      </c>
      <c r="I619">
        <f t="shared" si="92"/>
        <v>1</v>
      </c>
      <c r="J619">
        <v>65.400000000000006</v>
      </c>
      <c r="K619">
        <v>66.3</v>
      </c>
      <c r="L619">
        <v>64.5</v>
      </c>
      <c r="M619">
        <v>65.400000000000006</v>
      </c>
      <c r="N619">
        <v>51.5</v>
      </c>
      <c r="O619">
        <v>60.9</v>
      </c>
      <c r="S619">
        <f t="shared" si="93"/>
        <v>1</v>
      </c>
      <c r="T619">
        <f t="shared" si="94"/>
        <v>0</v>
      </c>
      <c r="U619">
        <f t="shared" si="95"/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21.9</v>
      </c>
      <c r="AG619">
        <f t="shared" si="96"/>
        <v>1</v>
      </c>
      <c r="AH619">
        <f t="shared" si="97"/>
        <v>1</v>
      </c>
      <c r="AI619">
        <f t="shared" si="98"/>
        <v>0</v>
      </c>
      <c r="AJ619">
        <v>329.2</v>
      </c>
      <c r="AK619">
        <v>1016.8</v>
      </c>
      <c r="AL619">
        <v>60.8</v>
      </c>
      <c r="AM619">
        <v>6.8</v>
      </c>
      <c r="AN619">
        <v>0</v>
      </c>
      <c r="AO619">
        <v>0</v>
      </c>
      <c r="AP619">
        <v>0</v>
      </c>
      <c r="AQ619">
        <v>0</v>
      </c>
      <c r="AR619" t="s">
        <v>2087</v>
      </c>
      <c r="AS619" t="s">
        <v>2088</v>
      </c>
      <c r="AT619">
        <v>0.21</v>
      </c>
      <c r="AU619" t="s">
        <v>43</v>
      </c>
      <c r="AV619" t="s">
        <v>44</v>
      </c>
      <c r="AW619" t="s">
        <v>45</v>
      </c>
      <c r="AX619" s="1">
        <v>4.0972222222222222E-2</v>
      </c>
      <c r="AY619" t="s">
        <v>2089</v>
      </c>
      <c r="AZ619">
        <v>105.9999999997672</v>
      </c>
      <c r="BA619">
        <v>0</v>
      </c>
      <c r="BB619">
        <v>0</v>
      </c>
      <c r="BC619">
        <v>0.4</v>
      </c>
      <c r="BD619">
        <v>0</v>
      </c>
      <c r="BE619">
        <f t="shared" si="99"/>
        <v>1</v>
      </c>
    </row>
    <row r="620" spans="1:57" x14ac:dyDescent="0.25">
      <c r="A620" t="s">
        <v>39</v>
      </c>
      <c r="B620" t="s">
        <v>2090</v>
      </c>
      <c r="C620">
        <v>84.3</v>
      </c>
      <c r="D620">
        <v>77.099999999999994</v>
      </c>
      <c r="G620">
        <f t="shared" si="90"/>
        <v>0</v>
      </c>
      <c r="H620">
        <f t="shared" si="91"/>
        <v>0</v>
      </c>
      <c r="I620">
        <f t="shared" si="92"/>
        <v>0</v>
      </c>
      <c r="J620">
        <v>81.599999999999994</v>
      </c>
      <c r="K620">
        <v>92.7</v>
      </c>
      <c r="L620">
        <v>77.099999999999994</v>
      </c>
      <c r="M620">
        <v>84.5</v>
      </c>
      <c r="N620">
        <v>64.7</v>
      </c>
      <c r="O620">
        <v>58.2</v>
      </c>
      <c r="S620">
        <f t="shared" si="93"/>
        <v>1</v>
      </c>
      <c r="T620">
        <f t="shared" si="94"/>
        <v>0</v>
      </c>
      <c r="U620">
        <f t="shared" si="95"/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21.9</v>
      </c>
      <c r="AG620">
        <f t="shared" si="96"/>
        <v>1</v>
      </c>
      <c r="AH620">
        <f t="shared" si="97"/>
        <v>1</v>
      </c>
      <c r="AI620">
        <f t="shared" si="98"/>
        <v>0</v>
      </c>
      <c r="AJ620">
        <v>308.2</v>
      </c>
      <c r="AK620">
        <v>1007.9</v>
      </c>
      <c r="AL620">
        <v>30</v>
      </c>
      <c r="AM620">
        <v>6.3</v>
      </c>
      <c r="AN620">
        <v>0</v>
      </c>
      <c r="AO620">
        <v>0</v>
      </c>
      <c r="AP620">
        <v>0</v>
      </c>
      <c r="AQ620">
        <v>0</v>
      </c>
      <c r="AR620" t="s">
        <v>2091</v>
      </c>
      <c r="AS620" t="s">
        <v>2092</v>
      </c>
      <c r="AT620">
        <v>0</v>
      </c>
      <c r="AU620" t="s">
        <v>43</v>
      </c>
      <c r="AV620" t="s">
        <v>44</v>
      </c>
      <c r="AW620" t="s">
        <v>45</v>
      </c>
      <c r="AX620" s="1">
        <v>0.57916666666666672</v>
      </c>
      <c r="AY620" t="s">
        <v>2093</v>
      </c>
      <c r="AZ620">
        <v>1175.999999998603</v>
      </c>
      <c r="BA620">
        <v>1</v>
      </c>
      <c r="BB620">
        <v>0</v>
      </c>
      <c r="BC620">
        <v>170</v>
      </c>
      <c r="BD620">
        <v>0</v>
      </c>
      <c r="BE620">
        <f t="shared" si="99"/>
        <v>1</v>
      </c>
    </row>
    <row r="621" spans="1:57" x14ac:dyDescent="0.25">
      <c r="A621" t="s">
        <v>39</v>
      </c>
      <c r="B621" t="s">
        <v>2094</v>
      </c>
      <c r="C621">
        <v>78.900000000000006</v>
      </c>
      <c r="D621">
        <v>71.7</v>
      </c>
      <c r="G621">
        <f t="shared" si="90"/>
        <v>0</v>
      </c>
      <c r="H621">
        <f t="shared" si="91"/>
        <v>0</v>
      </c>
      <c r="I621">
        <f t="shared" si="92"/>
        <v>0</v>
      </c>
      <c r="J621">
        <v>74</v>
      </c>
      <c r="K621">
        <v>78.900000000000006</v>
      </c>
      <c r="L621">
        <v>71.7</v>
      </c>
      <c r="M621">
        <v>74</v>
      </c>
      <c r="N621">
        <v>58.4</v>
      </c>
      <c r="O621">
        <v>58.6</v>
      </c>
      <c r="S621">
        <f t="shared" si="93"/>
        <v>1</v>
      </c>
      <c r="T621">
        <f t="shared" si="94"/>
        <v>0</v>
      </c>
      <c r="U621">
        <f t="shared" si="95"/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18.3</v>
      </c>
      <c r="AG621">
        <f t="shared" si="96"/>
        <v>1</v>
      </c>
      <c r="AH621">
        <f t="shared" si="97"/>
        <v>1</v>
      </c>
      <c r="AI621">
        <f t="shared" si="98"/>
        <v>0</v>
      </c>
      <c r="AJ621">
        <v>315</v>
      </c>
      <c r="AK621">
        <v>1017</v>
      </c>
      <c r="AL621">
        <v>32.5</v>
      </c>
      <c r="AM621">
        <v>6.8</v>
      </c>
      <c r="AN621">
        <v>0</v>
      </c>
      <c r="AO621">
        <v>0</v>
      </c>
      <c r="AP621">
        <v>0</v>
      </c>
      <c r="AQ621">
        <v>0</v>
      </c>
      <c r="AR621" t="s">
        <v>2095</v>
      </c>
      <c r="AS621" t="s">
        <v>2096</v>
      </c>
      <c r="AT621">
        <v>0.75</v>
      </c>
      <c r="AU621" t="s">
        <v>43</v>
      </c>
      <c r="AV621" t="s">
        <v>44</v>
      </c>
      <c r="AW621" t="s">
        <v>45</v>
      </c>
      <c r="AX621" s="1">
        <v>0.42638888888888887</v>
      </c>
      <c r="AY621" t="s">
        <v>2097</v>
      </c>
      <c r="AZ621">
        <v>1985.999999998603</v>
      </c>
      <c r="BA621">
        <v>1</v>
      </c>
      <c r="BB621">
        <v>0</v>
      </c>
      <c r="BC621">
        <v>380</v>
      </c>
      <c r="BD621">
        <v>0</v>
      </c>
      <c r="BE621">
        <f t="shared" si="99"/>
        <v>1</v>
      </c>
    </row>
    <row r="622" spans="1:57" x14ac:dyDescent="0.25">
      <c r="A622" t="s">
        <v>39</v>
      </c>
      <c r="B622" t="s">
        <v>2098</v>
      </c>
      <c r="C622">
        <v>84.3</v>
      </c>
      <c r="D622">
        <v>73.5</v>
      </c>
      <c r="G622">
        <f t="shared" si="90"/>
        <v>0</v>
      </c>
      <c r="H622">
        <f t="shared" si="91"/>
        <v>0</v>
      </c>
      <c r="I622">
        <f t="shared" si="92"/>
        <v>0</v>
      </c>
      <c r="J622">
        <v>80.900000000000006</v>
      </c>
      <c r="K622">
        <v>89.8</v>
      </c>
      <c r="L622">
        <v>73.5</v>
      </c>
      <c r="M622">
        <v>82.8</v>
      </c>
      <c r="N622">
        <v>68.099999999999994</v>
      </c>
      <c r="O622">
        <v>66</v>
      </c>
      <c r="S622">
        <f t="shared" si="93"/>
        <v>1</v>
      </c>
      <c r="T622">
        <f t="shared" si="94"/>
        <v>1</v>
      </c>
      <c r="U622">
        <f t="shared" si="95"/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19.5</v>
      </c>
      <c r="AG622">
        <f t="shared" si="96"/>
        <v>1</v>
      </c>
      <c r="AH622">
        <f t="shared" si="97"/>
        <v>1</v>
      </c>
      <c r="AI622">
        <f t="shared" si="98"/>
        <v>0</v>
      </c>
      <c r="AJ622">
        <v>307.8</v>
      </c>
      <c r="AK622">
        <v>1009.3</v>
      </c>
      <c r="AL622">
        <v>30</v>
      </c>
      <c r="AM622">
        <v>6.3</v>
      </c>
      <c r="AN622">
        <v>0</v>
      </c>
      <c r="AO622">
        <v>0</v>
      </c>
      <c r="AP622">
        <v>0</v>
      </c>
      <c r="AQ622">
        <v>0</v>
      </c>
      <c r="AR622" t="s">
        <v>2099</v>
      </c>
      <c r="AS622" t="s">
        <v>2100</v>
      </c>
      <c r="AT622">
        <v>0.02</v>
      </c>
      <c r="AU622" t="s">
        <v>43</v>
      </c>
      <c r="AV622" t="s">
        <v>44</v>
      </c>
      <c r="AW622" t="s">
        <v>45</v>
      </c>
      <c r="AX622" s="1">
        <v>0.62847222222222221</v>
      </c>
      <c r="AY622" t="s">
        <v>2101</v>
      </c>
      <c r="AZ622">
        <v>3295.0000000011642</v>
      </c>
      <c r="BA622">
        <v>1</v>
      </c>
      <c r="BB622">
        <v>0</v>
      </c>
      <c r="BC622">
        <v>300</v>
      </c>
      <c r="BD622">
        <v>0</v>
      </c>
      <c r="BE622">
        <f t="shared" si="99"/>
        <v>1</v>
      </c>
    </row>
    <row r="623" spans="1:57" x14ac:dyDescent="0.25">
      <c r="A623" t="s">
        <v>39</v>
      </c>
      <c r="B623" t="s">
        <v>2090</v>
      </c>
      <c r="C623">
        <v>84.3</v>
      </c>
      <c r="D623">
        <v>77.099999999999994</v>
      </c>
      <c r="G623">
        <f t="shared" si="90"/>
        <v>0</v>
      </c>
      <c r="H623">
        <f t="shared" si="91"/>
        <v>0</v>
      </c>
      <c r="I623">
        <f t="shared" si="92"/>
        <v>0</v>
      </c>
      <c r="J623">
        <v>81.599999999999994</v>
      </c>
      <c r="K623">
        <v>92.7</v>
      </c>
      <c r="L623">
        <v>77.099999999999994</v>
      </c>
      <c r="M623">
        <v>84.5</v>
      </c>
      <c r="N623">
        <v>64.7</v>
      </c>
      <c r="O623">
        <v>58.2</v>
      </c>
      <c r="S623">
        <f t="shared" si="93"/>
        <v>1</v>
      </c>
      <c r="T623">
        <f t="shared" si="94"/>
        <v>0</v>
      </c>
      <c r="U623">
        <f t="shared" si="95"/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21.9</v>
      </c>
      <c r="AG623">
        <f t="shared" si="96"/>
        <v>1</v>
      </c>
      <c r="AH623">
        <f t="shared" si="97"/>
        <v>1</v>
      </c>
      <c r="AI623">
        <f t="shared" si="98"/>
        <v>0</v>
      </c>
      <c r="AJ623">
        <v>308.2</v>
      </c>
      <c r="AK623">
        <v>1007.9</v>
      </c>
      <c r="AL623">
        <v>30</v>
      </c>
      <c r="AM623">
        <v>6.3</v>
      </c>
      <c r="AN623">
        <v>0</v>
      </c>
      <c r="AO623">
        <v>0</v>
      </c>
      <c r="AP623">
        <v>0</v>
      </c>
      <c r="AQ623">
        <v>0</v>
      </c>
      <c r="AR623" t="s">
        <v>2091</v>
      </c>
      <c r="AS623" t="s">
        <v>2092</v>
      </c>
      <c r="AT623">
        <v>0</v>
      </c>
      <c r="AU623" t="s">
        <v>43</v>
      </c>
      <c r="AV623" t="s">
        <v>44</v>
      </c>
      <c r="AW623" t="s">
        <v>45</v>
      </c>
      <c r="AX623" s="1">
        <v>8.2638888888888887E-2</v>
      </c>
      <c r="AY623" t="s">
        <v>2102</v>
      </c>
      <c r="AZ623">
        <v>120.9999999962747</v>
      </c>
      <c r="BA623">
        <v>0</v>
      </c>
      <c r="BB623">
        <v>0</v>
      </c>
      <c r="BC623">
        <v>0.01</v>
      </c>
      <c r="BD623">
        <v>0</v>
      </c>
      <c r="BE623">
        <f t="shared" si="99"/>
        <v>0</v>
      </c>
    </row>
    <row r="624" spans="1:57" x14ac:dyDescent="0.25">
      <c r="A624" t="s">
        <v>39</v>
      </c>
      <c r="B624" t="s">
        <v>2103</v>
      </c>
      <c r="C624">
        <v>86.1</v>
      </c>
      <c r="D624">
        <v>78.900000000000006</v>
      </c>
      <c r="G624">
        <f t="shared" si="90"/>
        <v>1</v>
      </c>
      <c r="H624">
        <f t="shared" si="91"/>
        <v>1</v>
      </c>
      <c r="I624">
        <f t="shared" si="92"/>
        <v>0</v>
      </c>
      <c r="J624">
        <v>83.7</v>
      </c>
      <c r="K624">
        <v>90.8</v>
      </c>
      <c r="L624">
        <v>78.900000000000006</v>
      </c>
      <c r="M624">
        <v>86</v>
      </c>
      <c r="N624">
        <v>66.099999999999994</v>
      </c>
      <c r="O624">
        <v>55.7</v>
      </c>
      <c r="S624">
        <f t="shared" si="93"/>
        <v>1</v>
      </c>
      <c r="T624">
        <f t="shared" si="94"/>
        <v>0</v>
      </c>
      <c r="U624">
        <f t="shared" si="95"/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23</v>
      </c>
      <c r="AG624">
        <f t="shared" si="96"/>
        <v>1</v>
      </c>
      <c r="AH624">
        <f t="shared" si="97"/>
        <v>1</v>
      </c>
      <c r="AI624">
        <f t="shared" si="98"/>
        <v>0</v>
      </c>
      <c r="AJ624">
        <v>310.7</v>
      </c>
      <c r="AK624">
        <v>1010.1</v>
      </c>
      <c r="AL624">
        <v>0</v>
      </c>
      <c r="AM624">
        <v>6.2</v>
      </c>
      <c r="AN624">
        <v>0</v>
      </c>
      <c r="AO624">
        <v>0</v>
      </c>
      <c r="AP624">
        <v>0</v>
      </c>
      <c r="AQ624">
        <v>0</v>
      </c>
      <c r="AR624" t="s">
        <v>2104</v>
      </c>
      <c r="AS624" t="s">
        <v>2105</v>
      </c>
      <c r="AT624">
        <v>0.81</v>
      </c>
      <c r="AU624" t="s">
        <v>74</v>
      </c>
      <c r="AV624" t="s">
        <v>44</v>
      </c>
      <c r="AW624" t="s">
        <v>75</v>
      </c>
      <c r="AX624" s="1">
        <v>0.73888888888888893</v>
      </c>
      <c r="AY624" t="s">
        <v>2106</v>
      </c>
      <c r="AZ624">
        <v>1435.9999999974391</v>
      </c>
      <c r="BA624">
        <v>1</v>
      </c>
      <c r="BB624">
        <v>0</v>
      </c>
      <c r="BC624">
        <v>100</v>
      </c>
      <c r="BD624">
        <v>0</v>
      </c>
      <c r="BE624">
        <f t="shared" si="99"/>
        <v>1</v>
      </c>
    </row>
    <row r="625" spans="1:57" x14ac:dyDescent="0.25">
      <c r="A625" t="s">
        <v>39</v>
      </c>
      <c r="B625" t="s">
        <v>2107</v>
      </c>
      <c r="C625">
        <v>80.7</v>
      </c>
      <c r="D625">
        <v>60.9</v>
      </c>
      <c r="G625">
        <f t="shared" si="90"/>
        <v>1</v>
      </c>
      <c r="H625">
        <f t="shared" si="91"/>
        <v>1</v>
      </c>
      <c r="I625">
        <f t="shared" si="92"/>
        <v>0</v>
      </c>
      <c r="J625">
        <v>72.900000000000006</v>
      </c>
      <c r="K625">
        <v>78.900000000000006</v>
      </c>
      <c r="L625">
        <v>60.9</v>
      </c>
      <c r="M625">
        <v>72.7</v>
      </c>
      <c r="N625">
        <v>28.7</v>
      </c>
      <c r="O625">
        <v>26.9</v>
      </c>
      <c r="S625">
        <f t="shared" si="93"/>
        <v>1</v>
      </c>
      <c r="T625">
        <f t="shared" si="94"/>
        <v>0</v>
      </c>
      <c r="U625">
        <f t="shared" si="95"/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32.200000000000003</v>
      </c>
      <c r="AG625">
        <f t="shared" si="96"/>
        <v>1</v>
      </c>
      <c r="AH625">
        <f t="shared" si="97"/>
        <v>1</v>
      </c>
      <c r="AI625">
        <f t="shared" si="98"/>
        <v>0</v>
      </c>
      <c r="AJ625">
        <v>201.2</v>
      </c>
      <c r="AK625">
        <v>1007.6</v>
      </c>
      <c r="AL625">
        <v>88.7</v>
      </c>
      <c r="AM625">
        <v>6.7</v>
      </c>
      <c r="AN625">
        <v>0</v>
      </c>
      <c r="AO625">
        <v>0</v>
      </c>
      <c r="AP625">
        <v>0</v>
      </c>
      <c r="AQ625">
        <v>0</v>
      </c>
      <c r="AR625" t="s">
        <v>2108</v>
      </c>
      <c r="AS625" t="s">
        <v>2109</v>
      </c>
      <c r="AT625">
        <v>0.46</v>
      </c>
      <c r="AU625" t="s">
        <v>43</v>
      </c>
      <c r="AV625" t="s">
        <v>44</v>
      </c>
      <c r="AW625" t="s">
        <v>419</v>
      </c>
      <c r="AX625" s="1">
        <v>0.57916666666666672</v>
      </c>
      <c r="AY625" t="s">
        <v>2110</v>
      </c>
      <c r="AZ625">
        <v>95.999999998603016</v>
      </c>
      <c r="BA625">
        <v>0</v>
      </c>
      <c r="BB625">
        <v>0</v>
      </c>
      <c r="BC625">
        <v>0.02</v>
      </c>
      <c r="BD625">
        <v>0</v>
      </c>
      <c r="BE625">
        <f t="shared" si="99"/>
        <v>1</v>
      </c>
    </row>
    <row r="626" spans="1:57" x14ac:dyDescent="0.25">
      <c r="A626" t="s">
        <v>39</v>
      </c>
      <c r="B626" t="s">
        <v>2111</v>
      </c>
      <c r="C626">
        <v>60.9</v>
      </c>
      <c r="D626">
        <v>44.7</v>
      </c>
      <c r="G626">
        <f t="shared" si="90"/>
        <v>1</v>
      </c>
      <c r="H626">
        <f t="shared" si="91"/>
        <v>1</v>
      </c>
      <c r="I626">
        <f t="shared" si="92"/>
        <v>0</v>
      </c>
      <c r="J626">
        <v>52.4</v>
      </c>
      <c r="K626">
        <v>60.9</v>
      </c>
      <c r="L626">
        <v>39.299999999999997</v>
      </c>
      <c r="M626">
        <v>50.6</v>
      </c>
      <c r="N626">
        <v>43.8</v>
      </c>
      <c r="O626">
        <v>73.900000000000006</v>
      </c>
      <c r="S626">
        <f t="shared" si="93"/>
        <v>1</v>
      </c>
      <c r="T626">
        <f t="shared" si="94"/>
        <v>1</v>
      </c>
      <c r="U626">
        <f t="shared" si="95"/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11.4</v>
      </c>
      <c r="AG626">
        <f t="shared" si="96"/>
        <v>1</v>
      </c>
      <c r="AH626">
        <f t="shared" si="97"/>
        <v>0</v>
      </c>
      <c r="AI626">
        <f t="shared" si="98"/>
        <v>1</v>
      </c>
      <c r="AJ626">
        <v>182.2</v>
      </c>
      <c r="AK626">
        <v>1014.7</v>
      </c>
      <c r="AL626">
        <v>59.4</v>
      </c>
      <c r="AM626">
        <v>6.6</v>
      </c>
      <c r="AN626">
        <v>0</v>
      </c>
      <c r="AO626">
        <v>0</v>
      </c>
      <c r="AP626">
        <v>0</v>
      </c>
      <c r="AQ626">
        <v>0</v>
      </c>
      <c r="AR626" t="s">
        <v>2112</v>
      </c>
      <c r="AS626" t="s">
        <v>2113</v>
      </c>
      <c r="AT626">
        <v>0.2</v>
      </c>
      <c r="AU626" t="s">
        <v>43</v>
      </c>
      <c r="AV626" t="s">
        <v>44</v>
      </c>
      <c r="AW626" t="s">
        <v>45</v>
      </c>
      <c r="AX626" s="1">
        <v>0.48541666666666672</v>
      </c>
      <c r="AY626" t="s">
        <v>2114</v>
      </c>
      <c r="AZ626">
        <v>110.9999999951106</v>
      </c>
      <c r="BA626">
        <v>0</v>
      </c>
      <c r="BB626">
        <v>0</v>
      </c>
      <c r="BC626">
        <v>1.5</v>
      </c>
      <c r="BD626">
        <v>0</v>
      </c>
      <c r="BE626">
        <f t="shared" si="99"/>
        <v>1</v>
      </c>
    </row>
    <row r="627" spans="1:57" x14ac:dyDescent="0.25">
      <c r="A627" t="s">
        <v>39</v>
      </c>
      <c r="B627" t="s">
        <v>2115</v>
      </c>
      <c r="C627">
        <v>62.7</v>
      </c>
      <c r="D627">
        <v>51.9</v>
      </c>
      <c r="G627">
        <f t="shared" si="90"/>
        <v>0</v>
      </c>
      <c r="H627">
        <f t="shared" si="91"/>
        <v>0</v>
      </c>
      <c r="I627">
        <f t="shared" si="92"/>
        <v>0</v>
      </c>
      <c r="J627">
        <v>58</v>
      </c>
      <c r="K627">
        <v>62.7</v>
      </c>
      <c r="L627">
        <v>51.9</v>
      </c>
      <c r="M627">
        <v>58</v>
      </c>
      <c r="N627">
        <v>47.4</v>
      </c>
      <c r="O627">
        <v>68.7</v>
      </c>
      <c r="S627">
        <f t="shared" si="93"/>
        <v>1</v>
      </c>
      <c r="T627">
        <f t="shared" si="94"/>
        <v>1</v>
      </c>
      <c r="U627">
        <f t="shared" si="95"/>
        <v>0</v>
      </c>
      <c r="V627">
        <v>0.20100000000000001</v>
      </c>
      <c r="W627">
        <v>100</v>
      </c>
      <c r="X627">
        <v>4.17</v>
      </c>
      <c r="Y627" t="s">
        <v>103</v>
      </c>
      <c r="Z627">
        <v>0</v>
      </c>
      <c r="AA627">
        <v>0</v>
      </c>
      <c r="AB627">
        <v>0</v>
      </c>
      <c r="AC627">
        <v>32.200000000000003</v>
      </c>
      <c r="AG627">
        <f t="shared" si="96"/>
        <v>1</v>
      </c>
      <c r="AH627">
        <f t="shared" si="97"/>
        <v>1</v>
      </c>
      <c r="AI627">
        <f t="shared" si="98"/>
        <v>0</v>
      </c>
      <c r="AJ627">
        <v>195.9</v>
      </c>
      <c r="AK627">
        <v>1001.5</v>
      </c>
      <c r="AL627">
        <v>57.5</v>
      </c>
      <c r="AM627">
        <v>6.6</v>
      </c>
      <c r="AN627">
        <v>0</v>
      </c>
      <c r="AO627">
        <v>0</v>
      </c>
      <c r="AP627">
        <v>0</v>
      </c>
      <c r="AQ627">
        <v>0</v>
      </c>
      <c r="AR627" t="s">
        <v>2116</v>
      </c>
      <c r="AS627" t="s">
        <v>2117</v>
      </c>
      <c r="AT627">
        <v>0.25</v>
      </c>
      <c r="AU627" t="s">
        <v>106</v>
      </c>
      <c r="AV627" t="s">
        <v>1180</v>
      </c>
      <c r="AW627" t="s">
        <v>103</v>
      </c>
      <c r="AX627" s="1">
        <v>0.40625</v>
      </c>
      <c r="AY627" t="s">
        <v>2118</v>
      </c>
      <c r="AZ627">
        <v>135</v>
      </c>
      <c r="BA627">
        <v>0</v>
      </c>
      <c r="BB627">
        <v>0</v>
      </c>
      <c r="BC627">
        <v>1</v>
      </c>
      <c r="BD627">
        <v>0</v>
      </c>
      <c r="BE627">
        <f t="shared" si="99"/>
        <v>0</v>
      </c>
    </row>
    <row r="628" spans="1:57" x14ac:dyDescent="0.25">
      <c r="A628" t="s">
        <v>39</v>
      </c>
      <c r="B628" t="s">
        <v>2090</v>
      </c>
      <c r="C628">
        <v>84.3</v>
      </c>
      <c r="D628">
        <v>77.099999999999994</v>
      </c>
      <c r="G628">
        <f t="shared" si="90"/>
        <v>0</v>
      </c>
      <c r="H628">
        <f t="shared" si="91"/>
        <v>0</v>
      </c>
      <c r="I628">
        <f t="shared" si="92"/>
        <v>0</v>
      </c>
      <c r="J628">
        <v>81.599999999999994</v>
      </c>
      <c r="K628">
        <v>92.7</v>
      </c>
      <c r="L628">
        <v>77.099999999999994</v>
      </c>
      <c r="M628">
        <v>84.5</v>
      </c>
      <c r="N628">
        <v>64.7</v>
      </c>
      <c r="O628">
        <v>58.2</v>
      </c>
      <c r="S628">
        <f t="shared" si="93"/>
        <v>1</v>
      </c>
      <c r="T628">
        <f t="shared" si="94"/>
        <v>0</v>
      </c>
      <c r="U628">
        <f t="shared" si="95"/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21.9</v>
      </c>
      <c r="AG628">
        <f t="shared" si="96"/>
        <v>1</v>
      </c>
      <c r="AH628">
        <f t="shared" si="97"/>
        <v>1</v>
      </c>
      <c r="AI628">
        <f t="shared" si="98"/>
        <v>0</v>
      </c>
      <c r="AJ628">
        <v>308.2</v>
      </c>
      <c r="AK628">
        <v>1007.9</v>
      </c>
      <c r="AL628">
        <v>30</v>
      </c>
      <c r="AM628">
        <v>6.3</v>
      </c>
      <c r="AN628">
        <v>0</v>
      </c>
      <c r="AO628">
        <v>0</v>
      </c>
      <c r="AP628">
        <v>0</v>
      </c>
      <c r="AQ628">
        <v>0</v>
      </c>
      <c r="AR628" t="s">
        <v>2091</v>
      </c>
      <c r="AS628" t="s">
        <v>2092</v>
      </c>
      <c r="AT628">
        <v>0</v>
      </c>
      <c r="AU628" t="s">
        <v>43</v>
      </c>
      <c r="AV628" t="s">
        <v>44</v>
      </c>
      <c r="AW628" t="s">
        <v>45</v>
      </c>
      <c r="AX628" s="1">
        <v>0.875</v>
      </c>
      <c r="AY628" t="s">
        <v>2119</v>
      </c>
      <c r="AZ628">
        <v>360</v>
      </c>
      <c r="BA628">
        <v>0</v>
      </c>
      <c r="BB628">
        <v>0</v>
      </c>
      <c r="BC628">
        <v>3</v>
      </c>
      <c r="BD628">
        <v>0</v>
      </c>
      <c r="BE628">
        <f t="shared" si="99"/>
        <v>0</v>
      </c>
    </row>
    <row r="629" spans="1:57" x14ac:dyDescent="0.25">
      <c r="A629" t="s">
        <v>39</v>
      </c>
      <c r="B629" t="s">
        <v>2120</v>
      </c>
      <c r="C629">
        <v>77.099999999999994</v>
      </c>
      <c r="D629">
        <v>62.7</v>
      </c>
      <c r="G629">
        <f t="shared" si="90"/>
        <v>1</v>
      </c>
      <c r="H629">
        <f t="shared" si="91"/>
        <v>1</v>
      </c>
      <c r="I629">
        <f t="shared" si="92"/>
        <v>0</v>
      </c>
      <c r="J629">
        <v>69.599999999999994</v>
      </c>
      <c r="K629">
        <v>77.099999999999994</v>
      </c>
      <c r="L629">
        <v>62.7</v>
      </c>
      <c r="M629">
        <v>69.599999999999994</v>
      </c>
      <c r="N629">
        <v>57.1</v>
      </c>
      <c r="O629">
        <v>65.5</v>
      </c>
      <c r="S629">
        <f t="shared" si="93"/>
        <v>0</v>
      </c>
      <c r="T629">
        <f t="shared" si="94"/>
        <v>0</v>
      </c>
      <c r="U629">
        <f t="shared" si="95"/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11.4</v>
      </c>
      <c r="AG629">
        <f t="shared" si="96"/>
        <v>1</v>
      </c>
      <c r="AH629">
        <f t="shared" si="97"/>
        <v>0</v>
      </c>
      <c r="AI629">
        <f t="shared" si="98"/>
        <v>1</v>
      </c>
      <c r="AJ629">
        <v>156.80000000000001</v>
      </c>
      <c r="AK629">
        <v>1015.8</v>
      </c>
      <c r="AL629">
        <v>30</v>
      </c>
      <c r="AM629">
        <v>6.3</v>
      </c>
      <c r="AN629">
        <v>0</v>
      </c>
      <c r="AO629">
        <v>0</v>
      </c>
      <c r="AP629">
        <v>0</v>
      </c>
      <c r="AQ629">
        <v>0</v>
      </c>
      <c r="AR629" t="s">
        <v>2121</v>
      </c>
      <c r="AS629" t="s">
        <v>2122</v>
      </c>
      <c r="AT629">
        <v>0.44</v>
      </c>
      <c r="AU629" t="s">
        <v>43</v>
      </c>
      <c r="AV629" t="s">
        <v>44</v>
      </c>
      <c r="AW629" t="s">
        <v>45</v>
      </c>
      <c r="AX629" s="1">
        <v>2.013888888888889E-2</v>
      </c>
      <c r="AY629" t="s">
        <v>2123</v>
      </c>
      <c r="AZ629">
        <v>525.99999999627471</v>
      </c>
      <c r="BA629">
        <v>1</v>
      </c>
      <c r="BB629">
        <v>0</v>
      </c>
      <c r="BC629">
        <v>3</v>
      </c>
      <c r="BD629">
        <v>0</v>
      </c>
      <c r="BE629">
        <f t="shared" si="99"/>
        <v>1</v>
      </c>
    </row>
    <row r="630" spans="1:57" x14ac:dyDescent="0.25">
      <c r="A630" t="s">
        <v>39</v>
      </c>
      <c r="B630" t="s">
        <v>2124</v>
      </c>
      <c r="C630">
        <v>82.5</v>
      </c>
      <c r="D630">
        <v>66.3</v>
      </c>
      <c r="G630">
        <f t="shared" si="90"/>
        <v>0</v>
      </c>
      <c r="H630">
        <f t="shared" si="91"/>
        <v>0</v>
      </c>
      <c r="I630">
        <f t="shared" si="92"/>
        <v>0</v>
      </c>
      <c r="J630">
        <v>76.3</v>
      </c>
      <c r="K630">
        <v>83</v>
      </c>
      <c r="L630">
        <v>66.3</v>
      </c>
      <c r="M630">
        <v>76.7</v>
      </c>
      <c r="N630">
        <v>59.9</v>
      </c>
      <c r="O630">
        <v>57.4</v>
      </c>
      <c r="S630">
        <f t="shared" si="93"/>
        <v>1</v>
      </c>
      <c r="T630">
        <f t="shared" si="94"/>
        <v>0</v>
      </c>
      <c r="U630">
        <f t="shared" si="95"/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21.9</v>
      </c>
      <c r="AG630">
        <f t="shared" si="96"/>
        <v>1</v>
      </c>
      <c r="AH630">
        <f t="shared" si="97"/>
        <v>1</v>
      </c>
      <c r="AI630">
        <f t="shared" si="98"/>
        <v>0</v>
      </c>
      <c r="AJ630">
        <v>317</v>
      </c>
      <c r="AK630">
        <v>1010.6</v>
      </c>
      <c r="AL630">
        <v>0</v>
      </c>
      <c r="AM630">
        <v>6.2</v>
      </c>
      <c r="AN630">
        <v>0</v>
      </c>
      <c r="AO630">
        <v>0</v>
      </c>
      <c r="AP630">
        <v>0</v>
      </c>
      <c r="AQ630">
        <v>0</v>
      </c>
      <c r="AR630" t="s">
        <v>2125</v>
      </c>
      <c r="AS630" t="s">
        <v>2126</v>
      </c>
      <c r="AT630">
        <v>0</v>
      </c>
      <c r="AU630" t="s">
        <v>74</v>
      </c>
      <c r="AV630" t="s">
        <v>44</v>
      </c>
      <c r="AW630" t="s">
        <v>75</v>
      </c>
      <c r="AX630" s="1">
        <v>0.59375</v>
      </c>
      <c r="AY630" t="s">
        <v>2127</v>
      </c>
      <c r="AZ630">
        <v>2880</v>
      </c>
      <c r="BA630">
        <v>1</v>
      </c>
      <c r="BB630">
        <v>0</v>
      </c>
      <c r="BC630">
        <v>150</v>
      </c>
      <c r="BD630">
        <v>0</v>
      </c>
      <c r="BE630">
        <f t="shared" si="99"/>
        <v>1</v>
      </c>
    </row>
    <row r="631" spans="1:57" x14ac:dyDescent="0.25">
      <c r="A631" t="s">
        <v>39</v>
      </c>
      <c r="B631" t="s">
        <v>2011</v>
      </c>
      <c r="C631">
        <v>80.7</v>
      </c>
      <c r="D631">
        <v>71.7</v>
      </c>
      <c r="G631">
        <f t="shared" si="90"/>
        <v>1</v>
      </c>
      <c r="H631">
        <f t="shared" si="91"/>
        <v>0</v>
      </c>
      <c r="I631">
        <f t="shared" si="92"/>
        <v>1</v>
      </c>
      <c r="J631">
        <v>77.3</v>
      </c>
      <c r="K631">
        <v>83.4</v>
      </c>
      <c r="L631">
        <v>71.7</v>
      </c>
      <c r="M631">
        <v>78</v>
      </c>
      <c r="N631">
        <v>66.900000000000006</v>
      </c>
      <c r="O631">
        <v>70.599999999999994</v>
      </c>
      <c r="S631">
        <f t="shared" si="93"/>
        <v>1</v>
      </c>
      <c r="T631">
        <f t="shared" si="94"/>
        <v>1</v>
      </c>
      <c r="U631">
        <f t="shared" si="95"/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21.9</v>
      </c>
      <c r="AG631">
        <f t="shared" si="96"/>
        <v>1</v>
      </c>
      <c r="AH631">
        <f t="shared" si="97"/>
        <v>1</v>
      </c>
      <c r="AI631">
        <f t="shared" si="98"/>
        <v>0</v>
      </c>
      <c r="AJ631">
        <v>317.89999999999998</v>
      </c>
      <c r="AK631">
        <v>1008.1</v>
      </c>
      <c r="AL631">
        <v>34.5</v>
      </c>
      <c r="AM631">
        <v>6.8</v>
      </c>
      <c r="AN631">
        <v>0</v>
      </c>
      <c r="AO631">
        <v>0</v>
      </c>
      <c r="AP631">
        <v>0</v>
      </c>
      <c r="AQ631">
        <v>0</v>
      </c>
      <c r="AR631" t="s">
        <v>2012</v>
      </c>
      <c r="AS631" t="s">
        <v>2013</v>
      </c>
      <c r="AT631">
        <v>0.25</v>
      </c>
      <c r="AU631" t="s">
        <v>43</v>
      </c>
      <c r="AV631" t="s">
        <v>44</v>
      </c>
      <c r="AW631" t="s">
        <v>45</v>
      </c>
      <c r="AX631" s="1">
        <v>0.58680555555555558</v>
      </c>
      <c r="AY631" t="s">
        <v>2128</v>
      </c>
      <c r="AZ631">
        <v>1879.9999999988361</v>
      </c>
      <c r="BA631">
        <v>1</v>
      </c>
      <c r="BB631">
        <v>0</v>
      </c>
      <c r="BC631">
        <v>150</v>
      </c>
      <c r="BD631">
        <v>0</v>
      </c>
      <c r="BE631">
        <f t="shared" si="99"/>
        <v>1</v>
      </c>
    </row>
    <row r="632" spans="1:57" x14ac:dyDescent="0.25">
      <c r="A632" t="s">
        <v>39</v>
      </c>
      <c r="B632" t="s">
        <v>2129</v>
      </c>
      <c r="C632">
        <v>64.5</v>
      </c>
      <c r="D632">
        <v>51.9</v>
      </c>
      <c r="G632">
        <f t="shared" si="90"/>
        <v>1</v>
      </c>
      <c r="H632">
        <f t="shared" si="91"/>
        <v>1</v>
      </c>
      <c r="I632">
        <f t="shared" si="92"/>
        <v>0</v>
      </c>
      <c r="J632">
        <v>57.1</v>
      </c>
      <c r="K632">
        <v>64.5</v>
      </c>
      <c r="L632">
        <v>51.9</v>
      </c>
      <c r="M632">
        <v>57.1</v>
      </c>
      <c r="N632">
        <v>47.7</v>
      </c>
      <c r="O632">
        <v>71.5</v>
      </c>
      <c r="S632">
        <f t="shared" si="93"/>
        <v>1</v>
      </c>
      <c r="T632">
        <f t="shared" si="94"/>
        <v>1</v>
      </c>
      <c r="U632">
        <f t="shared" si="95"/>
        <v>0</v>
      </c>
      <c r="V632">
        <v>0.11799999999999999</v>
      </c>
      <c r="W632">
        <v>100</v>
      </c>
      <c r="X632">
        <v>4.17</v>
      </c>
      <c r="Y632" t="s">
        <v>103</v>
      </c>
      <c r="Z632">
        <v>0</v>
      </c>
      <c r="AA632">
        <v>0</v>
      </c>
      <c r="AB632">
        <v>0</v>
      </c>
      <c r="AC632">
        <v>20.8</v>
      </c>
      <c r="AG632">
        <f t="shared" si="96"/>
        <v>1</v>
      </c>
      <c r="AH632">
        <f t="shared" si="97"/>
        <v>1</v>
      </c>
      <c r="AI632">
        <f t="shared" si="98"/>
        <v>0</v>
      </c>
      <c r="AJ632">
        <v>258.5</v>
      </c>
      <c r="AK632">
        <v>1010.6</v>
      </c>
      <c r="AL632">
        <v>47.4</v>
      </c>
      <c r="AM632">
        <v>6.8</v>
      </c>
      <c r="AN632">
        <v>0</v>
      </c>
      <c r="AO632">
        <v>0</v>
      </c>
      <c r="AP632">
        <v>0</v>
      </c>
      <c r="AQ632">
        <v>0</v>
      </c>
      <c r="AR632" t="s">
        <v>2130</v>
      </c>
      <c r="AS632" t="s">
        <v>2131</v>
      </c>
      <c r="AT632">
        <v>0.83</v>
      </c>
      <c r="AU632" t="s">
        <v>106</v>
      </c>
      <c r="AV632" t="s">
        <v>1180</v>
      </c>
      <c r="AW632" t="s">
        <v>103</v>
      </c>
      <c r="AX632" s="1">
        <v>0.66597222222222219</v>
      </c>
      <c r="AY632" t="s">
        <v>2132</v>
      </c>
      <c r="AZ632">
        <v>210.99999999627471</v>
      </c>
      <c r="BA632">
        <v>0</v>
      </c>
      <c r="BB632">
        <v>0</v>
      </c>
      <c r="BC632">
        <v>1</v>
      </c>
      <c r="BD632">
        <v>0</v>
      </c>
      <c r="BE632">
        <f t="shared" si="99"/>
        <v>1</v>
      </c>
    </row>
    <row r="633" spans="1:57" x14ac:dyDescent="0.25">
      <c r="A633" t="s">
        <v>39</v>
      </c>
      <c r="B633" t="s">
        <v>1999</v>
      </c>
      <c r="C633">
        <v>60.9</v>
      </c>
      <c r="D633">
        <v>44.7</v>
      </c>
      <c r="G633">
        <f t="shared" si="90"/>
        <v>0</v>
      </c>
      <c r="H633">
        <f t="shared" si="91"/>
        <v>0</v>
      </c>
      <c r="I633">
        <f t="shared" si="92"/>
        <v>0</v>
      </c>
      <c r="J633">
        <v>53.8</v>
      </c>
      <c r="K633">
        <v>60.9</v>
      </c>
      <c r="L633">
        <v>39.799999999999997</v>
      </c>
      <c r="M633">
        <v>52.2</v>
      </c>
      <c r="N633">
        <v>44.3</v>
      </c>
      <c r="O633">
        <v>71.400000000000006</v>
      </c>
      <c r="S633">
        <f t="shared" si="93"/>
        <v>1</v>
      </c>
      <c r="T633">
        <f t="shared" si="94"/>
        <v>1</v>
      </c>
      <c r="U633">
        <f t="shared" si="95"/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13.9</v>
      </c>
      <c r="AG633">
        <f t="shared" si="96"/>
        <v>1</v>
      </c>
      <c r="AH633">
        <f t="shared" si="97"/>
        <v>0</v>
      </c>
      <c r="AI633">
        <f t="shared" si="98"/>
        <v>1</v>
      </c>
      <c r="AJ633">
        <v>274.5</v>
      </c>
      <c r="AK633">
        <v>1016.2</v>
      </c>
      <c r="AL633">
        <v>50</v>
      </c>
      <c r="AM633">
        <v>6.8</v>
      </c>
      <c r="AN633">
        <v>0</v>
      </c>
      <c r="AO633">
        <v>0</v>
      </c>
      <c r="AP633">
        <v>0</v>
      </c>
      <c r="AQ633">
        <v>0</v>
      </c>
      <c r="AR633" t="s">
        <v>2000</v>
      </c>
      <c r="AS633" t="s">
        <v>2001</v>
      </c>
      <c r="AT633">
        <v>0.15</v>
      </c>
      <c r="AU633" t="s">
        <v>43</v>
      </c>
      <c r="AV633" t="s">
        <v>44</v>
      </c>
      <c r="AW633" t="s">
        <v>45</v>
      </c>
      <c r="AX633" s="1">
        <v>0.69444444444444442</v>
      </c>
      <c r="AY633" t="s">
        <v>2133</v>
      </c>
      <c r="AZ633">
        <v>515.00000000232831</v>
      </c>
      <c r="BA633">
        <v>1</v>
      </c>
      <c r="BB633">
        <v>0</v>
      </c>
      <c r="BC633">
        <v>5</v>
      </c>
      <c r="BD633">
        <v>0</v>
      </c>
      <c r="BE633">
        <f t="shared" si="99"/>
        <v>0</v>
      </c>
    </row>
    <row r="634" spans="1:57" x14ac:dyDescent="0.25">
      <c r="A634" t="s">
        <v>39</v>
      </c>
      <c r="B634" t="s">
        <v>2134</v>
      </c>
      <c r="C634">
        <v>84.3</v>
      </c>
      <c r="D634">
        <v>77.099999999999994</v>
      </c>
      <c r="G634">
        <f t="shared" si="90"/>
        <v>0</v>
      </c>
      <c r="H634">
        <f t="shared" si="91"/>
        <v>0</v>
      </c>
      <c r="I634">
        <f t="shared" si="92"/>
        <v>0</v>
      </c>
      <c r="J634">
        <v>80.400000000000006</v>
      </c>
      <c r="K634">
        <v>85.8</v>
      </c>
      <c r="L634">
        <v>77.099999999999994</v>
      </c>
      <c r="M634">
        <v>80.7</v>
      </c>
      <c r="N634">
        <v>62.9</v>
      </c>
      <c r="O634">
        <v>56</v>
      </c>
      <c r="S634">
        <f t="shared" si="93"/>
        <v>1</v>
      </c>
      <c r="T634">
        <f t="shared" si="94"/>
        <v>0</v>
      </c>
      <c r="U634">
        <f t="shared" si="95"/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19.5</v>
      </c>
      <c r="AG634">
        <f t="shared" si="96"/>
        <v>1</v>
      </c>
      <c r="AH634">
        <f t="shared" si="97"/>
        <v>1</v>
      </c>
      <c r="AI634">
        <f t="shared" si="98"/>
        <v>0</v>
      </c>
      <c r="AJ634">
        <v>306.60000000000002</v>
      </c>
      <c r="AK634">
        <v>1011.7</v>
      </c>
      <c r="AL634">
        <v>0</v>
      </c>
      <c r="AM634">
        <v>6.2</v>
      </c>
      <c r="AN634">
        <v>0</v>
      </c>
      <c r="AO634">
        <v>0</v>
      </c>
      <c r="AP634">
        <v>0</v>
      </c>
      <c r="AQ634">
        <v>0</v>
      </c>
      <c r="AR634" t="s">
        <v>2135</v>
      </c>
      <c r="AS634" t="s">
        <v>2136</v>
      </c>
      <c r="AT634">
        <v>0.69</v>
      </c>
      <c r="AU634" t="s">
        <v>74</v>
      </c>
      <c r="AV634" t="s">
        <v>44</v>
      </c>
      <c r="AW634" t="s">
        <v>75</v>
      </c>
      <c r="AX634" s="1">
        <v>0.56666666666666665</v>
      </c>
      <c r="AY634" t="s">
        <v>2137</v>
      </c>
      <c r="AZ634">
        <v>1914.000000004889</v>
      </c>
      <c r="BA634">
        <v>1</v>
      </c>
      <c r="BB634">
        <v>0</v>
      </c>
      <c r="BC634">
        <v>2</v>
      </c>
      <c r="BD634">
        <v>0</v>
      </c>
      <c r="BE634">
        <f t="shared" si="99"/>
        <v>1</v>
      </c>
    </row>
    <row r="635" spans="1:57" x14ac:dyDescent="0.25">
      <c r="A635" t="s">
        <v>39</v>
      </c>
      <c r="B635" t="s">
        <v>2138</v>
      </c>
      <c r="C635">
        <v>62.7</v>
      </c>
      <c r="D635">
        <v>51.9</v>
      </c>
      <c r="G635">
        <f t="shared" si="90"/>
        <v>1</v>
      </c>
      <c r="H635">
        <f t="shared" si="91"/>
        <v>0</v>
      </c>
      <c r="I635">
        <f t="shared" si="92"/>
        <v>1</v>
      </c>
      <c r="J635">
        <v>58.7</v>
      </c>
      <c r="K635">
        <v>62.7</v>
      </c>
      <c r="L635">
        <v>51.9</v>
      </c>
      <c r="M635">
        <v>58.7</v>
      </c>
      <c r="N635">
        <v>45.6</v>
      </c>
      <c r="O635">
        <v>62.3</v>
      </c>
      <c r="S635">
        <f t="shared" si="93"/>
        <v>1</v>
      </c>
      <c r="T635">
        <f t="shared" si="94"/>
        <v>0</v>
      </c>
      <c r="U635">
        <f t="shared" si="95"/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21.9</v>
      </c>
      <c r="AG635">
        <f t="shared" si="96"/>
        <v>1</v>
      </c>
      <c r="AH635">
        <f t="shared" si="97"/>
        <v>1</v>
      </c>
      <c r="AI635">
        <f t="shared" si="98"/>
        <v>0</v>
      </c>
      <c r="AJ635">
        <v>315.7</v>
      </c>
      <c r="AK635">
        <v>1018.4</v>
      </c>
      <c r="AL635">
        <v>31.8</v>
      </c>
      <c r="AM635">
        <v>6.8</v>
      </c>
      <c r="AN635">
        <v>0</v>
      </c>
      <c r="AO635">
        <v>0</v>
      </c>
      <c r="AP635">
        <v>0</v>
      </c>
      <c r="AQ635">
        <v>0</v>
      </c>
      <c r="AR635" t="s">
        <v>2139</v>
      </c>
      <c r="AS635" t="s">
        <v>2140</v>
      </c>
      <c r="AT635">
        <v>0.39</v>
      </c>
      <c r="AU635" t="s">
        <v>43</v>
      </c>
      <c r="AV635" t="s">
        <v>44</v>
      </c>
      <c r="AW635" t="s">
        <v>45</v>
      </c>
      <c r="AX635" s="1">
        <v>0.53819444444444442</v>
      </c>
      <c r="AY635" t="s">
        <v>2141</v>
      </c>
      <c r="AZ635">
        <v>1270.0000000011639</v>
      </c>
      <c r="BA635">
        <v>1</v>
      </c>
      <c r="BB635">
        <v>0</v>
      </c>
      <c r="BC635">
        <v>25</v>
      </c>
      <c r="BD635">
        <v>0</v>
      </c>
      <c r="BE635">
        <f t="shared" si="99"/>
        <v>1</v>
      </c>
    </row>
    <row r="636" spans="1:57" x14ac:dyDescent="0.25">
      <c r="A636" t="s">
        <v>39</v>
      </c>
      <c r="B636" t="s">
        <v>2054</v>
      </c>
      <c r="C636">
        <v>68.099999999999994</v>
      </c>
      <c r="D636">
        <v>50.1</v>
      </c>
      <c r="G636">
        <f t="shared" si="90"/>
        <v>0</v>
      </c>
      <c r="H636">
        <f t="shared" si="91"/>
        <v>0</v>
      </c>
      <c r="I636">
        <f t="shared" si="92"/>
        <v>0</v>
      </c>
      <c r="J636">
        <v>58.7</v>
      </c>
      <c r="K636">
        <v>68.099999999999994</v>
      </c>
      <c r="L636">
        <v>50.1</v>
      </c>
      <c r="M636">
        <v>58.7</v>
      </c>
      <c r="N636">
        <v>43.7</v>
      </c>
      <c r="O636">
        <v>58.8</v>
      </c>
      <c r="S636">
        <f t="shared" si="93"/>
        <v>1</v>
      </c>
      <c r="T636">
        <f t="shared" si="94"/>
        <v>0</v>
      </c>
      <c r="U636">
        <f t="shared" si="95"/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9.1999999999999993</v>
      </c>
      <c r="AG636">
        <f t="shared" si="96"/>
        <v>1</v>
      </c>
      <c r="AH636">
        <f t="shared" si="97"/>
        <v>0</v>
      </c>
      <c r="AI636">
        <f t="shared" si="98"/>
        <v>1</v>
      </c>
      <c r="AJ636">
        <v>182.5</v>
      </c>
      <c r="AK636">
        <v>1015</v>
      </c>
      <c r="AL636">
        <v>0</v>
      </c>
      <c r="AM636">
        <v>6.2</v>
      </c>
      <c r="AN636">
        <v>0</v>
      </c>
      <c r="AO636">
        <v>0</v>
      </c>
      <c r="AP636">
        <v>0</v>
      </c>
      <c r="AQ636">
        <v>0</v>
      </c>
      <c r="AR636" t="s">
        <v>2055</v>
      </c>
      <c r="AS636" t="s">
        <v>2056</v>
      </c>
      <c r="AT636">
        <v>0.13</v>
      </c>
      <c r="AU636" t="s">
        <v>74</v>
      </c>
      <c r="AV636" t="s">
        <v>44</v>
      </c>
      <c r="AW636" t="s">
        <v>75</v>
      </c>
      <c r="AX636" s="1">
        <v>0.58958333333333335</v>
      </c>
      <c r="AY636" t="s">
        <v>2142</v>
      </c>
      <c r="AZ636">
        <v>1871.0000000009311</v>
      </c>
      <c r="BA636">
        <v>1</v>
      </c>
      <c r="BB636">
        <v>0</v>
      </c>
      <c r="BC636">
        <v>2</v>
      </c>
      <c r="BD636">
        <v>0</v>
      </c>
      <c r="BE636">
        <f t="shared" si="99"/>
        <v>0</v>
      </c>
    </row>
    <row r="637" spans="1:57" x14ac:dyDescent="0.25">
      <c r="A637" t="s">
        <v>39</v>
      </c>
      <c r="B637" t="s">
        <v>2143</v>
      </c>
      <c r="C637">
        <v>60.9</v>
      </c>
      <c r="D637">
        <v>59.1</v>
      </c>
      <c r="G637">
        <f t="shared" si="90"/>
        <v>1</v>
      </c>
      <c r="H637">
        <f t="shared" si="91"/>
        <v>0</v>
      </c>
      <c r="I637">
        <f t="shared" si="92"/>
        <v>1</v>
      </c>
      <c r="J637">
        <v>59.6</v>
      </c>
      <c r="K637">
        <v>60.9</v>
      </c>
      <c r="L637">
        <v>59.1</v>
      </c>
      <c r="M637">
        <v>59.6</v>
      </c>
      <c r="N637">
        <v>50.3</v>
      </c>
      <c r="O637">
        <v>71.2</v>
      </c>
      <c r="S637">
        <f t="shared" si="93"/>
        <v>1</v>
      </c>
      <c r="T637">
        <f t="shared" si="94"/>
        <v>1</v>
      </c>
      <c r="U637">
        <f t="shared" si="95"/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18.3</v>
      </c>
      <c r="AG637">
        <f t="shared" si="96"/>
        <v>1</v>
      </c>
      <c r="AH637">
        <f t="shared" si="97"/>
        <v>1</v>
      </c>
      <c r="AI637">
        <f t="shared" si="98"/>
        <v>0</v>
      </c>
      <c r="AJ637">
        <v>351</v>
      </c>
      <c r="AK637">
        <v>1021.9</v>
      </c>
      <c r="AL637">
        <v>81.7</v>
      </c>
      <c r="AM637">
        <v>6.8</v>
      </c>
      <c r="AN637">
        <v>0</v>
      </c>
      <c r="AO637">
        <v>0</v>
      </c>
      <c r="AP637">
        <v>0</v>
      </c>
      <c r="AQ637">
        <v>0</v>
      </c>
      <c r="AR637" t="s">
        <v>2144</v>
      </c>
      <c r="AS637" t="s">
        <v>2145</v>
      </c>
      <c r="AT637">
        <v>0.34</v>
      </c>
      <c r="AU637" t="s">
        <v>43</v>
      </c>
      <c r="AV637" t="s">
        <v>44</v>
      </c>
      <c r="AW637" t="s">
        <v>45</v>
      </c>
      <c r="AX637" s="1">
        <v>0.7270833333333333</v>
      </c>
      <c r="AY637" t="s">
        <v>2146</v>
      </c>
      <c r="AZ637">
        <v>243.0000000062864</v>
      </c>
      <c r="BA637">
        <v>0</v>
      </c>
      <c r="BB637">
        <v>0</v>
      </c>
      <c r="BC637">
        <v>4</v>
      </c>
      <c r="BD637">
        <v>0</v>
      </c>
      <c r="BE637">
        <f t="shared" si="99"/>
        <v>1</v>
      </c>
    </row>
    <row r="638" spans="1:57" x14ac:dyDescent="0.25">
      <c r="A638" t="s">
        <v>39</v>
      </c>
      <c r="B638" t="s">
        <v>2098</v>
      </c>
      <c r="C638">
        <v>84.3</v>
      </c>
      <c r="D638">
        <v>73.5</v>
      </c>
      <c r="G638">
        <f t="shared" si="90"/>
        <v>0</v>
      </c>
      <c r="H638">
        <f t="shared" si="91"/>
        <v>0</v>
      </c>
      <c r="I638">
        <f t="shared" si="92"/>
        <v>0</v>
      </c>
      <c r="J638">
        <v>80.900000000000006</v>
      </c>
      <c r="K638">
        <v>89.8</v>
      </c>
      <c r="L638">
        <v>73.5</v>
      </c>
      <c r="M638">
        <v>82.8</v>
      </c>
      <c r="N638">
        <v>68.099999999999994</v>
      </c>
      <c r="O638">
        <v>66</v>
      </c>
      <c r="S638">
        <f t="shared" si="93"/>
        <v>1</v>
      </c>
      <c r="T638">
        <f t="shared" si="94"/>
        <v>1</v>
      </c>
      <c r="U638">
        <f t="shared" si="95"/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19.5</v>
      </c>
      <c r="AG638">
        <f t="shared" si="96"/>
        <v>1</v>
      </c>
      <c r="AH638">
        <f t="shared" si="97"/>
        <v>1</v>
      </c>
      <c r="AI638">
        <f t="shared" si="98"/>
        <v>0</v>
      </c>
      <c r="AJ638">
        <v>307.8</v>
      </c>
      <c r="AK638">
        <v>1009.3</v>
      </c>
      <c r="AL638">
        <v>30</v>
      </c>
      <c r="AM638">
        <v>6.3</v>
      </c>
      <c r="AN638">
        <v>0</v>
      </c>
      <c r="AO638">
        <v>0</v>
      </c>
      <c r="AP638">
        <v>0</v>
      </c>
      <c r="AQ638">
        <v>0</v>
      </c>
      <c r="AR638" t="s">
        <v>2099</v>
      </c>
      <c r="AS638" t="s">
        <v>2100</v>
      </c>
      <c r="AT638">
        <v>0.02</v>
      </c>
      <c r="AU638" t="s">
        <v>43</v>
      </c>
      <c r="AV638" t="s">
        <v>44</v>
      </c>
      <c r="AW638" t="s">
        <v>45</v>
      </c>
      <c r="AX638" s="1">
        <v>0.75347222222222221</v>
      </c>
      <c r="AY638" t="s">
        <v>2147</v>
      </c>
      <c r="AZ638">
        <v>925.00000000814907</v>
      </c>
      <c r="BA638">
        <v>1</v>
      </c>
      <c r="BB638">
        <v>0</v>
      </c>
      <c r="BC638">
        <v>2</v>
      </c>
      <c r="BD638">
        <v>0</v>
      </c>
      <c r="BE638">
        <f t="shared" si="99"/>
        <v>1</v>
      </c>
    </row>
    <row r="639" spans="1:57" x14ac:dyDescent="0.25">
      <c r="A639" t="s">
        <v>39</v>
      </c>
      <c r="B639" t="s">
        <v>1987</v>
      </c>
      <c r="C639">
        <v>78.900000000000006</v>
      </c>
      <c r="D639">
        <v>68.099999999999994</v>
      </c>
      <c r="G639">
        <f t="shared" si="90"/>
        <v>0</v>
      </c>
      <c r="H639">
        <f t="shared" si="91"/>
        <v>0</v>
      </c>
      <c r="I639">
        <f t="shared" si="92"/>
        <v>0</v>
      </c>
      <c r="J639">
        <v>74.2</v>
      </c>
      <c r="K639">
        <v>78.900000000000006</v>
      </c>
      <c r="L639">
        <v>68.099999999999994</v>
      </c>
      <c r="M639">
        <v>74.2</v>
      </c>
      <c r="N639">
        <v>64.3</v>
      </c>
      <c r="O639">
        <v>71.5</v>
      </c>
      <c r="S639">
        <f t="shared" si="93"/>
        <v>1</v>
      </c>
      <c r="T639">
        <f t="shared" si="94"/>
        <v>1</v>
      </c>
      <c r="U639">
        <f t="shared" si="95"/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19.5</v>
      </c>
      <c r="AG639">
        <f t="shared" si="96"/>
        <v>1</v>
      </c>
      <c r="AH639">
        <f t="shared" si="97"/>
        <v>1</v>
      </c>
      <c r="AI639">
        <f t="shared" si="98"/>
        <v>0</v>
      </c>
      <c r="AJ639">
        <v>313</v>
      </c>
      <c r="AK639">
        <v>1015.9</v>
      </c>
      <c r="AL639">
        <v>47.5</v>
      </c>
      <c r="AM639">
        <v>6.8</v>
      </c>
      <c r="AN639">
        <v>0</v>
      </c>
      <c r="AO639">
        <v>0</v>
      </c>
      <c r="AP639">
        <v>0</v>
      </c>
      <c r="AQ639">
        <v>0</v>
      </c>
      <c r="AR639" t="s">
        <v>1988</v>
      </c>
      <c r="AS639" t="s">
        <v>1989</v>
      </c>
      <c r="AT639">
        <v>0.59</v>
      </c>
      <c r="AU639" t="s">
        <v>43</v>
      </c>
      <c r="AV639" t="s">
        <v>44</v>
      </c>
      <c r="AW639" t="s">
        <v>45</v>
      </c>
      <c r="AX639" s="1">
        <v>0.31874999999999998</v>
      </c>
      <c r="AY639" t="s">
        <v>2148</v>
      </c>
      <c r="AZ639">
        <v>261.00000000209548</v>
      </c>
      <c r="BA639">
        <v>0</v>
      </c>
      <c r="BB639">
        <v>0</v>
      </c>
      <c r="BC639">
        <v>10</v>
      </c>
      <c r="BD639">
        <v>0</v>
      </c>
      <c r="BE639">
        <f t="shared" si="99"/>
        <v>0</v>
      </c>
    </row>
    <row r="640" spans="1:57" x14ac:dyDescent="0.25">
      <c r="A640" t="s">
        <v>39</v>
      </c>
      <c r="B640" t="s">
        <v>2149</v>
      </c>
      <c r="C640">
        <v>80.7</v>
      </c>
      <c r="D640">
        <v>68.099999999999994</v>
      </c>
      <c r="G640">
        <f t="shared" si="90"/>
        <v>0</v>
      </c>
      <c r="H640">
        <f t="shared" si="91"/>
        <v>0</v>
      </c>
      <c r="I640">
        <f t="shared" si="92"/>
        <v>0</v>
      </c>
      <c r="J640">
        <v>75</v>
      </c>
      <c r="K640">
        <v>82.4</v>
      </c>
      <c r="L640">
        <v>68.099999999999994</v>
      </c>
      <c r="M640">
        <v>75.099999999999994</v>
      </c>
      <c r="N640">
        <v>61.8</v>
      </c>
      <c r="O640">
        <v>63.8</v>
      </c>
      <c r="S640">
        <f t="shared" si="93"/>
        <v>1</v>
      </c>
      <c r="T640">
        <f t="shared" si="94"/>
        <v>0</v>
      </c>
      <c r="U640">
        <f t="shared" si="95"/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13.9</v>
      </c>
      <c r="AG640">
        <f t="shared" si="96"/>
        <v>1</v>
      </c>
      <c r="AH640">
        <f t="shared" si="97"/>
        <v>0</v>
      </c>
      <c r="AI640">
        <f t="shared" si="98"/>
        <v>1</v>
      </c>
      <c r="AJ640">
        <v>322.3</v>
      </c>
      <c r="AK640">
        <v>1013</v>
      </c>
      <c r="AL640">
        <v>0</v>
      </c>
      <c r="AM640">
        <v>6.2</v>
      </c>
      <c r="AN640">
        <v>0</v>
      </c>
      <c r="AO640">
        <v>0</v>
      </c>
      <c r="AP640">
        <v>0</v>
      </c>
      <c r="AQ640">
        <v>0</v>
      </c>
      <c r="AR640" t="s">
        <v>2150</v>
      </c>
      <c r="AS640" t="s">
        <v>2151</v>
      </c>
      <c r="AT640">
        <v>0.52</v>
      </c>
      <c r="AU640" t="s">
        <v>74</v>
      </c>
      <c r="AV640" t="s">
        <v>44</v>
      </c>
      <c r="AW640" t="s">
        <v>75</v>
      </c>
      <c r="AX640" s="1">
        <v>0.54097222222222219</v>
      </c>
      <c r="AY640" t="s">
        <v>2152</v>
      </c>
      <c r="AZ640">
        <v>1170.999999992782</v>
      </c>
      <c r="BA640">
        <v>1</v>
      </c>
      <c r="BB640">
        <v>0</v>
      </c>
      <c r="BC640">
        <v>30</v>
      </c>
      <c r="BD640">
        <v>0</v>
      </c>
      <c r="BE640">
        <f t="shared" si="99"/>
        <v>0</v>
      </c>
    </row>
    <row r="641" spans="1:57" x14ac:dyDescent="0.25">
      <c r="A641" t="s">
        <v>39</v>
      </c>
      <c r="B641" t="s">
        <v>2153</v>
      </c>
      <c r="C641">
        <v>50.1</v>
      </c>
      <c r="D641">
        <v>46.5</v>
      </c>
      <c r="G641">
        <f t="shared" si="90"/>
        <v>1</v>
      </c>
      <c r="H641">
        <f t="shared" si="91"/>
        <v>0</v>
      </c>
      <c r="I641">
        <f t="shared" si="92"/>
        <v>1</v>
      </c>
      <c r="J641">
        <v>49.3</v>
      </c>
      <c r="K641">
        <v>50.1</v>
      </c>
      <c r="L641">
        <v>40.799999999999997</v>
      </c>
      <c r="M641">
        <v>46.6</v>
      </c>
      <c r="N641">
        <v>37.700000000000003</v>
      </c>
      <c r="O641">
        <v>64.599999999999994</v>
      </c>
      <c r="S641">
        <f t="shared" si="93"/>
        <v>1</v>
      </c>
      <c r="T641">
        <f t="shared" si="94"/>
        <v>0</v>
      </c>
      <c r="U641">
        <f t="shared" si="95"/>
        <v>1</v>
      </c>
      <c r="V641">
        <v>5.0999999999999997E-2</v>
      </c>
      <c r="W641">
        <v>100</v>
      </c>
      <c r="X641">
        <v>8.33</v>
      </c>
      <c r="Y641" t="s">
        <v>103</v>
      </c>
      <c r="Z641">
        <v>0</v>
      </c>
      <c r="AA641">
        <v>0</v>
      </c>
      <c r="AB641">
        <v>0</v>
      </c>
      <c r="AC641">
        <v>23</v>
      </c>
      <c r="AG641">
        <f t="shared" si="96"/>
        <v>1</v>
      </c>
      <c r="AH641">
        <f t="shared" si="97"/>
        <v>1</v>
      </c>
      <c r="AI641">
        <f t="shared" si="98"/>
        <v>0</v>
      </c>
      <c r="AJ641">
        <v>328.8</v>
      </c>
      <c r="AK641">
        <v>1018.4</v>
      </c>
      <c r="AL641">
        <v>90</v>
      </c>
      <c r="AM641">
        <v>6.8</v>
      </c>
      <c r="AN641">
        <v>0</v>
      </c>
      <c r="AO641">
        <v>0</v>
      </c>
      <c r="AP641">
        <v>0</v>
      </c>
      <c r="AQ641">
        <v>0</v>
      </c>
      <c r="AR641" t="s">
        <v>2154</v>
      </c>
      <c r="AS641" t="s">
        <v>2155</v>
      </c>
      <c r="AT641">
        <v>0.43</v>
      </c>
      <c r="AU641" t="s">
        <v>106</v>
      </c>
      <c r="AV641" t="s">
        <v>257</v>
      </c>
      <c r="AW641" t="s">
        <v>103</v>
      </c>
      <c r="AX641" s="1">
        <v>0.59027777777777779</v>
      </c>
      <c r="AY641" t="s">
        <v>2156</v>
      </c>
      <c r="AZ641">
        <v>124.9999999988358</v>
      </c>
      <c r="BA641">
        <v>0</v>
      </c>
      <c r="BB641">
        <v>0</v>
      </c>
      <c r="BC641">
        <v>0.5</v>
      </c>
      <c r="BD641">
        <v>0</v>
      </c>
      <c r="BE641">
        <f t="shared" si="99"/>
        <v>1</v>
      </c>
    </row>
    <row r="642" spans="1:57" x14ac:dyDescent="0.25">
      <c r="A642" t="s">
        <v>39</v>
      </c>
      <c r="B642" t="s">
        <v>2157</v>
      </c>
      <c r="C642">
        <v>64.5</v>
      </c>
      <c r="D642">
        <v>51.9</v>
      </c>
      <c r="G642">
        <f t="shared" si="90"/>
        <v>1</v>
      </c>
      <c r="H642">
        <f t="shared" si="91"/>
        <v>1</v>
      </c>
      <c r="I642">
        <f t="shared" si="92"/>
        <v>0</v>
      </c>
      <c r="J642">
        <v>59</v>
      </c>
      <c r="K642">
        <v>64.5</v>
      </c>
      <c r="L642">
        <v>51.9</v>
      </c>
      <c r="M642">
        <v>59</v>
      </c>
      <c r="N642">
        <v>49.7</v>
      </c>
      <c r="O642">
        <v>72.400000000000006</v>
      </c>
      <c r="S642">
        <f t="shared" si="93"/>
        <v>1</v>
      </c>
      <c r="T642">
        <f t="shared" si="94"/>
        <v>1</v>
      </c>
      <c r="U642">
        <f t="shared" si="95"/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15</v>
      </c>
      <c r="AG642">
        <f t="shared" si="96"/>
        <v>1</v>
      </c>
      <c r="AH642">
        <f t="shared" si="97"/>
        <v>0</v>
      </c>
      <c r="AI642">
        <f t="shared" si="98"/>
        <v>1</v>
      </c>
      <c r="AJ642">
        <v>306.60000000000002</v>
      </c>
      <c r="AK642">
        <v>1016.8</v>
      </c>
      <c r="AL642">
        <v>31</v>
      </c>
      <c r="AM642">
        <v>6.7</v>
      </c>
      <c r="AN642">
        <v>0</v>
      </c>
      <c r="AO642">
        <v>0</v>
      </c>
      <c r="AP642">
        <v>0</v>
      </c>
      <c r="AQ642">
        <v>0</v>
      </c>
      <c r="AR642" t="s">
        <v>2158</v>
      </c>
      <c r="AS642" t="s">
        <v>2159</v>
      </c>
      <c r="AT642">
        <v>0.06</v>
      </c>
      <c r="AU642" t="s">
        <v>43</v>
      </c>
      <c r="AV642" t="s">
        <v>44</v>
      </c>
      <c r="AW642" t="s">
        <v>45</v>
      </c>
      <c r="AX642" s="1">
        <v>0.64166666666666672</v>
      </c>
      <c r="AY642" t="s">
        <v>2160</v>
      </c>
      <c r="AZ642">
        <v>2435.999999998603</v>
      </c>
      <c r="BA642">
        <v>1</v>
      </c>
      <c r="BB642">
        <v>0</v>
      </c>
      <c r="BC642">
        <v>25</v>
      </c>
      <c r="BD642">
        <v>0</v>
      </c>
      <c r="BE642">
        <f t="shared" si="99"/>
        <v>1</v>
      </c>
    </row>
    <row r="643" spans="1:57" x14ac:dyDescent="0.25">
      <c r="A643" t="s">
        <v>39</v>
      </c>
      <c r="B643" t="s">
        <v>2161</v>
      </c>
      <c r="C643">
        <v>86.1</v>
      </c>
      <c r="D643">
        <v>78.900000000000006</v>
      </c>
      <c r="G643">
        <f t="shared" ref="G643:G706" si="100">IF(ABS(C643-INDEX($F$2:$F$13,MONTH(B643)))&gt;1.8,1,0)</f>
        <v>1</v>
      </c>
      <c r="H643">
        <f t="shared" ref="H643:H706" si="101">IF(C643&gt;=INDEX($F$2:$F$13,MONTH(B643))+1.8,1,0)</f>
        <v>1</v>
      </c>
      <c r="I643">
        <f t="shared" ref="I643:I706" si="102">IF(C643&lt;=INDEX($F$2:$F$13,MONTH(B643))-1.8,1,0)</f>
        <v>0</v>
      </c>
      <c r="J643">
        <v>82.9</v>
      </c>
      <c r="K643">
        <v>89.6</v>
      </c>
      <c r="L643">
        <v>78.900000000000006</v>
      </c>
      <c r="M643">
        <v>84.3</v>
      </c>
      <c r="N643">
        <v>64</v>
      </c>
      <c r="O643">
        <v>53.2</v>
      </c>
      <c r="S643">
        <f t="shared" ref="S643:S706" si="103">IF(OR(O643&lt;INDEX($Q$2:$Q$13,MONTH(B643)),O643&gt;INDEX($R$2:$R$13,MONTH(B643))),1,0)</f>
        <v>1</v>
      </c>
      <c r="T643">
        <f t="shared" ref="T643:T706" si="104">IF(O643&gt;INDEX($R$2:$R$13,MONTH(B643)),1,0)</f>
        <v>0</v>
      </c>
      <c r="U643">
        <f t="shared" ref="U643:U706" si="105">IF(O643&lt;INDEX($Q$2:$Q$13,MONTH(B643)),1,0)</f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19.5</v>
      </c>
      <c r="AG643">
        <f t="shared" ref="AG643:AG706" si="106">IF(OR(AC643&lt;INDEX($AE$2:$AE$13,MONTH(B643)),AC643&gt;INDEX($AF$2:$AF$13,MONTH(B643))),1,0)</f>
        <v>1</v>
      </c>
      <c r="AH643">
        <f t="shared" ref="AH643:AH706" si="107">IF(AC643&gt;INDEX($AF$2:$AF$13,MONTH(B643)),1,0)</f>
        <v>1</v>
      </c>
      <c r="AI643">
        <f t="shared" ref="AI643:AI706" si="108">IF(AC643&lt;INDEX($AE$2:$AE$13,MONTH(B643)),1,0)</f>
        <v>0</v>
      </c>
      <c r="AJ643">
        <v>306.39999999999998</v>
      </c>
      <c r="AK643">
        <v>1008.6</v>
      </c>
      <c r="AL643">
        <v>0</v>
      </c>
      <c r="AM643">
        <v>6.2</v>
      </c>
      <c r="AN643">
        <v>0</v>
      </c>
      <c r="AO643">
        <v>0</v>
      </c>
      <c r="AP643">
        <v>0</v>
      </c>
      <c r="AQ643">
        <v>0</v>
      </c>
      <c r="AR643" t="s">
        <v>2162</v>
      </c>
      <c r="AS643" t="s">
        <v>2163</v>
      </c>
      <c r="AT643">
        <v>0.78</v>
      </c>
      <c r="AU643" t="s">
        <v>74</v>
      </c>
      <c r="AV643" t="s">
        <v>44</v>
      </c>
      <c r="AW643" t="s">
        <v>75</v>
      </c>
      <c r="AX643" s="1">
        <v>0.81527777777777777</v>
      </c>
      <c r="AY643" t="s">
        <v>2164</v>
      </c>
      <c r="AZ643">
        <v>1016.000000000931</v>
      </c>
      <c r="BA643">
        <v>1</v>
      </c>
      <c r="BB643">
        <v>0</v>
      </c>
      <c r="BC643">
        <v>30</v>
      </c>
      <c r="BD643">
        <v>0</v>
      </c>
      <c r="BE643">
        <f t="shared" ref="BE643:BE706" si="109">IF((3*AH643+3*H643+2*U643+2*BA643-(2*(1-T643)+2*(1-I643)+2*(1-AI643)))&gt;=1,1,0)</f>
        <v>1</v>
      </c>
    </row>
    <row r="644" spans="1:57" x14ac:dyDescent="0.25">
      <c r="A644" t="s">
        <v>39</v>
      </c>
      <c r="B644" t="s">
        <v>2165</v>
      </c>
      <c r="C644">
        <v>64.5</v>
      </c>
      <c r="D644">
        <v>51.9</v>
      </c>
      <c r="G644">
        <f t="shared" si="100"/>
        <v>1</v>
      </c>
      <c r="H644">
        <f t="shared" si="101"/>
        <v>1</v>
      </c>
      <c r="I644">
        <f t="shared" si="102"/>
        <v>0</v>
      </c>
      <c r="J644">
        <v>59.3</v>
      </c>
      <c r="K644">
        <v>64.5</v>
      </c>
      <c r="L644">
        <v>51.9</v>
      </c>
      <c r="M644">
        <v>59.3</v>
      </c>
      <c r="N644">
        <v>42.2</v>
      </c>
      <c r="O644">
        <v>53.7</v>
      </c>
      <c r="S644">
        <f t="shared" si="103"/>
        <v>1</v>
      </c>
      <c r="T644">
        <f t="shared" si="104"/>
        <v>0</v>
      </c>
      <c r="U644">
        <f t="shared" si="105"/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26.4</v>
      </c>
      <c r="AG644">
        <f t="shared" si="106"/>
        <v>1</v>
      </c>
      <c r="AH644">
        <f t="shared" si="107"/>
        <v>1</v>
      </c>
      <c r="AI644">
        <f t="shared" si="108"/>
        <v>0</v>
      </c>
      <c r="AJ644">
        <v>200.6</v>
      </c>
      <c r="AK644">
        <v>1013.2</v>
      </c>
      <c r="AL644">
        <v>48.3</v>
      </c>
      <c r="AM644">
        <v>6.8</v>
      </c>
      <c r="AN644">
        <v>0</v>
      </c>
      <c r="AO644">
        <v>0</v>
      </c>
      <c r="AP644">
        <v>0</v>
      </c>
      <c r="AQ644">
        <v>0</v>
      </c>
      <c r="AR644" t="s">
        <v>2166</v>
      </c>
      <c r="AS644" t="s">
        <v>2167</v>
      </c>
      <c r="AT644">
        <v>0.4</v>
      </c>
      <c r="AU644" t="s">
        <v>43</v>
      </c>
      <c r="AV644" t="s">
        <v>80</v>
      </c>
      <c r="AW644" t="s">
        <v>45</v>
      </c>
      <c r="AX644" s="1">
        <v>0.54166666666666663</v>
      </c>
      <c r="AY644" t="s">
        <v>2168</v>
      </c>
      <c r="AZ644">
        <v>79.999999998835847</v>
      </c>
      <c r="BA644">
        <v>0</v>
      </c>
      <c r="BB644">
        <v>0</v>
      </c>
      <c r="BC644">
        <v>1</v>
      </c>
      <c r="BD644">
        <v>0</v>
      </c>
      <c r="BE644">
        <f t="shared" si="109"/>
        <v>1</v>
      </c>
    </row>
    <row r="645" spans="1:57" x14ac:dyDescent="0.25">
      <c r="A645" t="s">
        <v>39</v>
      </c>
      <c r="B645" t="s">
        <v>2169</v>
      </c>
      <c r="C645">
        <v>82.5</v>
      </c>
      <c r="D645">
        <v>69.900000000000006</v>
      </c>
      <c r="G645">
        <f t="shared" si="100"/>
        <v>0</v>
      </c>
      <c r="H645">
        <f t="shared" si="101"/>
        <v>0</v>
      </c>
      <c r="I645">
        <f t="shared" si="102"/>
        <v>0</v>
      </c>
      <c r="J645">
        <v>78.5</v>
      </c>
      <c r="K645">
        <v>84.8</v>
      </c>
      <c r="L645">
        <v>69.900000000000006</v>
      </c>
      <c r="M645">
        <v>78.900000000000006</v>
      </c>
      <c r="N645">
        <v>60</v>
      </c>
      <c r="O645">
        <v>54</v>
      </c>
      <c r="S645">
        <f t="shared" si="103"/>
        <v>1</v>
      </c>
      <c r="T645">
        <f t="shared" si="104"/>
        <v>0</v>
      </c>
      <c r="U645">
        <f t="shared" si="105"/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23</v>
      </c>
      <c r="AG645">
        <f t="shared" si="106"/>
        <v>1</v>
      </c>
      <c r="AH645">
        <f t="shared" si="107"/>
        <v>1</v>
      </c>
      <c r="AI645">
        <f t="shared" si="108"/>
        <v>0</v>
      </c>
      <c r="AJ645">
        <v>302</v>
      </c>
      <c r="AK645">
        <v>1007.1</v>
      </c>
      <c r="AL645">
        <v>0</v>
      </c>
      <c r="AM645">
        <v>6.2</v>
      </c>
      <c r="AN645">
        <v>0</v>
      </c>
      <c r="AO645">
        <v>0</v>
      </c>
      <c r="AP645">
        <v>0</v>
      </c>
      <c r="AQ645">
        <v>0</v>
      </c>
      <c r="AR645" t="s">
        <v>2170</v>
      </c>
      <c r="AS645" t="s">
        <v>2171</v>
      </c>
      <c r="AT645">
        <v>0.1</v>
      </c>
      <c r="AU645" t="s">
        <v>74</v>
      </c>
      <c r="AV645" t="s">
        <v>44</v>
      </c>
      <c r="AW645" t="s">
        <v>75</v>
      </c>
      <c r="AX645" s="1">
        <v>0.76388888888888884</v>
      </c>
      <c r="AY645" t="s">
        <v>2172</v>
      </c>
      <c r="AZ645">
        <v>270</v>
      </c>
      <c r="BA645">
        <v>0</v>
      </c>
      <c r="BB645">
        <v>0</v>
      </c>
      <c r="BC645">
        <v>7</v>
      </c>
      <c r="BD645">
        <v>0</v>
      </c>
      <c r="BE645">
        <f t="shared" si="109"/>
        <v>0</v>
      </c>
    </row>
    <row r="646" spans="1:57" x14ac:dyDescent="0.25">
      <c r="A646" t="s">
        <v>39</v>
      </c>
      <c r="B646" t="s">
        <v>2173</v>
      </c>
      <c r="C646">
        <v>78.900000000000006</v>
      </c>
      <c r="D646">
        <v>66.3</v>
      </c>
      <c r="G646">
        <f t="shared" si="100"/>
        <v>0</v>
      </c>
      <c r="H646">
        <f t="shared" si="101"/>
        <v>0</v>
      </c>
      <c r="I646">
        <f t="shared" si="102"/>
        <v>0</v>
      </c>
      <c r="J646">
        <v>72.099999999999994</v>
      </c>
      <c r="K646">
        <v>78.900000000000006</v>
      </c>
      <c r="L646">
        <v>66.3</v>
      </c>
      <c r="M646">
        <v>72.099999999999994</v>
      </c>
      <c r="N646">
        <v>62.9</v>
      </c>
      <c r="O646">
        <v>73.099999999999994</v>
      </c>
      <c r="S646">
        <f t="shared" si="103"/>
        <v>1</v>
      </c>
      <c r="T646">
        <f t="shared" si="104"/>
        <v>1</v>
      </c>
      <c r="U646">
        <f t="shared" si="105"/>
        <v>0</v>
      </c>
      <c r="V646">
        <v>7.9000000000000001E-2</v>
      </c>
      <c r="W646">
        <v>100</v>
      </c>
      <c r="X646">
        <v>4.17</v>
      </c>
      <c r="Y646" t="s">
        <v>103</v>
      </c>
      <c r="Z646">
        <v>0</v>
      </c>
      <c r="AA646">
        <v>0</v>
      </c>
      <c r="AB646">
        <v>0</v>
      </c>
      <c r="AC646">
        <v>12.8</v>
      </c>
      <c r="AG646">
        <f t="shared" si="106"/>
        <v>1</v>
      </c>
      <c r="AH646">
        <f t="shared" si="107"/>
        <v>0</v>
      </c>
      <c r="AI646">
        <f t="shared" si="108"/>
        <v>1</v>
      </c>
      <c r="AJ646">
        <v>317.10000000000002</v>
      </c>
      <c r="AK646">
        <v>1012.9</v>
      </c>
      <c r="AL646">
        <v>36.1</v>
      </c>
      <c r="AM646">
        <v>6.8</v>
      </c>
      <c r="AN646">
        <v>0</v>
      </c>
      <c r="AO646">
        <v>0</v>
      </c>
      <c r="AP646">
        <v>0</v>
      </c>
      <c r="AQ646">
        <v>0</v>
      </c>
      <c r="AR646" t="s">
        <v>2174</v>
      </c>
      <c r="AS646" t="s">
        <v>2175</v>
      </c>
      <c r="AT646">
        <v>0.96</v>
      </c>
      <c r="AU646" t="s">
        <v>106</v>
      </c>
      <c r="AV646" t="s">
        <v>2176</v>
      </c>
      <c r="AW646" t="s">
        <v>103</v>
      </c>
      <c r="AX646" s="1">
        <v>0.71805555555555556</v>
      </c>
      <c r="AY646" t="s">
        <v>2177</v>
      </c>
      <c r="AZ646">
        <v>136.0000000032596</v>
      </c>
      <c r="BA646">
        <v>0</v>
      </c>
      <c r="BB646">
        <v>0</v>
      </c>
      <c r="BC646">
        <v>7</v>
      </c>
      <c r="BD646">
        <v>0</v>
      </c>
      <c r="BE646">
        <f t="shared" si="109"/>
        <v>0</v>
      </c>
    </row>
    <row r="647" spans="1:57" x14ac:dyDescent="0.25">
      <c r="A647" t="s">
        <v>39</v>
      </c>
      <c r="B647" t="s">
        <v>1971</v>
      </c>
      <c r="C647">
        <v>78.900000000000006</v>
      </c>
      <c r="D647">
        <v>66.3</v>
      </c>
      <c r="G647">
        <f t="shared" si="100"/>
        <v>0</v>
      </c>
      <c r="H647">
        <f t="shared" si="101"/>
        <v>0</v>
      </c>
      <c r="I647">
        <f t="shared" si="102"/>
        <v>0</v>
      </c>
      <c r="J647">
        <v>73.099999999999994</v>
      </c>
      <c r="K647">
        <v>78.900000000000006</v>
      </c>
      <c r="L647">
        <v>66.3</v>
      </c>
      <c r="M647">
        <v>73.099999999999994</v>
      </c>
      <c r="N647">
        <v>62.1</v>
      </c>
      <c r="O647">
        <v>68.900000000000006</v>
      </c>
      <c r="S647">
        <f t="shared" si="103"/>
        <v>1</v>
      </c>
      <c r="T647">
        <f t="shared" si="104"/>
        <v>1</v>
      </c>
      <c r="U647">
        <f t="shared" si="105"/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13.9</v>
      </c>
      <c r="AG647">
        <f t="shared" si="106"/>
        <v>1</v>
      </c>
      <c r="AH647">
        <f t="shared" si="107"/>
        <v>0</v>
      </c>
      <c r="AI647">
        <f t="shared" si="108"/>
        <v>1</v>
      </c>
      <c r="AJ647">
        <v>111</v>
      </c>
      <c r="AK647">
        <v>1014.8</v>
      </c>
      <c r="AL647">
        <v>43.8</v>
      </c>
      <c r="AM647">
        <v>6.5</v>
      </c>
      <c r="AN647">
        <v>0</v>
      </c>
      <c r="AO647">
        <v>0</v>
      </c>
      <c r="AP647">
        <v>0</v>
      </c>
      <c r="AQ647">
        <v>0</v>
      </c>
      <c r="AR647" t="s">
        <v>1972</v>
      </c>
      <c r="AS647" t="s">
        <v>1973</v>
      </c>
      <c r="AT647">
        <v>0.83</v>
      </c>
      <c r="AU647" t="s">
        <v>43</v>
      </c>
      <c r="AV647" t="s">
        <v>44</v>
      </c>
      <c r="AW647" t="s">
        <v>45</v>
      </c>
      <c r="AX647" s="1">
        <v>0.57986111111111116</v>
      </c>
      <c r="AY647" t="s">
        <v>2178</v>
      </c>
      <c r="AZ647">
        <v>320.00000000582082</v>
      </c>
      <c r="BA647">
        <v>0</v>
      </c>
      <c r="BB647">
        <v>0</v>
      </c>
      <c r="BC647">
        <v>20</v>
      </c>
      <c r="BD647">
        <v>0</v>
      </c>
      <c r="BE647">
        <f t="shared" si="109"/>
        <v>0</v>
      </c>
    </row>
    <row r="648" spans="1:57" x14ac:dyDescent="0.25">
      <c r="A648" t="s">
        <v>39</v>
      </c>
      <c r="B648" t="s">
        <v>2179</v>
      </c>
      <c r="C648">
        <v>57.3</v>
      </c>
      <c r="D648">
        <v>50.1</v>
      </c>
      <c r="G648">
        <f t="shared" si="100"/>
        <v>1</v>
      </c>
      <c r="H648">
        <f t="shared" si="101"/>
        <v>0</v>
      </c>
      <c r="I648">
        <f t="shared" si="102"/>
        <v>1</v>
      </c>
      <c r="J648">
        <v>53.8</v>
      </c>
      <c r="K648">
        <v>57.3</v>
      </c>
      <c r="L648">
        <v>50.1</v>
      </c>
      <c r="M648">
        <v>53.8</v>
      </c>
      <c r="N648">
        <v>43.1</v>
      </c>
      <c r="O648">
        <v>67.5</v>
      </c>
      <c r="S648">
        <f t="shared" si="103"/>
        <v>0</v>
      </c>
      <c r="T648">
        <f t="shared" si="104"/>
        <v>0</v>
      </c>
      <c r="U648">
        <f t="shared" si="105"/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11.4</v>
      </c>
      <c r="AG648">
        <f t="shared" si="106"/>
        <v>1</v>
      </c>
      <c r="AH648">
        <f t="shared" si="107"/>
        <v>0</v>
      </c>
      <c r="AI648">
        <f t="shared" si="108"/>
        <v>1</v>
      </c>
      <c r="AJ648">
        <v>4.4000000000000004</v>
      </c>
      <c r="AK648">
        <v>1019.2</v>
      </c>
      <c r="AL648">
        <v>90</v>
      </c>
      <c r="AM648">
        <v>6.8</v>
      </c>
      <c r="AN648">
        <v>0</v>
      </c>
      <c r="AO648">
        <v>0</v>
      </c>
      <c r="AP648">
        <v>0</v>
      </c>
      <c r="AQ648">
        <v>0</v>
      </c>
      <c r="AR648" t="s">
        <v>2180</v>
      </c>
      <c r="AS648" t="s">
        <v>2181</v>
      </c>
      <c r="AT648">
        <v>0.17</v>
      </c>
      <c r="AU648" t="s">
        <v>43</v>
      </c>
      <c r="AV648" t="s">
        <v>44</v>
      </c>
      <c r="AW648" t="s">
        <v>45</v>
      </c>
      <c r="AX648" s="1">
        <v>0.71875</v>
      </c>
      <c r="AY648" t="s">
        <v>2182</v>
      </c>
      <c r="AZ648">
        <v>75.00000000349246</v>
      </c>
      <c r="BA648">
        <v>0</v>
      </c>
      <c r="BB648">
        <v>0</v>
      </c>
      <c r="BC648">
        <v>1</v>
      </c>
      <c r="BD648">
        <v>0</v>
      </c>
      <c r="BE648">
        <f t="shared" si="109"/>
        <v>0</v>
      </c>
    </row>
    <row r="649" spans="1:57" x14ac:dyDescent="0.25">
      <c r="A649" t="s">
        <v>39</v>
      </c>
      <c r="B649" t="s">
        <v>2183</v>
      </c>
      <c r="C649">
        <v>77.099999999999994</v>
      </c>
      <c r="D649">
        <v>71.7</v>
      </c>
      <c r="G649">
        <f t="shared" si="100"/>
        <v>1</v>
      </c>
      <c r="H649">
        <f t="shared" si="101"/>
        <v>0</v>
      </c>
      <c r="I649">
        <f t="shared" si="102"/>
        <v>1</v>
      </c>
      <c r="J649">
        <v>73.8</v>
      </c>
      <c r="K649">
        <v>77.099999999999994</v>
      </c>
      <c r="L649">
        <v>71.7</v>
      </c>
      <c r="M649">
        <v>73.8</v>
      </c>
      <c r="N649">
        <v>62</v>
      </c>
      <c r="O649">
        <v>66.8</v>
      </c>
      <c r="S649">
        <f t="shared" si="103"/>
        <v>0</v>
      </c>
      <c r="T649">
        <f t="shared" si="104"/>
        <v>0</v>
      </c>
      <c r="U649">
        <f t="shared" si="105"/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20.8</v>
      </c>
      <c r="AG649">
        <f t="shared" si="106"/>
        <v>1</v>
      </c>
      <c r="AH649">
        <f t="shared" si="107"/>
        <v>1</v>
      </c>
      <c r="AI649">
        <f t="shared" si="108"/>
        <v>0</v>
      </c>
      <c r="AJ649">
        <v>318</v>
      </c>
      <c r="AK649">
        <v>1018.6</v>
      </c>
      <c r="AL649">
        <v>75.2</v>
      </c>
      <c r="AM649">
        <v>6.8</v>
      </c>
      <c r="AN649">
        <v>0</v>
      </c>
      <c r="AO649">
        <v>0</v>
      </c>
      <c r="AP649">
        <v>0</v>
      </c>
      <c r="AQ649">
        <v>0</v>
      </c>
      <c r="AR649" t="s">
        <v>2184</v>
      </c>
      <c r="AS649" t="s">
        <v>2185</v>
      </c>
      <c r="AT649">
        <v>0.62</v>
      </c>
      <c r="AU649" t="s">
        <v>43</v>
      </c>
      <c r="AV649" t="s">
        <v>44</v>
      </c>
      <c r="AW649" t="s">
        <v>45</v>
      </c>
      <c r="AX649" s="1">
        <v>0.88541666666666663</v>
      </c>
      <c r="AY649" t="s">
        <v>2186</v>
      </c>
      <c r="AZ649">
        <v>715.00000000465661</v>
      </c>
      <c r="BA649">
        <v>1</v>
      </c>
      <c r="BB649">
        <v>0</v>
      </c>
      <c r="BC649">
        <v>100</v>
      </c>
      <c r="BD649">
        <v>0</v>
      </c>
      <c r="BE649">
        <f t="shared" si="109"/>
        <v>1</v>
      </c>
    </row>
    <row r="650" spans="1:57" x14ac:dyDescent="0.25">
      <c r="A650" t="s">
        <v>39</v>
      </c>
      <c r="B650" t="s">
        <v>2187</v>
      </c>
      <c r="C650">
        <v>87.9</v>
      </c>
      <c r="D650">
        <v>73.5</v>
      </c>
      <c r="G650">
        <f t="shared" si="100"/>
        <v>1</v>
      </c>
      <c r="H650">
        <f t="shared" si="101"/>
        <v>1</v>
      </c>
      <c r="I650">
        <f t="shared" si="102"/>
        <v>0</v>
      </c>
      <c r="J650">
        <v>81.400000000000006</v>
      </c>
      <c r="K650">
        <v>89.6</v>
      </c>
      <c r="L650">
        <v>73.5</v>
      </c>
      <c r="M650">
        <v>82.7</v>
      </c>
      <c r="N650">
        <v>65.3</v>
      </c>
      <c r="O650">
        <v>59.1</v>
      </c>
      <c r="S650">
        <f t="shared" si="103"/>
        <v>0</v>
      </c>
      <c r="T650">
        <f t="shared" si="104"/>
        <v>0</v>
      </c>
      <c r="U650">
        <f t="shared" si="105"/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23</v>
      </c>
      <c r="AG650">
        <f t="shared" si="106"/>
        <v>1</v>
      </c>
      <c r="AH650">
        <f t="shared" si="107"/>
        <v>1</v>
      </c>
      <c r="AI650">
        <f t="shared" si="108"/>
        <v>0</v>
      </c>
      <c r="AJ650">
        <v>307.3</v>
      </c>
      <c r="AK650">
        <v>1008.5</v>
      </c>
      <c r="AL650">
        <v>0</v>
      </c>
      <c r="AM650">
        <v>6.2</v>
      </c>
      <c r="AN650">
        <v>0</v>
      </c>
      <c r="AO650">
        <v>0</v>
      </c>
      <c r="AP650">
        <v>0</v>
      </c>
      <c r="AQ650">
        <v>0</v>
      </c>
      <c r="AR650" t="s">
        <v>2188</v>
      </c>
      <c r="AS650" t="s">
        <v>2189</v>
      </c>
      <c r="AT650">
        <v>0.75</v>
      </c>
      <c r="AU650" t="s">
        <v>74</v>
      </c>
      <c r="AV650" t="s">
        <v>44</v>
      </c>
      <c r="AW650" t="s">
        <v>75</v>
      </c>
      <c r="AX650" s="1">
        <v>0.62083333333333335</v>
      </c>
      <c r="AY650" t="s">
        <v>2190</v>
      </c>
      <c r="AZ650">
        <v>1685.999999995111</v>
      </c>
      <c r="BA650">
        <v>1</v>
      </c>
      <c r="BB650">
        <v>0</v>
      </c>
      <c r="BC650">
        <v>15</v>
      </c>
      <c r="BD650">
        <v>0</v>
      </c>
      <c r="BE650">
        <f t="shared" si="109"/>
        <v>1</v>
      </c>
    </row>
    <row r="651" spans="1:57" x14ac:dyDescent="0.25">
      <c r="A651" t="s">
        <v>39</v>
      </c>
      <c r="B651" t="s">
        <v>2191</v>
      </c>
      <c r="C651">
        <v>91.5</v>
      </c>
      <c r="D651">
        <v>75.3</v>
      </c>
      <c r="G651">
        <f t="shared" si="100"/>
        <v>1</v>
      </c>
      <c r="H651">
        <f t="shared" si="101"/>
        <v>1</v>
      </c>
      <c r="I651">
        <f t="shared" si="102"/>
        <v>0</v>
      </c>
      <c r="J651">
        <v>83.2</v>
      </c>
      <c r="K651">
        <v>95</v>
      </c>
      <c r="L651">
        <v>75.3</v>
      </c>
      <c r="M651">
        <v>84.9</v>
      </c>
      <c r="N651">
        <v>62.1</v>
      </c>
      <c r="O651">
        <v>49.4</v>
      </c>
      <c r="S651">
        <f t="shared" si="103"/>
        <v>1</v>
      </c>
      <c r="T651">
        <f t="shared" si="104"/>
        <v>0</v>
      </c>
      <c r="U651">
        <f t="shared" si="105"/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9.1999999999999993</v>
      </c>
      <c r="AG651">
        <f t="shared" si="106"/>
        <v>1</v>
      </c>
      <c r="AH651">
        <f t="shared" si="107"/>
        <v>0</v>
      </c>
      <c r="AI651">
        <f t="shared" si="108"/>
        <v>1</v>
      </c>
      <c r="AJ651">
        <v>185.3</v>
      </c>
      <c r="AK651">
        <v>1008.9</v>
      </c>
      <c r="AL651">
        <v>0</v>
      </c>
      <c r="AM651">
        <v>6.2</v>
      </c>
      <c r="AN651">
        <v>0</v>
      </c>
      <c r="AO651">
        <v>0</v>
      </c>
      <c r="AP651">
        <v>0</v>
      </c>
      <c r="AQ651">
        <v>0</v>
      </c>
      <c r="AR651" t="s">
        <v>2192</v>
      </c>
      <c r="AS651" t="s">
        <v>2193</v>
      </c>
      <c r="AT651">
        <v>0.95</v>
      </c>
      <c r="AU651" t="s">
        <v>74</v>
      </c>
      <c r="AV651" t="s">
        <v>44</v>
      </c>
      <c r="AW651" t="s">
        <v>75</v>
      </c>
      <c r="AX651" s="1">
        <v>0.58333333333333337</v>
      </c>
      <c r="AY651" t="s">
        <v>2194</v>
      </c>
      <c r="AZ651">
        <v>4169.9999999930151</v>
      </c>
      <c r="BA651">
        <v>1</v>
      </c>
      <c r="BB651">
        <v>0</v>
      </c>
      <c r="BC651">
        <v>3000</v>
      </c>
      <c r="BD651">
        <v>0</v>
      </c>
      <c r="BE651">
        <f t="shared" si="109"/>
        <v>1</v>
      </c>
    </row>
    <row r="652" spans="1:57" x14ac:dyDescent="0.25">
      <c r="A652" t="s">
        <v>39</v>
      </c>
      <c r="B652" t="s">
        <v>1971</v>
      </c>
      <c r="C652">
        <v>78.900000000000006</v>
      </c>
      <c r="D652">
        <v>66.3</v>
      </c>
      <c r="G652">
        <f t="shared" si="100"/>
        <v>0</v>
      </c>
      <c r="H652">
        <f t="shared" si="101"/>
        <v>0</v>
      </c>
      <c r="I652">
        <f t="shared" si="102"/>
        <v>0</v>
      </c>
      <c r="J652">
        <v>73.099999999999994</v>
      </c>
      <c r="K652">
        <v>78.900000000000006</v>
      </c>
      <c r="L652">
        <v>66.3</v>
      </c>
      <c r="M652">
        <v>73.099999999999994</v>
      </c>
      <c r="N652">
        <v>62.1</v>
      </c>
      <c r="O652">
        <v>68.900000000000006</v>
      </c>
      <c r="S652">
        <f t="shared" si="103"/>
        <v>1</v>
      </c>
      <c r="T652">
        <f t="shared" si="104"/>
        <v>1</v>
      </c>
      <c r="U652">
        <f t="shared" si="105"/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13.9</v>
      </c>
      <c r="AG652">
        <f t="shared" si="106"/>
        <v>1</v>
      </c>
      <c r="AH652">
        <f t="shared" si="107"/>
        <v>0</v>
      </c>
      <c r="AI652">
        <f t="shared" si="108"/>
        <v>1</v>
      </c>
      <c r="AJ652">
        <v>111</v>
      </c>
      <c r="AK652">
        <v>1014.8</v>
      </c>
      <c r="AL652">
        <v>43.8</v>
      </c>
      <c r="AM652">
        <v>6.5</v>
      </c>
      <c r="AN652">
        <v>0</v>
      </c>
      <c r="AO652">
        <v>0</v>
      </c>
      <c r="AP652">
        <v>0</v>
      </c>
      <c r="AQ652">
        <v>0</v>
      </c>
      <c r="AR652" t="s">
        <v>1972</v>
      </c>
      <c r="AS652" t="s">
        <v>1973</v>
      </c>
      <c r="AT652">
        <v>0.83</v>
      </c>
      <c r="AU652" t="s">
        <v>43</v>
      </c>
      <c r="AV652" t="s">
        <v>44</v>
      </c>
      <c r="AW652" t="s">
        <v>45</v>
      </c>
      <c r="AX652" s="1">
        <v>0.57291666666666663</v>
      </c>
      <c r="AY652" t="s">
        <v>2195</v>
      </c>
      <c r="AZ652">
        <v>1095.0000000069849</v>
      </c>
      <c r="BA652">
        <v>1</v>
      </c>
      <c r="BB652">
        <v>0</v>
      </c>
      <c r="BC652">
        <v>50</v>
      </c>
      <c r="BD652">
        <v>0</v>
      </c>
      <c r="BE652">
        <f t="shared" si="109"/>
        <v>0</v>
      </c>
    </row>
    <row r="653" spans="1:57" x14ac:dyDescent="0.25">
      <c r="A653" t="s">
        <v>39</v>
      </c>
      <c r="B653" t="s">
        <v>2196</v>
      </c>
      <c r="C653">
        <v>78.900000000000006</v>
      </c>
      <c r="D653">
        <v>71.7</v>
      </c>
      <c r="G653">
        <f t="shared" si="100"/>
        <v>0</v>
      </c>
      <c r="H653">
        <f t="shared" si="101"/>
        <v>0</v>
      </c>
      <c r="I653">
        <f t="shared" si="102"/>
        <v>0</v>
      </c>
      <c r="J653">
        <v>75.400000000000006</v>
      </c>
      <c r="K653">
        <v>78.900000000000006</v>
      </c>
      <c r="L653">
        <v>71.7</v>
      </c>
      <c r="M653">
        <v>75.400000000000006</v>
      </c>
      <c r="N653">
        <v>57.4</v>
      </c>
      <c r="O653">
        <v>53.7</v>
      </c>
      <c r="S653">
        <f t="shared" si="103"/>
        <v>1</v>
      </c>
      <c r="T653">
        <f t="shared" si="104"/>
        <v>0</v>
      </c>
      <c r="U653">
        <f t="shared" si="105"/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17.2</v>
      </c>
      <c r="AG653">
        <f t="shared" si="106"/>
        <v>0</v>
      </c>
      <c r="AH653">
        <f t="shared" si="107"/>
        <v>0</v>
      </c>
      <c r="AI653">
        <f t="shared" si="108"/>
        <v>0</v>
      </c>
      <c r="AJ653">
        <v>330</v>
      </c>
      <c r="AK653">
        <v>1016.3</v>
      </c>
      <c r="AL653">
        <v>32.5</v>
      </c>
      <c r="AM653">
        <v>6.8</v>
      </c>
      <c r="AN653">
        <v>0</v>
      </c>
      <c r="AO653">
        <v>0</v>
      </c>
      <c r="AP653">
        <v>0</v>
      </c>
      <c r="AQ653">
        <v>0</v>
      </c>
      <c r="AR653" t="s">
        <v>2197</v>
      </c>
      <c r="AS653" t="s">
        <v>2198</v>
      </c>
      <c r="AT653">
        <v>0.35</v>
      </c>
      <c r="AU653" t="s">
        <v>43</v>
      </c>
      <c r="AV653" t="s">
        <v>44</v>
      </c>
      <c r="AW653" t="s">
        <v>45</v>
      </c>
      <c r="AX653" s="1">
        <v>0.5625</v>
      </c>
      <c r="AY653" t="s">
        <v>2199</v>
      </c>
      <c r="AZ653">
        <v>1145.0000000023281</v>
      </c>
      <c r="BA653">
        <v>1</v>
      </c>
      <c r="BB653">
        <v>0</v>
      </c>
      <c r="BC653">
        <v>50</v>
      </c>
      <c r="BD653">
        <v>0</v>
      </c>
      <c r="BE653">
        <f t="shared" si="109"/>
        <v>0</v>
      </c>
    </row>
    <row r="654" spans="1:57" x14ac:dyDescent="0.25">
      <c r="A654" t="s">
        <v>39</v>
      </c>
      <c r="B654" t="s">
        <v>2200</v>
      </c>
      <c r="C654">
        <v>86.1</v>
      </c>
      <c r="D654">
        <v>77.099999999999994</v>
      </c>
      <c r="G654">
        <f t="shared" si="100"/>
        <v>1</v>
      </c>
      <c r="H654">
        <f t="shared" si="101"/>
        <v>1</v>
      </c>
      <c r="I654">
        <f t="shared" si="102"/>
        <v>0</v>
      </c>
      <c r="J654">
        <v>82.8</v>
      </c>
      <c r="K654">
        <v>92.1</v>
      </c>
      <c r="L654">
        <v>77.099999999999994</v>
      </c>
      <c r="M654">
        <v>85.7</v>
      </c>
      <c r="N654">
        <v>66.8</v>
      </c>
      <c r="O654">
        <v>59</v>
      </c>
      <c r="S654">
        <f t="shared" si="103"/>
        <v>0</v>
      </c>
      <c r="T654">
        <f t="shared" si="104"/>
        <v>0</v>
      </c>
      <c r="U654">
        <f t="shared" si="105"/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17.2</v>
      </c>
      <c r="AG654">
        <f t="shared" si="106"/>
        <v>0</v>
      </c>
      <c r="AH654">
        <f t="shared" si="107"/>
        <v>0</v>
      </c>
      <c r="AI654">
        <f t="shared" si="108"/>
        <v>0</v>
      </c>
      <c r="AJ654">
        <v>316</v>
      </c>
      <c r="AK654">
        <v>1010.1</v>
      </c>
      <c r="AL654">
        <v>0</v>
      </c>
      <c r="AM654">
        <v>6.2</v>
      </c>
      <c r="AN654">
        <v>0</v>
      </c>
      <c r="AO654">
        <v>0</v>
      </c>
      <c r="AP654">
        <v>0</v>
      </c>
      <c r="AQ654">
        <v>0</v>
      </c>
      <c r="AR654" t="s">
        <v>2201</v>
      </c>
      <c r="AS654" t="s">
        <v>2202</v>
      </c>
      <c r="AT654">
        <v>0.92</v>
      </c>
      <c r="AU654" t="s">
        <v>74</v>
      </c>
      <c r="AV654" t="s">
        <v>44</v>
      </c>
      <c r="AW654" t="s">
        <v>75</v>
      </c>
      <c r="AX654" s="1">
        <v>0.37847222222222221</v>
      </c>
      <c r="AY654" t="s">
        <v>2203</v>
      </c>
      <c r="AZ654">
        <v>4255.0000000081491</v>
      </c>
      <c r="BA654">
        <v>1</v>
      </c>
      <c r="BB654">
        <v>0</v>
      </c>
      <c r="BC654">
        <v>2000</v>
      </c>
      <c r="BD654">
        <v>0</v>
      </c>
      <c r="BE654">
        <f t="shared" si="109"/>
        <v>0</v>
      </c>
    </row>
    <row r="655" spans="1:57" x14ac:dyDescent="0.25">
      <c r="A655" t="s">
        <v>39</v>
      </c>
      <c r="B655" t="s">
        <v>2169</v>
      </c>
      <c r="C655">
        <v>82.5</v>
      </c>
      <c r="D655">
        <v>69.900000000000006</v>
      </c>
      <c r="G655">
        <f t="shared" si="100"/>
        <v>0</v>
      </c>
      <c r="H655">
        <f t="shared" si="101"/>
        <v>0</v>
      </c>
      <c r="I655">
        <f t="shared" si="102"/>
        <v>0</v>
      </c>
      <c r="J655">
        <v>78.5</v>
      </c>
      <c r="K655">
        <v>84.8</v>
      </c>
      <c r="L655">
        <v>69.900000000000006</v>
      </c>
      <c r="M655">
        <v>78.900000000000006</v>
      </c>
      <c r="N655">
        <v>60</v>
      </c>
      <c r="O655">
        <v>54</v>
      </c>
      <c r="S655">
        <f t="shared" si="103"/>
        <v>1</v>
      </c>
      <c r="T655">
        <f t="shared" si="104"/>
        <v>0</v>
      </c>
      <c r="U655">
        <f t="shared" si="105"/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23</v>
      </c>
      <c r="AG655">
        <f t="shared" si="106"/>
        <v>1</v>
      </c>
      <c r="AH655">
        <f t="shared" si="107"/>
        <v>1</v>
      </c>
      <c r="AI655">
        <f t="shared" si="108"/>
        <v>0</v>
      </c>
      <c r="AJ655">
        <v>302</v>
      </c>
      <c r="AK655">
        <v>1007.1</v>
      </c>
      <c r="AL655">
        <v>0</v>
      </c>
      <c r="AM655">
        <v>6.2</v>
      </c>
      <c r="AN655">
        <v>0</v>
      </c>
      <c r="AO655">
        <v>0</v>
      </c>
      <c r="AP655">
        <v>0</v>
      </c>
      <c r="AQ655">
        <v>0</v>
      </c>
      <c r="AR655" t="s">
        <v>2170</v>
      </c>
      <c r="AS655" t="s">
        <v>2171</v>
      </c>
      <c r="AT655">
        <v>0.1</v>
      </c>
      <c r="AU655" t="s">
        <v>74</v>
      </c>
      <c r="AV655" t="s">
        <v>44</v>
      </c>
      <c r="AW655" t="s">
        <v>75</v>
      </c>
      <c r="AX655" s="1">
        <v>0.82916666666666672</v>
      </c>
      <c r="AY655" t="s">
        <v>2204</v>
      </c>
      <c r="AZ655">
        <v>2855.999999995111</v>
      </c>
      <c r="BA655">
        <v>1</v>
      </c>
      <c r="BB655">
        <v>0</v>
      </c>
      <c r="BC655">
        <v>120</v>
      </c>
      <c r="BD655">
        <v>0</v>
      </c>
      <c r="BE655">
        <f t="shared" si="109"/>
        <v>1</v>
      </c>
    </row>
    <row r="656" spans="1:57" x14ac:dyDescent="0.25">
      <c r="A656" t="s">
        <v>39</v>
      </c>
      <c r="B656" t="s">
        <v>2205</v>
      </c>
      <c r="C656">
        <v>86.1</v>
      </c>
      <c r="D656">
        <v>73.5</v>
      </c>
      <c r="G656">
        <f t="shared" si="100"/>
        <v>1</v>
      </c>
      <c r="H656">
        <f t="shared" si="101"/>
        <v>1</v>
      </c>
      <c r="I656">
        <f t="shared" si="102"/>
        <v>0</v>
      </c>
      <c r="J656">
        <v>81.5</v>
      </c>
      <c r="K656">
        <v>95.4</v>
      </c>
      <c r="L656">
        <v>73.5</v>
      </c>
      <c r="M656">
        <v>85.1</v>
      </c>
      <c r="N656">
        <v>65.8</v>
      </c>
      <c r="O656">
        <v>60.4</v>
      </c>
      <c r="S656">
        <f t="shared" si="103"/>
        <v>0</v>
      </c>
      <c r="T656">
        <f t="shared" si="104"/>
        <v>0</v>
      </c>
      <c r="U656">
        <f t="shared" si="105"/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16.100000000000001</v>
      </c>
      <c r="AG656">
        <f t="shared" si="106"/>
        <v>0</v>
      </c>
      <c r="AH656">
        <f t="shared" si="107"/>
        <v>0</v>
      </c>
      <c r="AI656">
        <f t="shared" si="108"/>
        <v>0</v>
      </c>
      <c r="AJ656">
        <v>293.8</v>
      </c>
      <c r="AK656">
        <v>1007.7</v>
      </c>
      <c r="AL656">
        <v>0</v>
      </c>
      <c r="AM656">
        <v>6.2</v>
      </c>
      <c r="AN656">
        <v>0</v>
      </c>
      <c r="AO656">
        <v>0</v>
      </c>
      <c r="AP656">
        <v>0</v>
      </c>
      <c r="AQ656">
        <v>0</v>
      </c>
      <c r="AR656" t="s">
        <v>2206</v>
      </c>
      <c r="AS656" t="s">
        <v>2207</v>
      </c>
      <c r="AT656">
        <v>0.4</v>
      </c>
      <c r="AU656" t="s">
        <v>74</v>
      </c>
      <c r="AV656" t="s">
        <v>44</v>
      </c>
      <c r="AW656" t="s">
        <v>75</v>
      </c>
      <c r="AX656" s="1">
        <v>0.94097222222222221</v>
      </c>
      <c r="AY656" t="s">
        <v>2208</v>
      </c>
      <c r="AZ656">
        <v>1345.0000000046571</v>
      </c>
      <c r="BA656">
        <v>1</v>
      </c>
      <c r="BB656">
        <v>0</v>
      </c>
      <c r="BC656">
        <v>30</v>
      </c>
      <c r="BD656">
        <v>0</v>
      </c>
      <c r="BE656">
        <f t="shared" si="109"/>
        <v>0</v>
      </c>
    </row>
    <row r="657" spans="1:57" x14ac:dyDescent="0.25">
      <c r="A657" t="s">
        <v>39</v>
      </c>
      <c r="B657" t="s">
        <v>2209</v>
      </c>
      <c r="C657">
        <v>84.3</v>
      </c>
      <c r="D657">
        <v>71.7</v>
      </c>
      <c r="G657">
        <f t="shared" si="100"/>
        <v>0</v>
      </c>
      <c r="H657">
        <f t="shared" si="101"/>
        <v>0</v>
      </c>
      <c r="I657">
        <f t="shared" si="102"/>
        <v>0</v>
      </c>
      <c r="J657">
        <v>79.400000000000006</v>
      </c>
      <c r="K657">
        <v>87.4</v>
      </c>
      <c r="L657">
        <v>71.7</v>
      </c>
      <c r="M657">
        <v>80.8</v>
      </c>
      <c r="N657">
        <v>68.400000000000006</v>
      </c>
      <c r="O657">
        <v>70.2</v>
      </c>
      <c r="S657">
        <f t="shared" si="103"/>
        <v>1</v>
      </c>
      <c r="T657">
        <f t="shared" si="104"/>
        <v>1</v>
      </c>
      <c r="U657">
        <f t="shared" si="105"/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26.4</v>
      </c>
      <c r="AG657">
        <f t="shared" si="106"/>
        <v>1</v>
      </c>
      <c r="AH657">
        <f t="shared" si="107"/>
        <v>1</v>
      </c>
      <c r="AI657">
        <f t="shared" si="108"/>
        <v>0</v>
      </c>
      <c r="AJ657">
        <v>318.2</v>
      </c>
      <c r="AK657">
        <v>1007.7</v>
      </c>
      <c r="AL657">
        <v>30</v>
      </c>
      <c r="AM657">
        <v>6.6</v>
      </c>
      <c r="AN657">
        <v>0</v>
      </c>
      <c r="AO657">
        <v>0</v>
      </c>
      <c r="AP657">
        <v>0</v>
      </c>
      <c r="AQ657">
        <v>0</v>
      </c>
      <c r="AR657" t="s">
        <v>2210</v>
      </c>
      <c r="AS657" t="s">
        <v>2211</v>
      </c>
      <c r="AT657">
        <v>0.56999999999999995</v>
      </c>
      <c r="AU657" t="s">
        <v>43</v>
      </c>
      <c r="AV657" t="s">
        <v>44</v>
      </c>
      <c r="AW657" t="s">
        <v>45</v>
      </c>
      <c r="AX657" s="1">
        <v>0.60416666666666663</v>
      </c>
      <c r="AY657" t="s">
        <v>2212</v>
      </c>
      <c r="AZ657">
        <v>1650.000000003492</v>
      </c>
      <c r="BA657">
        <v>1</v>
      </c>
      <c r="BB657">
        <v>0</v>
      </c>
      <c r="BC657">
        <v>15</v>
      </c>
      <c r="BD657">
        <v>0</v>
      </c>
      <c r="BE657">
        <f t="shared" si="109"/>
        <v>1</v>
      </c>
    </row>
    <row r="658" spans="1:57" x14ac:dyDescent="0.25">
      <c r="A658" t="s">
        <v>39</v>
      </c>
      <c r="B658" t="s">
        <v>2213</v>
      </c>
      <c r="C658">
        <v>55.5</v>
      </c>
      <c r="D658">
        <v>41.1</v>
      </c>
      <c r="G658">
        <f t="shared" si="100"/>
        <v>1</v>
      </c>
      <c r="H658">
        <f t="shared" si="101"/>
        <v>0</v>
      </c>
      <c r="I658">
        <f t="shared" si="102"/>
        <v>1</v>
      </c>
      <c r="J658">
        <v>49.7</v>
      </c>
      <c r="K658">
        <v>55.5</v>
      </c>
      <c r="L658">
        <v>35.4</v>
      </c>
      <c r="M658">
        <v>48.2</v>
      </c>
      <c r="N658">
        <v>40.9</v>
      </c>
      <c r="O658">
        <v>72.599999999999994</v>
      </c>
      <c r="S658">
        <f t="shared" si="103"/>
        <v>1</v>
      </c>
      <c r="T658">
        <f t="shared" si="104"/>
        <v>1</v>
      </c>
      <c r="U658">
        <f t="shared" si="105"/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9.1999999999999993</v>
      </c>
      <c r="AG658">
        <f t="shared" si="106"/>
        <v>1</v>
      </c>
      <c r="AH658">
        <f t="shared" si="107"/>
        <v>0</v>
      </c>
      <c r="AI658">
        <f t="shared" si="108"/>
        <v>1</v>
      </c>
      <c r="AJ658">
        <v>181.8</v>
      </c>
      <c r="AK658">
        <v>1024</v>
      </c>
      <c r="AL658">
        <v>66.7</v>
      </c>
      <c r="AM658">
        <v>6.8</v>
      </c>
      <c r="AN658">
        <v>0</v>
      </c>
      <c r="AO658">
        <v>0</v>
      </c>
      <c r="AP658">
        <v>0</v>
      </c>
      <c r="AQ658">
        <v>0</v>
      </c>
      <c r="AR658" t="s">
        <v>2214</v>
      </c>
      <c r="AS658" t="s">
        <v>2215</v>
      </c>
      <c r="AT658">
        <v>0.6</v>
      </c>
      <c r="AU658" t="s">
        <v>43</v>
      </c>
      <c r="AV658" t="s">
        <v>44</v>
      </c>
      <c r="AW658" t="s">
        <v>45</v>
      </c>
      <c r="AX658" s="1">
        <v>0.57291666666666663</v>
      </c>
      <c r="AY658" t="s">
        <v>2216</v>
      </c>
      <c r="AZ658">
        <v>165.00000000349249</v>
      </c>
      <c r="BA658">
        <v>0</v>
      </c>
      <c r="BB658">
        <v>0</v>
      </c>
      <c r="BC658">
        <v>15</v>
      </c>
      <c r="BD658">
        <v>0</v>
      </c>
      <c r="BE658">
        <f t="shared" si="109"/>
        <v>0</v>
      </c>
    </row>
    <row r="659" spans="1:57" x14ac:dyDescent="0.25">
      <c r="A659" t="s">
        <v>39</v>
      </c>
      <c r="B659" t="s">
        <v>2217</v>
      </c>
      <c r="C659">
        <v>75.3</v>
      </c>
      <c r="D659">
        <v>64.5</v>
      </c>
      <c r="G659">
        <f t="shared" si="100"/>
        <v>1</v>
      </c>
      <c r="H659">
        <f t="shared" si="101"/>
        <v>0</v>
      </c>
      <c r="I659">
        <f t="shared" si="102"/>
        <v>1</v>
      </c>
      <c r="J659">
        <v>69.8</v>
      </c>
      <c r="K659">
        <v>75.3</v>
      </c>
      <c r="L659">
        <v>64.5</v>
      </c>
      <c r="M659">
        <v>69.8</v>
      </c>
      <c r="N659">
        <v>58.3</v>
      </c>
      <c r="O659">
        <v>67.3</v>
      </c>
      <c r="S659">
        <f t="shared" si="103"/>
        <v>0</v>
      </c>
      <c r="T659">
        <f t="shared" si="104"/>
        <v>0</v>
      </c>
      <c r="U659">
        <f t="shared" si="105"/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10.3</v>
      </c>
      <c r="AG659">
        <f t="shared" si="106"/>
        <v>1</v>
      </c>
      <c r="AH659">
        <f t="shared" si="107"/>
        <v>0</v>
      </c>
      <c r="AI659">
        <f t="shared" si="108"/>
        <v>1</v>
      </c>
      <c r="AJ659">
        <v>329</v>
      </c>
      <c r="AK659">
        <v>1015.2</v>
      </c>
      <c r="AL659">
        <v>35.799999999999997</v>
      </c>
      <c r="AM659">
        <v>6.8</v>
      </c>
      <c r="AN659">
        <v>0</v>
      </c>
      <c r="AO659">
        <v>0</v>
      </c>
      <c r="AP659">
        <v>0</v>
      </c>
      <c r="AQ659">
        <v>0</v>
      </c>
      <c r="AR659" t="s">
        <v>2218</v>
      </c>
      <c r="AS659" t="s">
        <v>2219</v>
      </c>
      <c r="AT659">
        <v>0.1</v>
      </c>
      <c r="AU659" t="s">
        <v>43</v>
      </c>
      <c r="AV659" t="s">
        <v>44</v>
      </c>
      <c r="AW659" t="s">
        <v>45</v>
      </c>
      <c r="AX659" s="1">
        <v>0.71527777777777779</v>
      </c>
      <c r="AY659" t="s">
        <v>2220</v>
      </c>
      <c r="AZ659">
        <v>319.99999999534339</v>
      </c>
      <c r="BA659">
        <v>0</v>
      </c>
      <c r="BB659">
        <v>0</v>
      </c>
      <c r="BC659">
        <v>30</v>
      </c>
      <c r="BD659">
        <v>0</v>
      </c>
      <c r="BE659">
        <f t="shared" si="109"/>
        <v>0</v>
      </c>
    </row>
    <row r="660" spans="1:57" x14ac:dyDescent="0.25">
      <c r="A660" t="s">
        <v>39</v>
      </c>
      <c r="B660" t="s">
        <v>2221</v>
      </c>
      <c r="C660">
        <v>78.900000000000006</v>
      </c>
      <c r="D660">
        <v>62.7</v>
      </c>
      <c r="G660">
        <f t="shared" si="100"/>
        <v>0</v>
      </c>
      <c r="H660">
        <f t="shared" si="101"/>
        <v>0</v>
      </c>
      <c r="I660">
        <f t="shared" si="102"/>
        <v>0</v>
      </c>
      <c r="J660">
        <v>70.900000000000006</v>
      </c>
      <c r="K660">
        <v>78.900000000000006</v>
      </c>
      <c r="L660">
        <v>62.7</v>
      </c>
      <c r="M660">
        <v>70.900000000000006</v>
      </c>
      <c r="N660">
        <v>61.1</v>
      </c>
      <c r="O660">
        <v>72.099999999999994</v>
      </c>
      <c r="S660">
        <f t="shared" si="103"/>
        <v>1</v>
      </c>
      <c r="T660">
        <f t="shared" si="104"/>
        <v>1</v>
      </c>
      <c r="U660">
        <f t="shared" si="105"/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9.1999999999999993</v>
      </c>
      <c r="AG660">
        <f t="shared" si="106"/>
        <v>1</v>
      </c>
      <c r="AH660">
        <f t="shared" si="107"/>
        <v>0</v>
      </c>
      <c r="AI660">
        <f t="shared" si="108"/>
        <v>1</v>
      </c>
      <c r="AJ660">
        <v>147.9</v>
      </c>
      <c r="AK660">
        <v>1010</v>
      </c>
      <c r="AL660">
        <v>37.299999999999997</v>
      </c>
      <c r="AM660">
        <v>6.8</v>
      </c>
      <c r="AN660">
        <v>0</v>
      </c>
      <c r="AO660">
        <v>0</v>
      </c>
      <c r="AP660">
        <v>0</v>
      </c>
      <c r="AQ660">
        <v>0</v>
      </c>
      <c r="AR660" t="s">
        <v>2222</v>
      </c>
      <c r="AS660" t="s">
        <v>2223</v>
      </c>
      <c r="AT660">
        <v>0.03</v>
      </c>
      <c r="AU660" t="s">
        <v>43</v>
      </c>
      <c r="AV660" t="s">
        <v>2026</v>
      </c>
      <c r="AW660" t="s">
        <v>45</v>
      </c>
      <c r="AX660" s="1">
        <v>0.80555555555555558</v>
      </c>
      <c r="AY660" t="s">
        <v>2224</v>
      </c>
      <c r="AZ660">
        <v>44100</v>
      </c>
      <c r="BA660">
        <v>1</v>
      </c>
      <c r="BB660">
        <v>0</v>
      </c>
      <c r="BC660">
        <v>5</v>
      </c>
      <c r="BD660">
        <v>0</v>
      </c>
      <c r="BE660">
        <f t="shared" si="109"/>
        <v>0</v>
      </c>
    </row>
    <row r="661" spans="1:57" x14ac:dyDescent="0.25">
      <c r="A661" t="s">
        <v>39</v>
      </c>
      <c r="B661" t="s">
        <v>2225</v>
      </c>
      <c r="C661">
        <v>84.3</v>
      </c>
      <c r="D661">
        <v>71.7</v>
      </c>
      <c r="G661">
        <f t="shared" si="100"/>
        <v>0</v>
      </c>
      <c r="H661">
        <f t="shared" si="101"/>
        <v>0</v>
      </c>
      <c r="I661">
        <f t="shared" si="102"/>
        <v>0</v>
      </c>
      <c r="J661">
        <v>78.400000000000006</v>
      </c>
      <c r="K661">
        <v>91.1</v>
      </c>
      <c r="L661">
        <v>71.7</v>
      </c>
      <c r="M661">
        <v>81.099999999999994</v>
      </c>
      <c r="N661">
        <v>68.400000000000006</v>
      </c>
      <c r="O661">
        <v>71.599999999999994</v>
      </c>
      <c r="S661">
        <f t="shared" si="103"/>
        <v>1</v>
      </c>
      <c r="T661">
        <f t="shared" si="104"/>
        <v>1</v>
      </c>
      <c r="U661">
        <f t="shared" si="105"/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20.8</v>
      </c>
      <c r="AG661">
        <f t="shared" si="106"/>
        <v>1</v>
      </c>
      <c r="AH661">
        <f t="shared" si="107"/>
        <v>1</v>
      </c>
      <c r="AI661">
        <f t="shared" si="108"/>
        <v>0</v>
      </c>
      <c r="AJ661">
        <v>302.3</v>
      </c>
      <c r="AK661">
        <v>1009.3</v>
      </c>
      <c r="AL661">
        <v>30</v>
      </c>
      <c r="AM661">
        <v>6.3</v>
      </c>
      <c r="AN661">
        <v>0</v>
      </c>
      <c r="AO661">
        <v>0</v>
      </c>
      <c r="AP661">
        <v>0</v>
      </c>
      <c r="AQ661">
        <v>0</v>
      </c>
      <c r="AR661" t="s">
        <v>2226</v>
      </c>
      <c r="AS661" t="s">
        <v>2227</v>
      </c>
      <c r="AT661">
        <v>0.71</v>
      </c>
      <c r="AU661" t="s">
        <v>43</v>
      </c>
      <c r="AV661" t="s">
        <v>44</v>
      </c>
      <c r="AW661" t="s">
        <v>45</v>
      </c>
      <c r="AX661" s="1">
        <v>0.72222222222222221</v>
      </c>
      <c r="AY661" t="s">
        <v>2228</v>
      </c>
      <c r="AZ661">
        <v>940.00000000465661</v>
      </c>
      <c r="BA661">
        <v>1</v>
      </c>
      <c r="BB661">
        <v>0</v>
      </c>
      <c r="BC661">
        <v>40</v>
      </c>
      <c r="BD661">
        <v>0</v>
      </c>
      <c r="BE661">
        <f t="shared" si="109"/>
        <v>1</v>
      </c>
    </row>
    <row r="662" spans="1:57" x14ac:dyDescent="0.25">
      <c r="A662" t="s">
        <v>39</v>
      </c>
      <c r="B662" t="s">
        <v>2229</v>
      </c>
      <c r="C662">
        <v>66.3</v>
      </c>
      <c r="D662">
        <v>50.1</v>
      </c>
      <c r="G662">
        <f t="shared" si="100"/>
        <v>0</v>
      </c>
      <c r="H662">
        <f t="shared" si="101"/>
        <v>0</v>
      </c>
      <c r="I662">
        <f t="shared" si="102"/>
        <v>0</v>
      </c>
      <c r="J662">
        <v>58.2</v>
      </c>
      <c r="K662">
        <v>66.3</v>
      </c>
      <c r="L662">
        <v>50.1</v>
      </c>
      <c r="M662">
        <v>58.2</v>
      </c>
      <c r="N662">
        <v>48.8</v>
      </c>
      <c r="O662">
        <v>71.5</v>
      </c>
      <c r="S662">
        <f t="shared" si="103"/>
        <v>1</v>
      </c>
      <c r="T662">
        <f t="shared" si="104"/>
        <v>1</v>
      </c>
      <c r="U662">
        <f t="shared" si="105"/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10.3</v>
      </c>
      <c r="AG662">
        <f t="shared" si="106"/>
        <v>1</v>
      </c>
      <c r="AH662">
        <f t="shared" si="107"/>
        <v>0</v>
      </c>
      <c r="AI662">
        <f t="shared" si="108"/>
        <v>1</v>
      </c>
      <c r="AJ662">
        <v>177.4</v>
      </c>
      <c r="AK662">
        <v>1025.0999999999999</v>
      </c>
      <c r="AL662">
        <v>34.5</v>
      </c>
      <c r="AM662">
        <v>6.8</v>
      </c>
      <c r="AN662">
        <v>0</v>
      </c>
      <c r="AO662">
        <v>0</v>
      </c>
      <c r="AP662">
        <v>0</v>
      </c>
      <c r="AQ662">
        <v>0</v>
      </c>
      <c r="AR662" t="s">
        <v>2230</v>
      </c>
      <c r="AS662" t="s">
        <v>2231</v>
      </c>
      <c r="AT662">
        <v>0.63</v>
      </c>
      <c r="AU662" t="s">
        <v>43</v>
      </c>
      <c r="AV662" t="s">
        <v>44</v>
      </c>
      <c r="AW662" t="s">
        <v>45</v>
      </c>
      <c r="AX662" s="1">
        <v>0.6875</v>
      </c>
      <c r="AY662" t="s">
        <v>2232</v>
      </c>
      <c r="AZ662">
        <v>49.999999995343387</v>
      </c>
      <c r="BA662">
        <v>0</v>
      </c>
      <c r="BB662">
        <v>0</v>
      </c>
      <c r="BC662">
        <v>0.5</v>
      </c>
      <c r="BD662">
        <v>0</v>
      </c>
      <c r="BE662">
        <f t="shared" si="109"/>
        <v>0</v>
      </c>
    </row>
    <row r="663" spans="1:57" x14ac:dyDescent="0.25">
      <c r="A663" t="s">
        <v>39</v>
      </c>
      <c r="B663" t="s">
        <v>2233</v>
      </c>
      <c r="C663">
        <v>82.5</v>
      </c>
      <c r="D663">
        <v>77.099999999999994</v>
      </c>
      <c r="G663">
        <f t="shared" si="100"/>
        <v>1</v>
      </c>
      <c r="H663">
        <f t="shared" si="101"/>
        <v>1</v>
      </c>
      <c r="I663">
        <f t="shared" si="102"/>
        <v>0</v>
      </c>
      <c r="J663">
        <v>79.5</v>
      </c>
      <c r="K663">
        <v>84.1</v>
      </c>
      <c r="L663">
        <v>77.099999999999994</v>
      </c>
      <c r="M663">
        <v>80.2</v>
      </c>
      <c r="N663">
        <v>64</v>
      </c>
      <c r="O663">
        <v>59.3</v>
      </c>
      <c r="S663">
        <f t="shared" si="103"/>
        <v>0</v>
      </c>
      <c r="T663">
        <f t="shared" si="104"/>
        <v>0</v>
      </c>
      <c r="U663">
        <f t="shared" si="105"/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24.2</v>
      </c>
      <c r="AG663">
        <f t="shared" si="106"/>
        <v>1</v>
      </c>
      <c r="AH663">
        <f t="shared" si="107"/>
        <v>1</v>
      </c>
      <c r="AI663">
        <f t="shared" si="108"/>
        <v>0</v>
      </c>
      <c r="AJ663">
        <v>298.7</v>
      </c>
      <c r="AK663">
        <v>1010.5</v>
      </c>
      <c r="AL663">
        <v>30</v>
      </c>
      <c r="AM663">
        <v>6.6</v>
      </c>
      <c r="AN663">
        <v>0</v>
      </c>
      <c r="AO663">
        <v>0</v>
      </c>
      <c r="AP663">
        <v>0</v>
      </c>
      <c r="AQ663">
        <v>0</v>
      </c>
      <c r="AR663" t="s">
        <v>2234</v>
      </c>
      <c r="AS663" t="s">
        <v>2235</v>
      </c>
      <c r="AT663">
        <v>0.06</v>
      </c>
      <c r="AU663" t="s">
        <v>43</v>
      </c>
      <c r="AV663" t="s">
        <v>44</v>
      </c>
      <c r="AW663" t="s">
        <v>45</v>
      </c>
      <c r="AX663" s="1">
        <v>0.88888888888888884</v>
      </c>
      <c r="AY663" t="s">
        <v>2236</v>
      </c>
      <c r="AZ663">
        <v>1299.999999994179</v>
      </c>
      <c r="BA663">
        <v>1</v>
      </c>
      <c r="BB663">
        <v>0</v>
      </c>
      <c r="BC663">
        <v>5</v>
      </c>
      <c r="BD663">
        <v>0</v>
      </c>
      <c r="BE663">
        <f t="shared" si="109"/>
        <v>1</v>
      </c>
    </row>
    <row r="664" spans="1:57" x14ac:dyDescent="0.25">
      <c r="A664" t="s">
        <v>39</v>
      </c>
      <c r="B664" t="s">
        <v>2107</v>
      </c>
      <c r="C664">
        <v>80.7</v>
      </c>
      <c r="D664">
        <v>60.9</v>
      </c>
      <c r="G664">
        <f t="shared" si="100"/>
        <v>1</v>
      </c>
      <c r="H664">
        <f t="shared" si="101"/>
        <v>1</v>
      </c>
      <c r="I664">
        <f t="shared" si="102"/>
        <v>0</v>
      </c>
      <c r="J664">
        <v>72.900000000000006</v>
      </c>
      <c r="K664">
        <v>78.900000000000006</v>
      </c>
      <c r="L664">
        <v>60.9</v>
      </c>
      <c r="M664">
        <v>72.7</v>
      </c>
      <c r="N664">
        <v>28.7</v>
      </c>
      <c r="O664">
        <v>26.9</v>
      </c>
      <c r="S664">
        <f t="shared" si="103"/>
        <v>1</v>
      </c>
      <c r="T664">
        <f t="shared" si="104"/>
        <v>0</v>
      </c>
      <c r="U664">
        <f t="shared" si="105"/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32.200000000000003</v>
      </c>
      <c r="AG664">
        <f t="shared" si="106"/>
        <v>1</v>
      </c>
      <c r="AH664">
        <f t="shared" si="107"/>
        <v>1</v>
      </c>
      <c r="AI664">
        <f t="shared" si="108"/>
        <v>0</v>
      </c>
      <c r="AJ664">
        <v>201.2</v>
      </c>
      <c r="AK664">
        <v>1007.6</v>
      </c>
      <c r="AL664">
        <v>88.7</v>
      </c>
      <c r="AM664">
        <v>6.7</v>
      </c>
      <c r="AN664">
        <v>0</v>
      </c>
      <c r="AO664">
        <v>0</v>
      </c>
      <c r="AP664">
        <v>0</v>
      </c>
      <c r="AQ664">
        <v>0</v>
      </c>
      <c r="AR664" t="s">
        <v>2108</v>
      </c>
      <c r="AS664" t="s">
        <v>2109</v>
      </c>
      <c r="AT664">
        <v>0.46</v>
      </c>
      <c r="AU664" t="s">
        <v>43</v>
      </c>
      <c r="AV664" t="s">
        <v>44</v>
      </c>
      <c r="AW664" t="s">
        <v>419</v>
      </c>
      <c r="AX664" s="1">
        <v>0.73958333333333337</v>
      </c>
      <c r="AY664" t="s">
        <v>2237</v>
      </c>
      <c r="AZ664">
        <v>74.999999993015081</v>
      </c>
      <c r="BA664">
        <v>0</v>
      </c>
      <c r="BB664">
        <v>0</v>
      </c>
      <c r="BC664">
        <v>3</v>
      </c>
      <c r="BD664">
        <v>0</v>
      </c>
      <c r="BE664">
        <f t="shared" si="109"/>
        <v>1</v>
      </c>
    </row>
    <row r="665" spans="1:57" x14ac:dyDescent="0.25">
      <c r="A665" t="s">
        <v>39</v>
      </c>
      <c r="B665" t="s">
        <v>2238</v>
      </c>
      <c r="C665">
        <v>78.900000000000006</v>
      </c>
      <c r="D665">
        <v>66.3</v>
      </c>
      <c r="G665">
        <f t="shared" si="100"/>
        <v>1</v>
      </c>
      <c r="H665">
        <f t="shared" si="101"/>
        <v>1</v>
      </c>
      <c r="I665">
        <f t="shared" si="102"/>
        <v>0</v>
      </c>
      <c r="J665">
        <v>73</v>
      </c>
      <c r="K665">
        <v>78.900000000000006</v>
      </c>
      <c r="L665">
        <v>66.3</v>
      </c>
      <c r="M665">
        <v>73</v>
      </c>
      <c r="N665">
        <v>55.4</v>
      </c>
      <c r="O665">
        <v>54.5</v>
      </c>
      <c r="S665">
        <f t="shared" si="103"/>
        <v>1</v>
      </c>
      <c r="T665">
        <f t="shared" si="104"/>
        <v>0</v>
      </c>
      <c r="U665">
        <f t="shared" si="105"/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11.4</v>
      </c>
      <c r="AG665">
        <f t="shared" si="106"/>
        <v>1</v>
      </c>
      <c r="AH665">
        <f t="shared" si="107"/>
        <v>0</v>
      </c>
      <c r="AI665">
        <f t="shared" si="108"/>
        <v>1</v>
      </c>
      <c r="AJ665">
        <v>171.7</v>
      </c>
      <c r="AK665">
        <v>1011.5</v>
      </c>
      <c r="AL665">
        <v>0</v>
      </c>
      <c r="AM665">
        <v>6.2</v>
      </c>
      <c r="AN665">
        <v>0</v>
      </c>
      <c r="AO665">
        <v>0</v>
      </c>
      <c r="AP665">
        <v>0</v>
      </c>
      <c r="AQ665">
        <v>0</v>
      </c>
      <c r="AR665" t="s">
        <v>2239</v>
      </c>
      <c r="AS665" t="s">
        <v>2240</v>
      </c>
      <c r="AT665">
        <v>0.93</v>
      </c>
      <c r="AU665" t="s">
        <v>74</v>
      </c>
      <c r="AV665" t="s">
        <v>44</v>
      </c>
      <c r="AW665" t="s">
        <v>75</v>
      </c>
      <c r="AX665" s="1">
        <v>0.52708333333333335</v>
      </c>
      <c r="AY665" t="s">
        <v>2241</v>
      </c>
      <c r="AZ665">
        <v>55.999999993946403</v>
      </c>
      <c r="BA665">
        <v>0</v>
      </c>
      <c r="BB665">
        <v>1</v>
      </c>
      <c r="BC665">
        <v>0</v>
      </c>
      <c r="BD665">
        <v>0</v>
      </c>
      <c r="BE665">
        <f t="shared" si="109"/>
        <v>1</v>
      </c>
    </row>
    <row r="666" spans="1:57" x14ac:dyDescent="0.25">
      <c r="A666" t="s">
        <v>39</v>
      </c>
      <c r="B666" t="s">
        <v>2242</v>
      </c>
      <c r="C666">
        <v>78.900000000000006</v>
      </c>
      <c r="D666">
        <v>60.9</v>
      </c>
      <c r="G666">
        <f t="shared" si="100"/>
        <v>1</v>
      </c>
      <c r="H666">
        <f t="shared" si="101"/>
        <v>1</v>
      </c>
      <c r="I666">
        <f t="shared" si="102"/>
        <v>0</v>
      </c>
      <c r="J666">
        <v>70.099999999999994</v>
      </c>
      <c r="K666">
        <v>78.900000000000006</v>
      </c>
      <c r="L666">
        <v>60.9</v>
      </c>
      <c r="M666">
        <v>70.099999999999994</v>
      </c>
      <c r="N666">
        <v>53</v>
      </c>
      <c r="O666">
        <v>56.6</v>
      </c>
      <c r="S666">
        <f t="shared" si="103"/>
        <v>1</v>
      </c>
      <c r="T666">
        <f t="shared" si="104"/>
        <v>0</v>
      </c>
      <c r="U666">
        <f t="shared" si="105"/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9.1999999999999993</v>
      </c>
      <c r="AG666">
        <f t="shared" si="106"/>
        <v>1</v>
      </c>
      <c r="AH666">
        <f t="shared" si="107"/>
        <v>0</v>
      </c>
      <c r="AI666">
        <f t="shared" si="108"/>
        <v>1</v>
      </c>
      <c r="AJ666">
        <v>156.69999999999999</v>
      </c>
      <c r="AK666">
        <v>1016.2</v>
      </c>
      <c r="AL666">
        <v>0</v>
      </c>
      <c r="AM666">
        <v>6.2</v>
      </c>
      <c r="AN666">
        <v>0</v>
      </c>
      <c r="AO666">
        <v>0</v>
      </c>
      <c r="AP666">
        <v>0</v>
      </c>
      <c r="AQ666">
        <v>0</v>
      </c>
      <c r="AR666" t="s">
        <v>2243</v>
      </c>
      <c r="AS666" t="s">
        <v>2244</v>
      </c>
      <c r="AT666">
        <v>0.41</v>
      </c>
      <c r="AU666" t="s">
        <v>74</v>
      </c>
      <c r="AV666" t="s">
        <v>44</v>
      </c>
      <c r="AW666" t="s">
        <v>75</v>
      </c>
      <c r="AX666" s="1">
        <v>0.63541666666666663</v>
      </c>
      <c r="AY666" t="s">
        <v>2245</v>
      </c>
      <c r="AZ666">
        <v>1245.000000003492</v>
      </c>
      <c r="BA666">
        <v>1</v>
      </c>
      <c r="BB666">
        <v>0</v>
      </c>
      <c r="BC666">
        <v>0.5</v>
      </c>
      <c r="BD666">
        <v>0</v>
      </c>
      <c r="BE666">
        <f t="shared" si="109"/>
        <v>1</v>
      </c>
    </row>
    <row r="667" spans="1:57" x14ac:dyDescent="0.25">
      <c r="A667" t="s">
        <v>39</v>
      </c>
      <c r="B667" t="s">
        <v>2246</v>
      </c>
      <c r="C667">
        <v>77.099999999999994</v>
      </c>
      <c r="D667">
        <v>62.7</v>
      </c>
      <c r="G667">
        <f t="shared" si="100"/>
        <v>1</v>
      </c>
      <c r="H667">
        <f t="shared" si="101"/>
        <v>1</v>
      </c>
      <c r="I667">
        <f t="shared" si="102"/>
        <v>0</v>
      </c>
      <c r="J667">
        <v>71.599999999999994</v>
      </c>
      <c r="K667">
        <v>77.099999999999994</v>
      </c>
      <c r="L667">
        <v>62.7</v>
      </c>
      <c r="M667">
        <v>71.599999999999994</v>
      </c>
      <c r="N667">
        <v>58.5</v>
      </c>
      <c r="O667">
        <v>63.8</v>
      </c>
      <c r="S667">
        <f t="shared" si="103"/>
        <v>0</v>
      </c>
      <c r="T667">
        <f t="shared" si="104"/>
        <v>0</v>
      </c>
      <c r="U667">
        <f t="shared" si="105"/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11.4</v>
      </c>
      <c r="AG667">
        <f t="shared" si="106"/>
        <v>1</v>
      </c>
      <c r="AH667">
        <f t="shared" si="107"/>
        <v>0</v>
      </c>
      <c r="AI667">
        <f t="shared" si="108"/>
        <v>1</v>
      </c>
      <c r="AJ667">
        <v>325.7</v>
      </c>
      <c r="AK667">
        <v>1016.6</v>
      </c>
      <c r="AL667">
        <v>0</v>
      </c>
      <c r="AM667">
        <v>6.2</v>
      </c>
      <c r="AN667">
        <v>0</v>
      </c>
      <c r="AO667">
        <v>0</v>
      </c>
      <c r="AP667">
        <v>0</v>
      </c>
      <c r="AQ667">
        <v>0</v>
      </c>
      <c r="AR667" t="s">
        <v>2247</v>
      </c>
      <c r="AS667" t="s">
        <v>2248</v>
      </c>
      <c r="AT667">
        <v>0.04</v>
      </c>
      <c r="AU667" t="s">
        <v>74</v>
      </c>
      <c r="AV667" t="s">
        <v>44</v>
      </c>
      <c r="AW667" t="s">
        <v>75</v>
      </c>
      <c r="AX667" s="1">
        <v>0.43402777777777779</v>
      </c>
      <c r="AY667" t="s">
        <v>2249</v>
      </c>
      <c r="AZ667">
        <v>74.999999993015081</v>
      </c>
      <c r="BA667">
        <v>0</v>
      </c>
      <c r="BB667">
        <v>2</v>
      </c>
      <c r="BC667">
        <v>0</v>
      </c>
      <c r="BD667">
        <v>0</v>
      </c>
      <c r="BE667">
        <f t="shared" si="109"/>
        <v>0</v>
      </c>
    </row>
    <row r="668" spans="1:57" x14ac:dyDescent="0.25">
      <c r="A668" t="s">
        <v>39</v>
      </c>
      <c r="B668" t="s">
        <v>2250</v>
      </c>
      <c r="C668">
        <v>68.099999999999994</v>
      </c>
      <c r="D668">
        <v>51.9</v>
      </c>
      <c r="G668">
        <f t="shared" si="100"/>
        <v>1</v>
      </c>
      <c r="H668">
        <f t="shared" si="101"/>
        <v>0</v>
      </c>
      <c r="I668">
        <f t="shared" si="102"/>
        <v>1</v>
      </c>
      <c r="J668">
        <v>60.6</v>
      </c>
      <c r="K668">
        <v>68.099999999999994</v>
      </c>
      <c r="L668">
        <v>51.9</v>
      </c>
      <c r="M668">
        <v>60.6</v>
      </c>
      <c r="N668">
        <v>46.7</v>
      </c>
      <c r="O668">
        <v>61.1</v>
      </c>
      <c r="S668">
        <f t="shared" si="103"/>
        <v>1</v>
      </c>
      <c r="T668">
        <f t="shared" si="104"/>
        <v>0</v>
      </c>
      <c r="U668">
        <f t="shared" si="105"/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21.9</v>
      </c>
      <c r="AG668">
        <f t="shared" si="106"/>
        <v>1</v>
      </c>
      <c r="AH668">
        <f t="shared" si="107"/>
        <v>1</v>
      </c>
      <c r="AI668">
        <f t="shared" si="108"/>
        <v>0</v>
      </c>
      <c r="AJ668">
        <v>292.2</v>
      </c>
      <c r="AK668">
        <v>1015.2</v>
      </c>
      <c r="AL668">
        <v>30</v>
      </c>
      <c r="AM668">
        <v>6.5</v>
      </c>
      <c r="AN668">
        <v>0</v>
      </c>
      <c r="AO668">
        <v>0</v>
      </c>
      <c r="AP668">
        <v>0</v>
      </c>
      <c r="AQ668">
        <v>0</v>
      </c>
      <c r="AR668" t="s">
        <v>2251</v>
      </c>
      <c r="AS668" t="s">
        <v>2252</v>
      </c>
      <c r="AT668">
        <v>0.34</v>
      </c>
      <c r="AU668" t="s">
        <v>43</v>
      </c>
      <c r="AV668" t="s">
        <v>44</v>
      </c>
      <c r="AW668" t="s">
        <v>45</v>
      </c>
      <c r="AX668" s="1">
        <v>0.43958333333333333</v>
      </c>
      <c r="AY668" t="s">
        <v>2253</v>
      </c>
      <c r="AZ668">
        <v>56.999999997206032</v>
      </c>
      <c r="BA668">
        <v>0</v>
      </c>
      <c r="BB668">
        <v>0</v>
      </c>
      <c r="BC668">
        <v>0.1</v>
      </c>
      <c r="BD668">
        <v>0</v>
      </c>
      <c r="BE668">
        <f t="shared" si="109"/>
        <v>1</v>
      </c>
    </row>
    <row r="669" spans="1:57" x14ac:dyDescent="0.25">
      <c r="A669" t="s">
        <v>39</v>
      </c>
      <c r="B669" t="s">
        <v>2254</v>
      </c>
      <c r="C669">
        <v>78.900000000000006</v>
      </c>
      <c r="D669">
        <v>73.5</v>
      </c>
      <c r="G669">
        <f t="shared" si="100"/>
        <v>1</v>
      </c>
      <c r="H669">
        <f t="shared" si="101"/>
        <v>0</v>
      </c>
      <c r="I669">
        <f t="shared" si="102"/>
        <v>1</v>
      </c>
      <c r="J669">
        <v>76</v>
      </c>
      <c r="K669">
        <v>78.900000000000006</v>
      </c>
      <c r="L669">
        <v>73.5</v>
      </c>
      <c r="M669">
        <v>76</v>
      </c>
      <c r="N669">
        <v>59.8</v>
      </c>
      <c r="O669">
        <v>57.4</v>
      </c>
      <c r="S669">
        <f t="shared" si="103"/>
        <v>1</v>
      </c>
      <c r="T669">
        <f t="shared" si="104"/>
        <v>0</v>
      </c>
      <c r="U669">
        <f t="shared" si="105"/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26.4</v>
      </c>
      <c r="AG669">
        <f t="shared" si="106"/>
        <v>1</v>
      </c>
      <c r="AH669">
        <f t="shared" si="107"/>
        <v>1</v>
      </c>
      <c r="AI669">
        <f t="shared" si="108"/>
        <v>0</v>
      </c>
      <c r="AJ669">
        <v>307.89999999999998</v>
      </c>
      <c r="AK669">
        <v>1013.1</v>
      </c>
      <c r="AL669">
        <v>33.6</v>
      </c>
      <c r="AM669">
        <v>6.8</v>
      </c>
      <c r="AN669">
        <v>0</v>
      </c>
      <c r="AO669">
        <v>0</v>
      </c>
      <c r="AP669">
        <v>0</v>
      </c>
      <c r="AQ669">
        <v>0</v>
      </c>
      <c r="AR669" t="s">
        <v>2255</v>
      </c>
      <c r="AS669" t="s">
        <v>2256</v>
      </c>
      <c r="AT669">
        <v>0.79</v>
      </c>
      <c r="AU669" t="s">
        <v>43</v>
      </c>
      <c r="AV669" t="s">
        <v>44</v>
      </c>
      <c r="AW669" t="s">
        <v>45</v>
      </c>
      <c r="AX669" s="1">
        <v>0.9194444444444444</v>
      </c>
      <c r="AY669" t="s">
        <v>2257</v>
      </c>
      <c r="AZ669">
        <v>815.99999999860302</v>
      </c>
      <c r="BA669">
        <v>1</v>
      </c>
      <c r="BB669">
        <v>0</v>
      </c>
      <c r="BC669">
        <v>10</v>
      </c>
      <c r="BD669">
        <v>0</v>
      </c>
      <c r="BE669">
        <f t="shared" si="109"/>
        <v>1</v>
      </c>
    </row>
    <row r="670" spans="1:57" x14ac:dyDescent="0.25">
      <c r="A670" t="s">
        <v>39</v>
      </c>
      <c r="B670" t="s">
        <v>2058</v>
      </c>
      <c r="C670">
        <v>82.5</v>
      </c>
      <c r="D670">
        <v>71.7</v>
      </c>
      <c r="G670">
        <f t="shared" si="100"/>
        <v>0</v>
      </c>
      <c r="H670">
        <f t="shared" si="101"/>
        <v>0</v>
      </c>
      <c r="I670">
        <f t="shared" si="102"/>
        <v>0</v>
      </c>
      <c r="J670">
        <v>78.400000000000006</v>
      </c>
      <c r="K670">
        <v>84.8</v>
      </c>
      <c r="L670">
        <v>71.7</v>
      </c>
      <c r="M670">
        <v>79.099999999999994</v>
      </c>
      <c r="N670">
        <v>61.4</v>
      </c>
      <c r="O670">
        <v>56.2</v>
      </c>
      <c r="S670">
        <f t="shared" si="103"/>
        <v>1</v>
      </c>
      <c r="T670">
        <f t="shared" si="104"/>
        <v>0</v>
      </c>
      <c r="U670">
        <f t="shared" si="105"/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23</v>
      </c>
      <c r="AG670">
        <f t="shared" si="106"/>
        <v>1</v>
      </c>
      <c r="AH670">
        <f t="shared" si="107"/>
        <v>1</v>
      </c>
      <c r="AI670">
        <f t="shared" si="108"/>
        <v>0</v>
      </c>
      <c r="AJ670">
        <v>299.5</v>
      </c>
      <c r="AK670">
        <v>1009.8</v>
      </c>
      <c r="AL670">
        <v>30</v>
      </c>
      <c r="AM670">
        <v>6.8</v>
      </c>
      <c r="AN670">
        <v>0</v>
      </c>
      <c r="AO670">
        <v>0</v>
      </c>
      <c r="AP670">
        <v>0</v>
      </c>
      <c r="AQ670">
        <v>0</v>
      </c>
      <c r="AR670" t="s">
        <v>2059</v>
      </c>
      <c r="AS670" t="s">
        <v>2060</v>
      </c>
      <c r="AT670">
        <v>0.19</v>
      </c>
      <c r="AU670" t="s">
        <v>43</v>
      </c>
      <c r="AV670" t="s">
        <v>44</v>
      </c>
      <c r="AW670" t="s">
        <v>45</v>
      </c>
      <c r="AX670" s="1">
        <v>0.59375</v>
      </c>
      <c r="AY670" t="s">
        <v>2258</v>
      </c>
      <c r="AZ670">
        <v>255.00000000349249</v>
      </c>
      <c r="BA670">
        <v>0</v>
      </c>
      <c r="BB670">
        <v>2</v>
      </c>
      <c r="BC670">
        <v>0</v>
      </c>
      <c r="BD670">
        <v>0</v>
      </c>
      <c r="BE670">
        <f t="shared" si="109"/>
        <v>0</v>
      </c>
    </row>
    <row r="671" spans="1:57" x14ac:dyDescent="0.25">
      <c r="A671" t="s">
        <v>39</v>
      </c>
      <c r="B671" t="s">
        <v>1999</v>
      </c>
      <c r="C671">
        <v>60.9</v>
      </c>
      <c r="D671">
        <v>44.7</v>
      </c>
      <c r="G671">
        <f t="shared" si="100"/>
        <v>0</v>
      </c>
      <c r="H671">
        <f t="shared" si="101"/>
        <v>0</v>
      </c>
      <c r="I671">
        <f t="shared" si="102"/>
        <v>0</v>
      </c>
      <c r="J671">
        <v>53.8</v>
      </c>
      <c r="K671">
        <v>60.9</v>
      </c>
      <c r="L671">
        <v>39.799999999999997</v>
      </c>
      <c r="M671">
        <v>52.2</v>
      </c>
      <c r="N671">
        <v>44.3</v>
      </c>
      <c r="O671">
        <v>71.400000000000006</v>
      </c>
      <c r="S671">
        <f t="shared" si="103"/>
        <v>1</v>
      </c>
      <c r="T671">
        <f t="shared" si="104"/>
        <v>1</v>
      </c>
      <c r="U671">
        <f t="shared" si="105"/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13.9</v>
      </c>
      <c r="AG671">
        <f t="shared" si="106"/>
        <v>1</v>
      </c>
      <c r="AH671">
        <f t="shared" si="107"/>
        <v>0</v>
      </c>
      <c r="AI671">
        <f t="shared" si="108"/>
        <v>1</v>
      </c>
      <c r="AJ671">
        <v>274.5</v>
      </c>
      <c r="AK671">
        <v>1016.2</v>
      </c>
      <c r="AL671">
        <v>50</v>
      </c>
      <c r="AM671">
        <v>6.8</v>
      </c>
      <c r="AN671">
        <v>0</v>
      </c>
      <c r="AO671">
        <v>0</v>
      </c>
      <c r="AP671">
        <v>0</v>
      </c>
      <c r="AQ671">
        <v>0</v>
      </c>
      <c r="AR671" t="s">
        <v>2000</v>
      </c>
      <c r="AS671" t="s">
        <v>2001</v>
      </c>
      <c r="AT671">
        <v>0.15</v>
      </c>
      <c r="AU671" t="s">
        <v>43</v>
      </c>
      <c r="AV671" t="s">
        <v>44</v>
      </c>
      <c r="AW671" t="s">
        <v>45</v>
      </c>
      <c r="AX671" s="1">
        <v>0.62361111111111112</v>
      </c>
      <c r="AY671" t="s">
        <v>2259</v>
      </c>
      <c r="AZ671">
        <v>91.999999996041879</v>
      </c>
      <c r="BA671">
        <v>0</v>
      </c>
      <c r="BB671">
        <v>0</v>
      </c>
      <c r="BC671">
        <v>0</v>
      </c>
      <c r="BD671">
        <v>1</v>
      </c>
      <c r="BE671">
        <f t="shared" si="109"/>
        <v>0</v>
      </c>
    </row>
    <row r="672" spans="1:57" x14ac:dyDescent="0.25">
      <c r="A672" t="s">
        <v>39</v>
      </c>
      <c r="B672" t="s">
        <v>2149</v>
      </c>
      <c r="C672">
        <v>80.7</v>
      </c>
      <c r="D672">
        <v>68.099999999999994</v>
      </c>
      <c r="G672">
        <f t="shared" si="100"/>
        <v>0</v>
      </c>
      <c r="H672">
        <f t="shared" si="101"/>
        <v>0</v>
      </c>
      <c r="I672">
        <f t="shared" si="102"/>
        <v>0</v>
      </c>
      <c r="J672">
        <v>75</v>
      </c>
      <c r="K672">
        <v>82.4</v>
      </c>
      <c r="L672">
        <v>68.099999999999994</v>
      </c>
      <c r="M672">
        <v>75.099999999999994</v>
      </c>
      <c r="N672">
        <v>61.8</v>
      </c>
      <c r="O672">
        <v>63.8</v>
      </c>
      <c r="S672">
        <f t="shared" si="103"/>
        <v>1</v>
      </c>
      <c r="T672">
        <f t="shared" si="104"/>
        <v>0</v>
      </c>
      <c r="U672">
        <f t="shared" si="105"/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13.9</v>
      </c>
      <c r="AG672">
        <f t="shared" si="106"/>
        <v>1</v>
      </c>
      <c r="AH672">
        <f t="shared" si="107"/>
        <v>0</v>
      </c>
      <c r="AI672">
        <f t="shared" si="108"/>
        <v>1</v>
      </c>
      <c r="AJ672">
        <v>322.3</v>
      </c>
      <c r="AK672">
        <v>1013</v>
      </c>
      <c r="AL672">
        <v>0</v>
      </c>
      <c r="AM672">
        <v>6.2</v>
      </c>
      <c r="AN672">
        <v>0</v>
      </c>
      <c r="AO672">
        <v>0</v>
      </c>
      <c r="AP672">
        <v>0</v>
      </c>
      <c r="AQ672">
        <v>0</v>
      </c>
      <c r="AR672" t="s">
        <v>2150</v>
      </c>
      <c r="AS672" t="s">
        <v>2151</v>
      </c>
      <c r="AT672">
        <v>0.52</v>
      </c>
      <c r="AU672" t="s">
        <v>74</v>
      </c>
      <c r="AV672" t="s">
        <v>44</v>
      </c>
      <c r="AW672" t="s">
        <v>75</v>
      </c>
      <c r="AX672" s="1">
        <v>0.55555555555555558</v>
      </c>
      <c r="AY672" t="s">
        <v>2260</v>
      </c>
      <c r="AZ672">
        <v>220.00000000465661</v>
      </c>
      <c r="BA672">
        <v>0</v>
      </c>
      <c r="BB672">
        <v>0</v>
      </c>
      <c r="BC672">
        <v>8</v>
      </c>
      <c r="BD672">
        <v>0</v>
      </c>
      <c r="BE672">
        <f t="shared" si="109"/>
        <v>0</v>
      </c>
    </row>
    <row r="673" spans="1:57" x14ac:dyDescent="0.25">
      <c r="A673" t="s">
        <v>39</v>
      </c>
      <c r="B673" t="s">
        <v>2242</v>
      </c>
      <c r="C673">
        <v>78.900000000000006</v>
      </c>
      <c r="D673">
        <v>60.9</v>
      </c>
      <c r="G673">
        <f t="shared" si="100"/>
        <v>1</v>
      </c>
      <c r="H673">
        <f t="shared" si="101"/>
        <v>1</v>
      </c>
      <c r="I673">
        <f t="shared" si="102"/>
        <v>0</v>
      </c>
      <c r="J673">
        <v>70.099999999999994</v>
      </c>
      <c r="K673">
        <v>78.900000000000006</v>
      </c>
      <c r="L673">
        <v>60.9</v>
      </c>
      <c r="M673">
        <v>70.099999999999994</v>
      </c>
      <c r="N673">
        <v>53</v>
      </c>
      <c r="O673">
        <v>56.6</v>
      </c>
      <c r="S673">
        <f t="shared" si="103"/>
        <v>1</v>
      </c>
      <c r="T673">
        <f t="shared" si="104"/>
        <v>0</v>
      </c>
      <c r="U673">
        <f t="shared" si="105"/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9.1999999999999993</v>
      </c>
      <c r="AG673">
        <f t="shared" si="106"/>
        <v>1</v>
      </c>
      <c r="AH673">
        <f t="shared" si="107"/>
        <v>0</v>
      </c>
      <c r="AI673">
        <f t="shared" si="108"/>
        <v>1</v>
      </c>
      <c r="AJ673">
        <v>156.69999999999999</v>
      </c>
      <c r="AK673">
        <v>1016.2</v>
      </c>
      <c r="AL673">
        <v>0</v>
      </c>
      <c r="AM673">
        <v>6.2</v>
      </c>
      <c r="AN673">
        <v>0</v>
      </c>
      <c r="AO673">
        <v>0</v>
      </c>
      <c r="AP673">
        <v>0</v>
      </c>
      <c r="AQ673">
        <v>0</v>
      </c>
      <c r="AR673" t="s">
        <v>2243</v>
      </c>
      <c r="AS673" t="s">
        <v>2244</v>
      </c>
      <c r="AT673">
        <v>0.41</v>
      </c>
      <c r="AU673" t="s">
        <v>74</v>
      </c>
      <c r="AV673" t="s">
        <v>44</v>
      </c>
      <c r="AW673" t="s">
        <v>75</v>
      </c>
      <c r="AX673" s="1">
        <v>0.6875</v>
      </c>
      <c r="AY673" t="s">
        <v>2261</v>
      </c>
      <c r="AZ673">
        <v>225</v>
      </c>
      <c r="BA673">
        <v>0</v>
      </c>
      <c r="BB673">
        <v>0</v>
      </c>
      <c r="BC673">
        <v>6</v>
      </c>
      <c r="BD673">
        <v>0</v>
      </c>
      <c r="BE673">
        <f t="shared" si="109"/>
        <v>1</v>
      </c>
    </row>
    <row r="674" spans="1:57" x14ac:dyDescent="0.25">
      <c r="A674" t="s">
        <v>39</v>
      </c>
      <c r="B674" t="s">
        <v>2262</v>
      </c>
      <c r="C674">
        <v>86.1</v>
      </c>
      <c r="D674">
        <v>60.9</v>
      </c>
      <c r="G674">
        <f t="shared" si="100"/>
        <v>1</v>
      </c>
      <c r="H674">
        <f t="shared" si="101"/>
        <v>1</v>
      </c>
      <c r="I674">
        <f t="shared" si="102"/>
        <v>0</v>
      </c>
      <c r="J674">
        <v>72.599999999999994</v>
      </c>
      <c r="K674">
        <v>84.3</v>
      </c>
      <c r="L674">
        <v>60.9</v>
      </c>
      <c r="M674">
        <v>72.3</v>
      </c>
      <c r="N674">
        <v>55.7</v>
      </c>
      <c r="O674">
        <v>59.7</v>
      </c>
      <c r="S674">
        <f t="shared" si="103"/>
        <v>1</v>
      </c>
      <c r="T674">
        <f t="shared" si="104"/>
        <v>0</v>
      </c>
      <c r="U674">
        <f t="shared" si="105"/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25.3</v>
      </c>
      <c r="AG674">
        <f t="shared" si="106"/>
        <v>1</v>
      </c>
      <c r="AH674">
        <f t="shared" si="107"/>
        <v>1</v>
      </c>
      <c r="AI674">
        <f t="shared" si="108"/>
        <v>0</v>
      </c>
      <c r="AJ674">
        <v>169.4</v>
      </c>
      <c r="AK674">
        <v>1010.5</v>
      </c>
      <c r="AL674">
        <v>52.6</v>
      </c>
      <c r="AM674">
        <v>6.8</v>
      </c>
      <c r="AN674">
        <v>0</v>
      </c>
      <c r="AO674">
        <v>0</v>
      </c>
      <c r="AP674">
        <v>0</v>
      </c>
      <c r="AQ674">
        <v>0</v>
      </c>
      <c r="AR674" t="s">
        <v>2263</v>
      </c>
      <c r="AS674" t="s">
        <v>2264</v>
      </c>
      <c r="AT674">
        <v>0.13</v>
      </c>
      <c r="AU674" t="s">
        <v>43</v>
      </c>
      <c r="AV674" t="s">
        <v>44</v>
      </c>
      <c r="AW674" t="s">
        <v>45</v>
      </c>
      <c r="AX674" s="1">
        <v>0.73263888888888884</v>
      </c>
      <c r="AY674" t="s">
        <v>2265</v>
      </c>
      <c r="AZ674">
        <v>145.00000000116421</v>
      </c>
      <c r="BA674">
        <v>0</v>
      </c>
      <c r="BB674">
        <v>0</v>
      </c>
      <c r="BC674">
        <v>0.5</v>
      </c>
      <c r="BD674">
        <v>0</v>
      </c>
      <c r="BE674">
        <f t="shared" si="109"/>
        <v>1</v>
      </c>
    </row>
    <row r="675" spans="1:57" x14ac:dyDescent="0.25">
      <c r="A675" t="s">
        <v>39</v>
      </c>
      <c r="B675" t="s">
        <v>2086</v>
      </c>
      <c r="C675">
        <v>66.3</v>
      </c>
      <c r="D675">
        <v>64.5</v>
      </c>
      <c r="G675">
        <f t="shared" si="100"/>
        <v>1</v>
      </c>
      <c r="H675">
        <f t="shared" si="101"/>
        <v>0</v>
      </c>
      <c r="I675">
        <f t="shared" si="102"/>
        <v>1</v>
      </c>
      <c r="J675">
        <v>65.400000000000006</v>
      </c>
      <c r="K675">
        <v>66.3</v>
      </c>
      <c r="L675">
        <v>64.5</v>
      </c>
      <c r="M675">
        <v>65.400000000000006</v>
      </c>
      <c r="N675">
        <v>51.5</v>
      </c>
      <c r="O675">
        <v>60.9</v>
      </c>
      <c r="S675">
        <f t="shared" si="103"/>
        <v>1</v>
      </c>
      <c r="T675">
        <f t="shared" si="104"/>
        <v>0</v>
      </c>
      <c r="U675">
        <f t="shared" si="105"/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21.9</v>
      </c>
      <c r="AG675">
        <f t="shared" si="106"/>
        <v>1</v>
      </c>
      <c r="AH675">
        <f t="shared" si="107"/>
        <v>1</v>
      </c>
      <c r="AI675">
        <f t="shared" si="108"/>
        <v>0</v>
      </c>
      <c r="AJ675">
        <v>329.2</v>
      </c>
      <c r="AK675">
        <v>1016.8</v>
      </c>
      <c r="AL675">
        <v>60.8</v>
      </c>
      <c r="AM675">
        <v>6.8</v>
      </c>
      <c r="AN675">
        <v>0</v>
      </c>
      <c r="AO675">
        <v>0</v>
      </c>
      <c r="AP675">
        <v>0</v>
      </c>
      <c r="AQ675">
        <v>0</v>
      </c>
      <c r="AR675" t="s">
        <v>2087</v>
      </c>
      <c r="AS675" t="s">
        <v>2088</v>
      </c>
      <c r="AT675">
        <v>0.21</v>
      </c>
      <c r="AU675" t="s">
        <v>43</v>
      </c>
      <c r="AV675" t="s">
        <v>44</v>
      </c>
      <c r="AW675" t="s">
        <v>45</v>
      </c>
      <c r="AX675" s="1">
        <v>0.45833333333333331</v>
      </c>
      <c r="AY675" t="s">
        <v>2266</v>
      </c>
      <c r="AZ675">
        <v>90</v>
      </c>
      <c r="BA675">
        <v>0</v>
      </c>
      <c r="BB675">
        <v>0</v>
      </c>
      <c r="BC675">
        <v>0.3</v>
      </c>
      <c r="BD675">
        <v>0</v>
      </c>
      <c r="BE675">
        <f t="shared" si="109"/>
        <v>1</v>
      </c>
    </row>
    <row r="676" spans="1:57" x14ac:dyDescent="0.25">
      <c r="A676" t="s">
        <v>39</v>
      </c>
      <c r="B676" t="s">
        <v>2267</v>
      </c>
      <c r="C676">
        <v>82.5</v>
      </c>
      <c r="D676">
        <v>68.099999999999994</v>
      </c>
      <c r="G676">
        <f t="shared" si="100"/>
        <v>1</v>
      </c>
      <c r="H676">
        <f t="shared" si="101"/>
        <v>1</v>
      </c>
      <c r="I676">
        <f t="shared" si="102"/>
        <v>0</v>
      </c>
      <c r="J676">
        <v>73.900000000000006</v>
      </c>
      <c r="K676">
        <v>83.4</v>
      </c>
      <c r="L676">
        <v>68.099999999999994</v>
      </c>
      <c r="M676">
        <v>74.2</v>
      </c>
      <c r="N676">
        <v>63.2</v>
      </c>
      <c r="O676">
        <v>70.2</v>
      </c>
      <c r="S676">
        <f t="shared" si="103"/>
        <v>1</v>
      </c>
      <c r="T676">
        <f t="shared" si="104"/>
        <v>1</v>
      </c>
      <c r="U676">
        <f t="shared" si="105"/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9.1999999999999993</v>
      </c>
      <c r="AG676">
        <f t="shared" si="106"/>
        <v>1</v>
      </c>
      <c r="AH676">
        <f t="shared" si="107"/>
        <v>0</v>
      </c>
      <c r="AI676">
        <f t="shared" si="108"/>
        <v>1</v>
      </c>
      <c r="AJ676">
        <v>83.2</v>
      </c>
      <c r="AK676">
        <v>1008.5</v>
      </c>
      <c r="AL676">
        <v>62.2</v>
      </c>
      <c r="AM676">
        <v>6.8</v>
      </c>
      <c r="AN676">
        <v>0</v>
      </c>
      <c r="AO676">
        <v>0</v>
      </c>
      <c r="AP676">
        <v>0</v>
      </c>
      <c r="AQ676">
        <v>0</v>
      </c>
      <c r="AR676" t="s">
        <v>2268</v>
      </c>
      <c r="AS676" t="s">
        <v>2269</v>
      </c>
      <c r="AT676">
        <v>0.2</v>
      </c>
      <c r="AU676" t="s">
        <v>43</v>
      </c>
      <c r="AV676" t="s">
        <v>44</v>
      </c>
      <c r="AW676" t="s">
        <v>45</v>
      </c>
      <c r="AX676" s="1">
        <v>0.52083333333333337</v>
      </c>
      <c r="AY676" t="s">
        <v>2270</v>
      </c>
      <c r="AZ676">
        <v>119.99999999301509</v>
      </c>
      <c r="BA676">
        <v>0</v>
      </c>
      <c r="BB676">
        <v>8</v>
      </c>
      <c r="BC676">
        <v>0</v>
      </c>
      <c r="BD676">
        <v>0</v>
      </c>
      <c r="BE676">
        <f t="shared" si="109"/>
        <v>1</v>
      </c>
    </row>
    <row r="677" spans="1:57" x14ac:dyDescent="0.25">
      <c r="A677" t="s">
        <v>39</v>
      </c>
      <c r="B677" t="s">
        <v>2242</v>
      </c>
      <c r="C677">
        <v>78.900000000000006</v>
      </c>
      <c r="D677">
        <v>60.9</v>
      </c>
      <c r="G677">
        <f t="shared" si="100"/>
        <v>1</v>
      </c>
      <c r="H677">
        <f t="shared" si="101"/>
        <v>1</v>
      </c>
      <c r="I677">
        <f t="shared" si="102"/>
        <v>0</v>
      </c>
      <c r="J677">
        <v>70.099999999999994</v>
      </c>
      <c r="K677">
        <v>78.900000000000006</v>
      </c>
      <c r="L677">
        <v>60.9</v>
      </c>
      <c r="M677">
        <v>70.099999999999994</v>
      </c>
      <c r="N677">
        <v>53</v>
      </c>
      <c r="O677">
        <v>56.6</v>
      </c>
      <c r="S677">
        <f t="shared" si="103"/>
        <v>1</v>
      </c>
      <c r="T677">
        <f t="shared" si="104"/>
        <v>0</v>
      </c>
      <c r="U677">
        <f t="shared" si="105"/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9.1999999999999993</v>
      </c>
      <c r="AG677">
        <f t="shared" si="106"/>
        <v>1</v>
      </c>
      <c r="AH677">
        <f t="shared" si="107"/>
        <v>0</v>
      </c>
      <c r="AI677">
        <f t="shared" si="108"/>
        <v>1</v>
      </c>
      <c r="AJ677">
        <v>156.69999999999999</v>
      </c>
      <c r="AK677">
        <v>1016.2</v>
      </c>
      <c r="AL677">
        <v>0</v>
      </c>
      <c r="AM677">
        <v>6.2</v>
      </c>
      <c r="AN677">
        <v>0</v>
      </c>
      <c r="AO677">
        <v>0</v>
      </c>
      <c r="AP677">
        <v>0</v>
      </c>
      <c r="AQ677">
        <v>0</v>
      </c>
      <c r="AR677" t="s">
        <v>2243</v>
      </c>
      <c r="AS677" t="s">
        <v>2244</v>
      </c>
      <c r="AT677">
        <v>0.41</v>
      </c>
      <c r="AU677" t="s">
        <v>74</v>
      </c>
      <c r="AV677" t="s">
        <v>44</v>
      </c>
      <c r="AW677" t="s">
        <v>75</v>
      </c>
      <c r="AX677" s="1">
        <v>0.55555555555555558</v>
      </c>
      <c r="AY677" t="s">
        <v>2271</v>
      </c>
      <c r="AZ677">
        <v>355.00000000465661</v>
      </c>
      <c r="BA677">
        <v>0</v>
      </c>
      <c r="BB677">
        <v>30</v>
      </c>
      <c r="BC677">
        <v>0</v>
      </c>
      <c r="BD677">
        <v>0</v>
      </c>
      <c r="BE677">
        <f t="shared" si="109"/>
        <v>1</v>
      </c>
    </row>
    <row r="678" spans="1:57" x14ac:dyDescent="0.25">
      <c r="A678" t="s">
        <v>39</v>
      </c>
      <c r="B678" t="s">
        <v>2120</v>
      </c>
      <c r="C678">
        <v>77.099999999999994</v>
      </c>
      <c r="D678">
        <v>62.7</v>
      </c>
      <c r="G678">
        <f t="shared" si="100"/>
        <v>1</v>
      </c>
      <c r="H678">
        <f t="shared" si="101"/>
        <v>1</v>
      </c>
      <c r="I678">
        <f t="shared" si="102"/>
        <v>0</v>
      </c>
      <c r="J678">
        <v>69.599999999999994</v>
      </c>
      <c r="K678">
        <v>77.099999999999994</v>
      </c>
      <c r="L678">
        <v>62.7</v>
      </c>
      <c r="M678">
        <v>69.599999999999994</v>
      </c>
      <c r="N678">
        <v>57.1</v>
      </c>
      <c r="O678">
        <v>65.5</v>
      </c>
      <c r="S678">
        <f t="shared" si="103"/>
        <v>0</v>
      </c>
      <c r="T678">
        <f t="shared" si="104"/>
        <v>0</v>
      </c>
      <c r="U678">
        <f t="shared" si="105"/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11.4</v>
      </c>
      <c r="AG678">
        <f t="shared" si="106"/>
        <v>1</v>
      </c>
      <c r="AH678">
        <f t="shared" si="107"/>
        <v>0</v>
      </c>
      <c r="AI678">
        <f t="shared" si="108"/>
        <v>1</v>
      </c>
      <c r="AJ678">
        <v>156.80000000000001</v>
      </c>
      <c r="AK678">
        <v>1015.8</v>
      </c>
      <c r="AL678">
        <v>30</v>
      </c>
      <c r="AM678">
        <v>6.3</v>
      </c>
      <c r="AN678">
        <v>0</v>
      </c>
      <c r="AO678">
        <v>0</v>
      </c>
      <c r="AP678">
        <v>0</v>
      </c>
      <c r="AQ678">
        <v>0</v>
      </c>
      <c r="AR678" t="s">
        <v>2121</v>
      </c>
      <c r="AS678" t="s">
        <v>2122</v>
      </c>
      <c r="AT678">
        <v>0.44</v>
      </c>
      <c r="AU678" t="s">
        <v>43</v>
      </c>
      <c r="AV678" t="s">
        <v>44</v>
      </c>
      <c r="AW678" t="s">
        <v>45</v>
      </c>
      <c r="AX678" s="1">
        <v>0.63888888888888884</v>
      </c>
      <c r="AY678" t="s">
        <v>2272</v>
      </c>
      <c r="AZ678">
        <v>174.99999999417921</v>
      </c>
      <c r="BA678">
        <v>0</v>
      </c>
      <c r="BB678">
        <v>0</v>
      </c>
      <c r="BC678">
        <v>2</v>
      </c>
      <c r="BD678">
        <v>0</v>
      </c>
      <c r="BE678">
        <f t="shared" si="109"/>
        <v>0</v>
      </c>
    </row>
    <row r="679" spans="1:57" x14ac:dyDescent="0.25">
      <c r="A679" t="s">
        <v>39</v>
      </c>
      <c r="B679" t="s">
        <v>2254</v>
      </c>
      <c r="C679">
        <v>78.900000000000006</v>
      </c>
      <c r="D679">
        <v>73.5</v>
      </c>
      <c r="G679">
        <f t="shared" si="100"/>
        <v>1</v>
      </c>
      <c r="H679">
        <f t="shared" si="101"/>
        <v>0</v>
      </c>
      <c r="I679">
        <f t="shared" si="102"/>
        <v>1</v>
      </c>
      <c r="J679">
        <v>76</v>
      </c>
      <c r="K679">
        <v>78.900000000000006</v>
      </c>
      <c r="L679">
        <v>73.5</v>
      </c>
      <c r="M679">
        <v>76</v>
      </c>
      <c r="N679">
        <v>59.8</v>
      </c>
      <c r="O679">
        <v>57.4</v>
      </c>
      <c r="S679">
        <f t="shared" si="103"/>
        <v>1</v>
      </c>
      <c r="T679">
        <f t="shared" si="104"/>
        <v>0</v>
      </c>
      <c r="U679">
        <f t="shared" si="105"/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26.4</v>
      </c>
      <c r="AG679">
        <f t="shared" si="106"/>
        <v>1</v>
      </c>
      <c r="AH679">
        <f t="shared" si="107"/>
        <v>1</v>
      </c>
      <c r="AI679">
        <f t="shared" si="108"/>
        <v>0</v>
      </c>
      <c r="AJ679">
        <v>307.89999999999998</v>
      </c>
      <c r="AK679">
        <v>1013.1</v>
      </c>
      <c r="AL679">
        <v>33.6</v>
      </c>
      <c r="AM679">
        <v>6.8</v>
      </c>
      <c r="AN679">
        <v>0</v>
      </c>
      <c r="AO679">
        <v>0</v>
      </c>
      <c r="AP679">
        <v>0</v>
      </c>
      <c r="AQ679">
        <v>0</v>
      </c>
      <c r="AR679" t="s">
        <v>2255</v>
      </c>
      <c r="AS679" t="s">
        <v>2256</v>
      </c>
      <c r="AT679">
        <v>0.79</v>
      </c>
      <c r="AU679" t="s">
        <v>43</v>
      </c>
      <c r="AV679" t="s">
        <v>44</v>
      </c>
      <c r="AW679" t="s">
        <v>45</v>
      </c>
      <c r="AX679" s="1">
        <v>0.57638888888888884</v>
      </c>
      <c r="AY679" t="s">
        <v>2273</v>
      </c>
      <c r="AZ679">
        <v>474.99999999767169</v>
      </c>
      <c r="BA679">
        <v>1</v>
      </c>
      <c r="BB679">
        <v>0</v>
      </c>
      <c r="BC679">
        <v>4</v>
      </c>
      <c r="BD679">
        <v>0</v>
      </c>
      <c r="BE679">
        <f t="shared" si="109"/>
        <v>1</v>
      </c>
    </row>
    <row r="680" spans="1:57" x14ac:dyDescent="0.25">
      <c r="A680" t="s">
        <v>39</v>
      </c>
      <c r="B680" t="s">
        <v>2262</v>
      </c>
      <c r="C680">
        <v>86.1</v>
      </c>
      <c r="D680">
        <v>60.9</v>
      </c>
      <c r="G680">
        <f t="shared" si="100"/>
        <v>1</v>
      </c>
      <c r="H680">
        <f t="shared" si="101"/>
        <v>1</v>
      </c>
      <c r="I680">
        <f t="shared" si="102"/>
        <v>0</v>
      </c>
      <c r="J680">
        <v>72.599999999999994</v>
      </c>
      <c r="K680">
        <v>84.3</v>
      </c>
      <c r="L680">
        <v>60.9</v>
      </c>
      <c r="M680">
        <v>72.3</v>
      </c>
      <c r="N680">
        <v>55.7</v>
      </c>
      <c r="O680">
        <v>59.7</v>
      </c>
      <c r="S680">
        <f t="shared" si="103"/>
        <v>1</v>
      </c>
      <c r="T680">
        <f t="shared" si="104"/>
        <v>0</v>
      </c>
      <c r="U680">
        <f t="shared" si="105"/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25.3</v>
      </c>
      <c r="AG680">
        <f t="shared" si="106"/>
        <v>1</v>
      </c>
      <c r="AH680">
        <f t="shared" si="107"/>
        <v>1</v>
      </c>
      <c r="AI680">
        <f t="shared" si="108"/>
        <v>0</v>
      </c>
      <c r="AJ680">
        <v>169.4</v>
      </c>
      <c r="AK680">
        <v>1010.5</v>
      </c>
      <c r="AL680">
        <v>52.6</v>
      </c>
      <c r="AM680">
        <v>6.8</v>
      </c>
      <c r="AN680">
        <v>0</v>
      </c>
      <c r="AO680">
        <v>0</v>
      </c>
      <c r="AP680">
        <v>0</v>
      </c>
      <c r="AQ680">
        <v>0</v>
      </c>
      <c r="AR680" t="s">
        <v>2263</v>
      </c>
      <c r="AS680" t="s">
        <v>2264</v>
      </c>
      <c r="AT680">
        <v>0.13</v>
      </c>
      <c r="AU680" t="s">
        <v>43</v>
      </c>
      <c r="AV680" t="s">
        <v>44</v>
      </c>
      <c r="AW680" t="s">
        <v>45</v>
      </c>
      <c r="AX680" s="1">
        <v>0.85624999999999996</v>
      </c>
      <c r="AY680" t="s">
        <v>2274</v>
      </c>
      <c r="AZ680">
        <v>102.0000000076834</v>
      </c>
      <c r="BA680">
        <v>0</v>
      </c>
      <c r="BB680">
        <v>0</v>
      </c>
      <c r="BC680">
        <v>0.01</v>
      </c>
      <c r="BD680">
        <v>0</v>
      </c>
      <c r="BE680">
        <f t="shared" si="109"/>
        <v>1</v>
      </c>
    </row>
    <row r="681" spans="1:57" x14ac:dyDescent="0.25">
      <c r="A681" t="s">
        <v>39</v>
      </c>
      <c r="B681" t="s">
        <v>2275</v>
      </c>
      <c r="C681">
        <v>77.099999999999994</v>
      </c>
      <c r="D681">
        <v>64.5</v>
      </c>
      <c r="G681">
        <f t="shared" si="100"/>
        <v>1</v>
      </c>
      <c r="H681">
        <f t="shared" si="101"/>
        <v>1</v>
      </c>
      <c r="I681">
        <f t="shared" si="102"/>
        <v>0</v>
      </c>
      <c r="J681">
        <v>70.900000000000006</v>
      </c>
      <c r="K681">
        <v>77.099999999999994</v>
      </c>
      <c r="L681">
        <v>64.5</v>
      </c>
      <c r="M681">
        <v>70.900000000000006</v>
      </c>
      <c r="N681">
        <v>63.5</v>
      </c>
      <c r="O681">
        <v>78.099999999999994</v>
      </c>
      <c r="S681">
        <f t="shared" si="103"/>
        <v>1</v>
      </c>
      <c r="T681">
        <f t="shared" si="104"/>
        <v>1</v>
      </c>
      <c r="U681">
        <f t="shared" si="105"/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8.1</v>
      </c>
      <c r="AG681">
        <f t="shared" si="106"/>
        <v>1</v>
      </c>
      <c r="AH681">
        <f t="shared" si="107"/>
        <v>0</v>
      </c>
      <c r="AI681">
        <f t="shared" si="108"/>
        <v>1</v>
      </c>
      <c r="AJ681">
        <v>168.2</v>
      </c>
      <c r="AK681">
        <v>1012.1</v>
      </c>
      <c r="AL681">
        <v>48.1</v>
      </c>
      <c r="AM681">
        <v>6.7</v>
      </c>
      <c r="AN681">
        <v>0</v>
      </c>
      <c r="AO681">
        <v>0</v>
      </c>
      <c r="AP681">
        <v>0</v>
      </c>
      <c r="AQ681">
        <v>0</v>
      </c>
      <c r="AR681" t="s">
        <v>2276</v>
      </c>
      <c r="AS681" t="s">
        <v>2277</v>
      </c>
      <c r="AT681">
        <v>0.5</v>
      </c>
      <c r="AU681" t="s">
        <v>43</v>
      </c>
      <c r="AV681" t="s">
        <v>44</v>
      </c>
      <c r="AW681" t="s">
        <v>45</v>
      </c>
      <c r="AX681" s="1">
        <v>0.58680555555555558</v>
      </c>
      <c r="AY681" t="s">
        <v>2278</v>
      </c>
      <c r="AZ681">
        <v>654.99999999767169</v>
      </c>
      <c r="BA681">
        <v>1</v>
      </c>
      <c r="BB681">
        <v>0</v>
      </c>
      <c r="BC681">
        <v>10</v>
      </c>
      <c r="BD681">
        <v>0</v>
      </c>
      <c r="BE681">
        <f t="shared" si="109"/>
        <v>1</v>
      </c>
    </row>
    <row r="682" spans="1:57" x14ac:dyDescent="0.25">
      <c r="A682" t="s">
        <v>39</v>
      </c>
      <c r="B682" t="s">
        <v>2279</v>
      </c>
      <c r="C682">
        <v>80.7</v>
      </c>
      <c r="D682">
        <v>75.3</v>
      </c>
      <c r="G682">
        <f t="shared" si="100"/>
        <v>0</v>
      </c>
      <c r="H682">
        <f t="shared" si="101"/>
        <v>0</v>
      </c>
      <c r="I682">
        <f t="shared" si="102"/>
        <v>0</v>
      </c>
      <c r="J682">
        <v>78.2</v>
      </c>
      <c r="K682">
        <v>81.900000000000006</v>
      </c>
      <c r="L682">
        <v>75.3</v>
      </c>
      <c r="M682">
        <v>78.5</v>
      </c>
      <c r="N682">
        <v>60.7</v>
      </c>
      <c r="O682">
        <v>55.1</v>
      </c>
      <c r="S682">
        <f t="shared" si="103"/>
        <v>1</v>
      </c>
      <c r="T682">
        <f t="shared" si="104"/>
        <v>0</v>
      </c>
      <c r="U682">
        <f t="shared" si="105"/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19.5</v>
      </c>
      <c r="AG682">
        <f t="shared" si="106"/>
        <v>1</v>
      </c>
      <c r="AH682">
        <f t="shared" si="107"/>
        <v>1</v>
      </c>
      <c r="AI682">
        <f t="shared" si="108"/>
        <v>0</v>
      </c>
      <c r="AJ682">
        <v>314.39999999999998</v>
      </c>
      <c r="AK682">
        <v>1011.8</v>
      </c>
      <c r="AL682">
        <v>30</v>
      </c>
      <c r="AM682">
        <v>6.3</v>
      </c>
      <c r="AN682">
        <v>0</v>
      </c>
      <c r="AO682">
        <v>0</v>
      </c>
      <c r="AP682">
        <v>0</v>
      </c>
      <c r="AQ682">
        <v>0</v>
      </c>
      <c r="AR682" t="s">
        <v>2280</v>
      </c>
      <c r="AS682" t="s">
        <v>2281</v>
      </c>
      <c r="AT682">
        <v>0.5</v>
      </c>
      <c r="AU682" t="s">
        <v>43</v>
      </c>
      <c r="AV682" t="s">
        <v>44</v>
      </c>
      <c r="AW682" t="s">
        <v>45</v>
      </c>
      <c r="AX682" s="1">
        <v>0.43055555555555558</v>
      </c>
      <c r="AY682" t="s">
        <v>2282</v>
      </c>
      <c r="AZ682">
        <v>640.00000000116415</v>
      </c>
      <c r="BA682">
        <v>1</v>
      </c>
      <c r="BB682">
        <v>0</v>
      </c>
      <c r="BC682">
        <v>2</v>
      </c>
      <c r="BD682">
        <v>0</v>
      </c>
      <c r="BE682">
        <f t="shared" si="109"/>
        <v>1</v>
      </c>
    </row>
    <row r="683" spans="1:57" x14ac:dyDescent="0.25">
      <c r="A683" t="s">
        <v>39</v>
      </c>
      <c r="B683" t="s">
        <v>2283</v>
      </c>
      <c r="C683">
        <v>73.5</v>
      </c>
      <c r="D683">
        <v>62.7</v>
      </c>
      <c r="G683">
        <f t="shared" si="100"/>
        <v>0</v>
      </c>
      <c r="H683">
        <f t="shared" si="101"/>
        <v>0</v>
      </c>
      <c r="I683">
        <f t="shared" si="102"/>
        <v>0</v>
      </c>
      <c r="J683">
        <v>67.7</v>
      </c>
      <c r="K683">
        <v>73.5</v>
      </c>
      <c r="L683">
        <v>62.7</v>
      </c>
      <c r="M683">
        <v>67.7</v>
      </c>
      <c r="N683">
        <v>49.6</v>
      </c>
      <c r="O683">
        <v>52.8</v>
      </c>
      <c r="S683">
        <f t="shared" si="103"/>
        <v>1</v>
      </c>
      <c r="T683">
        <f t="shared" si="104"/>
        <v>0</v>
      </c>
      <c r="U683">
        <f t="shared" si="105"/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19.5</v>
      </c>
      <c r="AG683">
        <f t="shared" si="106"/>
        <v>1</v>
      </c>
      <c r="AH683">
        <f t="shared" si="107"/>
        <v>1</v>
      </c>
      <c r="AI683">
        <f t="shared" si="108"/>
        <v>0</v>
      </c>
      <c r="AJ683">
        <v>303</v>
      </c>
      <c r="AK683">
        <v>1016.5</v>
      </c>
      <c r="AL683">
        <v>30</v>
      </c>
      <c r="AM683">
        <v>6.3</v>
      </c>
      <c r="AN683">
        <v>0</v>
      </c>
      <c r="AO683">
        <v>0</v>
      </c>
      <c r="AP683">
        <v>0</v>
      </c>
      <c r="AQ683">
        <v>0</v>
      </c>
      <c r="AR683" t="s">
        <v>2284</v>
      </c>
      <c r="AS683" t="s">
        <v>2285</v>
      </c>
      <c r="AT683">
        <v>0.65</v>
      </c>
      <c r="AU683" t="s">
        <v>43</v>
      </c>
      <c r="AV683" t="s">
        <v>44</v>
      </c>
      <c r="AW683" t="s">
        <v>45</v>
      </c>
      <c r="AX683" s="1">
        <v>0.68611111111111112</v>
      </c>
      <c r="AY683" t="s">
        <v>2286</v>
      </c>
      <c r="AZ683">
        <v>331.99999999254942</v>
      </c>
      <c r="BA683">
        <v>0</v>
      </c>
      <c r="BB683">
        <v>0</v>
      </c>
      <c r="BC683">
        <v>2</v>
      </c>
      <c r="BD683">
        <v>0</v>
      </c>
      <c r="BE683">
        <f t="shared" si="109"/>
        <v>0</v>
      </c>
    </row>
    <row r="684" spans="1:57" x14ac:dyDescent="0.25">
      <c r="A684" t="s">
        <v>39</v>
      </c>
      <c r="B684" t="s">
        <v>2287</v>
      </c>
      <c r="C684">
        <v>78.900000000000006</v>
      </c>
      <c r="D684">
        <v>68.099999999999994</v>
      </c>
      <c r="G684">
        <f t="shared" si="100"/>
        <v>1</v>
      </c>
      <c r="H684">
        <f t="shared" si="101"/>
        <v>0</v>
      </c>
      <c r="I684">
        <f t="shared" si="102"/>
        <v>1</v>
      </c>
      <c r="J684">
        <v>75.3</v>
      </c>
      <c r="K684">
        <v>78.900000000000006</v>
      </c>
      <c r="L684">
        <v>68.099999999999994</v>
      </c>
      <c r="M684">
        <v>75.3</v>
      </c>
      <c r="N684">
        <v>61.7</v>
      </c>
      <c r="O684">
        <v>63.2</v>
      </c>
      <c r="S684">
        <f t="shared" si="103"/>
        <v>1</v>
      </c>
      <c r="T684">
        <f t="shared" si="104"/>
        <v>1</v>
      </c>
      <c r="U684">
        <f t="shared" si="105"/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27.5</v>
      </c>
      <c r="AG684">
        <f t="shared" si="106"/>
        <v>1</v>
      </c>
      <c r="AH684">
        <f t="shared" si="107"/>
        <v>1</v>
      </c>
      <c r="AI684">
        <f t="shared" si="108"/>
        <v>0</v>
      </c>
      <c r="AJ684">
        <v>306.5</v>
      </c>
      <c r="AK684">
        <v>1011</v>
      </c>
      <c r="AL684">
        <v>30</v>
      </c>
      <c r="AM684">
        <v>6.8</v>
      </c>
      <c r="AN684">
        <v>0</v>
      </c>
      <c r="AO684">
        <v>0</v>
      </c>
      <c r="AP684">
        <v>0</v>
      </c>
      <c r="AQ684">
        <v>0</v>
      </c>
      <c r="AR684" t="s">
        <v>2288</v>
      </c>
      <c r="AS684" t="s">
        <v>2289</v>
      </c>
      <c r="AT684">
        <v>0.54</v>
      </c>
      <c r="AU684" t="s">
        <v>43</v>
      </c>
      <c r="AV684" t="s">
        <v>44</v>
      </c>
      <c r="AW684" t="s">
        <v>45</v>
      </c>
      <c r="AX684" s="1">
        <v>0.63888888888888884</v>
      </c>
      <c r="AY684" t="s">
        <v>2290</v>
      </c>
      <c r="AZ684">
        <v>370.00000000116421</v>
      </c>
      <c r="BA684">
        <v>1</v>
      </c>
      <c r="BB684">
        <v>0</v>
      </c>
      <c r="BC684">
        <v>2</v>
      </c>
      <c r="BD684">
        <v>0</v>
      </c>
      <c r="BE684">
        <f t="shared" si="109"/>
        <v>1</v>
      </c>
    </row>
    <row r="685" spans="1:57" x14ac:dyDescent="0.25">
      <c r="A685" t="s">
        <v>39</v>
      </c>
      <c r="B685" t="s">
        <v>2291</v>
      </c>
      <c r="C685">
        <v>68.099999999999994</v>
      </c>
      <c r="D685">
        <v>48.3</v>
      </c>
      <c r="G685">
        <f t="shared" si="100"/>
        <v>1</v>
      </c>
      <c r="H685">
        <f t="shared" si="101"/>
        <v>1</v>
      </c>
      <c r="I685">
        <f t="shared" si="102"/>
        <v>0</v>
      </c>
      <c r="J685">
        <v>57.2</v>
      </c>
      <c r="K685">
        <v>68.099999999999994</v>
      </c>
      <c r="L685">
        <v>45.7</v>
      </c>
      <c r="M685">
        <v>57</v>
      </c>
      <c r="N685">
        <v>43.4</v>
      </c>
      <c r="O685">
        <v>61.7</v>
      </c>
      <c r="S685">
        <f t="shared" si="103"/>
        <v>1</v>
      </c>
      <c r="T685">
        <f t="shared" si="104"/>
        <v>0</v>
      </c>
      <c r="U685">
        <f t="shared" si="105"/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20.8</v>
      </c>
      <c r="AG685">
        <f t="shared" si="106"/>
        <v>1</v>
      </c>
      <c r="AH685">
        <f t="shared" si="107"/>
        <v>1</v>
      </c>
      <c r="AI685">
        <f t="shared" si="108"/>
        <v>0</v>
      </c>
      <c r="AJ685">
        <v>177.5</v>
      </c>
      <c r="AK685">
        <v>1013.4</v>
      </c>
      <c r="AL685">
        <v>63.8</v>
      </c>
      <c r="AM685">
        <v>6.8</v>
      </c>
      <c r="AN685">
        <v>0</v>
      </c>
      <c r="AO685">
        <v>0</v>
      </c>
      <c r="AP685">
        <v>0</v>
      </c>
      <c r="AQ685">
        <v>0</v>
      </c>
      <c r="AR685" t="s">
        <v>2292</v>
      </c>
      <c r="AS685" t="s">
        <v>2293</v>
      </c>
      <c r="AT685">
        <v>0.08</v>
      </c>
      <c r="AU685" t="s">
        <v>43</v>
      </c>
      <c r="AV685" t="s">
        <v>44</v>
      </c>
      <c r="AW685" t="s">
        <v>45</v>
      </c>
      <c r="AX685" s="1">
        <v>0.74652777777777779</v>
      </c>
      <c r="AY685" t="s">
        <v>2294</v>
      </c>
      <c r="AZ685">
        <v>184.99999999534339</v>
      </c>
      <c r="BA685">
        <v>0</v>
      </c>
      <c r="BB685">
        <v>0</v>
      </c>
      <c r="BC685">
        <v>2</v>
      </c>
      <c r="BD685">
        <v>0</v>
      </c>
      <c r="BE685">
        <f t="shared" si="109"/>
        <v>1</v>
      </c>
    </row>
    <row r="686" spans="1:57" x14ac:dyDescent="0.25">
      <c r="A686" t="s">
        <v>39</v>
      </c>
      <c r="B686" t="s">
        <v>2295</v>
      </c>
      <c r="C686">
        <v>66.3</v>
      </c>
      <c r="D686">
        <v>51.9</v>
      </c>
      <c r="G686">
        <f t="shared" si="100"/>
        <v>1</v>
      </c>
      <c r="H686">
        <f t="shared" si="101"/>
        <v>1</v>
      </c>
      <c r="I686">
        <f t="shared" si="102"/>
        <v>0</v>
      </c>
      <c r="J686">
        <v>59</v>
      </c>
      <c r="K686">
        <v>66.3</v>
      </c>
      <c r="L686">
        <v>51.9</v>
      </c>
      <c r="M686">
        <v>59</v>
      </c>
      <c r="N686">
        <v>41.2</v>
      </c>
      <c r="O686">
        <v>53.9</v>
      </c>
      <c r="S686">
        <f t="shared" si="103"/>
        <v>1</v>
      </c>
      <c r="T686">
        <f t="shared" si="104"/>
        <v>0</v>
      </c>
      <c r="U686">
        <f t="shared" si="105"/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20.8</v>
      </c>
      <c r="AG686">
        <f t="shared" si="106"/>
        <v>1</v>
      </c>
      <c r="AH686">
        <f t="shared" si="107"/>
        <v>1</v>
      </c>
      <c r="AI686">
        <f t="shared" si="108"/>
        <v>0</v>
      </c>
      <c r="AJ686">
        <v>171</v>
      </c>
      <c r="AK686">
        <v>1013.4</v>
      </c>
      <c r="AL686">
        <v>61.8</v>
      </c>
      <c r="AM686">
        <v>6.6</v>
      </c>
      <c r="AN686">
        <v>0</v>
      </c>
      <c r="AO686">
        <v>0</v>
      </c>
      <c r="AP686">
        <v>0</v>
      </c>
      <c r="AQ686">
        <v>0</v>
      </c>
      <c r="AR686" t="s">
        <v>2296</v>
      </c>
      <c r="AS686" t="s">
        <v>2297</v>
      </c>
      <c r="AT686">
        <v>0.84</v>
      </c>
      <c r="AU686" t="s">
        <v>43</v>
      </c>
      <c r="AV686" t="s">
        <v>44</v>
      </c>
      <c r="AW686" t="s">
        <v>45</v>
      </c>
      <c r="AX686" s="1">
        <v>0.79305555555555551</v>
      </c>
      <c r="AY686" t="s">
        <v>2298</v>
      </c>
      <c r="AZ686">
        <v>158.00000000162979</v>
      </c>
      <c r="BA686">
        <v>0</v>
      </c>
      <c r="BB686">
        <v>0</v>
      </c>
      <c r="BC686">
        <v>8</v>
      </c>
      <c r="BD686">
        <v>0</v>
      </c>
      <c r="BE686">
        <f t="shared" si="109"/>
        <v>1</v>
      </c>
    </row>
    <row r="687" spans="1:57" x14ac:dyDescent="0.25">
      <c r="A687" t="s">
        <v>39</v>
      </c>
      <c r="B687" t="s">
        <v>2299</v>
      </c>
      <c r="C687">
        <v>77.099999999999994</v>
      </c>
      <c r="D687">
        <v>69.900000000000006</v>
      </c>
      <c r="G687">
        <f t="shared" si="100"/>
        <v>1</v>
      </c>
      <c r="H687">
        <f t="shared" si="101"/>
        <v>0</v>
      </c>
      <c r="I687">
        <f t="shared" si="102"/>
        <v>1</v>
      </c>
      <c r="J687">
        <v>73.3</v>
      </c>
      <c r="K687">
        <v>77.099999999999994</v>
      </c>
      <c r="L687">
        <v>69.900000000000006</v>
      </c>
      <c r="M687">
        <v>73.3</v>
      </c>
      <c r="N687">
        <v>60</v>
      </c>
      <c r="O687">
        <v>63.3</v>
      </c>
      <c r="S687">
        <f t="shared" si="103"/>
        <v>1</v>
      </c>
      <c r="T687">
        <f t="shared" si="104"/>
        <v>0</v>
      </c>
      <c r="U687">
        <f t="shared" si="105"/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24.2</v>
      </c>
      <c r="AG687">
        <f t="shared" si="106"/>
        <v>1</v>
      </c>
      <c r="AH687">
        <f t="shared" si="107"/>
        <v>1</v>
      </c>
      <c r="AI687">
        <f t="shared" si="108"/>
        <v>0</v>
      </c>
      <c r="AJ687">
        <v>306.2</v>
      </c>
      <c r="AK687">
        <v>1018</v>
      </c>
      <c r="AL687">
        <v>35</v>
      </c>
      <c r="AM687">
        <v>6.8</v>
      </c>
      <c r="AN687">
        <v>0</v>
      </c>
      <c r="AO687">
        <v>0</v>
      </c>
      <c r="AP687">
        <v>0</v>
      </c>
      <c r="AQ687">
        <v>0</v>
      </c>
      <c r="AR687" t="s">
        <v>2300</v>
      </c>
      <c r="AS687" t="s">
        <v>2301</v>
      </c>
      <c r="AT687">
        <v>0.69</v>
      </c>
      <c r="AU687" t="s">
        <v>43</v>
      </c>
      <c r="AV687" t="s">
        <v>44</v>
      </c>
      <c r="AW687" t="s">
        <v>45</v>
      </c>
      <c r="AX687" s="1">
        <v>0.61805555555555558</v>
      </c>
      <c r="AY687" t="s">
        <v>2302</v>
      </c>
      <c r="AZ687">
        <v>320.00000000582082</v>
      </c>
      <c r="BA687">
        <v>0</v>
      </c>
      <c r="BB687">
        <v>0</v>
      </c>
      <c r="BC687">
        <v>3</v>
      </c>
      <c r="BD687">
        <v>0</v>
      </c>
      <c r="BE687">
        <f t="shared" si="109"/>
        <v>1</v>
      </c>
    </row>
    <row r="688" spans="1:57" x14ac:dyDescent="0.25">
      <c r="A688" t="s">
        <v>39</v>
      </c>
      <c r="B688" t="s">
        <v>2279</v>
      </c>
      <c r="C688">
        <v>80.7</v>
      </c>
      <c r="D688">
        <v>75.3</v>
      </c>
      <c r="G688">
        <f t="shared" si="100"/>
        <v>0</v>
      </c>
      <c r="H688">
        <f t="shared" si="101"/>
        <v>0</v>
      </c>
      <c r="I688">
        <f t="shared" si="102"/>
        <v>0</v>
      </c>
      <c r="J688">
        <v>78.2</v>
      </c>
      <c r="K688">
        <v>81.900000000000006</v>
      </c>
      <c r="L688">
        <v>75.3</v>
      </c>
      <c r="M688">
        <v>78.5</v>
      </c>
      <c r="N688">
        <v>60.7</v>
      </c>
      <c r="O688">
        <v>55.1</v>
      </c>
      <c r="S688">
        <f t="shared" si="103"/>
        <v>1</v>
      </c>
      <c r="T688">
        <f t="shared" si="104"/>
        <v>0</v>
      </c>
      <c r="U688">
        <f t="shared" si="105"/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19.5</v>
      </c>
      <c r="AG688">
        <f t="shared" si="106"/>
        <v>1</v>
      </c>
      <c r="AH688">
        <f t="shared" si="107"/>
        <v>1</v>
      </c>
      <c r="AI688">
        <f t="shared" si="108"/>
        <v>0</v>
      </c>
      <c r="AJ688">
        <v>314.39999999999998</v>
      </c>
      <c r="AK688">
        <v>1011.8</v>
      </c>
      <c r="AL688">
        <v>30</v>
      </c>
      <c r="AM688">
        <v>6.3</v>
      </c>
      <c r="AN688">
        <v>0</v>
      </c>
      <c r="AO688">
        <v>0</v>
      </c>
      <c r="AP688">
        <v>0</v>
      </c>
      <c r="AQ688">
        <v>0</v>
      </c>
      <c r="AR688" t="s">
        <v>2280</v>
      </c>
      <c r="AS688" t="s">
        <v>2281</v>
      </c>
      <c r="AT688">
        <v>0.5</v>
      </c>
      <c r="AU688" t="s">
        <v>43</v>
      </c>
      <c r="AV688" t="s">
        <v>44</v>
      </c>
      <c r="AW688" t="s">
        <v>45</v>
      </c>
      <c r="AX688" s="1">
        <v>0.45833333333333331</v>
      </c>
      <c r="AY688" t="s">
        <v>2303</v>
      </c>
      <c r="AZ688">
        <v>209.99999999301511</v>
      </c>
      <c r="BA688">
        <v>0</v>
      </c>
      <c r="BB688">
        <v>2</v>
      </c>
      <c r="BC688">
        <v>0</v>
      </c>
      <c r="BD688">
        <v>0</v>
      </c>
      <c r="BE688">
        <f t="shared" si="109"/>
        <v>0</v>
      </c>
    </row>
    <row r="689" spans="1:57" x14ac:dyDescent="0.25">
      <c r="A689" t="s">
        <v>39</v>
      </c>
      <c r="B689" t="s">
        <v>2304</v>
      </c>
      <c r="C689">
        <v>86.1</v>
      </c>
      <c r="D689">
        <v>73.5</v>
      </c>
      <c r="G689">
        <f t="shared" si="100"/>
        <v>1</v>
      </c>
      <c r="H689">
        <f t="shared" si="101"/>
        <v>1</v>
      </c>
      <c r="I689">
        <f t="shared" si="102"/>
        <v>0</v>
      </c>
      <c r="J689">
        <v>80.900000000000006</v>
      </c>
      <c r="K689">
        <v>87.6</v>
      </c>
      <c r="L689">
        <v>73.5</v>
      </c>
      <c r="M689">
        <v>81.900000000000006</v>
      </c>
      <c r="N689">
        <v>65.400000000000006</v>
      </c>
      <c r="O689">
        <v>60</v>
      </c>
      <c r="S689">
        <f t="shared" si="103"/>
        <v>0</v>
      </c>
      <c r="T689">
        <f t="shared" si="104"/>
        <v>0</v>
      </c>
      <c r="U689">
        <f t="shared" si="105"/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19.5</v>
      </c>
      <c r="AG689">
        <f t="shared" si="106"/>
        <v>1</v>
      </c>
      <c r="AH689">
        <f t="shared" si="107"/>
        <v>1</v>
      </c>
      <c r="AI689">
        <f t="shared" si="108"/>
        <v>0</v>
      </c>
      <c r="AJ689">
        <v>308.2</v>
      </c>
      <c r="AK689">
        <v>1007.1</v>
      </c>
      <c r="AL689">
        <v>0</v>
      </c>
      <c r="AM689">
        <v>6.2</v>
      </c>
      <c r="AN689">
        <v>0</v>
      </c>
      <c r="AO689">
        <v>0</v>
      </c>
      <c r="AP689">
        <v>0</v>
      </c>
      <c r="AQ689">
        <v>0</v>
      </c>
      <c r="AR689" t="s">
        <v>2305</v>
      </c>
      <c r="AS689" t="s">
        <v>2306</v>
      </c>
      <c r="AT689">
        <v>0.24</v>
      </c>
      <c r="AU689" t="s">
        <v>74</v>
      </c>
      <c r="AV689" t="s">
        <v>44</v>
      </c>
      <c r="AW689" t="s">
        <v>75</v>
      </c>
      <c r="AX689" s="1">
        <v>0.78125</v>
      </c>
      <c r="AY689" t="s">
        <v>2307</v>
      </c>
      <c r="AZ689">
        <v>194.99999999650751</v>
      </c>
      <c r="BA689">
        <v>0</v>
      </c>
      <c r="BB689">
        <v>0</v>
      </c>
      <c r="BC689">
        <v>10</v>
      </c>
      <c r="BD689">
        <v>0</v>
      </c>
      <c r="BE689">
        <f t="shared" si="109"/>
        <v>0</v>
      </c>
    </row>
    <row r="690" spans="1:57" x14ac:dyDescent="0.25">
      <c r="A690" t="s">
        <v>39</v>
      </c>
      <c r="B690" t="s">
        <v>2308</v>
      </c>
      <c r="C690">
        <v>87.9</v>
      </c>
      <c r="D690">
        <v>80.7</v>
      </c>
      <c r="G690">
        <f t="shared" si="100"/>
        <v>1</v>
      </c>
      <c r="H690">
        <f t="shared" si="101"/>
        <v>1</v>
      </c>
      <c r="I690">
        <f t="shared" si="102"/>
        <v>0</v>
      </c>
      <c r="J690">
        <v>84.2</v>
      </c>
      <c r="K690">
        <v>90.8</v>
      </c>
      <c r="L690">
        <v>82.4</v>
      </c>
      <c r="M690">
        <v>86.4</v>
      </c>
      <c r="N690">
        <v>65.5</v>
      </c>
      <c r="O690">
        <v>53.6</v>
      </c>
      <c r="S690">
        <f t="shared" si="103"/>
        <v>1</v>
      </c>
      <c r="T690">
        <f t="shared" si="104"/>
        <v>0</v>
      </c>
      <c r="U690">
        <f t="shared" si="105"/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19.5</v>
      </c>
      <c r="AG690">
        <f t="shared" si="106"/>
        <v>1</v>
      </c>
      <c r="AH690">
        <f t="shared" si="107"/>
        <v>1</v>
      </c>
      <c r="AI690">
        <f t="shared" si="108"/>
        <v>0</v>
      </c>
      <c r="AJ690">
        <v>308.10000000000002</v>
      </c>
      <c r="AK690">
        <v>1011.7</v>
      </c>
      <c r="AL690">
        <v>0</v>
      </c>
      <c r="AM690">
        <v>6.2</v>
      </c>
      <c r="AN690">
        <v>0</v>
      </c>
      <c r="AO690">
        <v>0</v>
      </c>
      <c r="AP690">
        <v>0</v>
      </c>
      <c r="AQ690">
        <v>0</v>
      </c>
      <c r="AR690" t="s">
        <v>2309</v>
      </c>
      <c r="AS690" t="s">
        <v>2310</v>
      </c>
      <c r="AT690">
        <v>0.85</v>
      </c>
      <c r="AU690" t="s">
        <v>74</v>
      </c>
      <c r="AV690" t="s">
        <v>44</v>
      </c>
      <c r="AW690" t="s">
        <v>75</v>
      </c>
      <c r="AX690" s="1">
        <v>0.8125</v>
      </c>
      <c r="AY690" t="s">
        <v>2311</v>
      </c>
      <c r="AZ690">
        <v>59.99999999650754</v>
      </c>
      <c r="BA690">
        <v>0</v>
      </c>
      <c r="BB690">
        <v>0.02</v>
      </c>
      <c r="BC690">
        <v>0</v>
      </c>
      <c r="BD690">
        <v>0</v>
      </c>
      <c r="BE690">
        <f t="shared" si="109"/>
        <v>1</v>
      </c>
    </row>
    <row r="691" spans="1:57" x14ac:dyDescent="0.25">
      <c r="A691" t="s">
        <v>39</v>
      </c>
      <c r="B691" t="s">
        <v>2267</v>
      </c>
      <c r="C691">
        <v>82.5</v>
      </c>
      <c r="D691">
        <v>68.099999999999994</v>
      </c>
      <c r="G691">
        <f t="shared" si="100"/>
        <v>1</v>
      </c>
      <c r="H691">
        <f t="shared" si="101"/>
        <v>1</v>
      </c>
      <c r="I691">
        <f t="shared" si="102"/>
        <v>0</v>
      </c>
      <c r="J691">
        <v>73.900000000000006</v>
      </c>
      <c r="K691">
        <v>83.4</v>
      </c>
      <c r="L691">
        <v>68.099999999999994</v>
      </c>
      <c r="M691">
        <v>74.2</v>
      </c>
      <c r="N691">
        <v>63.2</v>
      </c>
      <c r="O691">
        <v>70.2</v>
      </c>
      <c r="S691">
        <f t="shared" si="103"/>
        <v>1</v>
      </c>
      <c r="T691">
        <f t="shared" si="104"/>
        <v>1</v>
      </c>
      <c r="U691">
        <f t="shared" si="105"/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9.1999999999999993</v>
      </c>
      <c r="AG691">
        <f t="shared" si="106"/>
        <v>1</v>
      </c>
      <c r="AH691">
        <f t="shared" si="107"/>
        <v>0</v>
      </c>
      <c r="AI691">
        <f t="shared" si="108"/>
        <v>1</v>
      </c>
      <c r="AJ691">
        <v>83.2</v>
      </c>
      <c r="AK691">
        <v>1008.5</v>
      </c>
      <c r="AL691">
        <v>62.2</v>
      </c>
      <c r="AM691">
        <v>6.8</v>
      </c>
      <c r="AN691">
        <v>0</v>
      </c>
      <c r="AO691">
        <v>0</v>
      </c>
      <c r="AP691">
        <v>0</v>
      </c>
      <c r="AQ691">
        <v>0</v>
      </c>
      <c r="AR691" t="s">
        <v>2268</v>
      </c>
      <c r="AS691" t="s">
        <v>2269</v>
      </c>
      <c r="AT691">
        <v>0.2</v>
      </c>
      <c r="AU691" t="s">
        <v>43</v>
      </c>
      <c r="AV691" t="s">
        <v>44</v>
      </c>
      <c r="AW691" t="s">
        <v>45</v>
      </c>
      <c r="AX691" s="1">
        <v>0.70833333333333337</v>
      </c>
      <c r="AY691" t="s">
        <v>2312</v>
      </c>
      <c r="AZ691">
        <v>209.99999999301511</v>
      </c>
      <c r="BA691">
        <v>0</v>
      </c>
      <c r="BB691">
        <v>0</v>
      </c>
      <c r="BC691">
        <v>1</v>
      </c>
      <c r="BD691">
        <v>0</v>
      </c>
      <c r="BE691">
        <f t="shared" si="109"/>
        <v>1</v>
      </c>
    </row>
    <row r="692" spans="1:57" x14ac:dyDescent="0.25">
      <c r="A692" t="s">
        <v>39</v>
      </c>
      <c r="B692" t="s">
        <v>2313</v>
      </c>
      <c r="C692">
        <v>82.5</v>
      </c>
      <c r="D692">
        <v>71.7</v>
      </c>
      <c r="G692">
        <f t="shared" si="100"/>
        <v>1</v>
      </c>
      <c r="H692">
        <f t="shared" si="101"/>
        <v>1</v>
      </c>
      <c r="I692">
        <f t="shared" si="102"/>
        <v>0</v>
      </c>
      <c r="J692">
        <v>73.8</v>
      </c>
      <c r="K692">
        <v>82.2</v>
      </c>
      <c r="L692">
        <v>71.7</v>
      </c>
      <c r="M692">
        <v>73.8</v>
      </c>
      <c r="N692">
        <v>58.3</v>
      </c>
      <c r="O692">
        <v>58.8</v>
      </c>
      <c r="S692">
        <f t="shared" si="103"/>
        <v>1</v>
      </c>
      <c r="T692">
        <f t="shared" si="104"/>
        <v>0</v>
      </c>
      <c r="U692">
        <f t="shared" si="105"/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21.9</v>
      </c>
      <c r="AG692">
        <f t="shared" si="106"/>
        <v>1</v>
      </c>
      <c r="AH692">
        <f t="shared" si="107"/>
        <v>1</v>
      </c>
      <c r="AI692">
        <f t="shared" si="108"/>
        <v>0</v>
      </c>
      <c r="AJ692">
        <v>319.39999999999998</v>
      </c>
      <c r="AK692">
        <v>1015.8</v>
      </c>
      <c r="AL692">
        <v>30</v>
      </c>
      <c r="AM692">
        <v>6.8</v>
      </c>
      <c r="AN692">
        <v>0</v>
      </c>
      <c r="AO692">
        <v>0</v>
      </c>
      <c r="AP692">
        <v>0</v>
      </c>
      <c r="AQ692">
        <v>0</v>
      </c>
      <c r="AR692" t="s">
        <v>2314</v>
      </c>
      <c r="AS692" t="s">
        <v>2315</v>
      </c>
      <c r="AT692">
        <v>0.34</v>
      </c>
      <c r="AU692" t="s">
        <v>43</v>
      </c>
      <c r="AV692" t="s">
        <v>44</v>
      </c>
      <c r="AW692" t="s">
        <v>45</v>
      </c>
      <c r="AX692" s="1">
        <v>0.44791666666666669</v>
      </c>
      <c r="AY692" t="s">
        <v>2316</v>
      </c>
      <c r="AZ692">
        <v>135</v>
      </c>
      <c r="BA692">
        <v>0</v>
      </c>
      <c r="BB692">
        <v>0</v>
      </c>
      <c r="BC692">
        <v>2</v>
      </c>
      <c r="BD692">
        <v>0</v>
      </c>
      <c r="BE692">
        <f t="shared" si="109"/>
        <v>1</v>
      </c>
    </row>
    <row r="693" spans="1:57" x14ac:dyDescent="0.25">
      <c r="A693" t="s">
        <v>39</v>
      </c>
      <c r="B693" t="s">
        <v>2317</v>
      </c>
      <c r="C693">
        <v>87.9</v>
      </c>
      <c r="D693">
        <v>75.3</v>
      </c>
      <c r="G693">
        <f t="shared" si="100"/>
        <v>1</v>
      </c>
      <c r="H693">
        <f t="shared" si="101"/>
        <v>1</v>
      </c>
      <c r="I693">
        <f t="shared" si="102"/>
        <v>0</v>
      </c>
      <c r="J693">
        <v>82.2</v>
      </c>
      <c r="K693">
        <v>91.1</v>
      </c>
      <c r="L693">
        <v>75.3</v>
      </c>
      <c r="M693">
        <v>83.5</v>
      </c>
      <c r="N693">
        <v>66.400000000000006</v>
      </c>
      <c r="O693">
        <v>62.6</v>
      </c>
      <c r="S693">
        <f t="shared" si="103"/>
        <v>1</v>
      </c>
      <c r="T693">
        <f t="shared" si="104"/>
        <v>1</v>
      </c>
      <c r="U693">
        <f t="shared" si="105"/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25.3</v>
      </c>
      <c r="AG693">
        <f t="shared" si="106"/>
        <v>1</v>
      </c>
      <c r="AH693">
        <f t="shared" si="107"/>
        <v>1</v>
      </c>
      <c r="AI693">
        <f t="shared" si="108"/>
        <v>0</v>
      </c>
      <c r="AJ693">
        <v>304.5</v>
      </c>
      <c r="AK693">
        <v>1007.9</v>
      </c>
      <c r="AL693">
        <v>35.299999999999997</v>
      </c>
      <c r="AM693">
        <v>6.7</v>
      </c>
      <c r="AN693">
        <v>0</v>
      </c>
      <c r="AO693">
        <v>0</v>
      </c>
      <c r="AP693">
        <v>0</v>
      </c>
      <c r="AQ693">
        <v>0</v>
      </c>
      <c r="AR693" t="s">
        <v>2318</v>
      </c>
      <c r="AS693" t="s">
        <v>2319</v>
      </c>
      <c r="AT693">
        <v>0.15</v>
      </c>
      <c r="AU693" t="s">
        <v>43</v>
      </c>
      <c r="AV693" t="s">
        <v>44</v>
      </c>
      <c r="AW693" t="s">
        <v>45</v>
      </c>
      <c r="AX693" s="1">
        <v>0.99444444444444446</v>
      </c>
      <c r="AY693" t="s">
        <v>2320</v>
      </c>
      <c r="AZ693">
        <v>983.00000000861473</v>
      </c>
      <c r="BA693">
        <v>1</v>
      </c>
      <c r="BB693">
        <v>0</v>
      </c>
      <c r="BC693">
        <v>5</v>
      </c>
      <c r="BD693">
        <v>0</v>
      </c>
      <c r="BE693">
        <f t="shared" si="109"/>
        <v>1</v>
      </c>
    </row>
    <row r="694" spans="1:57" x14ac:dyDescent="0.25">
      <c r="A694" t="s">
        <v>39</v>
      </c>
      <c r="B694" t="s">
        <v>2313</v>
      </c>
      <c r="C694">
        <v>82.5</v>
      </c>
      <c r="D694">
        <v>71.7</v>
      </c>
      <c r="G694">
        <f t="shared" si="100"/>
        <v>1</v>
      </c>
      <c r="H694">
        <f t="shared" si="101"/>
        <v>1</v>
      </c>
      <c r="I694">
        <f t="shared" si="102"/>
        <v>0</v>
      </c>
      <c r="J694">
        <v>73.8</v>
      </c>
      <c r="K694">
        <v>82.2</v>
      </c>
      <c r="L694">
        <v>71.7</v>
      </c>
      <c r="M694">
        <v>73.8</v>
      </c>
      <c r="N694">
        <v>58.3</v>
      </c>
      <c r="O694">
        <v>58.8</v>
      </c>
      <c r="S694">
        <f t="shared" si="103"/>
        <v>1</v>
      </c>
      <c r="T694">
        <f t="shared" si="104"/>
        <v>0</v>
      </c>
      <c r="U694">
        <f t="shared" si="105"/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21.9</v>
      </c>
      <c r="AG694">
        <f t="shared" si="106"/>
        <v>1</v>
      </c>
      <c r="AH694">
        <f t="shared" si="107"/>
        <v>1</v>
      </c>
      <c r="AI694">
        <f t="shared" si="108"/>
        <v>0</v>
      </c>
      <c r="AJ694">
        <v>319.39999999999998</v>
      </c>
      <c r="AK694">
        <v>1015.8</v>
      </c>
      <c r="AL694">
        <v>30</v>
      </c>
      <c r="AM694">
        <v>6.8</v>
      </c>
      <c r="AN694">
        <v>0</v>
      </c>
      <c r="AO694">
        <v>0</v>
      </c>
      <c r="AP694">
        <v>0</v>
      </c>
      <c r="AQ694">
        <v>0</v>
      </c>
      <c r="AR694" t="s">
        <v>2314</v>
      </c>
      <c r="AS694" t="s">
        <v>2315</v>
      </c>
      <c r="AT694">
        <v>0.34</v>
      </c>
      <c r="AU694" t="s">
        <v>43</v>
      </c>
      <c r="AV694" t="s">
        <v>44</v>
      </c>
      <c r="AW694" t="s">
        <v>45</v>
      </c>
      <c r="AX694" s="1">
        <v>0.87152777777777779</v>
      </c>
      <c r="AY694" t="s">
        <v>2321</v>
      </c>
      <c r="AZ694">
        <v>274.99999999534339</v>
      </c>
      <c r="BA694">
        <v>0</v>
      </c>
      <c r="BB694">
        <v>1</v>
      </c>
      <c r="BC694">
        <v>0</v>
      </c>
      <c r="BD694">
        <v>0</v>
      </c>
      <c r="BE694">
        <f t="shared" si="109"/>
        <v>1</v>
      </c>
    </row>
    <row r="695" spans="1:57" x14ac:dyDescent="0.25">
      <c r="A695" t="s">
        <v>39</v>
      </c>
      <c r="B695" t="s">
        <v>2322</v>
      </c>
      <c r="C695">
        <v>82.5</v>
      </c>
      <c r="D695">
        <v>73.5</v>
      </c>
      <c r="G695">
        <f t="shared" si="100"/>
        <v>0</v>
      </c>
      <c r="H695">
        <f t="shared" si="101"/>
        <v>0</v>
      </c>
      <c r="I695">
        <f t="shared" si="102"/>
        <v>0</v>
      </c>
      <c r="J695">
        <v>78.5</v>
      </c>
      <c r="K695">
        <v>84.8</v>
      </c>
      <c r="L695">
        <v>73.5</v>
      </c>
      <c r="M695">
        <v>79.099999999999994</v>
      </c>
      <c r="N695">
        <v>63.8</v>
      </c>
      <c r="O695">
        <v>61.2</v>
      </c>
      <c r="S695">
        <f t="shared" si="103"/>
        <v>0</v>
      </c>
      <c r="T695">
        <f t="shared" si="104"/>
        <v>0</v>
      </c>
      <c r="U695">
        <f t="shared" si="105"/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21.9</v>
      </c>
      <c r="AG695">
        <f t="shared" si="106"/>
        <v>1</v>
      </c>
      <c r="AH695">
        <f t="shared" si="107"/>
        <v>1</v>
      </c>
      <c r="AI695">
        <f t="shared" si="108"/>
        <v>0</v>
      </c>
      <c r="AJ695">
        <v>307.10000000000002</v>
      </c>
      <c r="AK695">
        <v>1010.7</v>
      </c>
      <c r="AL695">
        <v>30</v>
      </c>
      <c r="AM695">
        <v>6.6</v>
      </c>
      <c r="AN695">
        <v>0</v>
      </c>
      <c r="AO695">
        <v>0</v>
      </c>
      <c r="AP695">
        <v>0</v>
      </c>
      <c r="AQ695">
        <v>0</v>
      </c>
      <c r="AR695" t="s">
        <v>2323</v>
      </c>
      <c r="AS695" t="s">
        <v>2324</v>
      </c>
      <c r="AT695">
        <v>0.62</v>
      </c>
      <c r="AU695" t="s">
        <v>43</v>
      </c>
      <c r="AV695" t="s">
        <v>44</v>
      </c>
      <c r="AW695" t="s">
        <v>45</v>
      </c>
      <c r="AX695" s="1">
        <v>0.40625</v>
      </c>
      <c r="AY695" t="s">
        <v>2325</v>
      </c>
      <c r="AZ695">
        <v>734.99999999650754</v>
      </c>
      <c r="BA695">
        <v>1</v>
      </c>
      <c r="BB695">
        <v>0</v>
      </c>
      <c r="BC695">
        <v>4</v>
      </c>
      <c r="BD695">
        <v>0</v>
      </c>
      <c r="BE695">
        <f t="shared" si="109"/>
        <v>0</v>
      </c>
    </row>
    <row r="696" spans="1:57" x14ac:dyDescent="0.25">
      <c r="A696" t="s">
        <v>39</v>
      </c>
      <c r="B696" t="s">
        <v>2326</v>
      </c>
      <c r="C696">
        <v>78.900000000000006</v>
      </c>
      <c r="D696">
        <v>59.1</v>
      </c>
      <c r="G696">
        <f t="shared" si="100"/>
        <v>1</v>
      </c>
      <c r="H696">
        <f t="shared" si="101"/>
        <v>1</v>
      </c>
      <c r="I696">
        <f t="shared" si="102"/>
        <v>0</v>
      </c>
      <c r="J696">
        <v>69.599999999999994</v>
      </c>
      <c r="K696">
        <v>78.900000000000006</v>
      </c>
      <c r="L696">
        <v>59.1</v>
      </c>
      <c r="M696">
        <v>69.599999999999994</v>
      </c>
      <c r="N696">
        <v>39.4</v>
      </c>
      <c r="O696">
        <v>41.8</v>
      </c>
      <c r="S696">
        <f t="shared" si="103"/>
        <v>1</v>
      </c>
      <c r="T696">
        <f t="shared" si="104"/>
        <v>0</v>
      </c>
      <c r="U696">
        <f t="shared" si="105"/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21.9</v>
      </c>
      <c r="AG696">
        <f t="shared" si="106"/>
        <v>1</v>
      </c>
      <c r="AH696">
        <f t="shared" si="107"/>
        <v>1</v>
      </c>
      <c r="AI696">
        <f t="shared" si="108"/>
        <v>0</v>
      </c>
      <c r="AJ696">
        <v>164.3</v>
      </c>
      <c r="AK696">
        <v>1009.7</v>
      </c>
      <c r="AL696">
        <v>100</v>
      </c>
      <c r="AM696">
        <v>6.2</v>
      </c>
      <c r="AN696">
        <v>0</v>
      </c>
      <c r="AO696">
        <v>0</v>
      </c>
      <c r="AP696">
        <v>0</v>
      </c>
      <c r="AQ696">
        <v>0</v>
      </c>
      <c r="AR696" t="s">
        <v>2327</v>
      </c>
      <c r="AS696" t="s">
        <v>2328</v>
      </c>
      <c r="AT696">
        <v>0.7</v>
      </c>
      <c r="AU696" t="s">
        <v>275</v>
      </c>
      <c r="AV696" t="s">
        <v>276</v>
      </c>
      <c r="AW696" t="s">
        <v>277</v>
      </c>
      <c r="AX696" s="1">
        <v>0.43055555555555558</v>
      </c>
      <c r="AY696" t="s">
        <v>2329</v>
      </c>
      <c r="AZ696">
        <v>300.00000000349252</v>
      </c>
      <c r="BA696">
        <v>0</v>
      </c>
      <c r="BB696">
        <v>0</v>
      </c>
      <c r="BC696">
        <v>1</v>
      </c>
      <c r="BD696">
        <v>0</v>
      </c>
      <c r="BE696">
        <f t="shared" si="109"/>
        <v>1</v>
      </c>
    </row>
    <row r="697" spans="1:57" x14ac:dyDescent="0.25">
      <c r="A697" t="s">
        <v>39</v>
      </c>
      <c r="B697" t="s">
        <v>2183</v>
      </c>
      <c r="C697">
        <v>77.099999999999994</v>
      </c>
      <c r="D697">
        <v>71.7</v>
      </c>
      <c r="G697">
        <f t="shared" si="100"/>
        <v>1</v>
      </c>
      <c r="H697">
        <f t="shared" si="101"/>
        <v>0</v>
      </c>
      <c r="I697">
        <f t="shared" si="102"/>
        <v>1</v>
      </c>
      <c r="J697">
        <v>73.8</v>
      </c>
      <c r="K697">
        <v>77.099999999999994</v>
      </c>
      <c r="L697">
        <v>71.7</v>
      </c>
      <c r="M697">
        <v>73.8</v>
      </c>
      <c r="N697">
        <v>62</v>
      </c>
      <c r="O697">
        <v>66.8</v>
      </c>
      <c r="S697">
        <f t="shared" si="103"/>
        <v>0</v>
      </c>
      <c r="T697">
        <f t="shared" si="104"/>
        <v>0</v>
      </c>
      <c r="U697">
        <f t="shared" si="105"/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20.8</v>
      </c>
      <c r="AG697">
        <f t="shared" si="106"/>
        <v>1</v>
      </c>
      <c r="AH697">
        <f t="shared" si="107"/>
        <v>1</v>
      </c>
      <c r="AI697">
        <f t="shared" si="108"/>
        <v>0</v>
      </c>
      <c r="AJ697">
        <v>318</v>
      </c>
      <c r="AK697">
        <v>1018.6</v>
      </c>
      <c r="AL697">
        <v>75.2</v>
      </c>
      <c r="AM697">
        <v>6.8</v>
      </c>
      <c r="AN697">
        <v>0</v>
      </c>
      <c r="AO697">
        <v>0</v>
      </c>
      <c r="AP697">
        <v>0</v>
      </c>
      <c r="AQ697">
        <v>0</v>
      </c>
      <c r="AR697" t="s">
        <v>2184</v>
      </c>
      <c r="AS697" t="s">
        <v>2185</v>
      </c>
      <c r="AT697">
        <v>0.62</v>
      </c>
      <c r="AU697" t="s">
        <v>43</v>
      </c>
      <c r="AV697" t="s">
        <v>44</v>
      </c>
      <c r="AW697" t="s">
        <v>45</v>
      </c>
      <c r="AX697" s="1">
        <v>0.47916666666666669</v>
      </c>
      <c r="AY697" t="s">
        <v>2330</v>
      </c>
      <c r="AZ697">
        <v>1170</v>
      </c>
      <c r="BA697">
        <v>1</v>
      </c>
      <c r="BB697">
        <v>0</v>
      </c>
      <c r="BC697">
        <v>3</v>
      </c>
      <c r="BD697">
        <v>0</v>
      </c>
      <c r="BE697">
        <f t="shared" si="109"/>
        <v>1</v>
      </c>
    </row>
    <row r="698" spans="1:57" x14ac:dyDescent="0.25">
      <c r="A698" t="s">
        <v>39</v>
      </c>
      <c r="B698" t="s">
        <v>2308</v>
      </c>
      <c r="C698">
        <v>87.9</v>
      </c>
      <c r="D698">
        <v>80.7</v>
      </c>
      <c r="G698">
        <f t="shared" si="100"/>
        <v>1</v>
      </c>
      <c r="H698">
        <f t="shared" si="101"/>
        <v>1</v>
      </c>
      <c r="I698">
        <f t="shared" si="102"/>
        <v>0</v>
      </c>
      <c r="J698">
        <v>84.2</v>
      </c>
      <c r="K698">
        <v>90.8</v>
      </c>
      <c r="L698">
        <v>82.4</v>
      </c>
      <c r="M698">
        <v>86.4</v>
      </c>
      <c r="N698">
        <v>65.5</v>
      </c>
      <c r="O698">
        <v>53.6</v>
      </c>
      <c r="S698">
        <f t="shared" si="103"/>
        <v>1</v>
      </c>
      <c r="T698">
        <f t="shared" si="104"/>
        <v>0</v>
      </c>
      <c r="U698">
        <f t="shared" si="105"/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19.5</v>
      </c>
      <c r="AG698">
        <f t="shared" si="106"/>
        <v>1</v>
      </c>
      <c r="AH698">
        <f t="shared" si="107"/>
        <v>1</v>
      </c>
      <c r="AI698">
        <f t="shared" si="108"/>
        <v>0</v>
      </c>
      <c r="AJ698">
        <v>308.10000000000002</v>
      </c>
      <c r="AK698">
        <v>1011.7</v>
      </c>
      <c r="AL698">
        <v>0</v>
      </c>
      <c r="AM698">
        <v>6.2</v>
      </c>
      <c r="AN698">
        <v>0</v>
      </c>
      <c r="AO698">
        <v>0</v>
      </c>
      <c r="AP698">
        <v>0</v>
      </c>
      <c r="AQ698">
        <v>0</v>
      </c>
      <c r="AR698" t="s">
        <v>2309</v>
      </c>
      <c r="AS698" t="s">
        <v>2310</v>
      </c>
      <c r="AT698">
        <v>0.85</v>
      </c>
      <c r="AU698" t="s">
        <v>74</v>
      </c>
      <c r="AV698" t="s">
        <v>44</v>
      </c>
      <c r="AW698" t="s">
        <v>75</v>
      </c>
      <c r="AX698" s="1">
        <v>0.76388888888888884</v>
      </c>
      <c r="AY698" t="s">
        <v>2331</v>
      </c>
      <c r="AZ698">
        <v>2229.9999999976721</v>
      </c>
      <c r="BA698">
        <v>1</v>
      </c>
      <c r="BB698">
        <v>0</v>
      </c>
      <c r="BC698">
        <v>6</v>
      </c>
      <c r="BD698">
        <v>0</v>
      </c>
      <c r="BE698">
        <f t="shared" si="109"/>
        <v>1</v>
      </c>
    </row>
    <row r="699" spans="1:57" x14ac:dyDescent="0.25">
      <c r="A699" t="s">
        <v>39</v>
      </c>
      <c r="B699" t="s">
        <v>2332</v>
      </c>
      <c r="C699">
        <v>78.900000000000006</v>
      </c>
      <c r="D699">
        <v>71.7</v>
      </c>
      <c r="G699">
        <f t="shared" si="100"/>
        <v>0</v>
      </c>
      <c r="H699">
        <f t="shared" si="101"/>
        <v>0</v>
      </c>
      <c r="I699">
        <f t="shared" si="102"/>
        <v>0</v>
      </c>
      <c r="J699">
        <v>74.400000000000006</v>
      </c>
      <c r="K699">
        <v>78.900000000000006</v>
      </c>
      <c r="L699">
        <v>71.7</v>
      </c>
      <c r="M699">
        <v>74.400000000000006</v>
      </c>
      <c r="N699">
        <v>55.4</v>
      </c>
      <c r="O699">
        <v>51.9</v>
      </c>
      <c r="S699">
        <f t="shared" si="103"/>
        <v>1</v>
      </c>
      <c r="T699">
        <f t="shared" si="104"/>
        <v>0</v>
      </c>
      <c r="U699">
        <f t="shared" si="105"/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24.2</v>
      </c>
      <c r="AG699">
        <f t="shared" si="106"/>
        <v>1</v>
      </c>
      <c r="AH699">
        <f t="shared" si="107"/>
        <v>1</v>
      </c>
      <c r="AI699">
        <f t="shared" si="108"/>
        <v>0</v>
      </c>
      <c r="AJ699">
        <v>339.6</v>
      </c>
      <c r="AK699">
        <v>1012.6</v>
      </c>
      <c r="AL699">
        <v>39.1</v>
      </c>
      <c r="AM699">
        <v>6.8</v>
      </c>
      <c r="AN699">
        <v>0</v>
      </c>
      <c r="AO699">
        <v>0</v>
      </c>
      <c r="AP699">
        <v>0</v>
      </c>
      <c r="AQ699">
        <v>0</v>
      </c>
      <c r="AR699" t="s">
        <v>2333</v>
      </c>
      <c r="AS699" t="s">
        <v>2334</v>
      </c>
      <c r="AT699">
        <v>0.32</v>
      </c>
      <c r="AU699" t="s">
        <v>43</v>
      </c>
      <c r="AV699" t="s">
        <v>44</v>
      </c>
      <c r="AW699" t="s">
        <v>45</v>
      </c>
      <c r="AX699" s="1">
        <v>0.90277777777777779</v>
      </c>
      <c r="AY699" t="s">
        <v>2335</v>
      </c>
      <c r="AZ699">
        <v>1384.9999999988361</v>
      </c>
      <c r="BA699">
        <v>1</v>
      </c>
      <c r="BB699">
        <v>0</v>
      </c>
      <c r="BC699">
        <v>100</v>
      </c>
      <c r="BD699">
        <v>0</v>
      </c>
      <c r="BE699">
        <f t="shared" si="109"/>
        <v>1</v>
      </c>
    </row>
    <row r="700" spans="1:57" x14ac:dyDescent="0.25">
      <c r="A700" t="s">
        <v>39</v>
      </c>
      <c r="B700" t="s">
        <v>2254</v>
      </c>
      <c r="C700">
        <v>78.900000000000006</v>
      </c>
      <c r="D700">
        <v>73.5</v>
      </c>
      <c r="G700">
        <f t="shared" si="100"/>
        <v>1</v>
      </c>
      <c r="H700">
        <f t="shared" si="101"/>
        <v>0</v>
      </c>
      <c r="I700">
        <f t="shared" si="102"/>
        <v>1</v>
      </c>
      <c r="J700">
        <v>76</v>
      </c>
      <c r="K700">
        <v>78.900000000000006</v>
      </c>
      <c r="L700">
        <v>73.5</v>
      </c>
      <c r="M700">
        <v>76</v>
      </c>
      <c r="N700">
        <v>59.8</v>
      </c>
      <c r="O700">
        <v>57.4</v>
      </c>
      <c r="S700">
        <f t="shared" si="103"/>
        <v>1</v>
      </c>
      <c r="T700">
        <f t="shared" si="104"/>
        <v>0</v>
      </c>
      <c r="U700">
        <f t="shared" si="105"/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26.4</v>
      </c>
      <c r="AG700">
        <f t="shared" si="106"/>
        <v>1</v>
      </c>
      <c r="AH700">
        <f t="shared" si="107"/>
        <v>1</v>
      </c>
      <c r="AI700">
        <f t="shared" si="108"/>
        <v>0</v>
      </c>
      <c r="AJ700">
        <v>307.89999999999998</v>
      </c>
      <c r="AK700">
        <v>1013.1</v>
      </c>
      <c r="AL700">
        <v>33.6</v>
      </c>
      <c r="AM700">
        <v>6.8</v>
      </c>
      <c r="AN700">
        <v>0</v>
      </c>
      <c r="AO700">
        <v>0</v>
      </c>
      <c r="AP700">
        <v>0</v>
      </c>
      <c r="AQ700">
        <v>0</v>
      </c>
      <c r="AR700" t="s">
        <v>2255</v>
      </c>
      <c r="AS700" t="s">
        <v>2256</v>
      </c>
      <c r="AT700">
        <v>0.79</v>
      </c>
      <c r="AU700" t="s">
        <v>43</v>
      </c>
      <c r="AV700" t="s">
        <v>44</v>
      </c>
      <c r="AW700" t="s">
        <v>45</v>
      </c>
      <c r="AX700" s="1">
        <v>0.61111111111111116</v>
      </c>
      <c r="AY700" t="s">
        <v>2336</v>
      </c>
      <c r="AZ700">
        <v>979.99999999883585</v>
      </c>
      <c r="BA700">
        <v>1</v>
      </c>
      <c r="BB700">
        <v>0</v>
      </c>
      <c r="BC700">
        <v>20</v>
      </c>
      <c r="BD700">
        <v>0</v>
      </c>
      <c r="BE700">
        <f t="shared" si="109"/>
        <v>1</v>
      </c>
    </row>
    <row r="701" spans="1:57" x14ac:dyDescent="0.25">
      <c r="A701" t="s">
        <v>39</v>
      </c>
      <c r="B701" t="s">
        <v>2054</v>
      </c>
      <c r="C701">
        <v>68.099999999999994</v>
      </c>
      <c r="D701">
        <v>50.1</v>
      </c>
      <c r="G701">
        <f t="shared" si="100"/>
        <v>0</v>
      </c>
      <c r="H701">
        <f t="shared" si="101"/>
        <v>0</v>
      </c>
      <c r="I701">
        <f t="shared" si="102"/>
        <v>0</v>
      </c>
      <c r="J701">
        <v>58.7</v>
      </c>
      <c r="K701">
        <v>68.099999999999994</v>
      </c>
      <c r="L701">
        <v>50.1</v>
      </c>
      <c r="M701">
        <v>58.7</v>
      </c>
      <c r="N701">
        <v>43.7</v>
      </c>
      <c r="O701">
        <v>58.8</v>
      </c>
      <c r="S701">
        <f t="shared" si="103"/>
        <v>1</v>
      </c>
      <c r="T701">
        <f t="shared" si="104"/>
        <v>0</v>
      </c>
      <c r="U701">
        <f t="shared" si="105"/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9.1999999999999993</v>
      </c>
      <c r="AG701">
        <f t="shared" si="106"/>
        <v>1</v>
      </c>
      <c r="AH701">
        <f t="shared" si="107"/>
        <v>0</v>
      </c>
      <c r="AI701">
        <f t="shared" si="108"/>
        <v>1</v>
      </c>
      <c r="AJ701">
        <v>182.5</v>
      </c>
      <c r="AK701">
        <v>1015</v>
      </c>
      <c r="AL701">
        <v>0</v>
      </c>
      <c r="AM701">
        <v>6.2</v>
      </c>
      <c r="AN701">
        <v>0</v>
      </c>
      <c r="AO701">
        <v>0</v>
      </c>
      <c r="AP701">
        <v>0</v>
      </c>
      <c r="AQ701">
        <v>0</v>
      </c>
      <c r="AR701" t="s">
        <v>2055</v>
      </c>
      <c r="AS701" t="s">
        <v>2056</v>
      </c>
      <c r="AT701">
        <v>0.13</v>
      </c>
      <c r="AU701" t="s">
        <v>74</v>
      </c>
      <c r="AV701" t="s">
        <v>44</v>
      </c>
      <c r="AW701" t="s">
        <v>75</v>
      </c>
      <c r="AX701" s="1">
        <v>0.58333333333333337</v>
      </c>
      <c r="AY701" t="s">
        <v>2337</v>
      </c>
      <c r="AZ701">
        <v>59.99999999650754</v>
      </c>
      <c r="BA701">
        <v>0</v>
      </c>
      <c r="BB701">
        <v>0</v>
      </c>
      <c r="BC701">
        <v>0.2</v>
      </c>
      <c r="BD701">
        <v>0</v>
      </c>
      <c r="BE701">
        <f t="shared" si="109"/>
        <v>0</v>
      </c>
    </row>
    <row r="702" spans="1:57" x14ac:dyDescent="0.25">
      <c r="A702" t="s">
        <v>39</v>
      </c>
      <c r="B702" t="s">
        <v>2338</v>
      </c>
      <c r="C702">
        <v>64.5</v>
      </c>
      <c r="D702">
        <v>50.1</v>
      </c>
      <c r="G702">
        <f t="shared" si="100"/>
        <v>1</v>
      </c>
      <c r="H702">
        <f t="shared" si="101"/>
        <v>1</v>
      </c>
      <c r="I702">
        <f t="shared" si="102"/>
        <v>0</v>
      </c>
      <c r="J702">
        <v>58.7</v>
      </c>
      <c r="K702">
        <v>64.5</v>
      </c>
      <c r="L702">
        <v>50.1</v>
      </c>
      <c r="M702">
        <v>58.7</v>
      </c>
      <c r="N702">
        <v>46.2</v>
      </c>
      <c r="O702">
        <v>64.099999999999994</v>
      </c>
      <c r="S702">
        <f t="shared" si="103"/>
        <v>1</v>
      </c>
      <c r="T702">
        <f t="shared" si="104"/>
        <v>0</v>
      </c>
      <c r="U702">
        <f t="shared" si="105"/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16.100000000000001</v>
      </c>
      <c r="AG702">
        <f t="shared" si="106"/>
        <v>1</v>
      </c>
      <c r="AH702">
        <f t="shared" si="107"/>
        <v>0</v>
      </c>
      <c r="AI702">
        <f t="shared" si="108"/>
        <v>1</v>
      </c>
      <c r="AJ702">
        <v>315.60000000000002</v>
      </c>
      <c r="AK702">
        <v>1017.6</v>
      </c>
      <c r="AL702">
        <v>30.8</v>
      </c>
      <c r="AM702">
        <v>6.8</v>
      </c>
      <c r="AN702">
        <v>0</v>
      </c>
      <c r="AO702">
        <v>0</v>
      </c>
      <c r="AP702">
        <v>0</v>
      </c>
      <c r="AQ702">
        <v>0</v>
      </c>
      <c r="AR702" t="s">
        <v>2339</v>
      </c>
      <c r="AS702" t="s">
        <v>2340</v>
      </c>
      <c r="AT702">
        <v>0.04</v>
      </c>
      <c r="AU702" t="s">
        <v>43</v>
      </c>
      <c r="AV702" t="s">
        <v>44</v>
      </c>
      <c r="AW702" t="s">
        <v>45</v>
      </c>
      <c r="AX702" t="s">
        <v>2341</v>
      </c>
      <c r="AY702" t="s">
        <v>2342</v>
      </c>
      <c r="AZ702">
        <v>69.999999997671694</v>
      </c>
      <c r="BA702">
        <v>0</v>
      </c>
      <c r="BB702">
        <v>0</v>
      </c>
      <c r="BC702">
        <v>0.01</v>
      </c>
      <c r="BD702">
        <v>0</v>
      </c>
      <c r="BE702">
        <f t="shared" si="109"/>
        <v>1</v>
      </c>
    </row>
    <row r="703" spans="1:57" x14ac:dyDescent="0.25">
      <c r="A703" t="s">
        <v>39</v>
      </c>
      <c r="B703" t="s">
        <v>2343</v>
      </c>
      <c r="C703">
        <v>68.099999999999994</v>
      </c>
      <c r="D703">
        <v>48.3</v>
      </c>
      <c r="G703">
        <f t="shared" si="100"/>
        <v>1</v>
      </c>
      <c r="H703">
        <f t="shared" si="101"/>
        <v>1</v>
      </c>
      <c r="I703">
        <f t="shared" si="102"/>
        <v>0</v>
      </c>
      <c r="J703">
        <v>55.6</v>
      </c>
      <c r="K703">
        <v>68.099999999999994</v>
      </c>
      <c r="L703">
        <v>40.6</v>
      </c>
      <c r="M703">
        <v>53.9</v>
      </c>
      <c r="N703">
        <v>35.799999999999997</v>
      </c>
      <c r="O703">
        <v>47.7</v>
      </c>
      <c r="S703">
        <f t="shared" si="103"/>
        <v>1</v>
      </c>
      <c r="T703">
        <f t="shared" si="104"/>
        <v>0</v>
      </c>
      <c r="U703">
        <f t="shared" si="105"/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28.9</v>
      </c>
      <c r="AG703">
        <f t="shared" si="106"/>
        <v>1</v>
      </c>
      <c r="AH703">
        <f t="shared" si="107"/>
        <v>1</v>
      </c>
      <c r="AI703">
        <f t="shared" si="108"/>
        <v>0</v>
      </c>
      <c r="AJ703">
        <v>328.3</v>
      </c>
      <c r="AK703">
        <v>1018.4</v>
      </c>
      <c r="AL703">
        <v>82.1</v>
      </c>
      <c r="AM703">
        <v>6.7</v>
      </c>
      <c r="AN703">
        <v>0</v>
      </c>
      <c r="AO703">
        <v>0</v>
      </c>
      <c r="AP703">
        <v>0</v>
      </c>
      <c r="AQ703">
        <v>0</v>
      </c>
      <c r="AR703" t="s">
        <v>2344</v>
      </c>
      <c r="AS703" t="s">
        <v>2345</v>
      </c>
      <c r="AT703">
        <v>0.33</v>
      </c>
      <c r="AU703" t="s">
        <v>43</v>
      </c>
      <c r="AV703" t="s">
        <v>44</v>
      </c>
      <c r="AW703" t="s">
        <v>45</v>
      </c>
      <c r="AX703" t="s">
        <v>2346</v>
      </c>
      <c r="AY703" t="s">
        <v>2347</v>
      </c>
      <c r="AZ703">
        <v>1540.0000000011639</v>
      </c>
      <c r="BA703">
        <v>1</v>
      </c>
      <c r="BB703">
        <v>0</v>
      </c>
      <c r="BC703">
        <v>60</v>
      </c>
      <c r="BD703">
        <v>0</v>
      </c>
      <c r="BE703">
        <f t="shared" si="109"/>
        <v>1</v>
      </c>
    </row>
    <row r="704" spans="1:57" x14ac:dyDescent="0.25">
      <c r="A704" t="s">
        <v>39</v>
      </c>
      <c r="B704" t="s">
        <v>2348</v>
      </c>
      <c r="C704">
        <v>59.1</v>
      </c>
      <c r="D704">
        <v>44.7</v>
      </c>
      <c r="G704">
        <f t="shared" si="100"/>
        <v>0</v>
      </c>
      <c r="H704">
        <f t="shared" si="101"/>
        <v>0</v>
      </c>
      <c r="I704">
        <f t="shared" si="102"/>
        <v>0</v>
      </c>
      <c r="J704">
        <v>55.6</v>
      </c>
      <c r="K704">
        <v>59.1</v>
      </c>
      <c r="L704">
        <v>41.5</v>
      </c>
      <c r="M704">
        <v>55.4</v>
      </c>
      <c r="N704">
        <v>38.4</v>
      </c>
      <c r="O704">
        <v>52.9</v>
      </c>
      <c r="S704">
        <f t="shared" si="103"/>
        <v>1</v>
      </c>
      <c r="T704">
        <f t="shared" si="104"/>
        <v>0</v>
      </c>
      <c r="U704">
        <f t="shared" si="105"/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24.2</v>
      </c>
      <c r="AG704">
        <f t="shared" si="106"/>
        <v>1</v>
      </c>
      <c r="AH704">
        <f t="shared" si="107"/>
        <v>1</v>
      </c>
      <c r="AI704">
        <f t="shared" si="108"/>
        <v>0</v>
      </c>
      <c r="AJ704">
        <v>326</v>
      </c>
      <c r="AK704">
        <v>1016.9</v>
      </c>
      <c r="AL704">
        <v>50</v>
      </c>
      <c r="AM704">
        <v>6.8</v>
      </c>
      <c r="AN704">
        <v>0</v>
      </c>
      <c r="AO704">
        <v>0</v>
      </c>
      <c r="AP704">
        <v>0</v>
      </c>
      <c r="AQ704">
        <v>0</v>
      </c>
      <c r="AR704" t="s">
        <v>2349</v>
      </c>
      <c r="AS704" t="s">
        <v>2350</v>
      </c>
      <c r="AT704">
        <v>0.4</v>
      </c>
      <c r="AU704" t="s">
        <v>43</v>
      </c>
      <c r="AV704" t="s">
        <v>44</v>
      </c>
      <c r="AW704" t="s">
        <v>45</v>
      </c>
      <c r="AX704" t="s">
        <v>2351</v>
      </c>
      <c r="AY704" t="s">
        <v>2352</v>
      </c>
      <c r="AZ704">
        <v>140.99999999860299</v>
      </c>
      <c r="BA704">
        <v>0</v>
      </c>
      <c r="BB704">
        <v>0</v>
      </c>
      <c r="BC704">
        <v>2</v>
      </c>
      <c r="BD704">
        <v>0</v>
      </c>
      <c r="BE704">
        <f t="shared" si="109"/>
        <v>0</v>
      </c>
    </row>
    <row r="705" spans="1:57" x14ac:dyDescent="0.25">
      <c r="A705" t="s">
        <v>39</v>
      </c>
      <c r="B705" t="s">
        <v>2353</v>
      </c>
      <c r="C705">
        <v>59.1</v>
      </c>
      <c r="D705">
        <v>50.1</v>
      </c>
      <c r="G705">
        <f t="shared" si="100"/>
        <v>1</v>
      </c>
      <c r="H705">
        <f t="shared" si="101"/>
        <v>0</v>
      </c>
      <c r="I705">
        <f t="shared" si="102"/>
        <v>1</v>
      </c>
      <c r="J705">
        <v>56.4</v>
      </c>
      <c r="K705">
        <v>59.1</v>
      </c>
      <c r="L705">
        <v>50.1</v>
      </c>
      <c r="M705">
        <v>56.4</v>
      </c>
      <c r="N705">
        <v>41.5</v>
      </c>
      <c r="O705">
        <v>57.7</v>
      </c>
      <c r="S705">
        <f t="shared" si="103"/>
        <v>1</v>
      </c>
      <c r="T705">
        <f t="shared" si="104"/>
        <v>0</v>
      </c>
      <c r="U705">
        <f t="shared" si="105"/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12.8</v>
      </c>
      <c r="AG705">
        <f t="shared" si="106"/>
        <v>1</v>
      </c>
      <c r="AH705">
        <f t="shared" si="107"/>
        <v>0</v>
      </c>
      <c r="AI705">
        <f t="shared" si="108"/>
        <v>1</v>
      </c>
      <c r="AJ705">
        <v>339.4</v>
      </c>
      <c r="AK705">
        <v>1025.2</v>
      </c>
      <c r="AL705">
        <v>40.5</v>
      </c>
      <c r="AM705">
        <v>6.8</v>
      </c>
      <c r="AN705">
        <v>0</v>
      </c>
      <c r="AO705">
        <v>0</v>
      </c>
      <c r="AP705">
        <v>0</v>
      </c>
      <c r="AQ705">
        <v>0</v>
      </c>
      <c r="AR705" t="s">
        <v>2354</v>
      </c>
      <c r="AS705" t="s">
        <v>2355</v>
      </c>
      <c r="AT705">
        <v>0.57999999999999996</v>
      </c>
      <c r="AU705" t="s">
        <v>43</v>
      </c>
      <c r="AV705" t="s">
        <v>44</v>
      </c>
      <c r="AW705" t="s">
        <v>45</v>
      </c>
      <c r="AX705" t="s">
        <v>2356</v>
      </c>
      <c r="AY705" t="s">
        <v>2357</v>
      </c>
      <c r="AZ705">
        <v>240.00000000698489</v>
      </c>
      <c r="BA705">
        <v>0</v>
      </c>
      <c r="BB705">
        <v>0</v>
      </c>
      <c r="BC705">
        <v>10</v>
      </c>
      <c r="BD705">
        <v>0</v>
      </c>
      <c r="BE705">
        <f t="shared" si="109"/>
        <v>0</v>
      </c>
    </row>
    <row r="706" spans="1:57" x14ac:dyDescent="0.25">
      <c r="A706" t="s">
        <v>39</v>
      </c>
      <c r="B706" t="s">
        <v>2358</v>
      </c>
      <c r="C706">
        <v>60.9</v>
      </c>
      <c r="D706">
        <v>48.3</v>
      </c>
      <c r="G706">
        <f t="shared" si="100"/>
        <v>0</v>
      </c>
      <c r="H706">
        <f t="shared" si="101"/>
        <v>0</v>
      </c>
      <c r="I706">
        <f t="shared" si="102"/>
        <v>0</v>
      </c>
      <c r="J706">
        <v>54.8</v>
      </c>
      <c r="K706">
        <v>60.9</v>
      </c>
      <c r="L706">
        <v>45.7</v>
      </c>
      <c r="M706">
        <v>54.6</v>
      </c>
      <c r="N706">
        <v>47.2</v>
      </c>
      <c r="O706">
        <v>76.2</v>
      </c>
      <c r="S706">
        <f t="shared" si="103"/>
        <v>1</v>
      </c>
      <c r="T706">
        <f t="shared" si="104"/>
        <v>1</v>
      </c>
      <c r="U706">
        <f t="shared" si="105"/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6.9</v>
      </c>
      <c r="AG706">
        <f t="shared" si="106"/>
        <v>1</v>
      </c>
      <c r="AH706">
        <f t="shared" si="107"/>
        <v>0</v>
      </c>
      <c r="AI706">
        <f t="shared" si="108"/>
        <v>1</v>
      </c>
      <c r="AJ706">
        <v>104.7</v>
      </c>
      <c r="AK706">
        <v>1015.4</v>
      </c>
      <c r="AL706">
        <v>54.2</v>
      </c>
      <c r="AM706">
        <v>6.8</v>
      </c>
      <c r="AN706">
        <v>0</v>
      </c>
      <c r="AO706">
        <v>0</v>
      </c>
      <c r="AP706">
        <v>0</v>
      </c>
      <c r="AQ706">
        <v>0</v>
      </c>
      <c r="AR706" t="s">
        <v>2359</v>
      </c>
      <c r="AS706" t="s">
        <v>2360</v>
      </c>
      <c r="AT706">
        <v>0.68</v>
      </c>
      <c r="AU706" t="s">
        <v>43</v>
      </c>
      <c r="AV706" t="s">
        <v>44</v>
      </c>
      <c r="AW706" t="s">
        <v>45</v>
      </c>
      <c r="AX706" t="s">
        <v>2361</v>
      </c>
      <c r="AY706" t="s">
        <v>2362</v>
      </c>
      <c r="AZ706">
        <v>761.00000000791624</v>
      </c>
      <c r="BA706">
        <v>1</v>
      </c>
      <c r="BB706">
        <v>0</v>
      </c>
      <c r="BC706">
        <v>28</v>
      </c>
      <c r="BD706">
        <v>0</v>
      </c>
      <c r="BE706">
        <f t="shared" si="109"/>
        <v>0</v>
      </c>
    </row>
    <row r="707" spans="1:57" x14ac:dyDescent="0.25">
      <c r="A707" t="s">
        <v>39</v>
      </c>
      <c r="B707" t="s">
        <v>2363</v>
      </c>
      <c r="C707">
        <v>64.5</v>
      </c>
      <c r="D707">
        <v>46.5</v>
      </c>
      <c r="G707">
        <f t="shared" ref="G707:G770" si="110">IF(ABS(C707-INDEX($F$2:$F$13,MONTH(B707)))&gt;1.8,1,0)</f>
        <v>1</v>
      </c>
      <c r="H707">
        <f t="shared" ref="H707:H770" si="111">IF(C707&gt;=INDEX($F$2:$F$13,MONTH(B707))+1.8,1,0)</f>
        <v>1</v>
      </c>
      <c r="I707">
        <f t="shared" ref="I707:I770" si="112">IF(C707&lt;=INDEX($F$2:$F$13,MONTH(B707))-1.8,1,0)</f>
        <v>0</v>
      </c>
      <c r="J707">
        <v>56.1</v>
      </c>
      <c r="K707">
        <v>64.5</v>
      </c>
      <c r="L707">
        <v>43</v>
      </c>
      <c r="M707">
        <v>55.1</v>
      </c>
      <c r="N707">
        <v>42.7</v>
      </c>
      <c r="O707">
        <v>61.9</v>
      </c>
      <c r="S707">
        <f t="shared" ref="S707:S770" si="113">IF(OR(O707&lt;INDEX($Q$2:$Q$13,MONTH(B707)),O707&gt;INDEX($R$2:$R$13,MONTH(B707))),1,0)</f>
        <v>1</v>
      </c>
      <c r="T707">
        <f t="shared" ref="T707:T770" si="114">IF(O707&gt;INDEX($R$2:$R$13,MONTH(B707)),1,0)</f>
        <v>0</v>
      </c>
      <c r="U707">
        <f t="shared" ref="U707:U770" si="115">IF(O707&lt;INDEX($Q$2:$Q$13,MONTH(B707)),1,0)</f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20.8</v>
      </c>
      <c r="AG707">
        <f t="shared" ref="AG707:AG770" si="116">IF(OR(AC707&lt;INDEX($AE$2:$AE$13,MONTH(B707)),AC707&gt;INDEX($AF$2:$AF$13,MONTH(B707))),1,0)</f>
        <v>1</v>
      </c>
      <c r="AH707">
        <f t="shared" ref="AH707:AH770" si="117">IF(AC707&gt;INDEX($AF$2:$AF$13,MONTH(B707)),1,0)</f>
        <v>1</v>
      </c>
      <c r="AI707">
        <f t="shared" ref="AI707:AI770" si="118">IF(AC707&lt;INDEX($AE$2:$AE$13,MONTH(B707)),1,0)</f>
        <v>0</v>
      </c>
      <c r="AJ707">
        <v>263</v>
      </c>
      <c r="AK707">
        <v>1015.9</v>
      </c>
      <c r="AL707">
        <v>77.3</v>
      </c>
      <c r="AM707">
        <v>6.5</v>
      </c>
      <c r="AN707">
        <v>0</v>
      </c>
      <c r="AO707">
        <v>0</v>
      </c>
      <c r="AP707">
        <v>0</v>
      </c>
      <c r="AQ707">
        <v>0</v>
      </c>
      <c r="AR707" t="s">
        <v>2364</v>
      </c>
      <c r="AS707" t="s">
        <v>2365</v>
      </c>
      <c r="AT707">
        <v>0.98</v>
      </c>
      <c r="AU707" t="s">
        <v>43</v>
      </c>
      <c r="AV707" t="s">
        <v>44</v>
      </c>
      <c r="AW707" t="s">
        <v>45</v>
      </c>
      <c r="AX707" t="s">
        <v>2366</v>
      </c>
      <c r="AY707" t="s">
        <v>2367</v>
      </c>
      <c r="AZ707">
        <v>950.99999999860302</v>
      </c>
      <c r="BA707">
        <v>1</v>
      </c>
      <c r="BB707">
        <v>0</v>
      </c>
      <c r="BC707">
        <v>28</v>
      </c>
      <c r="BD707">
        <v>0</v>
      </c>
      <c r="BE707">
        <f t="shared" ref="BE707:BE770" si="119">IF((3*AH707+3*H707+2*U707+2*BA707-(2*(1-T707)+2*(1-I707)+2*(1-AI707)))&gt;=1,1,0)</f>
        <v>1</v>
      </c>
    </row>
    <row r="708" spans="1:57" x14ac:dyDescent="0.25">
      <c r="A708" t="s">
        <v>39</v>
      </c>
      <c r="B708" t="s">
        <v>2363</v>
      </c>
      <c r="C708">
        <v>64.5</v>
      </c>
      <c r="D708">
        <v>46.5</v>
      </c>
      <c r="G708">
        <f t="shared" si="110"/>
        <v>1</v>
      </c>
      <c r="H708">
        <f t="shared" si="111"/>
        <v>1</v>
      </c>
      <c r="I708">
        <f t="shared" si="112"/>
        <v>0</v>
      </c>
      <c r="J708">
        <v>56.1</v>
      </c>
      <c r="K708">
        <v>64.5</v>
      </c>
      <c r="L708">
        <v>43</v>
      </c>
      <c r="M708">
        <v>55.1</v>
      </c>
      <c r="N708">
        <v>42.7</v>
      </c>
      <c r="O708">
        <v>61.9</v>
      </c>
      <c r="S708">
        <f t="shared" si="113"/>
        <v>1</v>
      </c>
      <c r="T708">
        <f t="shared" si="114"/>
        <v>0</v>
      </c>
      <c r="U708">
        <f t="shared" si="115"/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20.8</v>
      </c>
      <c r="AG708">
        <f t="shared" si="116"/>
        <v>1</v>
      </c>
      <c r="AH708">
        <f t="shared" si="117"/>
        <v>1</v>
      </c>
      <c r="AI708">
        <f t="shared" si="118"/>
        <v>0</v>
      </c>
      <c r="AJ708">
        <v>263</v>
      </c>
      <c r="AK708">
        <v>1015.9</v>
      </c>
      <c r="AL708">
        <v>77.3</v>
      </c>
      <c r="AM708">
        <v>6.5</v>
      </c>
      <c r="AN708">
        <v>0</v>
      </c>
      <c r="AO708">
        <v>0</v>
      </c>
      <c r="AP708">
        <v>0</v>
      </c>
      <c r="AQ708">
        <v>0</v>
      </c>
      <c r="AR708" t="s">
        <v>2364</v>
      </c>
      <c r="AS708" t="s">
        <v>2365</v>
      </c>
      <c r="AT708">
        <v>0.98</v>
      </c>
      <c r="AU708" t="s">
        <v>43</v>
      </c>
      <c r="AV708" t="s">
        <v>44</v>
      </c>
      <c r="AW708" t="s">
        <v>45</v>
      </c>
      <c r="AX708" t="s">
        <v>2368</v>
      </c>
      <c r="AY708" t="s">
        <v>2369</v>
      </c>
      <c r="AZ708">
        <v>181.0000000032596</v>
      </c>
      <c r="BA708">
        <v>0</v>
      </c>
      <c r="BB708">
        <v>0</v>
      </c>
      <c r="BC708">
        <v>2</v>
      </c>
      <c r="BD708">
        <v>0</v>
      </c>
      <c r="BE708">
        <f t="shared" si="119"/>
        <v>1</v>
      </c>
    </row>
    <row r="709" spans="1:57" x14ac:dyDescent="0.25">
      <c r="A709" t="s">
        <v>39</v>
      </c>
      <c r="B709" t="s">
        <v>2370</v>
      </c>
      <c r="C709">
        <v>68.099999999999994</v>
      </c>
      <c r="D709">
        <v>51.9</v>
      </c>
      <c r="G709">
        <f t="shared" si="110"/>
        <v>0</v>
      </c>
      <c r="H709">
        <f t="shared" si="111"/>
        <v>0</v>
      </c>
      <c r="I709">
        <f t="shared" si="112"/>
        <v>0</v>
      </c>
      <c r="J709">
        <v>60.4</v>
      </c>
      <c r="K709">
        <v>68.099999999999994</v>
      </c>
      <c r="L709">
        <v>51.9</v>
      </c>
      <c r="M709">
        <v>60.4</v>
      </c>
      <c r="N709">
        <v>49</v>
      </c>
      <c r="O709">
        <v>67.2</v>
      </c>
      <c r="S709">
        <f t="shared" si="113"/>
        <v>1</v>
      </c>
      <c r="T709">
        <f t="shared" si="114"/>
        <v>1</v>
      </c>
      <c r="U709">
        <f t="shared" si="115"/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11.4</v>
      </c>
      <c r="AG709">
        <f t="shared" si="116"/>
        <v>1</v>
      </c>
      <c r="AH709">
        <f t="shared" si="117"/>
        <v>0</v>
      </c>
      <c r="AI709">
        <f t="shared" si="118"/>
        <v>1</v>
      </c>
      <c r="AJ709">
        <v>306.7</v>
      </c>
      <c r="AK709">
        <v>1019</v>
      </c>
      <c r="AL709">
        <v>0</v>
      </c>
      <c r="AM709">
        <v>6.2</v>
      </c>
      <c r="AN709">
        <v>0</v>
      </c>
      <c r="AO709">
        <v>0</v>
      </c>
      <c r="AP709">
        <v>0</v>
      </c>
      <c r="AQ709">
        <v>0</v>
      </c>
      <c r="AR709" t="s">
        <v>2371</v>
      </c>
      <c r="AS709" t="s">
        <v>2372</v>
      </c>
      <c r="AT709">
        <v>0.89</v>
      </c>
      <c r="AU709" t="s">
        <v>74</v>
      </c>
      <c r="AV709" t="s">
        <v>44</v>
      </c>
      <c r="AW709" t="s">
        <v>75</v>
      </c>
      <c r="AX709" t="s">
        <v>2373</v>
      </c>
      <c r="AY709" t="s">
        <v>2374</v>
      </c>
      <c r="AZ709">
        <v>434.99999999301508</v>
      </c>
      <c r="BA709">
        <v>1</v>
      </c>
      <c r="BB709">
        <v>0</v>
      </c>
      <c r="BC709">
        <v>1</v>
      </c>
      <c r="BD709">
        <v>0</v>
      </c>
      <c r="BE709">
        <f t="shared" si="119"/>
        <v>0</v>
      </c>
    </row>
    <row r="710" spans="1:57" x14ac:dyDescent="0.25">
      <c r="A710" t="s">
        <v>39</v>
      </c>
      <c r="B710" t="s">
        <v>2375</v>
      </c>
      <c r="C710">
        <v>68.099999999999994</v>
      </c>
      <c r="D710">
        <v>53.7</v>
      </c>
      <c r="G710">
        <f t="shared" si="110"/>
        <v>0</v>
      </c>
      <c r="H710">
        <f t="shared" si="111"/>
        <v>0</v>
      </c>
      <c r="I710">
        <f t="shared" si="112"/>
        <v>0</v>
      </c>
      <c r="J710">
        <v>62</v>
      </c>
      <c r="K710">
        <v>68.099999999999994</v>
      </c>
      <c r="L710">
        <v>53.7</v>
      </c>
      <c r="M710">
        <v>62</v>
      </c>
      <c r="N710">
        <v>53</v>
      </c>
      <c r="O710">
        <v>73.099999999999994</v>
      </c>
      <c r="S710">
        <f t="shared" si="113"/>
        <v>1</v>
      </c>
      <c r="T710">
        <f t="shared" si="114"/>
        <v>1</v>
      </c>
      <c r="U710">
        <f t="shared" si="115"/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19.5</v>
      </c>
      <c r="AG710">
        <f t="shared" si="116"/>
        <v>1</v>
      </c>
      <c r="AH710">
        <f t="shared" si="117"/>
        <v>1</v>
      </c>
      <c r="AI710">
        <f t="shared" si="118"/>
        <v>0</v>
      </c>
      <c r="AJ710">
        <v>310.2</v>
      </c>
      <c r="AK710">
        <v>1019.1</v>
      </c>
      <c r="AL710">
        <v>30</v>
      </c>
      <c r="AM710">
        <v>6.4</v>
      </c>
      <c r="AN710">
        <v>0</v>
      </c>
      <c r="AO710">
        <v>0</v>
      </c>
      <c r="AP710">
        <v>0</v>
      </c>
      <c r="AQ710">
        <v>0</v>
      </c>
      <c r="AR710" t="s">
        <v>2376</v>
      </c>
      <c r="AS710" t="s">
        <v>2377</v>
      </c>
      <c r="AT710">
        <v>0.2</v>
      </c>
      <c r="AU710" t="s">
        <v>43</v>
      </c>
      <c r="AV710" t="s">
        <v>44</v>
      </c>
      <c r="AW710" t="s">
        <v>45</v>
      </c>
      <c r="AX710" t="s">
        <v>2378</v>
      </c>
      <c r="AY710" t="s">
        <v>2379</v>
      </c>
      <c r="AZ710">
        <v>1225.0000000011639</v>
      </c>
      <c r="BA710">
        <v>1</v>
      </c>
      <c r="BB710">
        <v>3</v>
      </c>
      <c r="BC710">
        <v>0</v>
      </c>
      <c r="BD710">
        <v>0</v>
      </c>
      <c r="BE710">
        <f t="shared" si="119"/>
        <v>1</v>
      </c>
    </row>
    <row r="711" spans="1:57" x14ac:dyDescent="0.25">
      <c r="A711" t="s">
        <v>39</v>
      </c>
      <c r="B711" t="s">
        <v>2380</v>
      </c>
      <c r="C711">
        <v>77.099999999999994</v>
      </c>
      <c r="D711">
        <v>68.099999999999994</v>
      </c>
      <c r="G711">
        <f t="shared" si="110"/>
        <v>1</v>
      </c>
      <c r="H711">
        <f t="shared" si="111"/>
        <v>1</v>
      </c>
      <c r="I711">
        <f t="shared" si="112"/>
        <v>0</v>
      </c>
      <c r="J711">
        <v>72</v>
      </c>
      <c r="K711">
        <v>77.099999999999994</v>
      </c>
      <c r="L711">
        <v>68.099999999999994</v>
      </c>
      <c r="M711">
        <v>72</v>
      </c>
      <c r="N711">
        <v>57.2</v>
      </c>
      <c r="O711">
        <v>59.9</v>
      </c>
      <c r="S711">
        <f t="shared" si="113"/>
        <v>1</v>
      </c>
      <c r="T711">
        <f t="shared" si="114"/>
        <v>0</v>
      </c>
      <c r="U711">
        <f t="shared" si="115"/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19.5</v>
      </c>
      <c r="AG711">
        <f t="shared" si="116"/>
        <v>1</v>
      </c>
      <c r="AH711">
        <f t="shared" si="117"/>
        <v>1</v>
      </c>
      <c r="AI711">
        <f t="shared" si="118"/>
        <v>0</v>
      </c>
      <c r="AJ711">
        <v>303.7</v>
      </c>
      <c r="AK711">
        <v>1011.5</v>
      </c>
      <c r="AL711">
        <v>30</v>
      </c>
      <c r="AM711">
        <v>6.3</v>
      </c>
      <c r="AN711">
        <v>0</v>
      </c>
      <c r="AO711">
        <v>0</v>
      </c>
      <c r="AP711">
        <v>0</v>
      </c>
      <c r="AQ711">
        <v>0</v>
      </c>
      <c r="AR711" t="s">
        <v>2381</v>
      </c>
      <c r="AS711" t="s">
        <v>2382</v>
      </c>
      <c r="AT711">
        <v>0.81</v>
      </c>
      <c r="AU711" t="s">
        <v>43</v>
      </c>
      <c r="AV711" t="s">
        <v>44</v>
      </c>
      <c r="AW711" t="s">
        <v>45</v>
      </c>
      <c r="AX711" t="s">
        <v>2383</v>
      </c>
      <c r="AY711" t="s">
        <v>2384</v>
      </c>
      <c r="AZ711">
        <v>194.99999999650751</v>
      </c>
      <c r="BA711">
        <v>0</v>
      </c>
      <c r="BB711">
        <v>1</v>
      </c>
      <c r="BC711">
        <v>0</v>
      </c>
      <c r="BD711">
        <v>0</v>
      </c>
      <c r="BE711">
        <f t="shared" si="119"/>
        <v>1</v>
      </c>
    </row>
    <row r="712" spans="1:57" x14ac:dyDescent="0.25">
      <c r="A712" t="s">
        <v>39</v>
      </c>
      <c r="B712" t="s">
        <v>2385</v>
      </c>
      <c r="C712">
        <v>89.7</v>
      </c>
      <c r="D712">
        <v>73.5</v>
      </c>
      <c r="G712">
        <f t="shared" si="110"/>
        <v>1</v>
      </c>
      <c r="H712">
        <f t="shared" si="111"/>
        <v>1</v>
      </c>
      <c r="I712">
        <f t="shared" si="112"/>
        <v>0</v>
      </c>
      <c r="J712">
        <v>82.2</v>
      </c>
      <c r="K712">
        <v>96.1</v>
      </c>
      <c r="L712">
        <v>73.5</v>
      </c>
      <c r="M712">
        <v>84.7</v>
      </c>
      <c r="N712">
        <v>65.7</v>
      </c>
      <c r="O712">
        <v>57.8</v>
      </c>
      <c r="S712">
        <f t="shared" si="113"/>
        <v>1</v>
      </c>
      <c r="T712">
        <f t="shared" si="114"/>
        <v>0</v>
      </c>
      <c r="U712">
        <f t="shared" si="115"/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10.3</v>
      </c>
      <c r="AG712">
        <f t="shared" si="116"/>
        <v>1</v>
      </c>
      <c r="AH712">
        <f t="shared" si="117"/>
        <v>0</v>
      </c>
      <c r="AI712">
        <f t="shared" si="118"/>
        <v>1</v>
      </c>
      <c r="AJ712">
        <v>219.8</v>
      </c>
      <c r="AK712">
        <v>1012.6</v>
      </c>
      <c r="AL712">
        <v>0</v>
      </c>
      <c r="AM712">
        <v>6.2</v>
      </c>
      <c r="AN712">
        <v>0</v>
      </c>
      <c r="AO712">
        <v>0</v>
      </c>
      <c r="AP712">
        <v>0</v>
      </c>
      <c r="AQ712">
        <v>0</v>
      </c>
      <c r="AR712" t="s">
        <v>2386</v>
      </c>
      <c r="AS712" t="s">
        <v>2387</v>
      </c>
      <c r="AT712">
        <v>0.27</v>
      </c>
      <c r="AU712" t="s">
        <v>74</v>
      </c>
      <c r="AV712" t="s">
        <v>44</v>
      </c>
      <c r="AW712" t="s">
        <v>75</v>
      </c>
      <c r="AX712" t="s">
        <v>2388</v>
      </c>
      <c r="AY712" t="s">
        <v>2389</v>
      </c>
      <c r="AZ712">
        <v>1511.0000000009311</v>
      </c>
      <c r="BA712">
        <v>1</v>
      </c>
      <c r="BB712">
        <v>0.5</v>
      </c>
      <c r="BC712">
        <v>0</v>
      </c>
      <c r="BD712">
        <v>0</v>
      </c>
      <c r="BE712">
        <f t="shared" si="119"/>
        <v>1</v>
      </c>
    </row>
    <row r="713" spans="1:57" x14ac:dyDescent="0.25">
      <c r="A713" t="s">
        <v>39</v>
      </c>
      <c r="B713" t="s">
        <v>2390</v>
      </c>
      <c r="C713">
        <v>84.3</v>
      </c>
      <c r="D713">
        <v>75.3</v>
      </c>
      <c r="G713">
        <f t="shared" si="110"/>
        <v>0</v>
      </c>
      <c r="H713">
        <f t="shared" si="111"/>
        <v>0</v>
      </c>
      <c r="I713">
        <f t="shared" si="112"/>
        <v>0</v>
      </c>
      <c r="J713">
        <v>81.2</v>
      </c>
      <c r="K713">
        <v>89.8</v>
      </c>
      <c r="L713">
        <v>75.3</v>
      </c>
      <c r="M713">
        <v>83.1</v>
      </c>
      <c r="N713">
        <v>66.599999999999994</v>
      </c>
      <c r="O713">
        <v>61.5</v>
      </c>
      <c r="S713">
        <f t="shared" si="113"/>
        <v>0</v>
      </c>
      <c r="T713">
        <f t="shared" si="114"/>
        <v>0</v>
      </c>
      <c r="U713">
        <f t="shared" si="115"/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18.3</v>
      </c>
      <c r="AG713">
        <f t="shared" si="116"/>
        <v>0</v>
      </c>
      <c r="AH713">
        <f t="shared" si="117"/>
        <v>0</v>
      </c>
      <c r="AI713">
        <f t="shared" si="118"/>
        <v>0</v>
      </c>
      <c r="AJ713">
        <v>311.7</v>
      </c>
      <c r="AK713">
        <v>1009.5</v>
      </c>
      <c r="AL713">
        <v>0</v>
      </c>
      <c r="AM713">
        <v>6.2</v>
      </c>
      <c r="AN713">
        <v>0</v>
      </c>
      <c r="AO713">
        <v>0</v>
      </c>
      <c r="AP713">
        <v>0</v>
      </c>
      <c r="AQ713">
        <v>0</v>
      </c>
      <c r="AR713" t="s">
        <v>2391</v>
      </c>
      <c r="AS713" t="s">
        <v>2392</v>
      </c>
      <c r="AT713">
        <v>0.82</v>
      </c>
      <c r="AU713" t="s">
        <v>74</v>
      </c>
      <c r="AV713" t="s">
        <v>44</v>
      </c>
      <c r="AW713" t="s">
        <v>75</v>
      </c>
      <c r="AX713" t="s">
        <v>2393</v>
      </c>
      <c r="AY713" t="s">
        <v>2394</v>
      </c>
      <c r="AZ713">
        <v>79.999999998835847</v>
      </c>
      <c r="BA713">
        <v>0</v>
      </c>
      <c r="BB713">
        <v>0</v>
      </c>
      <c r="BC713">
        <v>0.01</v>
      </c>
      <c r="BD713">
        <v>0</v>
      </c>
      <c r="BE713">
        <f t="shared" si="119"/>
        <v>0</v>
      </c>
    </row>
    <row r="714" spans="1:57" x14ac:dyDescent="0.25">
      <c r="A714" t="s">
        <v>39</v>
      </c>
      <c r="B714" t="s">
        <v>2395</v>
      </c>
      <c r="C714">
        <v>82.5</v>
      </c>
      <c r="D714">
        <v>69.900000000000006</v>
      </c>
      <c r="G714">
        <f t="shared" si="110"/>
        <v>0</v>
      </c>
      <c r="H714">
        <f t="shared" si="111"/>
        <v>0</v>
      </c>
      <c r="I714">
        <f t="shared" si="112"/>
        <v>0</v>
      </c>
      <c r="J714">
        <v>78.400000000000006</v>
      </c>
      <c r="K714">
        <v>84.1</v>
      </c>
      <c r="L714">
        <v>69.900000000000006</v>
      </c>
      <c r="M714">
        <v>79.2</v>
      </c>
      <c r="N714">
        <v>65.3</v>
      </c>
      <c r="O714">
        <v>64.400000000000006</v>
      </c>
      <c r="S714">
        <f t="shared" si="113"/>
        <v>1</v>
      </c>
      <c r="T714">
        <f t="shared" si="114"/>
        <v>1</v>
      </c>
      <c r="U714">
        <f t="shared" si="115"/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20.8</v>
      </c>
      <c r="AG714">
        <f t="shared" si="116"/>
        <v>1</v>
      </c>
      <c r="AH714">
        <f t="shared" si="117"/>
        <v>1</v>
      </c>
      <c r="AI714">
        <f t="shared" si="118"/>
        <v>0</v>
      </c>
      <c r="AJ714">
        <v>312.3</v>
      </c>
      <c r="AK714">
        <v>1012</v>
      </c>
      <c r="AL714">
        <v>0</v>
      </c>
      <c r="AM714">
        <v>6.2</v>
      </c>
      <c r="AN714">
        <v>0</v>
      </c>
      <c r="AO714">
        <v>0</v>
      </c>
      <c r="AP714">
        <v>0</v>
      </c>
      <c r="AQ714">
        <v>0</v>
      </c>
      <c r="AR714" t="s">
        <v>2396</v>
      </c>
      <c r="AS714" t="s">
        <v>2397</v>
      </c>
      <c r="AT714">
        <v>0.09</v>
      </c>
      <c r="AU714" t="s">
        <v>74</v>
      </c>
      <c r="AV714" t="s">
        <v>44</v>
      </c>
      <c r="AW714" t="s">
        <v>75</v>
      </c>
      <c r="AX714" t="s">
        <v>2398</v>
      </c>
      <c r="AY714" t="s">
        <v>2399</v>
      </c>
      <c r="AZ714">
        <v>420.99999999976723</v>
      </c>
      <c r="BA714">
        <v>1</v>
      </c>
      <c r="BB714">
        <v>0</v>
      </c>
      <c r="BC714">
        <v>1</v>
      </c>
      <c r="BD714">
        <v>0</v>
      </c>
      <c r="BE714">
        <f t="shared" si="119"/>
        <v>1</v>
      </c>
    </row>
    <row r="715" spans="1:57" x14ac:dyDescent="0.25">
      <c r="A715" t="s">
        <v>39</v>
      </c>
      <c r="B715" t="s">
        <v>2400</v>
      </c>
      <c r="C715">
        <v>87.9</v>
      </c>
      <c r="D715">
        <v>73.5</v>
      </c>
      <c r="G715">
        <f t="shared" si="110"/>
        <v>1</v>
      </c>
      <c r="H715">
        <f t="shared" si="111"/>
        <v>1</v>
      </c>
      <c r="I715">
        <f t="shared" si="112"/>
        <v>0</v>
      </c>
      <c r="J715">
        <v>82.7</v>
      </c>
      <c r="K715">
        <v>94.4</v>
      </c>
      <c r="L715">
        <v>73.5</v>
      </c>
      <c r="M715">
        <v>85.4</v>
      </c>
      <c r="N715">
        <v>65.7</v>
      </c>
      <c r="O715">
        <v>56.8</v>
      </c>
      <c r="S715">
        <f t="shared" si="113"/>
        <v>1</v>
      </c>
      <c r="T715">
        <f t="shared" si="114"/>
        <v>0</v>
      </c>
      <c r="U715">
        <f t="shared" si="115"/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15</v>
      </c>
      <c r="AG715">
        <f t="shared" si="116"/>
        <v>1</v>
      </c>
      <c r="AH715">
        <f t="shared" si="117"/>
        <v>0</v>
      </c>
      <c r="AI715">
        <f t="shared" si="118"/>
        <v>1</v>
      </c>
      <c r="AJ715">
        <v>269.60000000000002</v>
      </c>
      <c r="AK715">
        <v>1006.4</v>
      </c>
      <c r="AL715">
        <v>0</v>
      </c>
      <c r="AM715">
        <v>6.2</v>
      </c>
      <c r="AN715">
        <v>0</v>
      </c>
      <c r="AO715">
        <v>0</v>
      </c>
      <c r="AP715">
        <v>0</v>
      </c>
      <c r="AQ715">
        <v>0</v>
      </c>
      <c r="AR715" t="s">
        <v>2401</v>
      </c>
      <c r="AS715" t="s">
        <v>2402</v>
      </c>
      <c r="AT715">
        <v>0.32</v>
      </c>
      <c r="AU715" t="s">
        <v>74</v>
      </c>
      <c r="AV715" t="s">
        <v>44</v>
      </c>
      <c r="AW715" t="s">
        <v>75</v>
      </c>
      <c r="AX715" t="s">
        <v>2403</v>
      </c>
      <c r="AY715" t="s">
        <v>2404</v>
      </c>
      <c r="AZ715">
        <v>4649.9999999965084</v>
      </c>
      <c r="BA715">
        <v>1</v>
      </c>
      <c r="BB715">
        <v>0</v>
      </c>
      <c r="BC715">
        <v>100</v>
      </c>
      <c r="BD715">
        <v>0</v>
      </c>
      <c r="BE715">
        <f t="shared" si="119"/>
        <v>1</v>
      </c>
    </row>
    <row r="716" spans="1:57" x14ac:dyDescent="0.25">
      <c r="A716" t="s">
        <v>39</v>
      </c>
      <c r="B716" t="s">
        <v>2405</v>
      </c>
      <c r="C716">
        <v>84.3</v>
      </c>
      <c r="D716">
        <v>73.5</v>
      </c>
      <c r="G716">
        <f t="shared" si="110"/>
        <v>0</v>
      </c>
      <c r="H716">
        <f t="shared" si="111"/>
        <v>0</v>
      </c>
      <c r="I716">
        <f t="shared" si="112"/>
        <v>0</v>
      </c>
      <c r="J716">
        <v>80.2</v>
      </c>
      <c r="K716">
        <v>91.1</v>
      </c>
      <c r="L716">
        <v>73.5</v>
      </c>
      <c r="M716">
        <v>82.8</v>
      </c>
      <c r="N716">
        <v>71.900000000000006</v>
      </c>
      <c r="O716">
        <v>76</v>
      </c>
      <c r="S716">
        <f t="shared" si="113"/>
        <v>1</v>
      </c>
      <c r="T716">
        <f t="shared" si="114"/>
        <v>1</v>
      </c>
      <c r="U716">
        <f t="shared" si="115"/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16.100000000000001</v>
      </c>
      <c r="AG716">
        <f t="shared" si="116"/>
        <v>0</v>
      </c>
      <c r="AH716">
        <f t="shared" si="117"/>
        <v>0</v>
      </c>
      <c r="AI716">
        <f t="shared" si="118"/>
        <v>0</v>
      </c>
      <c r="AJ716">
        <v>321.39999999999998</v>
      </c>
      <c r="AK716">
        <v>1008.4</v>
      </c>
      <c r="AL716">
        <v>30</v>
      </c>
      <c r="AM716">
        <v>6.6</v>
      </c>
      <c r="AN716">
        <v>0</v>
      </c>
      <c r="AO716">
        <v>0</v>
      </c>
      <c r="AP716">
        <v>0</v>
      </c>
      <c r="AQ716">
        <v>0</v>
      </c>
      <c r="AR716" t="s">
        <v>2406</v>
      </c>
      <c r="AS716" t="s">
        <v>2407</v>
      </c>
      <c r="AT716">
        <v>0.45</v>
      </c>
      <c r="AU716" t="s">
        <v>43</v>
      </c>
      <c r="AV716" t="s">
        <v>44</v>
      </c>
      <c r="AW716" t="s">
        <v>45</v>
      </c>
      <c r="AX716" t="s">
        <v>2408</v>
      </c>
      <c r="AY716" t="s">
        <v>2409</v>
      </c>
      <c r="AZ716">
        <v>2980.0000000011642</v>
      </c>
      <c r="BA716">
        <v>1</v>
      </c>
      <c r="BB716">
        <v>0</v>
      </c>
      <c r="BC716">
        <v>145</v>
      </c>
      <c r="BD716">
        <v>0</v>
      </c>
      <c r="BE716">
        <f t="shared" si="119"/>
        <v>0</v>
      </c>
    </row>
    <row r="717" spans="1:57" x14ac:dyDescent="0.25">
      <c r="A717" t="s">
        <v>39</v>
      </c>
      <c r="B717" t="s">
        <v>2410</v>
      </c>
      <c r="C717">
        <v>87.9</v>
      </c>
      <c r="D717">
        <v>75.3</v>
      </c>
      <c r="G717">
        <f t="shared" si="110"/>
        <v>1</v>
      </c>
      <c r="H717">
        <f t="shared" si="111"/>
        <v>1</v>
      </c>
      <c r="I717">
        <f t="shared" si="112"/>
        <v>0</v>
      </c>
      <c r="J717">
        <v>82.7</v>
      </c>
      <c r="K717">
        <v>96.1</v>
      </c>
      <c r="L717">
        <v>75.3</v>
      </c>
      <c r="M717">
        <v>86.6</v>
      </c>
      <c r="N717">
        <v>69</v>
      </c>
      <c r="O717">
        <v>63.5</v>
      </c>
      <c r="S717">
        <f t="shared" si="113"/>
        <v>1</v>
      </c>
      <c r="T717">
        <f t="shared" si="114"/>
        <v>1</v>
      </c>
      <c r="U717">
        <f t="shared" si="115"/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17.2</v>
      </c>
      <c r="AG717">
        <f t="shared" si="116"/>
        <v>0</v>
      </c>
      <c r="AH717">
        <f t="shared" si="117"/>
        <v>0</v>
      </c>
      <c r="AI717">
        <f t="shared" si="118"/>
        <v>0</v>
      </c>
      <c r="AJ717">
        <v>304.8</v>
      </c>
      <c r="AK717">
        <v>1010.6</v>
      </c>
      <c r="AL717">
        <v>0</v>
      </c>
      <c r="AM717">
        <v>6.2</v>
      </c>
      <c r="AN717">
        <v>0</v>
      </c>
      <c r="AO717">
        <v>0</v>
      </c>
      <c r="AP717">
        <v>0</v>
      </c>
      <c r="AQ717">
        <v>0</v>
      </c>
      <c r="AR717" t="s">
        <v>2411</v>
      </c>
      <c r="AS717" t="s">
        <v>2412</v>
      </c>
      <c r="AT717">
        <v>0.34</v>
      </c>
      <c r="AU717" t="s">
        <v>74</v>
      </c>
      <c r="AV717" t="s">
        <v>44</v>
      </c>
      <c r="AW717" t="s">
        <v>75</v>
      </c>
      <c r="AX717" t="s">
        <v>2413</v>
      </c>
      <c r="AY717" t="s">
        <v>2414</v>
      </c>
      <c r="AZ717">
        <v>42330.000000003492</v>
      </c>
      <c r="BA717">
        <v>1</v>
      </c>
      <c r="BB717">
        <v>40000</v>
      </c>
      <c r="BC717">
        <v>100000</v>
      </c>
      <c r="BD717">
        <v>0</v>
      </c>
      <c r="BE717">
        <f t="shared" si="119"/>
        <v>1</v>
      </c>
    </row>
    <row r="718" spans="1:57" x14ac:dyDescent="0.25">
      <c r="A718" t="s">
        <v>39</v>
      </c>
      <c r="B718" t="s">
        <v>2415</v>
      </c>
      <c r="C718">
        <v>75.3</v>
      </c>
      <c r="D718">
        <v>68.099999999999994</v>
      </c>
      <c r="G718">
        <f t="shared" si="110"/>
        <v>1</v>
      </c>
      <c r="H718">
        <f t="shared" si="111"/>
        <v>0</v>
      </c>
      <c r="I718">
        <f t="shared" si="112"/>
        <v>1</v>
      </c>
      <c r="J718">
        <v>71.3</v>
      </c>
      <c r="K718">
        <v>75.3</v>
      </c>
      <c r="L718">
        <v>68.099999999999994</v>
      </c>
      <c r="M718">
        <v>71.3</v>
      </c>
      <c r="N718">
        <v>61.7</v>
      </c>
      <c r="O718">
        <v>71.900000000000006</v>
      </c>
      <c r="S718">
        <f t="shared" si="113"/>
        <v>1</v>
      </c>
      <c r="T718">
        <f t="shared" si="114"/>
        <v>1</v>
      </c>
      <c r="U718">
        <f t="shared" si="115"/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20.8</v>
      </c>
      <c r="AG718">
        <f t="shared" si="116"/>
        <v>1</v>
      </c>
      <c r="AH718">
        <f t="shared" si="117"/>
        <v>1</v>
      </c>
      <c r="AI718">
        <f t="shared" si="118"/>
        <v>0</v>
      </c>
      <c r="AJ718">
        <v>334.6</v>
      </c>
      <c r="AK718">
        <v>1017.1</v>
      </c>
      <c r="AL718">
        <v>73.3</v>
      </c>
      <c r="AM718">
        <v>6.8</v>
      </c>
      <c r="AN718">
        <v>0</v>
      </c>
      <c r="AO718">
        <v>0</v>
      </c>
      <c r="AP718">
        <v>0</v>
      </c>
      <c r="AQ718">
        <v>0</v>
      </c>
      <c r="AR718" t="s">
        <v>2416</v>
      </c>
      <c r="AS718" t="s">
        <v>2417</v>
      </c>
      <c r="AT718">
        <v>0.35</v>
      </c>
      <c r="AU718" t="s">
        <v>43</v>
      </c>
      <c r="AV718" t="s">
        <v>44</v>
      </c>
      <c r="AW718" t="s">
        <v>45</v>
      </c>
      <c r="AX718" t="s">
        <v>2418</v>
      </c>
      <c r="AY718" t="s">
        <v>2419</v>
      </c>
      <c r="AZ718">
        <v>709.99999999883585</v>
      </c>
      <c r="BA718">
        <v>1</v>
      </c>
      <c r="BB718">
        <v>0.03</v>
      </c>
      <c r="BC718">
        <v>0</v>
      </c>
      <c r="BD718">
        <v>0</v>
      </c>
      <c r="BE718">
        <f t="shared" si="119"/>
        <v>1</v>
      </c>
    </row>
    <row r="719" spans="1:57" x14ac:dyDescent="0.25">
      <c r="A719" t="s">
        <v>39</v>
      </c>
      <c r="B719" t="s">
        <v>2420</v>
      </c>
      <c r="C719">
        <v>75.3</v>
      </c>
      <c r="D719">
        <v>64.5</v>
      </c>
      <c r="G719">
        <f t="shared" si="110"/>
        <v>1</v>
      </c>
      <c r="H719">
        <f t="shared" si="111"/>
        <v>0</v>
      </c>
      <c r="I719">
        <f t="shared" si="112"/>
        <v>1</v>
      </c>
      <c r="J719">
        <v>69.8</v>
      </c>
      <c r="K719">
        <v>75.3</v>
      </c>
      <c r="L719">
        <v>64.5</v>
      </c>
      <c r="M719">
        <v>69.8</v>
      </c>
      <c r="N719">
        <v>56.3</v>
      </c>
      <c r="O719">
        <v>62.5</v>
      </c>
      <c r="S719">
        <f t="shared" si="113"/>
        <v>1</v>
      </c>
      <c r="T719">
        <f t="shared" si="114"/>
        <v>0</v>
      </c>
      <c r="U719">
        <f t="shared" si="115"/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17.2</v>
      </c>
      <c r="AG719">
        <f t="shared" si="116"/>
        <v>0</v>
      </c>
      <c r="AH719">
        <f t="shared" si="117"/>
        <v>0</v>
      </c>
      <c r="AI719">
        <f t="shared" si="118"/>
        <v>0</v>
      </c>
      <c r="AJ719">
        <v>317.39999999999998</v>
      </c>
      <c r="AK719">
        <v>1015.1</v>
      </c>
      <c r="AL719">
        <v>45.2</v>
      </c>
      <c r="AM719">
        <v>6.7</v>
      </c>
      <c r="AN719">
        <v>0</v>
      </c>
      <c r="AO719">
        <v>0</v>
      </c>
      <c r="AP719">
        <v>0</v>
      </c>
      <c r="AQ719">
        <v>0</v>
      </c>
      <c r="AR719" t="s">
        <v>2421</v>
      </c>
      <c r="AS719" t="s">
        <v>2422</v>
      </c>
      <c r="AT719">
        <v>0.45</v>
      </c>
      <c r="AU719" t="s">
        <v>43</v>
      </c>
      <c r="AV719" t="s">
        <v>80</v>
      </c>
      <c r="AW719" t="s">
        <v>45</v>
      </c>
      <c r="AX719" t="s">
        <v>2423</v>
      </c>
      <c r="AY719" t="s">
        <v>2424</v>
      </c>
      <c r="AZ719">
        <v>474.99999999767169</v>
      </c>
      <c r="BA719">
        <v>1</v>
      </c>
      <c r="BB719">
        <v>0.03</v>
      </c>
      <c r="BC719">
        <v>0</v>
      </c>
      <c r="BD719">
        <v>0</v>
      </c>
      <c r="BE719">
        <f t="shared" si="119"/>
        <v>0</v>
      </c>
    </row>
    <row r="720" spans="1:57" x14ac:dyDescent="0.25">
      <c r="A720" t="s">
        <v>39</v>
      </c>
      <c r="B720" t="s">
        <v>2425</v>
      </c>
      <c r="C720">
        <v>59.1</v>
      </c>
      <c r="D720">
        <v>55.5</v>
      </c>
      <c r="G720">
        <f t="shared" si="110"/>
        <v>1</v>
      </c>
      <c r="H720">
        <f t="shared" si="111"/>
        <v>0</v>
      </c>
      <c r="I720">
        <f t="shared" si="112"/>
        <v>1</v>
      </c>
      <c r="J720">
        <v>57.1</v>
      </c>
      <c r="K720">
        <v>59.1</v>
      </c>
      <c r="L720">
        <v>55.5</v>
      </c>
      <c r="M720">
        <v>57.1</v>
      </c>
      <c r="N720">
        <v>49.4</v>
      </c>
      <c r="O720">
        <v>75.7</v>
      </c>
      <c r="S720">
        <f t="shared" si="113"/>
        <v>1</v>
      </c>
      <c r="T720">
        <f t="shared" si="114"/>
        <v>1</v>
      </c>
      <c r="U720">
        <f t="shared" si="115"/>
        <v>0</v>
      </c>
      <c r="V720">
        <v>5.8999999999999997E-2</v>
      </c>
      <c r="W720">
        <v>100</v>
      </c>
      <c r="X720">
        <v>8.33</v>
      </c>
      <c r="Y720" t="s">
        <v>103</v>
      </c>
      <c r="Z720">
        <v>0</v>
      </c>
      <c r="AA720">
        <v>0</v>
      </c>
      <c r="AB720">
        <v>0</v>
      </c>
      <c r="AC720">
        <v>25.3</v>
      </c>
      <c r="AG720">
        <f t="shared" si="116"/>
        <v>1</v>
      </c>
      <c r="AH720">
        <f t="shared" si="117"/>
        <v>1</v>
      </c>
      <c r="AI720">
        <f t="shared" si="118"/>
        <v>0</v>
      </c>
      <c r="AJ720">
        <v>340.9</v>
      </c>
      <c r="AK720">
        <v>1020.6</v>
      </c>
      <c r="AL720">
        <v>85.8</v>
      </c>
      <c r="AM720">
        <v>6.7</v>
      </c>
      <c r="AN720">
        <v>0</v>
      </c>
      <c r="AO720">
        <v>0</v>
      </c>
      <c r="AP720">
        <v>0</v>
      </c>
      <c r="AQ720">
        <v>0</v>
      </c>
      <c r="AR720" t="s">
        <v>2426</v>
      </c>
      <c r="AS720" t="s">
        <v>2427</v>
      </c>
      <c r="AT720">
        <v>0.39</v>
      </c>
      <c r="AU720" t="s">
        <v>106</v>
      </c>
      <c r="AV720" t="s">
        <v>257</v>
      </c>
      <c r="AW720" t="s">
        <v>103</v>
      </c>
      <c r="AX720" t="s">
        <v>2428</v>
      </c>
      <c r="AY720" t="s">
        <v>2429</v>
      </c>
      <c r="AZ720">
        <v>169.99999999883579</v>
      </c>
      <c r="BA720">
        <v>0</v>
      </c>
      <c r="BB720">
        <v>0</v>
      </c>
      <c r="BC720">
        <v>0.5</v>
      </c>
      <c r="BD720">
        <v>0</v>
      </c>
      <c r="BE720">
        <f t="shared" si="119"/>
        <v>1</v>
      </c>
    </row>
    <row r="721" spans="1:57" x14ac:dyDescent="0.25">
      <c r="A721" t="s">
        <v>39</v>
      </c>
      <c r="B721" t="s">
        <v>2430</v>
      </c>
      <c r="C721">
        <v>71.7</v>
      </c>
      <c r="D721">
        <v>51.9</v>
      </c>
      <c r="G721">
        <f t="shared" si="110"/>
        <v>1</v>
      </c>
      <c r="H721">
        <f t="shared" si="111"/>
        <v>1</v>
      </c>
      <c r="I721">
        <f t="shared" si="112"/>
        <v>0</v>
      </c>
      <c r="J721">
        <v>60.1</v>
      </c>
      <c r="K721">
        <v>71.7</v>
      </c>
      <c r="L721">
        <v>51.9</v>
      </c>
      <c r="M721">
        <v>60.1</v>
      </c>
      <c r="N721">
        <v>51.5</v>
      </c>
      <c r="O721">
        <v>73.7</v>
      </c>
      <c r="S721">
        <f t="shared" si="113"/>
        <v>1</v>
      </c>
      <c r="T721">
        <f t="shared" si="114"/>
        <v>1</v>
      </c>
      <c r="U721">
        <f t="shared" si="115"/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18.3</v>
      </c>
      <c r="AG721">
        <f t="shared" si="116"/>
        <v>1</v>
      </c>
      <c r="AH721">
        <f t="shared" si="117"/>
        <v>1</v>
      </c>
      <c r="AI721">
        <f t="shared" si="118"/>
        <v>0</v>
      </c>
      <c r="AJ721">
        <v>168.5</v>
      </c>
      <c r="AK721">
        <v>1021.9</v>
      </c>
      <c r="AL721">
        <v>55</v>
      </c>
      <c r="AM721">
        <v>6.7</v>
      </c>
      <c r="AN721">
        <v>0</v>
      </c>
      <c r="AO721">
        <v>0</v>
      </c>
      <c r="AP721">
        <v>0</v>
      </c>
      <c r="AQ721">
        <v>0</v>
      </c>
      <c r="AR721" t="s">
        <v>2431</v>
      </c>
      <c r="AS721" t="s">
        <v>2432</v>
      </c>
      <c r="AT721">
        <v>0.56000000000000005</v>
      </c>
      <c r="AU721" t="s">
        <v>43</v>
      </c>
      <c r="AV721" t="s">
        <v>44</v>
      </c>
      <c r="AW721" t="s">
        <v>45</v>
      </c>
      <c r="AX721" t="s">
        <v>2433</v>
      </c>
      <c r="AY721" t="s">
        <v>2434</v>
      </c>
      <c r="AZ721">
        <v>325.00000000116421</v>
      </c>
      <c r="BA721">
        <v>0</v>
      </c>
      <c r="BB721">
        <v>0</v>
      </c>
      <c r="BC721">
        <v>1</v>
      </c>
      <c r="BD721">
        <v>0</v>
      </c>
      <c r="BE721">
        <f t="shared" si="119"/>
        <v>1</v>
      </c>
    </row>
    <row r="722" spans="1:57" x14ac:dyDescent="0.25">
      <c r="A722" t="s">
        <v>39</v>
      </c>
      <c r="B722" t="s">
        <v>2435</v>
      </c>
      <c r="C722">
        <v>59.1</v>
      </c>
      <c r="D722">
        <v>46.5</v>
      </c>
      <c r="G722">
        <f t="shared" si="110"/>
        <v>1</v>
      </c>
      <c r="H722">
        <f t="shared" si="111"/>
        <v>0</v>
      </c>
      <c r="I722">
        <f t="shared" si="112"/>
        <v>1</v>
      </c>
      <c r="J722">
        <v>52</v>
      </c>
      <c r="K722">
        <v>59.1</v>
      </c>
      <c r="L722">
        <v>44.3</v>
      </c>
      <c r="M722">
        <v>51.3</v>
      </c>
      <c r="N722">
        <v>46.2</v>
      </c>
      <c r="O722">
        <v>81</v>
      </c>
      <c r="S722">
        <f t="shared" si="113"/>
        <v>1</v>
      </c>
      <c r="T722">
        <f t="shared" si="114"/>
        <v>1</v>
      </c>
      <c r="U722">
        <f t="shared" si="115"/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6.9</v>
      </c>
      <c r="AG722">
        <f t="shared" si="116"/>
        <v>1</v>
      </c>
      <c r="AH722">
        <f t="shared" si="117"/>
        <v>0</v>
      </c>
      <c r="AI722">
        <f t="shared" si="118"/>
        <v>1</v>
      </c>
      <c r="AJ722">
        <v>190</v>
      </c>
      <c r="AK722">
        <v>1023.5</v>
      </c>
      <c r="AL722">
        <v>78.599999999999994</v>
      </c>
      <c r="AM722">
        <v>6.8</v>
      </c>
      <c r="AN722">
        <v>0</v>
      </c>
      <c r="AO722">
        <v>0</v>
      </c>
      <c r="AP722">
        <v>0</v>
      </c>
      <c r="AQ722">
        <v>0</v>
      </c>
      <c r="AR722" t="s">
        <v>2436</v>
      </c>
      <c r="AS722" t="s">
        <v>2437</v>
      </c>
      <c r="AT722">
        <v>0.54</v>
      </c>
      <c r="AU722" t="s">
        <v>43</v>
      </c>
      <c r="AV722" t="s">
        <v>44</v>
      </c>
      <c r="AW722" t="s">
        <v>45</v>
      </c>
      <c r="AX722" t="s">
        <v>2438</v>
      </c>
      <c r="AY722" t="s">
        <v>2439</v>
      </c>
      <c r="AZ722">
        <v>265.99999999743892</v>
      </c>
      <c r="BA722">
        <v>0</v>
      </c>
      <c r="BB722">
        <v>0</v>
      </c>
      <c r="BC722">
        <v>5</v>
      </c>
      <c r="BD722">
        <v>0</v>
      </c>
      <c r="BE722">
        <f t="shared" si="119"/>
        <v>0</v>
      </c>
    </row>
    <row r="723" spans="1:57" x14ac:dyDescent="0.25">
      <c r="A723" t="s">
        <v>39</v>
      </c>
      <c r="B723" t="s">
        <v>2440</v>
      </c>
      <c r="C723">
        <v>64.5</v>
      </c>
      <c r="D723">
        <v>51.9</v>
      </c>
      <c r="G723">
        <f t="shared" si="110"/>
        <v>1</v>
      </c>
      <c r="H723">
        <f t="shared" si="111"/>
        <v>1</v>
      </c>
      <c r="I723">
        <f t="shared" si="112"/>
        <v>0</v>
      </c>
      <c r="J723">
        <v>57</v>
      </c>
      <c r="K723">
        <v>64.5</v>
      </c>
      <c r="L723">
        <v>51.9</v>
      </c>
      <c r="M723">
        <v>57</v>
      </c>
      <c r="N723">
        <v>48.1</v>
      </c>
      <c r="O723">
        <v>72.900000000000006</v>
      </c>
      <c r="S723">
        <f t="shared" si="113"/>
        <v>1</v>
      </c>
      <c r="T723">
        <f t="shared" si="114"/>
        <v>1</v>
      </c>
      <c r="U723">
        <f t="shared" si="115"/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8.1</v>
      </c>
      <c r="AG723">
        <f t="shared" si="116"/>
        <v>1</v>
      </c>
      <c r="AH723">
        <f t="shared" si="117"/>
        <v>0</v>
      </c>
      <c r="AI723">
        <f t="shared" si="118"/>
        <v>1</v>
      </c>
      <c r="AJ723">
        <v>214.6</v>
      </c>
      <c r="AK723">
        <v>1019.6</v>
      </c>
      <c r="AL723">
        <v>50</v>
      </c>
      <c r="AM723">
        <v>6.8</v>
      </c>
      <c r="AN723">
        <v>0</v>
      </c>
      <c r="AO723">
        <v>0</v>
      </c>
      <c r="AP723">
        <v>0</v>
      </c>
      <c r="AQ723">
        <v>0</v>
      </c>
      <c r="AR723" t="s">
        <v>2441</v>
      </c>
      <c r="AS723" t="s">
        <v>2442</v>
      </c>
      <c r="AT723">
        <v>0</v>
      </c>
      <c r="AU723" t="s">
        <v>43</v>
      </c>
      <c r="AV723" t="s">
        <v>44</v>
      </c>
      <c r="AW723" t="s">
        <v>45</v>
      </c>
      <c r="AX723" t="s">
        <v>2443</v>
      </c>
      <c r="AY723" t="s">
        <v>2444</v>
      </c>
      <c r="AZ723">
        <v>174.99999999417921</v>
      </c>
      <c r="BA723">
        <v>0</v>
      </c>
      <c r="BB723">
        <v>0</v>
      </c>
      <c r="BC723">
        <v>3</v>
      </c>
      <c r="BD723">
        <v>0</v>
      </c>
      <c r="BE723">
        <f t="shared" si="119"/>
        <v>1</v>
      </c>
    </row>
    <row r="724" spans="1:57" x14ac:dyDescent="0.25">
      <c r="A724" t="s">
        <v>39</v>
      </c>
      <c r="B724" t="s">
        <v>2445</v>
      </c>
      <c r="C724">
        <v>66.3</v>
      </c>
      <c r="D724">
        <v>42.9</v>
      </c>
      <c r="G724">
        <f t="shared" si="110"/>
        <v>1</v>
      </c>
      <c r="H724">
        <f t="shared" si="111"/>
        <v>1</v>
      </c>
      <c r="I724">
        <f t="shared" si="112"/>
        <v>0</v>
      </c>
      <c r="J724">
        <v>53.5</v>
      </c>
      <c r="K724">
        <v>66.3</v>
      </c>
      <c r="L724">
        <v>37.6</v>
      </c>
      <c r="M724">
        <v>52.1</v>
      </c>
      <c r="N724">
        <v>41.9</v>
      </c>
      <c r="O724">
        <v>65.8</v>
      </c>
      <c r="S724">
        <f t="shared" si="113"/>
        <v>1</v>
      </c>
      <c r="T724">
        <f t="shared" si="114"/>
        <v>0</v>
      </c>
      <c r="U724">
        <f t="shared" si="115"/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19.5</v>
      </c>
      <c r="AG724">
        <f t="shared" si="116"/>
        <v>0</v>
      </c>
      <c r="AH724">
        <f t="shared" si="117"/>
        <v>0</v>
      </c>
      <c r="AI724">
        <f t="shared" si="118"/>
        <v>0</v>
      </c>
      <c r="AJ724">
        <v>183</v>
      </c>
      <c r="AK724">
        <v>1019.8</v>
      </c>
      <c r="AL724">
        <v>34.799999999999997</v>
      </c>
      <c r="AM724">
        <v>6.7</v>
      </c>
      <c r="AN724">
        <v>0</v>
      </c>
      <c r="AO724">
        <v>0</v>
      </c>
      <c r="AP724">
        <v>0</v>
      </c>
      <c r="AQ724">
        <v>0</v>
      </c>
      <c r="AR724" t="s">
        <v>2446</v>
      </c>
      <c r="AS724" t="s">
        <v>2447</v>
      </c>
      <c r="AT724">
        <v>0.47</v>
      </c>
      <c r="AU724" t="s">
        <v>43</v>
      </c>
      <c r="AV724" t="s">
        <v>44</v>
      </c>
      <c r="AW724" t="s">
        <v>45</v>
      </c>
      <c r="AX724" t="s">
        <v>2393</v>
      </c>
      <c r="AY724" t="s">
        <v>2448</v>
      </c>
      <c r="AZ724">
        <v>429.99999999767169</v>
      </c>
      <c r="BA724">
        <v>1</v>
      </c>
      <c r="BB724">
        <v>0</v>
      </c>
      <c r="BC724">
        <v>5</v>
      </c>
      <c r="BD724">
        <v>0</v>
      </c>
      <c r="BE724">
        <f t="shared" si="119"/>
        <v>1</v>
      </c>
    </row>
    <row r="725" spans="1:57" x14ac:dyDescent="0.25">
      <c r="A725" t="s">
        <v>39</v>
      </c>
      <c r="B725" t="s">
        <v>2449</v>
      </c>
      <c r="C725">
        <v>68.099999999999994</v>
      </c>
      <c r="D725">
        <v>55.5</v>
      </c>
      <c r="G725">
        <f t="shared" si="110"/>
        <v>1</v>
      </c>
      <c r="H725">
        <f t="shared" si="111"/>
        <v>1</v>
      </c>
      <c r="I725">
        <f t="shared" si="112"/>
        <v>0</v>
      </c>
      <c r="J725">
        <v>60.9</v>
      </c>
      <c r="K725">
        <v>68.099999999999994</v>
      </c>
      <c r="L725">
        <v>55.5</v>
      </c>
      <c r="M725">
        <v>60.9</v>
      </c>
      <c r="N725">
        <v>50.2</v>
      </c>
      <c r="O725">
        <v>69</v>
      </c>
      <c r="S725">
        <f t="shared" si="113"/>
        <v>1</v>
      </c>
      <c r="T725">
        <f t="shared" si="114"/>
        <v>1</v>
      </c>
      <c r="U725">
        <f t="shared" si="115"/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13.9</v>
      </c>
      <c r="AG725">
        <f t="shared" si="116"/>
        <v>1</v>
      </c>
      <c r="AH725">
        <f t="shared" si="117"/>
        <v>0</v>
      </c>
      <c r="AI725">
        <f t="shared" si="118"/>
        <v>1</v>
      </c>
      <c r="AJ725">
        <v>171.6</v>
      </c>
      <c r="AK725">
        <v>1015.7</v>
      </c>
      <c r="AL725">
        <v>46</v>
      </c>
      <c r="AM725">
        <v>6.5</v>
      </c>
      <c r="AN725">
        <v>0</v>
      </c>
      <c r="AO725">
        <v>0</v>
      </c>
      <c r="AP725">
        <v>0</v>
      </c>
      <c r="AQ725">
        <v>0</v>
      </c>
      <c r="AR725" t="s">
        <v>2450</v>
      </c>
      <c r="AS725" t="s">
        <v>2451</v>
      </c>
      <c r="AT725">
        <v>0.48</v>
      </c>
      <c r="AU725" t="s">
        <v>43</v>
      </c>
      <c r="AV725" t="s">
        <v>44</v>
      </c>
      <c r="AW725" t="s">
        <v>45</v>
      </c>
      <c r="AX725" t="s">
        <v>2452</v>
      </c>
      <c r="AY725" t="s">
        <v>2453</v>
      </c>
      <c r="AZ725">
        <v>209.99999999301511</v>
      </c>
      <c r="BA725">
        <v>0</v>
      </c>
      <c r="BB725">
        <v>0</v>
      </c>
      <c r="BC725">
        <v>10</v>
      </c>
      <c r="BD725">
        <v>0</v>
      </c>
      <c r="BE725">
        <f t="shared" si="119"/>
        <v>1</v>
      </c>
    </row>
    <row r="726" spans="1:57" x14ac:dyDescent="0.25">
      <c r="A726" t="s">
        <v>39</v>
      </c>
      <c r="B726" t="s">
        <v>2449</v>
      </c>
      <c r="C726">
        <v>68.099999999999994</v>
      </c>
      <c r="D726">
        <v>55.5</v>
      </c>
      <c r="G726">
        <f t="shared" si="110"/>
        <v>1</v>
      </c>
      <c r="H726">
        <f t="shared" si="111"/>
        <v>1</v>
      </c>
      <c r="I726">
        <f t="shared" si="112"/>
        <v>0</v>
      </c>
      <c r="J726">
        <v>60.9</v>
      </c>
      <c r="K726">
        <v>68.099999999999994</v>
      </c>
      <c r="L726">
        <v>55.5</v>
      </c>
      <c r="M726">
        <v>60.9</v>
      </c>
      <c r="N726">
        <v>50.2</v>
      </c>
      <c r="O726">
        <v>69</v>
      </c>
      <c r="S726">
        <f t="shared" si="113"/>
        <v>1</v>
      </c>
      <c r="T726">
        <f t="shared" si="114"/>
        <v>1</v>
      </c>
      <c r="U726">
        <f t="shared" si="115"/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13.9</v>
      </c>
      <c r="AG726">
        <f t="shared" si="116"/>
        <v>1</v>
      </c>
      <c r="AH726">
        <f t="shared" si="117"/>
        <v>0</v>
      </c>
      <c r="AI726">
        <f t="shared" si="118"/>
        <v>1</v>
      </c>
      <c r="AJ726">
        <v>171.6</v>
      </c>
      <c r="AK726">
        <v>1015.7</v>
      </c>
      <c r="AL726">
        <v>46</v>
      </c>
      <c r="AM726">
        <v>6.5</v>
      </c>
      <c r="AN726">
        <v>0</v>
      </c>
      <c r="AO726">
        <v>0</v>
      </c>
      <c r="AP726">
        <v>0</v>
      </c>
      <c r="AQ726">
        <v>0</v>
      </c>
      <c r="AR726" t="s">
        <v>2450</v>
      </c>
      <c r="AS726" t="s">
        <v>2451</v>
      </c>
      <c r="AT726">
        <v>0.48</v>
      </c>
      <c r="AU726" t="s">
        <v>43</v>
      </c>
      <c r="AV726" t="s">
        <v>44</v>
      </c>
      <c r="AW726" t="s">
        <v>45</v>
      </c>
      <c r="AX726" t="s">
        <v>2454</v>
      </c>
      <c r="AY726" t="s">
        <v>2455</v>
      </c>
      <c r="AZ726">
        <v>109.9999999918509</v>
      </c>
      <c r="BA726">
        <v>0</v>
      </c>
      <c r="BB726">
        <v>0</v>
      </c>
      <c r="BC726">
        <v>2</v>
      </c>
      <c r="BD726">
        <v>0</v>
      </c>
      <c r="BE726">
        <f t="shared" si="119"/>
        <v>1</v>
      </c>
    </row>
    <row r="727" spans="1:57" x14ac:dyDescent="0.25">
      <c r="A727" t="s">
        <v>39</v>
      </c>
      <c r="B727" t="s">
        <v>2456</v>
      </c>
      <c r="C727">
        <v>59.1</v>
      </c>
      <c r="D727">
        <v>55.5</v>
      </c>
      <c r="G727">
        <f t="shared" si="110"/>
        <v>1</v>
      </c>
      <c r="H727">
        <f t="shared" si="111"/>
        <v>0</v>
      </c>
      <c r="I727">
        <f t="shared" si="112"/>
        <v>1</v>
      </c>
      <c r="J727">
        <v>57.1</v>
      </c>
      <c r="K727">
        <v>59.1</v>
      </c>
      <c r="L727">
        <v>55.5</v>
      </c>
      <c r="M727">
        <v>57.1</v>
      </c>
      <c r="N727">
        <v>44.1</v>
      </c>
      <c r="O727">
        <v>62</v>
      </c>
      <c r="S727">
        <f t="shared" si="113"/>
        <v>1</v>
      </c>
      <c r="T727">
        <f t="shared" si="114"/>
        <v>0</v>
      </c>
      <c r="U727">
        <f t="shared" si="115"/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19.5</v>
      </c>
      <c r="AG727">
        <f t="shared" si="116"/>
        <v>1</v>
      </c>
      <c r="AH727">
        <f t="shared" si="117"/>
        <v>1</v>
      </c>
      <c r="AI727">
        <f t="shared" si="118"/>
        <v>0</v>
      </c>
      <c r="AJ727">
        <v>332.7</v>
      </c>
      <c r="AK727">
        <v>1022.3</v>
      </c>
      <c r="AL727">
        <v>72.7</v>
      </c>
      <c r="AM727">
        <v>6.8</v>
      </c>
      <c r="AN727">
        <v>0</v>
      </c>
      <c r="AO727">
        <v>0</v>
      </c>
      <c r="AP727">
        <v>0</v>
      </c>
      <c r="AQ727">
        <v>0</v>
      </c>
      <c r="AR727" t="s">
        <v>2457</v>
      </c>
      <c r="AS727" t="s">
        <v>2458</v>
      </c>
      <c r="AT727">
        <v>0.5</v>
      </c>
      <c r="AU727" t="s">
        <v>43</v>
      </c>
      <c r="AV727" t="s">
        <v>44</v>
      </c>
      <c r="AW727" t="s">
        <v>45</v>
      </c>
      <c r="AX727" t="s">
        <v>2459</v>
      </c>
      <c r="AY727" t="s">
        <v>2460</v>
      </c>
      <c r="AZ727">
        <v>79.999999998835847</v>
      </c>
      <c r="BA727">
        <v>0</v>
      </c>
      <c r="BB727">
        <v>0</v>
      </c>
      <c r="BC727">
        <v>1</v>
      </c>
      <c r="BD727">
        <v>0</v>
      </c>
      <c r="BE727">
        <f t="shared" si="119"/>
        <v>1</v>
      </c>
    </row>
    <row r="728" spans="1:57" x14ac:dyDescent="0.25">
      <c r="A728" t="s">
        <v>39</v>
      </c>
      <c r="B728" t="s">
        <v>2380</v>
      </c>
      <c r="C728">
        <v>77.099999999999994</v>
      </c>
      <c r="D728">
        <v>68.099999999999994</v>
      </c>
      <c r="G728">
        <f t="shared" si="110"/>
        <v>1</v>
      </c>
      <c r="H728">
        <f t="shared" si="111"/>
        <v>1</v>
      </c>
      <c r="I728">
        <f t="shared" si="112"/>
        <v>0</v>
      </c>
      <c r="J728">
        <v>72</v>
      </c>
      <c r="K728">
        <v>77.099999999999994</v>
      </c>
      <c r="L728">
        <v>68.099999999999994</v>
      </c>
      <c r="M728">
        <v>72</v>
      </c>
      <c r="N728">
        <v>57.2</v>
      </c>
      <c r="O728">
        <v>59.9</v>
      </c>
      <c r="S728">
        <f t="shared" si="113"/>
        <v>1</v>
      </c>
      <c r="T728">
        <f t="shared" si="114"/>
        <v>0</v>
      </c>
      <c r="U728">
        <f t="shared" si="115"/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19.5</v>
      </c>
      <c r="AG728">
        <f t="shared" si="116"/>
        <v>1</v>
      </c>
      <c r="AH728">
        <f t="shared" si="117"/>
        <v>1</v>
      </c>
      <c r="AI728">
        <f t="shared" si="118"/>
        <v>0</v>
      </c>
      <c r="AJ728">
        <v>303.7</v>
      </c>
      <c r="AK728">
        <v>1011.5</v>
      </c>
      <c r="AL728">
        <v>30</v>
      </c>
      <c r="AM728">
        <v>6.3</v>
      </c>
      <c r="AN728">
        <v>0</v>
      </c>
      <c r="AO728">
        <v>0</v>
      </c>
      <c r="AP728">
        <v>0</v>
      </c>
      <c r="AQ728">
        <v>0</v>
      </c>
      <c r="AR728" t="s">
        <v>2381</v>
      </c>
      <c r="AS728" t="s">
        <v>2382</v>
      </c>
      <c r="AT728">
        <v>0.81</v>
      </c>
      <c r="AU728" t="s">
        <v>43</v>
      </c>
      <c r="AV728" t="s">
        <v>44</v>
      </c>
      <c r="AW728" t="s">
        <v>45</v>
      </c>
      <c r="AX728" t="s">
        <v>2461</v>
      </c>
      <c r="AY728" t="s">
        <v>2462</v>
      </c>
      <c r="AZ728">
        <v>9135</v>
      </c>
      <c r="BA728">
        <v>1</v>
      </c>
      <c r="BB728">
        <v>0</v>
      </c>
      <c r="BC728">
        <v>300</v>
      </c>
      <c r="BD728">
        <v>0</v>
      </c>
      <c r="BE728">
        <f t="shared" si="119"/>
        <v>1</v>
      </c>
    </row>
    <row r="729" spans="1:57" x14ac:dyDescent="0.25">
      <c r="A729" t="s">
        <v>39</v>
      </c>
      <c r="B729" t="s">
        <v>2463</v>
      </c>
      <c r="C729">
        <v>80.7</v>
      </c>
      <c r="D729">
        <v>64.5</v>
      </c>
      <c r="G729">
        <f t="shared" si="110"/>
        <v>0</v>
      </c>
      <c r="H729">
        <f t="shared" si="111"/>
        <v>0</v>
      </c>
      <c r="I729">
        <f t="shared" si="112"/>
        <v>0</v>
      </c>
      <c r="J729">
        <v>72.7</v>
      </c>
      <c r="K729">
        <v>84.1</v>
      </c>
      <c r="L729">
        <v>64.5</v>
      </c>
      <c r="M729">
        <v>72.8</v>
      </c>
      <c r="N729">
        <v>65.599999999999994</v>
      </c>
      <c r="O729">
        <v>79</v>
      </c>
      <c r="S729">
        <f t="shared" si="113"/>
        <v>1</v>
      </c>
      <c r="T729">
        <f t="shared" si="114"/>
        <v>1</v>
      </c>
      <c r="U729">
        <f t="shared" si="115"/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8.1</v>
      </c>
      <c r="AG729">
        <f t="shared" si="116"/>
        <v>1</v>
      </c>
      <c r="AH729">
        <f t="shared" si="117"/>
        <v>0</v>
      </c>
      <c r="AI729">
        <f t="shared" si="118"/>
        <v>1</v>
      </c>
      <c r="AJ729">
        <v>82.1</v>
      </c>
      <c r="AK729">
        <v>1010.4</v>
      </c>
      <c r="AL729">
        <v>30</v>
      </c>
      <c r="AM729">
        <v>6.5</v>
      </c>
      <c r="AN729">
        <v>0</v>
      </c>
      <c r="AO729">
        <v>0</v>
      </c>
      <c r="AP729">
        <v>0</v>
      </c>
      <c r="AQ729">
        <v>0</v>
      </c>
      <c r="AR729" t="s">
        <v>2464</v>
      </c>
      <c r="AS729" t="s">
        <v>2465</v>
      </c>
      <c r="AT729">
        <v>0.97</v>
      </c>
      <c r="AU729" t="s">
        <v>43</v>
      </c>
      <c r="AV729" t="s">
        <v>44</v>
      </c>
      <c r="AW729" t="s">
        <v>45</v>
      </c>
      <c r="AX729" t="s">
        <v>2466</v>
      </c>
      <c r="AY729" t="s">
        <v>2467</v>
      </c>
      <c r="AZ729">
        <v>406.00000000325957</v>
      </c>
      <c r="BA729">
        <v>1</v>
      </c>
      <c r="BB729">
        <v>0</v>
      </c>
      <c r="BC729">
        <v>5</v>
      </c>
      <c r="BD729">
        <v>0</v>
      </c>
      <c r="BE729">
        <f t="shared" si="119"/>
        <v>0</v>
      </c>
    </row>
    <row r="730" spans="1:57" x14ac:dyDescent="0.25">
      <c r="A730" t="s">
        <v>39</v>
      </c>
      <c r="B730" t="s">
        <v>2468</v>
      </c>
      <c r="C730">
        <v>80.7</v>
      </c>
      <c r="D730">
        <v>73.5</v>
      </c>
      <c r="G730">
        <f t="shared" si="110"/>
        <v>1</v>
      </c>
      <c r="H730">
        <f t="shared" si="111"/>
        <v>0</v>
      </c>
      <c r="I730">
        <f t="shared" si="112"/>
        <v>1</v>
      </c>
      <c r="J730">
        <v>77.8</v>
      </c>
      <c r="K730">
        <v>81.900000000000006</v>
      </c>
      <c r="L730">
        <v>73.5</v>
      </c>
      <c r="M730">
        <v>78</v>
      </c>
      <c r="N730">
        <v>61.7</v>
      </c>
      <c r="O730">
        <v>58.1</v>
      </c>
      <c r="S730">
        <f t="shared" si="113"/>
        <v>1</v>
      </c>
      <c r="T730">
        <f t="shared" si="114"/>
        <v>0</v>
      </c>
      <c r="U730">
        <f t="shared" si="115"/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21.9</v>
      </c>
      <c r="AG730">
        <f t="shared" si="116"/>
        <v>1</v>
      </c>
      <c r="AH730">
        <f t="shared" si="117"/>
        <v>1</v>
      </c>
      <c r="AI730">
        <f t="shared" si="118"/>
        <v>0</v>
      </c>
      <c r="AJ730">
        <v>314.89999999999998</v>
      </c>
      <c r="AK730">
        <v>1014</v>
      </c>
      <c r="AL730">
        <v>30</v>
      </c>
      <c r="AM730">
        <v>6.7</v>
      </c>
      <c r="AN730">
        <v>0</v>
      </c>
      <c r="AO730">
        <v>0</v>
      </c>
      <c r="AP730">
        <v>0</v>
      </c>
      <c r="AQ730">
        <v>0</v>
      </c>
      <c r="AR730" t="s">
        <v>2469</v>
      </c>
      <c r="AS730" t="s">
        <v>2470</v>
      </c>
      <c r="AT730">
        <v>0.03</v>
      </c>
      <c r="AU730" t="s">
        <v>43</v>
      </c>
      <c r="AV730" t="s">
        <v>44</v>
      </c>
      <c r="AW730" t="s">
        <v>45</v>
      </c>
      <c r="AX730" t="s">
        <v>2471</v>
      </c>
      <c r="AY730" t="s">
        <v>2472</v>
      </c>
      <c r="AZ730">
        <v>1020.000000003492</v>
      </c>
      <c r="BA730">
        <v>1</v>
      </c>
      <c r="BB730">
        <v>0</v>
      </c>
      <c r="BC730">
        <v>30</v>
      </c>
      <c r="BD730">
        <v>0</v>
      </c>
      <c r="BE730">
        <f t="shared" si="119"/>
        <v>1</v>
      </c>
    </row>
    <row r="731" spans="1:57" x14ac:dyDescent="0.25">
      <c r="A731" t="s">
        <v>39</v>
      </c>
      <c r="B731" t="s">
        <v>2473</v>
      </c>
      <c r="C731">
        <v>84.3</v>
      </c>
      <c r="D731">
        <v>69.900000000000006</v>
      </c>
      <c r="G731">
        <f t="shared" si="110"/>
        <v>0</v>
      </c>
      <c r="H731">
        <f t="shared" si="111"/>
        <v>0</v>
      </c>
      <c r="I731">
        <f t="shared" si="112"/>
        <v>0</v>
      </c>
      <c r="J731">
        <v>79.400000000000006</v>
      </c>
      <c r="K731">
        <v>89.8</v>
      </c>
      <c r="L731">
        <v>69.900000000000006</v>
      </c>
      <c r="M731">
        <v>81.099999999999994</v>
      </c>
      <c r="N731">
        <v>67.599999999999994</v>
      </c>
      <c r="O731">
        <v>67.8</v>
      </c>
      <c r="S731">
        <f t="shared" si="113"/>
        <v>1</v>
      </c>
      <c r="T731">
        <f t="shared" si="114"/>
        <v>1</v>
      </c>
      <c r="U731">
        <f t="shared" si="115"/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18.3</v>
      </c>
      <c r="AG731">
        <f t="shared" si="116"/>
        <v>0</v>
      </c>
      <c r="AH731">
        <f t="shared" si="117"/>
        <v>0</v>
      </c>
      <c r="AI731">
        <f t="shared" si="118"/>
        <v>0</v>
      </c>
      <c r="AJ731">
        <v>320.5</v>
      </c>
      <c r="AK731">
        <v>1004.6</v>
      </c>
      <c r="AL731">
        <v>30</v>
      </c>
      <c r="AM731">
        <v>6.2</v>
      </c>
      <c r="AN731">
        <v>0</v>
      </c>
      <c r="AO731">
        <v>0</v>
      </c>
      <c r="AP731">
        <v>0</v>
      </c>
      <c r="AQ731">
        <v>0</v>
      </c>
      <c r="AR731" t="s">
        <v>2474</v>
      </c>
      <c r="AS731" t="s">
        <v>2475</v>
      </c>
      <c r="AT731">
        <v>0.5</v>
      </c>
      <c r="AU731" t="s">
        <v>43</v>
      </c>
      <c r="AV731" t="s">
        <v>44</v>
      </c>
      <c r="AW731" t="s">
        <v>45</v>
      </c>
      <c r="AX731" t="s">
        <v>2476</v>
      </c>
      <c r="AY731" t="s">
        <v>2477</v>
      </c>
      <c r="AZ731">
        <v>4069.9999999918509</v>
      </c>
      <c r="BA731">
        <v>1</v>
      </c>
      <c r="BB731">
        <v>0</v>
      </c>
      <c r="BC731">
        <v>40</v>
      </c>
      <c r="BD731">
        <v>0</v>
      </c>
      <c r="BE731">
        <f t="shared" si="119"/>
        <v>0</v>
      </c>
    </row>
    <row r="732" spans="1:57" x14ac:dyDescent="0.25">
      <c r="A732" t="s">
        <v>39</v>
      </c>
      <c r="B732" t="s">
        <v>2478</v>
      </c>
      <c r="C732">
        <v>82.5</v>
      </c>
      <c r="D732">
        <v>75.3</v>
      </c>
      <c r="G732">
        <f t="shared" si="110"/>
        <v>0</v>
      </c>
      <c r="H732">
        <f t="shared" si="111"/>
        <v>0</v>
      </c>
      <c r="I732">
        <f t="shared" si="112"/>
        <v>0</v>
      </c>
      <c r="J732">
        <v>79.099999999999994</v>
      </c>
      <c r="K732">
        <v>83.5</v>
      </c>
      <c r="L732">
        <v>75.3</v>
      </c>
      <c r="M732">
        <v>79.400000000000006</v>
      </c>
      <c r="N732">
        <v>62.6</v>
      </c>
      <c r="O732">
        <v>57.3</v>
      </c>
      <c r="S732">
        <f t="shared" si="113"/>
        <v>1</v>
      </c>
      <c r="T732">
        <f t="shared" si="114"/>
        <v>0</v>
      </c>
      <c r="U732">
        <f t="shared" si="115"/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20.8</v>
      </c>
      <c r="AG732">
        <f t="shared" si="116"/>
        <v>1</v>
      </c>
      <c r="AH732">
        <f t="shared" si="117"/>
        <v>1</v>
      </c>
      <c r="AI732">
        <f t="shared" si="118"/>
        <v>0</v>
      </c>
      <c r="AJ732">
        <v>312.5</v>
      </c>
      <c r="AK732">
        <v>1012.3</v>
      </c>
      <c r="AL732">
        <v>30</v>
      </c>
      <c r="AM732">
        <v>6.6</v>
      </c>
      <c r="AN732">
        <v>0</v>
      </c>
      <c r="AO732">
        <v>0</v>
      </c>
      <c r="AP732">
        <v>0</v>
      </c>
      <c r="AQ732">
        <v>0</v>
      </c>
      <c r="AR732" t="s">
        <v>2479</v>
      </c>
      <c r="AS732" t="s">
        <v>2480</v>
      </c>
      <c r="AT732">
        <v>0.66</v>
      </c>
      <c r="AU732" t="s">
        <v>43</v>
      </c>
      <c r="AV732" t="s">
        <v>44</v>
      </c>
      <c r="AW732" t="s">
        <v>45</v>
      </c>
      <c r="AX732" t="s">
        <v>2481</v>
      </c>
      <c r="AY732" t="s">
        <v>2482</v>
      </c>
      <c r="AZ732">
        <v>570.00000000349246</v>
      </c>
      <c r="BA732">
        <v>1</v>
      </c>
      <c r="BB732">
        <v>0</v>
      </c>
      <c r="BC732">
        <v>0.5</v>
      </c>
      <c r="BD732">
        <v>0</v>
      </c>
      <c r="BE732">
        <f t="shared" si="119"/>
        <v>1</v>
      </c>
    </row>
    <row r="733" spans="1:57" x14ac:dyDescent="0.25">
      <c r="A733" t="s">
        <v>39</v>
      </c>
      <c r="B733" t="s">
        <v>2483</v>
      </c>
      <c r="C733">
        <v>78.900000000000006</v>
      </c>
      <c r="D733">
        <v>62.7</v>
      </c>
      <c r="G733">
        <f t="shared" si="110"/>
        <v>1</v>
      </c>
      <c r="H733">
        <f t="shared" si="111"/>
        <v>1</v>
      </c>
      <c r="I733">
        <f t="shared" si="112"/>
        <v>0</v>
      </c>
      <c r="J733">
        <v>70.900000000000006</v>
      </c>
      <c r="K733">
        <v>78.900000000000006</v>
      </c>
      <c r="L733">
        <v>62.7</v>
      </c>
      <c r="M733">
        <v>70.900000000000006</v>
      </c>
      <c r="N733">
        <v>61.9</v>
      </c>
      <c r="O733">
        <v>73.7</v>
      </c>
      <c r="S733">
        <f t="shared" si="113"/>
        <v>1</v>
      </c>
      <c r="T733">
        <f t="shared" si="114"/>
        <v>1</v>
      </c>
      <c r="U733">
        <f t="shared" si="115"/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19.5</v>
      </c>
      <c r="AG733">
        <f t="shared" si="116"/>
        <v>1</v>
      </c>
      <c r="AH733">
        <f t="shared" si="117"/>
        <v>1</v>
      </c>
      <c r="AI733">
        <f t="shared" si="118"/>
        <v>0</v>
      </c>
      <c r="AJ733">
        <v>272.2</v>
      </c>
      <c r="AK733">
        <v>1013.4</v>
      </c>
      <c r="AL733">
        <v>58.3</v>
      </c>
      <c r="AM733">
        <v>6.8</v>
      </c>
      <c r="AN733">
        <v>0</v>
      </c>
      <c r="AO733">
        <v>0</v>
      </c>
      <c r="AP733">
        <v>0</v>
      </c>
      <c r="AQ733">
        <v>0</v>
      </c>
      <c r="AR733" t="s">
        <v>2484</v>
      </c>
      <c r="AS733" t="s">
        <v>2485</v>
      </c>
      <c r="AT733">
        <v>7.0000000000000007E-2</v>
      </c>
      <c r="AU733" t="s">
        <v>43</v>
      </c>
      <c r="AV733" t="s">
        <v>44</v>
      </c>
      <c r="AW733" t="s">
        <v>45</v>
      </c>
      <c r="AX733" t="s">
        <v>2486</v>
      </c>
      <c r="AY733" t="s">
        <v>2487</v>
      </c>
      <c r="AZ733">
        <v>4500</v>
      </c>
      <c r="BA733">
        <v>1</v>
      </c>
      <c r="BB733">
        <v>0</v>
      </c>
      <c r="BC733">
        <v>120</v>
      </c>
      <c r="BD733">
        <v>0</v>
      </c>
      <c r="BE733">
        <f t="shared" si="119"/>
        <v>1</v>
      </c>
    </row>
    <row r="734" spans="1:57" x14ac:dyDescent="0.25">
      <c r="A734" t="s">
        <v>39</v>
      </c>
      <c r="B734" t="s">
        <v>2488</v>
      </c>
      <c r="C734">
        <v>57.3</v>
      </c>
      <c r="D734">
        <v>42.9</v>
      </c>
      <c r="G734">
        <f t="shared" si="110"/>
        <v>0</v>
      </c>
      <c r="H734">
        <f t="shared" si="111"/>
        <v>0</v>
      </c>
      <c r="I734">
        <f t="shared" si="112"/>
        <v>0</v>
      </c>
      <c r="J734">
        <v>51.5</v>
      </c>
      <c r="K734">
        <v>57.3</v>
      </c>
      <c r="L734">
        <v>38.700000000000003</v>
      </c>
      <c r="M734">
        <v>50</v>
      </c>
      <c r="N734">
        <v>35</v>
      </c>
      <c r="O734">
        <v>53.6</v>
      </c>
      <c r="S734">
        <f t="shared" si="113"/>
        <v>1</v>
      </c>
      <c r="T734">
        <f t="shared" si="114"/>
        <v>0</v>
      </c>
      <c r="U734">
        <f t="shared" si="115"/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18.3</v>
      </c>
      <c r="AG734">
        <f t="shared" si="116"/>
        <v>1</v>
      </c>
      <c r="AH734">
        <f t="shared" si="117"/>
        <v>0</v>
      </c>
      <c r="AI734">
        <f t="shared" si="118"/>
        <v>1</v>
      </c>
      <c r="AJ734">
        <v>293.7</v>
      </c>
      <c r="AK734">
        <v>1019.2</v>
      </c>
      <c r="AL734">
        <v>46.5</v>
      </c>
      <c r="AM734">
        <v>6.8</v>
      </c>
      <c r="AN734">
        <v>0</v>
      </c>
      <c r="AO734">
        <v>0</v>
      </c>
      <c r="AP734">
        <v>0</v>
      </c>
      <c r="AQ734">
        <v>0</v>
      </c>
      <c r="AR734" t="s">
        <v>2489</v>
      </c>
      <c r="AS734" t="s">
        <v>2490</v>
      </c>
      <c r="AT734">
        <v>0.36</v>
      </c>
      <c r="AU734" t="s">
        <v>43</v>
      </c>
      <c r="AV734" t="s">
        <v>44</v>
      </c>
      <c r="AW734" t="s">
        <v>45</v>
      </c>
      <c r="AX734" t="s">
        <v>2491</v>
      </c>
      <c r="AY734" t="s">
        <v>2492</v>
      </c>
      <c r="AZ734">
        <v>50.000000005820773</v>
      </c>
      <c r="BA734">
        <v>0</v>
      </c>
      <c r="BB734">
        <v>0</v>
      </c>
      <c r="BC734">
        <v>0.2</v>
      </c>
      <c r="BD734">
        <v>0</v>
      </c>
      <c r="BE734">
        <f t="shared" si="119"/>
        <v>0</v>
      </c>
    </row>
    <row r="735" spans="1:57" x14ac:dyDescent="0.25">
      <c r="A735" t="s">
        <v>39</v>
      </c>
      <c r="B735" t="s">
        <v>2488</v>
      </c>
      <c r="C735">
        <v>57.3</v>
      </c>
      <c r="D735">
        <v>42.9</v>
      </c>
      <c r="G735">
        <f t="shared" si="110"/>
        <v>0</v>
      </c>
      <c r="H735">
        <f t="shared" si="111"/>
        <v>0</v>
      </c>
      <c r="I735">
        <f t="shared" si="112"/>
        <v>0</v>
      </c>
      <c r="J735">
        <v>51.5</v>
      </c>
      <c r="K735">
        <v>57.3</v>
      </c>
      <c r="L735">
        <v>38.700000000000003</v>
      </c>
      <c r="M735">
        <v>50</v>
      </c>
      <c r="N735">
        <v>35</v>
      </c>
      <c r="O735">
        <v>53.6</v>
      </c>
      <c r="S735">
        <f t="shared" si="113"/>
        <v>1</v>
      </c>
      <c r="T735">
        <f t="shared" si="114"/>
        <v>0</v>
      </c>
      <c r="U735">
        <f t="shared" si="115"/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18.3</v>
      </c>
      <c r="AG735">
        <f t="shared" si="116"/>
        <v>1</v>
      </c>
      <c r="AH735">
        <f t="shared" si="117"/>
        <v>0</v>
      </c>
      <c r="AI735">
        <f t="shared" si="118"/>
        <v>1</v>
      </c>
      <c r="AJ735">
        <v>293.7</v>
      </c>
      <c r="AK735">
        <v>1019.2</v>
      </c>
      <c r="AL735">
        <v>46.5</v>
      </c>
      <c r="AM735">
        <v>6.8</v>
      </c>
      <c r="AN735">
        <v>0</v>
      </c>
      <c r="AO735">
        <v>0</v>
      </c>
      <c r="AP735">
        <v>0</v>
      </c>
      <c r="AQ735">
        <v>0</v>
      </c>
      <c r="AR735" t="s">
        <v>2489</v>
      </c>
      <c r="AS735" t="s">
        <v>2490</v>
      </c>
      <c r="AT735">
        <v>0.36</v>
      </c>
      <c r="AU735" t="s">
        <v>43</v>
      </c>
      <c r="AV735" t="s">
        <v>44</v>
      </c>
      <c r="AW735" t="s">
        <v>45</v>
      </c>
      <c r="AX735" t="s">
        <v>2493</v>
      </c>
      <c r="AY735" t="s">
        <v>2494</v>
      </c>
      <c r="AZ735">
        <v>65.000000002328306</v>
      </c>
      <c r="BA735">
        <v>0</v>
      </c>
      <c r="BB735">
        <v>0</v>
      </c>
      <c r="BC735">
        <v>1</v>
      </c>
      <c r="BD735">
        <v>0</v>
      </c>
      <c r="BE735">
        <f t="shared" si="119"/>
        <v>0</v>
      </c>
    </row>
    <row r="736" spans="1:57" x14ac:dyDescent="0.25">
      <c r="A736" t="s">
        <v>39</v>
      </c>
      <c r="B736" t="s">
        <v>2495</v>
      </c>
      <c r="C736">
        <v>55.5</v>
      </c>
      <c r="D736">
        <v>50.1</v>
      </c>
      <c r="G736">
        <f t="shared" si="110"/>
        <v>1</v>
      </c>
      <c r="H736">
        <f t="shared" si="111"/>
        <v>0</v>
      </c>
      <c r="I736">
        <f t="shared" si="112"/>
        <v>1</v>
      </c>
      <c r="J736">
        <v>54.2</v>
      </c>
      <c r="K736">
        <v>55.5</v>
      </c>
      <c r="L736">
        <v>50.1</v>
      </c>
      <c r="M736">
        <v>54.2</v>
      </c>
      <c r="N736">
        <v>44.5</v>
      </c>
      <c r="O736">
        <v>70</v>
      </c>
      <c r="S736">
        <f t="shared" si="113"/>
        <v>1</v>
      </c>
      <c r="T736">
        <f t="shared" si="114"/>
        <v>1</v>
      </c>
      <c r="U736">
        <f t="shared" si="115"/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32.200000000000003</v>
      </c>
      <c r="AG736">
        <f t="shared" si="116"/>
        <v>1</v>
      </c>
      <c r="AH736">
        <f t="shared" si="117"/>
        <v>1</v>
      </c>
      <c r="AI736">
        <f t="shared" si="118"/>
        <v>0</v>
      </c>
      <c r="AJ736">
        <v>329.8</v>
      </c>
      <c r="AK736">
        <v>1019.8</v>
      </c>
      <c r="AL736">
        <v>90.5</v>
      </c>
      <c r="AM736">
        <v>6.8</v>
      </c>
      <c r="AN736">
        <v>0</v>
      </c>
      <c r="AO736">
        <v>0</v>
      </c>
      <c r="AP736">
        <v>0</v>
      </c>
      <c r="AQ736">
        <v>0</v>
      </c>
      <c r="AR736" t="s">
        <v>2496</v>
      </c>
      <c r="AS736" t="s">
        <v>2497</v>
      </c>
      <c r="AT736">
        <v>0.03</v>
      </c>
      <c r="AU736" t="s">
        <v>275</v>
      </c>
      <c r="AV736" t="s">
        <v>276</v>
      </c>
      <c r="AW736" t="s">
        <v>419</v>
      </c>
      <c r="AX736" t="s">
        <v>2498</v>
      </c>
      <c r="AY736" t="s">
        <v>2499</v>
      </c>
      <c r="AZ736">
        <v>99.999999990686774</v>
      </c>
      <c r="BA736">
        <v>0</v>
      </c>
      <c r="BB736">
        <v>0</v>
      </c>
      <c r="BC736">
        <v>0.01</v>
      </c>
      <c r="BD736">
        <v>0</v>
      </c>
      <c r="BE736">
        <f t="shared" si="119"/>
        <v>1</v>
      </c>
    </row>
    <row r="737" spans="1:57" x14ac:dyDescent="0.25">
      <c r="A737" t="s">
        <v>39</v>
      </c>
      <c r="B737" t="s">
        <v>2500</v>
      </c>
      <c r="C737">
        <v>62.7</v>
      </c>
      <c r="D737">
        <v>48.3</v>
      </c>
      <c r="G737">
        <f t="shared" si="110"/>
        <v>0</v>
      </c>
      <c r="H737">
        <f t="shared" si="111"/>
        <v>0</v>
      </c>
      <c r="I737">
        <f t="shared" si="112"/>
        <v>0</v>
      </c>
      <c r="J737">
        <v>54.9</v>
      </c>
      <c r="K737">
        <v>62.7</v>
      </c>
      <c r="L737">
        <v>44.7</v>
      </c>
      <c r="M737">
        <v>54.4</v>
      </c>
      <c r="N737">
        <v>48.6</v>
      </c>
      <c r="O737">
        <v>79.7</v>
      </c>
      <c r="S737">
        <f t="shared" si="113"/>
        <v>1</v>
      </c>
      <c r="T737">
        <f t="shared" si="114"/>
        <v>1</v>
      </c>
      <c r="U737">
        <f t="shared" si="115"/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8.1</v>
      </c>
      <c r="AG737">
        <f t="shared" si="116"/>
        <v>1</v>
      </c>
      <c r="AH737">
        <f t="shared" si="117"/>
        <v>0</v>
      </c>
      <c r="AI737">
        <f t="shared" si="118"/>
        <v>1</v>
      </c>
      <c r="AJ737">
        <v>162.6</v>
      </c>
      <c r="AK737">
        <v>1016.2</v>
      </c>
      <c r="AL737">
        <v>34.299999999999997</v>
      </c>
      <c r="AM737">
        <v>6.8</v>
      </c>
      <c r="AN737">
        <v>0</v>
      </c>
      <c r="AO737">
        <v>0</v>
      </c>
      <c r="AP737">
        <v>0</v>
      </c>
      <c r="AQ737">
        <v>0</v>
      </c>
      <c r="AR737" t="s">
        <v>2501</v>
      </c>
      <c r="AS737" t="s">
        <v>2502</v>
      </c>
      <c r="AT737">
        <v>0.25</v>
      </c>
      <c r="AU737" t="s">
        <v>43</v>
      </c>
      <c r="AV737" t="s">
        <v>44</v>
      </c>
      <c r="AW737" t="s">
        <v>45</v>
      </c>
      <c r="AX737" t="s">
        <v>2403</v>
      </c>
      <c r="AY737" t="s">
        <v>2503</v>
      </c>
      <c r="AZ737">
        <v>139.99999999534339</v>
      </c>
      <c r="BA737">
        <v>0</v>
      </c>
      <c r="BB737">
        <v>0</v>
      </c>
      <c r="BC737">
        <v>2</v>
      </c>
      <c r="BD737">
        <v>0</v>
      </c>
      <c r="BE737">
        <f t="shared" si="119"/>
        <v>0</v>
      </c>
    </row>
    <row r="738" spans="1:57" x14ac:dyDescent="0.25">
      <c r="A738" t="s">
        <v>39</v>
      </c>
      <c r="B738" t="s">
        <v>2500</v>
      </c>
      <c r="C738">
        <v>62.7</v>
      </c>
      <c r="D738">
        <v>48.3</v>
      </c>
      <c r="G738">
        <f t="shared" si="110"/>
        <v>0</v>
      </c>
      <c r="H738">
        <f t="shared" si="111"/>
        <v>0</v>
      </c>
      <c r="I738">
        <f t="shared" si="112"/>
        <v>0</v>
      </c>
      <c r="J738">
        <v>54.9</v>
      </c>
      <c r="K738">
        <v>62.7</v>
      </c>
      <c r="L738">
        <v>44.7</v>
      </c>
      <c r="M738">
        <v>54.4</v>
      </c>
      <c r="N738">
        <v>48.6</v>
      </c>
      <c r="O738">
        <v>79.7</v>
      </c>
      <c r="S738">
        <f t="shared" si="113"/>
        <v>1</v>
      </c>
      <c r="T738">
        <f t="shared" si="114"/>
        <v>1</v>
      </c>
      <c r="U738">
        <f t="shared" si="115"/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8.1</v>
      </c>
      <c r="AG738">
        <f t="shared" si="116"/>
        <v>1</v>
      </c>
      <c r="AH738">
        <f t="shared" si="117"/>
        <v>0</v>
      </c>
      <c r="AI738">
        <f t="shared" si="118"/>
        <v>1</v>
      </c>
      <c r="AJ738">
        <v>162.6</v>
      </c>
      <c r="AK738">
        <v>1016.2</v>
      </c>
      <c r="AL738">
        <v>34.299999999999997</v>
      </c>
      <c r="AM738">
        <v>6.8</v>
      </c>
      <c r="AN738">
        <v>0</v>
      </c>
      <c r="AO738">
        <v>0</v>
      </c>
      <c r="AP738">
        <v>0</v>
      </c>
      <c r="AQ738">
        <v>0</v>
      </c>
      <c r="AR738" t="s">
        <v>2501</v>
      </c>
      <c r="AS738" t="s">
        <v>2502</v>
      </c>
      <c r="AT738">
        <v>0.25</v>
      </c>
      <c r="AU738" t="s">
        <v>43</v>
      </c>
      <c r="AV738" t="s">
        <v>44</v>
      </c>
      <c r="AW738" t="s">
        <v>45</v>
      </c>
      <c r="AX738" t="s">
        <v>2504</v>
      </c>
      <c r="AY738" t="s">
        <v>2505</v>
      </c>
      <c r="AZ738">
        <v>139.99999999534339</v>
      </c>
      <c r="BA738">
        <v>0</v>
      </c>
      <c r="BB738">
        <v>0</v>
      </c>
      <c r="BC738">
        <v>1</v>
      </c>
      <c r="BD738">
        <v>0</v>
      </c>
      <c r="BE738">
        <f t="shared" si="119"/>
        <v>0</v>
      </c>
    </row>
    <row r="739" spans="1:57" x14ac:dyDescent="0.25">
      <c r="A739" t="s">
        <v>39</v>
      </c>
      <c r="B739" t="s">
        <v>2506</v>
      </c>
      <c r="C739">
        <v>69.900000000000006</v>
      </c>
      <c r="D739">
        <v>50.1</v>
      </c>
      <c r="G739">
        <f t="shared" si="110"/>
        <v>1</v>
      </c>
      <c r="H739">
        <f t="shared" si="111"/>
        <v>1</v>
      </c>
      <c r="I739">
        <f t="shared" si="112"/>
        <v>0</v>
      </c>
      <c r="J739">
        <v>60.3</v>
      </c>
      <c r="K739">
        <v>69.900000000000006</v>
      </c>
      <c r="L739">
        <v>50.1</v>
      </c>
      <c r="M739">
        <v>60.3</v>
      </c>
      <c r="N739">
        <v>45.8</v>
      </c>
      <c r="O739">
        <v>59.8</v>
      </c>
      <c r="S739">
        <f t="shared" si="113"/>
        <v>1</v>
      </c>
      <c r="T739">
        <f t="shared" si="114"/>
        <v>0</v>
      </c>
      <c r="U739">
        <f t="shared" si="115"/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30</v>
      </c>
      <c r="AG739">
        <f t="shared" si="116"/>
        <v>1</v>
      </c>
      <c r="AH739">
        <f t="shared" si="117"/>
        <v>1</v>
      </c>
      <c r="AI739">
        <f t="shared" si="118"/>
        <v>0</v>
      </c>
      <c r="AJ739">
        <v>172.4</v>
      </c>
      <c r="AK739">
        <v>1008.1</v>
      </c>
      <c r="AL739">
        <v>56.4</v>
      </c>
      <c r="AM739">
        <v>6.8</v>
      </c>
      <c r="AN739">
        <v>0</v>
      </c>
      <c r="AO739">
        <v>0</v>
      </c>
      <c r="AP739">
        <v>0</v>
      </c>
      <c r="AQ739">
        <v>0</v>
      </c>
      <c r="AR739" t="s">
        <v>2507</v>
      </c>
      <c r="AS739" t="s">
        <v>2508</v>
      </c>
      <c r="AT739">
        <v>0.56000000000000005</v>
      </c>
      <c r="AU739" t="s">
        <v>43</v>
      </c>
      <c r="AV739" t="s">
        <v>44</v>
      </c>
      <c r="AW739" t="s">
        <v>45</v>
      </c>
      <c r="AX739" t="s">
        <v>2509</v>
      </c>
      <c r="AY739" t="s">
        <v>2510</v>
      </c>
      <c r="AZ739">
        <v>235.00000000116421</v>
      </c>
      <c r="BA739">
        <v>0</v>
      </c>
      <c r="BB739">
        <v>0</v>
      </c>
      <c r="BC739">
        <v>0.5</v>
      </c>
      <c r="BD739">
        <v>0</v>
      </c>
      <c r="BE739">
        <f t="shared" si="119"/>
        <v>1</v>
      </c>
    </row>
    <row r="740" spans="1:57" x14ac:dyDescent="0.25">
      <c r="A740" t="s">
        <v>39</v>
      </c>
      <c r="B740" t="s">
        <v>2511</v>
      </c>
      <c r="C740">
        <v>64.5</v>
      </c>
      <c r="D740">
        <v>57.3</v>
      </c>
      <c r="G740">
        <f t="shared" si="110"/>
        <v>1</v>
      </c>
      <c r="H740">
        <f t="shared" si="111"/>
        <v>0</v>
      </c>
      <c r="I740">
        <f t="shared" si="112"/>
        <v>1</v>
      </c>
      <c r="J740">
        <v>61.4</v>
      </c>
      <c r="K740">
        <v>64.5</v>
      </c>
      <c r="L740">
        <v>57.3</v>
      </c>
      <c r="M740">
        <v>61.4</v>
      </c>
      <c r="N740">
        <v>49.4</v>
      </c>
      <c r="O740">
        <v>64.8</v>
      </c>
      <c r="S740">
        <f t="shared" si="113"/>
        <v>0</v>
      </c>
      <c r="T740">
        <f t="shared" si="114"/>
        <v>0</v>
      </c>
      <c r="U740">
        <f t="shared" si="115"/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18.3</v>
      </c>
      <c r="AG740">
        <f t="shared" si="116"/>
        <v>0</v>
      </c>
      <c r="AH740">
        <f t="shared" si="117"/>
        <v>0</v>
      </c>
      <c r="AI740">
        <f t="shared" si="118"/>
        <v>0</v>
      </c>
      <c r="AJ740">
        <v>311.60000000000002</v>
      </c>
      <c r="AK740">
        <v>1018</v>
      </c>
      <c r="AL740">
        <v>30</v>
      </c>
      <c r="AM740">
        <v>6.3</v>
      </c>
      <c r="AN740">
        <v>0</v>
      </c>
      <c r="AO740">
        <v>0</v>
      </c>
      <c r="AP740">
        <v>0</v>
      </c>
      <c r="AQ740">
        <v>0</v>
      </c>
      <c r="AR740" t="s">
        <v>2512</v>
      </c>
      <c r="AS740" t="s">
        <v>2513</v>
      </c>
      <c r="AT740">
        <v>0.25</v>
      </c>
      <c r="AU740" t="s">
        <v>43</v>
      </c>
      <c r="AV740" t="s">
        <v>44</v>
      </c>
      <c r="AW740" t="s">
        <v>45</v>
      </c>
      <c r="AX740" t="s">
        <v>2514</v>
      </c>
      <c r="AY740" t="s">
        <v>2515</v>
      </c>
      <c r="AZ740">
        <v>75.00000000349246</v>
      </c>
      <c r="BA740">
        <v>0</v>
      </c>
      <c r="BB740">
        <v>0</v>
      </c>
      <c r="BC740">
        <v>0.25</v>
      </c>
      <c r="BD740">
        <v>0</v>
      </c>
      <c r="BE740">
        <f t="shared" si="119"/>
        <v>0</v>
      </c>
    </row>
    <row r="741" spans="1:57" x14ac:dyDescent="0.25">
      <c r="A741" t="s">
        <v>39</v>
      </c>
      <c r="B741" t="s">
        <v>2516</v>
      </c>
      <c r="C741">
        <v>86.1</v>
      </c>
      <c r="D741">
        <v>66.3</v>
      </c>
      <c r="G741">
        <f t="shared" si="110"/>
        <v>1</v>
      </c>
      <c r="H741">
        <f t="shared" si="111"/>
        <v>1</v>
      </c>
      <c r="I741">
        <f t="shared" si="112"/>
        <v>0</v>
      </c>
      <c r="J741">
        <v>77.8</v>
      </c>
      <c r="K741">
        <v>85.6</v>
      </c>
      <c r="L741">
        <v>66.3</v>
      </c>
      <c r="M741">
        <v>78</v>
      </c>
      <c r="N741">
        <v>62</v>
      </c>
      <c r="O741">
        <v>59.5</v>
      </c>
      <c r="S741">
        <f t="shared" si="113"/>
        <v>0</v>
      </c>
      <c r="T741">
        <f t="shared" si="114"/>
        <v>0</v>
      </c>
      <c r="U741">
        <f t="shared" si="115"/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18.3</v>
      </c>
      <c r="AG741">
        <f t="shared" si="116"/>
        <v>0</v>
      </c>
      <c r="AH741">
        <f t="shared" si="117"/>
        <v>0</v>
      </c>
      <c r="AI741">
        <f t="shared" si="118"/>
        <v>0</v>
      </c>
      <c r="AJ741">
        <v>303.8</v>
      </c>
      <c r="AK741">
        <v>1010.4</v>
      </c>
      <c r="AL741">
        <v>0</v>
      </c>
      <c r="AM741">
        <v>6.2</v>
      </c>
      <c r="AN741">
        <v>0</v>
      </c>
      <c r="AO741">
        <v>0</v>
      </c>
      <c r="AP741">
        <v>0</v>
      </c>
      <c r="AQ741">
        <v>0</v>
      </c>
      <c r="AR741" t="s">
        <v>2517</v>
      </c>
      <c r="AS741" t="s">
        <v>2518</v>
      </c>
      <c r="AT741">
        <v>0.6</v>
      </c>
      <c r="AU741" t="s">
        <v>74</v>
      </c>
      <c r="AV741" t="s">
        <v>44</v>
      </c>
      <c r="AW741" t="s">
        <v>75</v>
      </c>
      <c r="AX741" t="s">
        <v>2519</v>
      </c>
      <c r="AY741" t="s">
        <v>2520</v>
      </c>
      <c r="AZ741">
        <v>139.99999999534339</v>
      </c>
      <c r="BA741">
        <v>0</v>
      </c>
      <c r="BB741">
        <v>0</v>
      </c>
      <c r="BC741">
        <v>0.2</v>
      </c>
      <c r="BD741">
        <v>0</v>
      </c>
      <c r="BE741">
        <f t="shared" si="119"/>
        <v>0</v>
      </c>
    </row>
    <row r="742" spans="1:57" x14ac:dyDescent="0.25">
      <c r="A742" t="s">
        <v>39</v>
      </c>
      <c r="B742" t="s">
        <v>2521</v>
      </c>
      <c r="C742">
        <v>80.7</v>
      </c>
      <c r="D742">
        <v>69.900000000000006</v>
      </c>
      <c r="G742">
        <f t="shared" si="110"/>
        <v>1</v>
      </c>
      <c r="H742">
        <f t="shared" si="111"/>
        <v>0</v>
      </c>
      <c r="I742">
        <f t="shared" si="112"/>
        <v>1</v>
      </c>
      <c r="J742">
        <v>77.3</v>
      </c>
      <c r="K742">
        <v>83.4</v>
      </c>
      <c r="L742">
        <v>69.900000000000006</v>
      </c>
      <c r="M742">
        <v>78.2</v>
      </c>
      <c r="N742">
        <v>65</v>
      </c>
      <c r="O742">
        <v>66.599999999999994</v>
      </c>
      <c r="S742">
        <f t="shared" si="113"/>
        <v>1</v>
      </c>
      <c r="T742">
        <f t="shared" si="114"/>
        <v>1</v>
      </c>
      <c r="U742">
        <f t="shared" si="115"/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25.3</v>
      </c>
      <c r="AG742">
        <f t="shared" si="116"/>
        <v>1</v>
      </c>
      <c r="AH742">
        <f t="shared" si="117"/>
        <v>1</v>
      </c>
      <c r="AI742">
        <f t="shared" si="118"/>
        <v>0</v>
      </c>
      <c r="AJ742">
        <v>320</v>
      </c>
      <c r="AK742">
        <v>1010.9</v>
      </c>
      <c r="AL742">
        <v>38.799999999999997</v>
      </c>
      <c r="AM742">
        <v>6.6</v>
      </c>
      <c r="AN742">
        <v>0</v>
      </c>
      <c r="AO742">
        <v>0</v>
      </c>
      <c r="AP742">
        <v>0</v>
      </c>
      <c r="AQ742">
        <v>0</v>
      </c>
      <c r="AR742" t="s">
        <v>2522</v>
      </c>
      <c r="AS742" t="s">
        <v>2523</v>
      </c>
      <c r="AT742">
        <v>0.96</v>
      </c>
      <c r="AU742" t="s">
        <v>43</v>
      </c>
      <c r="AV742" t="s">
        <v>44</v>
      </c>
      <c r="AW742" t="s">
        <v>45</v>
      </c>
      <c r="AX742" t="s">
        <v>2524</v>
      </c>
      <c r="AY742" t="s">
        <v>2525</v>
      </c>
      <c r="AZ742">
        <v>1499.999999996508</v>
      </c>
      <c r="BA742">
        <v>1</v>
      </c>
      <c r="BB742">
        <v>0</v>
      </c>
      <c r="BC742">
        <v>25</v>
      </c>
      <c r="BD742">
        <v>0</v>
      </c>
      <c r="BE742">
        <f t="shared" si="119"/>
        <v>1</v>
      </c>
    </row>
    <row r="743" spans="1:57" x14ac:dyDescent="0.25">
      <c r="A743" t="s">
        <v>39</v>
      </c>
      <c r="B743" t="s">
        <v>2526</v>
      </c>
      <c r="C743">
        <v>84.3</v>
      </c>
      <c r="D743">
        <v>69.900000000000006</v>
      </c>
      <c r="G743">
        <f t="shared" si="110"/>
        <v>0</v>
      </c>
      <c r="H743">
        <f t="shared" si="111"/>
        <v>0</v>
      </c>
      <c r="I743">
        <f t="shared" si="112"/>
        <v>0</v>
      </c>
      <c r="J743">
        <v>79.400000000000006</v>
      </c>
      <c r="K743">
        <v>86.6</v>
      </c>
      <c r="L743">
        <v>69.900000000000006</v>
      </c>
      <c r="M743">
        <v>80</v>
      </c>
      <c r="N743">
        <v>63.1</v>
      </c>
      <c r="O743">
        <v>58.2</v>
      </c>
      <c r="S743">
        <f t="shared" si="113"/>
        <v>1</v>
      </c>
      <c r="T743">
        <f t="shared" si="114"/>
        <v>0</v>
      </c>
      <c r="U743">
        <f t="shared" si="115"/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19.5</v>
      </c>
      <c r="AG743">
        <f t="shared" si="116"/>
        <v>1</v>
      </c>
      <c r="AH743">
        <f t="shared" si="117"/>
        <v>1</v>
      </c>
      <c r="AI743">
        <f t="shared" si="118"/>
        <v>0</v>
      </c>
      <c r="AJ743">
        <v>306.2</v>
      </c>
      <c r="AK743">
        <v>1009.5</v>
      </c>
      <c r="AL743">
        <v>30</v>
      </c>
      <c r="AM743">
        <v>6.4</v>
      </c>
      <c r="AN743">
        <v>0</v>
      </c>
      <c r="AO743">
        <v>0</v>
      </c>
      <c r="AP743">
        <v>0</v>
      </c>
      <c r="AQ743">
        <v>0</v>
      </c>
      <c r="AR743" t="s">
        <v>2527</v>
      </c>
      <c r="AS743" t="s">
        <v>2528</v>
      </c>
      <c r="AT743">
        <v>0.69</v>
      </c>
      <c r="AU743" t="s">
        <v>43</v>
      </c>
      <c r="AV743" t="s">
        <v>44</v>
      </c>
      <c r="AW743" t="s">
        <v>45</v>
      </c>
      <c r="AX743" t="s">
        <v>2529</v>
      </c>
      <c r="AY743" t="s">
        <v>2530</v>
      </c>
      <c r="AZ743">
        <v>2955.000000003492</v>
      </c>
      <c r="BA743">
        <v>1</v>
      </c>
      <c r="BB743">
        <v>0</v>
      </c>
      <c r="BC743">
        <v>120</v>
      </c>
      <c r="BD743">
        <v>0</v>
      </c>
      <c r="BE743">
        <f t="shared" si="119"/>
        <v>1</v>
      </c>
    </row>
    <row r="744" spans="1:57" x14ac:dyDescent="0.25">
      <c r="A744" t="s">
        <v>39</v>
      </c>
      <c r="B744" t="s">
        <v>2531</v>
      </c>
      <c r="C744">
        <v>82.5</v>
      </c>
      <c r="D744">
        <v>66.3</v>
      </c>
      <c r="G744">
        <f t="shared" si="110"/>
        <v>0</v>
      </c>
      <c r="H744">
        <f t="shared" si="111"/>
        <v>0</v>
      </c>
      <c r="I744">
        <f t="shared" si="112"/>
        <v>0</v>
      </c>
      <c r="J744">
        <v>76.400000000000006</v>
      </c>
      <c r="K744">
        <v>88.5</v>
      </c>
      <c r="L744">
        <v>66.3</v>
      </c>
      <c r="M744">
        <v>78</v>
      </c>
      <c r="N744">
        <v>65.2</v>
      </c>
      <c r="O744">
        <v>68.599999999999994</v>
      </c>
      <c r="S744">
        <f t="shared" si="113"/>
        <v>1</v>
      </c>
      <c r="T744">
        <f t="shared" si="114"/>
        <v>1</v>
      </c>
      <c r="U744">
        <f t="shared" si="115"/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12.8</v>
      </c>
      <c r="AG744">
        <f t="shared" si="116"/>
        <v>1</v>
      </c>
      <c r="AH744">
        <f t="shared" si="117"/>
        <v>0</v>
      </c>
      <c r="AI744">
        <f t="shared" si="118"/>
        <v>1</v>
      </c>
      <c r="AJ744">
        <v>295.8</v>
      </c>
      <c r="AK744">
        <v>1008</v>
      </c>
      <c r="AL744">
        <v>30</v>
      </c>
      <c r="AM744">
        <v>6.4</v>
      </c>
      <c r="AN744">
        <v>0</v>
      </c>
      <c r="AO744">
        <v>0</v>
      </c>
      <c r="AP744">
        <v>0</v>
      </c>
      <c r="AQ744">
        <v>0</v>
      </c>
      <c r="AR744" t="s">
        <v>2532</v>
      </c>
      <c r="AS744" t="s">
        <v>2533</v>
      </c>
      <c r="AT744">
        <v>0</v>
      </c>
      <c r="AU744" t="s">
        <v>43</v>
      </c>
      <c r="AV744" t="s">
        <v>44</v>
      </c>
      <c r="AW744" t="s">
        <v>45</v>
      </c>
      <c r="AX744" t="s">
        <v>2534</v>
      </c>
      <c r="AY744" t="s">
        <v>2535</v>
      </c>
      <c r="AZ744">
        <v>59.99999999650754</v>
      </c>
      <c r="BA744">
        <v>0</v>
      </c>
      <c r="BB744">
        <v>0</v>
      </c>
      <c r="BC744">
        <v>0.03</v>
      </c>
      <c r="BD744">
        <v>0</v>
      </c>
      <c r="BE744">
        <f t="shared" si="119"/>
        <v>0</v>
      </c>
    </row>
    <row r="745" spans="1:57" x14ac:dyDescent="0.25">
      <c r="A745" t="s">
        <v>39</v>
      </c>
      <c r="B745" t="s">
        <v>2536</v>
      </c>
      <c r="C745">
        <v>84.3</v>
      </c>
      <c r="D745">
        <v>71.7</v>
      </c>
      <c r="G745">
        <f t="shared" si="110"/>
        <v>0</v>
      </c>
      <c r="H745">
        <f t="shared" si="111"/>
        <v>0</v>
      </c>
      <c r="I745">
        <f t="shared" si="112"/>
        <v>0</v>
      </c>
      <c r="J745">
        <v>80.099999999999994</v>
      </c>
      <c r="K745">
        <v>91.1</v>
      </c>
      <c r="L745">
        <v>71.7</v>
      </c>
      <c r="M745">
        <v>82.3</v>
      </c>
      <c r="N745">
        <v>67.900000000000006</v>
      </c>
      <c r="O745">
        <v>66.8</v>
      </c>
      <c r="S745">
        <f t="shared" si="113"/>
        <v>1</v>
      </c>
      <c r="T745">
        <f t="shared" si="114"/>
        <v>1</v>
      </c>
      <c r="U745">
        <f t="shared" si="115"/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17.2</v>
      </c>
      <c r="AG745">
        <f t="shared" si="116"/>
        <v>0</v>
      </c>
      <c r="AH745">
        <f t="shared" si="117"/>
        <v>0</v>
      </c>
      <c r="AI745">
        <f t="shared" si="118"/>
        <v>0</v>
      </c>
      <c r="AJ745">
        <v>309.3</v>
      </c>
      <c r="AK745">
        <v>1009.8</v>
      </c>
      <c r="AL745">
        <v>0</v>
      </c>
      <c r="AM745">
        <v>6.2</v>
      </c>
      <c r="AN745">
        <v>0</v>
      </c>
      <c r="AO745">
        <v>0</v>
      </c>
      <c r="AP745">
        <v>0</v>
      </c>
      <c r="AQ745">
        <v>0</v>
      </c>
      <c r="AR745" t="s">
        <v>2537</v>
      </c>
      <c r="AS745" t="s">
        <v>2538</v>
      </c>
      <c r="AT745">
        <v>0.14000000000000001</v>
      </c>
      <c r="AU745" t="s">
        <v>74</v>
      </c>
      <c r="AV745" t="s">
        <v>44</v>
      </c>
      <c r="AW745" t="s">
        <v>75</v>
      </c>
      <c r="AX745" t="s">
        <v>2539</v>
      </c>
      <c r="AY745" t="s">
        <v>2540</v>
      </c>
      <c r="AZ745">
        <v>1480.0000000046571</v>
      </c>
      <c r="BA745">
        <v>1</v>
      </c>
      <c r="BB745">
        <v>0</v>
      </c>
      <c r="BC745">
        <v>15</v>
      </c>
      <c r="BD745">
        <v>0</v>
      </c>
      <c r="BE745">
        <f t="shared" si="119"/>
        <v>0</v>
      </c>
    </row>
    <row r="746" spans="1:57" x14ac:dyDescent="0.25">
      <c r="A746" t="s">
        <v>39</v>
      </c>
      <c r="B746" t="s">
        <v>2541</v>
      </c>
      <c r="C746">
        <v>89.7</v>
      </c>
      <c r="D746">
        <v>69.900000000000006</v>
      </c>
      <c r="G746">
        <f t="shared" si="110"/>
        <v>1</v>
      </c>
      <c r="H746">
        <f t="shared" si="111"/>
        <v>1</v>
      </c>
      <c r="I746">
        <f t="shared" si="112"/>
        <v>0</v>
      </c>
      <c r="J746">
        <v>79.8</v>
      </c>
      <c r="K746">
        <v>93.7</v>
      </c>
      <c r="L746">
        <v>69.900000000000006</v>
      </c>
      <c r="M746">
        <v>81.3</v>
      </c>
      <c r="N746">
        <v>63.6</v>
      </c>
      <c r="O746">
        <v>59</v>
      </c>
      <c r="S746">
        <f t="shared" si="113"/>
        <v>0</v>
      </c>
      <c r="T746">
        <f t="shared" si="114"/>
        <v>0</v>
      </c>
      <c r="U746">
        <f t="shared" si="115"/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10.3</v>
      </c>
      <c r="AG746">
        <f t="shared" si="116"/>
        <v>1</v>
      </c>
      <c r="AH746">
        <f t="shared" si="117"/>
        <v>0</v>
      </c>
      <c r="AI746">
        <f t="shared" si="118"/>
        <v>1</v>
      </c>
      <c r="AJ746">
        <v>168.5</v>
      </c>
      <c r="AK746">
        <v>1010</v>
      </c>
      <c r="AL746">
        <v>0</v>
      </c>
      <c r="AM746">
        <v>6.2</v>
      </c>
      <c r="AN746">
        <v>0</v>
      </c>
      <c r="AO746">
        <v>0</v>
      </c>
      <c r="AP746">
        <v>0</v>
      </c>
      <c r="AQ746">
        <v>0</v>
      </c>
      <c r="AR746" t="s">
        <v>2542</v>
      </c>
      <c r="AS746" t="s">
        <v>2543</v>
      </c>
      <c r="AT746">
        <v>0.6</v>
      </c>
      <c r="AU746" t="s">
        <v>74</v>
      </c>
      <c r="AV746" t="s">
        <v>44</v>
      </c>
      <c r="AW746" t="s">
        <v>75</v>
      </c>
      <c r="AX746" t="s">
        <v>2544</v>
      </c>
      <c r="AY746" t="s">
        <v>2545</v>
      </c>
      <c r="AZ746">
        <v>95.000000005820766</v>
      </c>
      <c r="BA746">
        <v>0</v>
      </c>
      <c r="BB746">
        <v>0</v>
      </c>
      <c r="BC746">
        <v>0.01</v>
      </c>
      <c r="BD746">
        <v>0</v>
      </c>
      <c r="BE746">
        <f t="shared" si="119"/>
        <v>0</v>
      </c>
    </row>
    <row r="747" spans="1:57" x14ac:dyDescent="0.25">
      <c r="A747" t="s">
        <v>39</v>
      </c>
      <c r="B747" t="s">
        <v>2546</v>
      </c>
      <c r="C747">
        <v>80.7</v>
      </c>
      <c r="D747">
        <v>66.3</v>
      </c>
      <c r="G747">
        <f t="shared" si="110"/>
        <v>0</v>
      </c>
      <c r="H747">
        <f t="shared" si="111"/>
        <v>0</v>
      </c>
      <c r="I747">
        <f t="shared" si="112"/>
        <v>0</v>
      </c>
      <c r="J747">
        <v>74.3</v>
      </c>
      <c r="K747">
        <v>80.599999999999994</v>
      </c>
      <c r="L747">
        <v>66.3</v>
      </c>
      <c r="M747">
        <v>74.3</v>
      </c>
      <c r="N747">
        <v>58.8</v>
      </c>
      <c r="O747">
        <v>59.9</v>
      </c>
      <c r="S747">
        <f t="shared" si="113"/>
        <v>1</v>
      </c>
      <c r="T747">
        <f t="shared" si="114"/>
        <v>0</v>
      </c>
      <c r="U747">
        <f t="shared" si="115"/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27.5</v>
      </c>
      <c r="AG747">
        <f t="shared" si="116"/>
        <v>1</v>
      </c>
      <c r="AH747">
        <f t="shared" si="117"/>
        <v>1</v>
      </c>
      <c r="AI747">
        <f t="shared" si="118"/>
        <v>0</v>
      </c>
      <c r="AJ747">
        <v>298.5</v>
      </c>
      <c r="AK747">
        <v>1010.9</v>
      </c>
      <c r="AL747">
        <v>31</v>
      </c>
      <c r="AM747">
        <v>6.8</v>
      </c>
      <c r="AN747">
        <v>0</v>
      </c>
      <c r="AO747">
        <v>0</v>
      </c>
      <c r="AP747">
        <v>0</v>
      </c>
      <c r="AQ747">
        <v>0</v>
      </c>
      <c r="AR747" t="s">
        <v>2547</v>
      </c>
      <c r="AS747" t="s">
        <v>2548</v>
      </c>
      <c r="AT747">
        <v>0.85</v>
      </c>
      <c r="AU747" t="s">
        <v>43</v>
      </c>
      <c r="AV747" t="s">
        <v>44</v>
      </c>
      <c r="AW747" t="s">
        <v>45</v>
      </c>
      <c r="AX747" t="s">
        <v>2454</v>
      </c>
      <c r="AY747" t="s">
        <v>2549</v>
      </c>
      <c r="AZ747">
        <v>69.999999997671694</v>
      </c>
      <c r="BA747">
        <v>0</v>
      </c>
      <c r="BB747">
        <v>0</v>
      </c>
      <c r="BC747">
        <v>0.5</v>
      </c>
      <c r="BD747">
        <v>0</v>
      </c>
      <c r="BE747">
        <f t="shared" si="119"/>
        <v>0</v>
      </c>
    </row>
    <row r="748" spans="1:57" x14ac:dyDescent="0.25">
      <c r="A748" t="s">
        <v>39</v>
      </c>
      <c r="B748" t="s">
        <v>2415</v>
      </c>
      <c r="C748">
        <v>75.3</v>
      </c>
      <c r="D748">
        <v>68.099999999999994</v>
      </c>
      <c r="G748">
        <f t="shared" si="110"/>
        <v>1</v>
      </c>
      <c r="H748">
        <f t="shared" si="111"/>
        <v>0</v>
      </c>
      <c r="I748">
        <f t="shared" si="112"/>
        <v>1</v>
      </c>
      <c r="J748">
        <v>71.3</v>
      </c>
      <c r="K748">
        <v>75.3</v>
      </c>
      <c r="L748">
        <v>68.099999999999994</v>
      </c>
      <c r="M748">
        <v>71.3</v>
      </c>
      <c r="N748">
        <v>61.7</v>
      </c>
      <c r="O748">
        <v>71.900000000000006</v>
      </c>
      <c r="S748">
        <f t="shared" si="113"/>
        <v>1</v>
      </c>
      <c r="T748">
        <f t="shared" si="114"/>
        <v>1</v>
      </c>
      <c r="U748">
        <f t="shared" si="115"/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20.8</v>
      </c>
      <c r="AG748">
        <f t="shared" si="116"/>
        <v>1</v>
      </c>
      <c r="AH748">
        <f t="shared" si="117"/>
        <v>1</v>
      </c>
      <c r="AI748">
        <f t="shared" si="118"/>
        <v>0</v>
      </c>
      <c r="AJ748">
        <v>334.6</v>
      </c>
      <c r="AK748">
        <v>1017.1</v>
      </c>
      <c r="AL748">
        <v>73.3</v>
      </c>
      <c r="AM748">
        <v>6.8</v>
      </c>
      <c r="AN748">
        <v>0</v>
      </c>
      <c r="AO748">
        <v>0</v>
      </c>
      <c r="AP748">
        <v>0</v>
      </c>
      <c r="AQ748">
        <v>0</v>
      </c>
      <c r="AR748" t="s">
        <v>2416</v>
      </c>
      <c r="AS748" t="s">
        <v>2417</v>
      </c>
      <c r="AT748">
        <v>0.35</v>
      </c>
      <c r="AU748" t="s">
        <v>43</v>
      </c>
      <c r="AV748" t="s">
        <v>44</v>
      </c>
      <c r="AW748" t="s">
        <v>45</v>
      </c>
      <c r="AX748" t="s">
        <v>2550</v>
      </c>
      <c r="AY748" t="s">
        <v>2551</v>
      </c>
      <c r="AZ748">
        <v>580.00000000465661</v>
      </c>
      <c r="BA748">
        <v>1</v>
      </c>
      <c r="BB748">
        <v>0</v>
      </c>
      <c r="BC748">
        <v>4</v>
      </c>
      <c r="BD748">
        <v>0</v>
      </c>
      <c r="BE748">
        <f t="shared" si="119"/>
        <v>1</v>
      </c>
    </row>
    <row r="749" spans="1:57" x14ac:dyDescent="0.25">
      <c r="A749" t="s">
        <v>39</v>
      </c>
      <c r="B749" t="s">
        <v>2552</v>
      </c>
      <c r="C749">
        <v>77.099999999999994</v>
      </c>
      <c r="D749">
        <v>62.7</v>
      </c>
      <c r="G749">
        <f t="shared" si="110"/>
        <v>1</v>
      </c>
      <c r="H749">
        <f t="shared" si="111"/>
        <v>1</v>
      </c>
      <c r="I749">
        <f t="shared" si="112"/>
        <v>0</v>
      </c>
      <c r="J749">
        <v>69.400000000000006</v>
      </c>
      <c r="K749">
        <v>77.099999999999994</v>
      </c>
      <c r="L749">
        <v>62.7</v>
      </c>
      <c r="M749">
        <v>69.400000000000006</v>
      </c>
      <c r="N749">
        <v>58.2</v>
      </c>
      <c r="O749">
        <v>68.5</v>
      </c>
      <c r="S749">
        <f t="shared" si="113"/>
        <v>0</v>
      </c>
      <c r="T749">
        <f t="shared" si="114"/>
        <v>0</v>
      </c>
      <c r="U749">
        <f t="shared" si="115"/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10.3</v>
      </c>
      <c r="AG749">
        <f t="shared" si="116"/>
        <v>1</v>
      </c>
      <c r="AH749">
        <f t="shared" si="117"/>
        <v>0</v>
      </c>
      <c r="AI749">
        <f t="shared" si="118"/>
        <v>1</v>
      </c>
      <c r="AJ749">
        <v>144.9</v>
      </c>
      <c r="AK749">
        <v>1015.7</v>
      </c>
      <c r="AL749">
        <v>0</v>
      </c>
      <c r="AM749">
        <v>6.2</v>
      </c>
      <c r="AN749">
        <v>0</v>
      </c>
      <c r="AO749">
        <v>0</v>
      </c>
      <c r="AP749">
        <v>0</v>
      </c>
      <c r="AQ749">
        <v>0</v>
      </c>
      <c r="AR749" t="s">
        <v>2553</v>
      </c>
      <c r="AS749" t="s">
        <v>2554</v>
      </c>
      <c r="AT749">
        <v>0.9</v>
      </c>
      <c r="AU749" t="s">
        <v>74</v>
      </c>
      <c r="AV749" t="s">
        <v>44</v>
      </c>
      <c r="AW749" t="s">
        <v>75</v>
      </c>
      <c r="AX749" t="s">
        <v>2555</v>
      </c>
      <c r="AY749" t="s">
        <v>2556</v>
      </c>
      <c r="AZ749">
        <v>480.00000000349252</v>
      </c>
      <c r="BA749">
        <v>1</v>
      </c>
      <c r="BB749">
        <v>0</v>
      </c>
      <c r="BC749">
        <v>0.02</v>
      </c>
      <c r="BD749">
        <v>0</v>
      </c>
      <c r="BE749">
        <f t="shared" si="119"/>
        <v>1</v>
      </c>
    </row>
    <row r="750" spans="1:57" x14ac:dyDescent="0.25">
      <c r="A750" t="s">
        <v>39</v>
      </c>
      <c r="B750" t="s">
        <v>2557</v>
      </c>
      <c r="C750">
        <v>75.3</v>
      </c>
      <c r="D750">
        <v>62.7</v>
      </c>
      <c r="G750">
        <f t="shared" si="110"/>
        <v>0</v>
      </c>
      <c r="H750">
        <f t="shared" si="111"/>
        <v>0</v>
      </c>
      <c r="I750">
        <f t="shared" si="112"/>
        <v>0</v>
      </c>
      <c r="J750">
        <v>69</v>
      </c>
      <c r="K750">
        <v>75.3</v>
      </c>
      <c r="L750">
        <v>62.7</v>
      </c>
      <c r="M750">
        <v>69</v>
      </c>
      <c r="N750">
        <v>64.599999999999994</v>
      </c>
      <c r="O750">
        <v>86.1</v>
      </c>
      <c r="S750">
        <f t="shared" si="113"/>
        <v>1</v>
      </c>
      <c r="T750">
        <f t="shared" si="114"/>
        <v>1</v>
      </c>
      <c r="U750">
        <f t="shared" si="115"/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8.1</v>
      </c>
      <c r="AG750">
        <f t="shared" si="116"/>
        <v>1</v>
      </c>
      <c r="AH750">
        <f t="shared" si="117"/>
        <v>0</v>
      </c>
      <c r="AI750">
        <f t="shared" si="118"/>
        <v>1</v>
      </c>
      <c r="AJ750">
        <v>162.6</v>
      </c>
      <c r="AK750">
        <v>1014.5</v>
      </c>
      <c r="AL750">
        <v>36.4</v>
      </c>
      <c r="AM750">
        <v>6.2</v>
      </c>
      <c r="AN750">
        <v>0</v>
      </c>
      <c r="AO750">
        <v>0</v>
      </c>
      <c r="AP750">
        <v>0</v>
      </c>
      <c r="AQ750">
        <v>0</v>
      </c>
      <c r="AR750" t="s">
        <v>2558</v>
      </c>
      <c r="AS750" t="s">
        <v>2559</v>
      </c>
      <c r="AT750">
        <v>0</v>
      </c>
      <c r="AU750" t="s">
        <v>43</v>
      </c>
      <c r="AV750" t="s">
        <v>44</v>
      </c>
      <c r="AW750" t="s">
        <v>45</v>
      </c>
      <c r="AX750" t="s">
        <v>2560</v>
      </c>
      <c r="AY750" t="s">
        <v>2561</v>
      </c>
      <c r="AZ750">
        <v>139.99999999534339</v>
      </c>
      <c r="BA750">
        <v>0</v>
      </c>
      <c r="BB750">
        <v>0</v>
      </c>
      <c r="BC750">
        <v>0.01</v>
      </c>
      <c r="BD750">
        <v>0</v>
      </c>
      <c r="BE750">
        <f t="shared" si="119"/>
        <v>0</v>
      </c>
    </row>
    <row r="751" spans="1:57" x14ac:dyDescent="0.25">
      <c r="A751" t="s">
        <v>39</v>
      </c>
      <c r="B751" t="s">
        <v>2562</v>
      </c>
      <c r="C751">
        <v>57.3</v>
      </c>
      <c r="D751">
        <v>48.3</v>
      </c>
      <c r="G751">
        <f t="shared" si="110"/>
        <v>1</v>
      </c>
      <c r="H751">
        <f t="shared" si="111"/>
        <v>0</v>
      </c>
      <c r="I751">
        <f t="shared" si="112"/>
        <v>1</v>
      </c>
      <c r="J751">
        <v>53</v>
      </c>
      <c r="K751">
        <v>57.3</v>
      </c>
      <c r="L751">
        <v>44.7</v>
      </c>
      <c r="M751">
        <v>52.8</v>
      </c>
      <c r="N751">
        <v>44.9</v>
      </c>
      <c r="O751">
        <v>74.3</v>
      </c>
      <c r="S751">
        <f t="shared" si="113"/>
        <v>1</v>
      </c>
      <c r="T751">
        <f t="shared" si="114"/>
        <v>1</v>
      </c>
      <c r="U751">
        <f t="shared" si="115"/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11.4</v>
      </c>
      <c r="AG751">
        <f t="shared" si="116"/>
        <v>1</v>
      </c>
      <c r="AH751">
        <f t="shared" si="117"/>
        <v>0</v>
      </c>
      <c r="AI751">
        <f t="shared" si="118"/>
        <v>1</v>
      </c>
      <c r="AJ751">
        <v>309.5</v>
      </c>
      <c r="AK751">
        <v>1020.3</v>
      </c>
      <c r="AL751">
        <v>73.3</v>
      </c>
      <c r="AM751">
        <v>6.8</v>
      </c>
      <c r="AN751">
        <v>0</v>
      </c>
      <c r="AO751">
        <v>0</v>
      </c>
      <c r="AP751">
        <v>0</v>
      </c>
      <c r="AQ751">
        <v>0</v>
      </c>
      <c r="AR751" t="s">
        <v>2563</v>
      </c>
      <c r="AS751" t="s">
        <v>2564</v>
      </c>
      <c r="AT751">
        <v>0.71</v>
      </c>
      <c r="AU751" t="s">
        <v>43</v>
      </c>
      <c r="AV751" t="s">
        <v>44</v>
      </c>
      <c r="AW751" t="s">
        <v>45</v>
      </c>
      <c r="AX751" t="s">
        <v>2565</v>
      </c>
      <c r="AY751" t="s">
        <v>2566</v>
      </c>
      <c r="AZ751">
        <v>300.00000000349252</v>
      </c>
      <c r="BA751">
        <v>0</v>
      </c>
      <c r="BB751">
        <v>0</v>
      </c>
      <c r="BC751">
        <v>4</v>
      </c>
      <c r="BD751">
        <v>0</v>
      </c>
      <c r="BE751">
        <f t="shared" si="119"/>
        <v>0</v>
      </c>
    </row>
    <row r="752" spans="1:57" x14ac:dyDescent="0.25">
      <c r="A752" t="s">
        <v>39</v>
      </c>
      <c r="B752" t="s">
        <v>2405</v>
      </c>
      <c r="C752">
        <v>84.3</v>
      </c>
      <c r="D752">
        <v>73.5</v>
      </c>
      <c r="G752">
        <f t="shared" si="110"/>
        <v>0</v>
      </c>
      <c r="H752">
        <f t="shared" si="111"/>
        <v>0</v>
      </c>
      <c r="I752">
        <f t="shared" si="112"/>
        <v>0</v>
      </c>
      <c r="J752">
        <v>80.2</v>
      </c>
      <c r="K752">
        <v>91.1</v>
      </c>
      <c r="L752">
        <v>73.5</v>
      </c>
      <c r="M752">
        <v>82.8</v>
      </c>
      <c r="N752">
        <v>71.900000000000006</v>
      </c>
      <c r="O752">
        <v>76</v>
      </c>
      <c r="S752">
        <f t="shared" si="113"/>
        <v>1</v>
      </c>
      <c r="T752">
        <f t="shared" si="114"/>
        <v>1</v>
      </c>
      <c r="U752">
        <f t="shared" si="115"/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16.100000000000001</v>
      </c>
      <c r="AG752">
        <f t="shared" si="116"/>
        <v>0</v>
      </c>
      <c r="AH752">
        <f t="shared" si="117"/>
        <v>0</v>
      </c>
      <c r="AI752">
        <f t="shared" si="118"/>
        <v>0</v>
      </c>
      <c r="AJ752">
        <v>321.39999999999998</v>
      </c>
      <c r="AK752">
        <v>1008.4</v>
      </c>
      <c r="AL752">
        <v>30</v>
      </c>
      <c r="AM752">
        <v>6.6</v>
      </c>
      <c r="AN752">
        <v>0</v>
      </c>
      <c r="AO752">
        <v>0</v>
      </c>
      <c r="AP752">
        <v>0</v>
      </c>
      <c r="AQ752">
        <v>0</v>
      </c>
      <c r="AR752" t="s">
        <v>2406</v>
      </c>
      <c r="AS752" t="s">
        <v>2407</v>
      </c>
      <c r="AT752">
        <v>0.45</v>
      </c>
      <c r="AU752" t="s">
        <v>43</v>
      </c>
      <c r="AV752" t="s">
        <v>44</v>
      </c>
      <c r="AW752" t="s">
        <v>45</v>
      </c>
      <c r="AX752" t="s">
        <v>2567</v>
      </c>
      <c r="AY752" t="s">
        <v>2568</v>
      </c>
      <c r="AZ752">
        <v>4990.0000000046566</v>
      </c>
      <c r="BA752">
        <v>1</v>
      </c>
      <c r="BB752">
        <v>0</v>
      </c>
      <c r="BC752">
        <v>370</v>
      </c>
      <c r="BD752">
        <v>0</v>
      </c>
      <c r="BE752">
        <f t="shared" si="119"/>
        <v>0</v>
      </c>
    </row>
    <row r="753" spans="1:57" x14ac:dyDescent="0.25">
      <c r="A753" t="s">
        <v>39</v>
      </c>
      <c r="B753" t="s">
        <v>2569</v>
      </c>
      <c r="C753">
        <v>84.3</v>
      </c>
      <c r="D753">
        <v>69.900000000000006</v>
      </c>
      <c r="G753">
        <f t="shared" si="110"/>
        <v>0</v>
      </c>
      <c r="H753">
        <f t="shared" si="111"/>
        <v>0</v>
      </c>
      <c r="I753">
        <f t="shared" si="112"/>
        <v>0</v>
      </c>
      <c r="J753">
        <v>78</v>
      </c>
      <c r="K753">
        <v>92.7</v>
      </c>
      <c r="L753">
        <v>69.900000000000006</v>
      </c>
      <c r="M753">
        <v>81</v>
      </c>
      <c r="N753">
        <v>70</v>
      </c>
      <c r="O753">
        <v>76.8</v>
      </c>
      <c r="S753">
        <f t="shared" si="113"/>
        <v>1</v>
      </c>
      <c r="T753">
        <f t="shared" si="114"/>
        <v>1</v>
      </c>
      <c r="U753">
        <f t="shared" si="115"/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10.3</v>
      </c>
      <c r="AG753">
        <f t="shared" si="116"/>
        <v>1</v>
      </c>
      <c r="AH753">
        <f t="shared" si="117"/>
        <v>0</v>
      </c>
      <c r="AI753">
        <f t="shared" si="118"/>
        <v>1</v>
      </c>
      <c r="AJ753">
        <v>125.9</v>
      </c>
      <c r="AK753">
        <v>1010.7</v>
      </c>
      <c r="AL753">
        <v>30</v>
      </c>
      <c r="AM753">
        <v>6.2</v>
      </c>
      <c r="AN753">
        <v>0</v>
      </c>
      <c r="AO753">
        <v>0</v>
      </c>
      <c r="AP753">
        <v>0</v>
      </c>
      <c r="AQ753">
        <v>0</v>
      </c>
      <c r="AR753" t="s">
        <v>2570</v>
      </c>
      <c r="AS753" t="s">
        <v>2571</v>
      </c>
      <c r="AT753">
        <v>0.25</v>
      </c>
      <c r="AU753" t="s">
        <v>43</v>
      </c>
      <c r="AV753" t="s">
        <v>44</v>
      </c>
      <c r="AW753" t="s">
        <v>45</v>
      </c>
      <c r="AX753" t="s">
        <v>2572</v>
      </c>
      <c r="AY753" t="s">
        <v>2573</v>
      </c>
      <c r="AZ753">
        <v>1019.999999993015</v>
      </c>
      <c r="BA753">
        <v>1</v>
      </c>
      <c r="BB753">
        <v>0</v>
      </c>
      <c r="BC753">
        <v>2.5</v>
      </c>
      <c r="BD753">
        <v>0</v>
      </c>
      <c r="BE753">
        <f t="shared" si="119"/>
        <v>0</v>
      </c>
    </row>
    <row r="754" spans="1:57" x14ac:dyDescent="0.25">
      <c r="A754" t="s">
        <v>39</v>
      </c>
      <c r="B754" t="s">
        <v>2574</v>
      </c>
      <c r="C754">
        <v>66.3</v>
      </c>
      <c r="D754">
        <v>50.1</v>
      </c>
      <c r="G754">
        <f t="shared" si="110"/>
        <v>1</v>
      </c>
      <c r="H754">
        <f t="shared" si="111"/>
        <v>1</v>
      </c>
      <c r="I754">
        <f t="shared" si="112"/>
        <v>0</v>
      </c>
      <c r="J754">
        <v>58.3</v>
      </c>
      <c r="K754">
        <v>66.3</v>
      </c>
      <c r="L754">
        <v>50.1</v>
      </c>
      <c r="M754">
        <v>58.3</v>
      </c>
      <c r="N754">
        <v>50.3</v>
      </c>
      <c r="O754">
        <v>75.5</v>
      </c>
      <c r="S754">
        <f t="shared" si="113"/>
        <v>1</v>
      </c>
      <c r="T754">
        <f t="shared" si="114"/>
        <v>1</v>
      </c>
      <c r="U754">
        <f t="shared" si="115"/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10.3</v>
      </c>
      <c r="AG754">
        <f t="shared" si="116"/>
        <v>1</v>
      </c>
      <c r="AH754">
        <f t="shared" si="117"/>
        <v>0</v>
      </c>
      <c r="AI754">
        <f t="shared" si="118"/>
        <v>1</v>
      </c>
      <c r="AJ754">
        <v>194.4</v>
      </c>
      <c r="AK754">
        <v>1015.7</v>
      </c>
      <c r="AL754">
        <v>48.3</v>
      </c>
      <c r="AM754">
        <v>6.8</v>
      </c>
      <c r="AN754">
        <v>0</v>
      </c>
      <c r="AO754">
        <v>0</v>
      </c>
      <c r="AP754">
        <v>0</v>
      </c>
      <c r="AQ754">
        <v>0</v>
      </c>
      <c r="AR754" t="s">
        <v>2575</v>
      </c>
      <c r="AS754" t="s">
        <v>2576</v>
      </c>
      <c r="AT754">
        <v>0.79</v>
      </c>
      <c r="AU754" t="s">
        <v>43</v>
      </c>
      <c r="AV754" t="s">
        <v>44</v>
      </c>
      <c r="AW754" t="s">
        <v>45</v>
      </c>
      <c r="AX754" t="s">
        <v>2577</v>
      </c>
      <c r="AY754" t="s">
        <v>2578</v>
      </c>
      <c r="AZ754">
        <v>820.00000000116415</v>
      </c>
      <c r="BA754">
        <v>1</v>
      </c>
      <c r="BB754">
        <v>0</v>
      </c>
      <c r="BC754">
        <v>2</v>
      </c>
      <c r="BD754">
        <v>0</v>
      </c>
      <c r="BE754">
        <f t="shared" si="119"/>
        <v>1</v>
      </c>
    </row>
    <row r="755" spans="1:57" x14ac:dyDescent="0.25">
      <c r="A755" t="s">
        <v>39</v>
      </c>
      <c r="B755" t="s">
        <v>2579</v>
      </c>
      <c r="C755">
        <v>73.5</v>
      </c>
      <c r="D755">
        <v>57.3</v>
      </c>
      <c r="G755">
        <f t="shared" si="110"/>
        <v>1</v>
      </c>
      <c r="H755">
        <f t="shared" si="111"/>
        <v>1</v>
      </c>
      <c r="I755">
        <f t="shared" si="112"/>
        <v>0</v>
      </c>
      <c r="J755">
        <v>64.8</v>
      </c>
      <c r="K755">
        <v>73.5</v>
      </c>
      <c r="L755">
        <v>57.3</v>
      </c>
      <c r="M755">
        <v>64.8</v>
      </c>
      <c r="N755">
        <v>46.1</v>
      </c>
      <c r="O755">
        <v>51.6</v>
      </c>
      <c r="S755">
        <f t="shared" si="113"/>
        <v>1</v>
      </c>
      <c r="T755">
        <f t="shared" si="114"/>
        <v>0</v>
      </c>
      <c r="U755">
        <f t="shared" si="115"/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36.9</v>
      </c>
      <c r="AG755">
        <f t="shared" si="116"/>
        <v>1</v>
      </c>
      <c r="AH755">
        <f t="shared" si="117"/>
        <v>1</v>
      </c>
      <c r="AI755">
        <f t="shared" si="118"/>
        <v>0</v>
      </c>
      <c r="AJ755">
        <v>179.5</v>
      </c>
      <c r="AK755">
        <v>1005.5</v>
      </c>
      <c r="AL755">
        <v>62.7</v>
      </c>
      <c r="AM755">
        <v>6.8</v>
      </c>
      <c r="AN755">
        <v>0</v>
      </c>
      <c r="AO755">
        <v>0</v>
      </c>
      <c r="AP755">
        <v>0</v>
      </c>
      <c r="AQ755">
        <v>0</v>
      </c>
      <c r="AR755" t="s">
        <v>2580</v>
      </c>
      <c r="AS755" t="s">
        <v>2581</v>
      </c>
      <c r="AT755">
        <v>0.08</v>
      </c>
      <c r="AU755" t="s">
        <v>43</v>
      </c>
      <c r="AV755" t="s">
        <v>44</v>
      </c>
      <c r="AW755" t="s">
        <v>419</v>
      </c>
      <c r="AX755" t="s">
        <v>2582</v>
      </c>
      <c r="AY755" t="s">
        <v>2583</v>
      </c>
      <c r="AZ755">
        <v>115.0000000081491</v>
      </c>
      <c r="BA755">
        <v>0</v>
      </c>
      <c r="BB755">
        <v>0</v>
      </c>
      <c r="BC755">
        <v>1</v>
      </c>
      <c r="BD755">
        <v>0</v>
      </c>
      <c r="BE755">
        <f t="shared" si="119"/>
        <v>1</v>
      </c>
    </row>
    <row r="756" spans="1:57" x14ac:dyDescent="0.25">
      <c r="A756" t="s">
        <v>39</v>
      </c>
      <c r="B756" t="s">
        <v>2584</v>
      </c>
      <c r="C756">
        <v>64.5</v>
      </c>
      <c r="D756">
        <v>53.7</v>
      </c>
      <c r="G756">
        <f t="shared" si="110"/>
        <v>1</v>
      </c>
      <c r="H756">
        <f t="shared" si="111"/>
        <v>0</v>
      </c>
      <c r="I756">
        <f t="shared" si="112"/>
        <v>1</v>
      </c>
      <c r="J756">
        <v>59.7</v>
      </c>
      <c r="K756">
        <v>64.5</v>
      </c>
      <c r="L756">
        <v>53.7</v>
      </c>
      <c r="M756">
        <v>59.7</v>
      </c>
      <c r="N756">
        <v>51.2</v>
      </c>
      <c r="O756">
        <v>73.5</v>
      </c>
      <c r="S756">
        <f t="shared" si="113"/>
        <v>1</v>
      </c>
      <c r="T756">
        <f t="shared" si="114"/>
        <v>1</v>
      </c>
      <c r="U756">
        <f t="shared" si="115"/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12.8</v>
      </c>
      <c r="AG756">
        <f t="shared" si="116"/>
        <v>1</v>
      </c>
      <c r="AH756">
        <f t="shared" si="117"/>
        <v>0</v>
      </c>
      <c r="AI756">
        <f t="shared" si="118"/>
        <v>1</v>
      </c>
      <c r="AJ756">
        <v>80.7</v>
      </c>
      <c r="AK756">
        <v>1015.7</v>
      </c>
      <c r="AL756">
        <v>80.900000000000006</v>
      </c>
      <c r="AM756">
        <v>6.5</v>
      </c>
      <c r="AN756">
        <v>0</v>
      </c>
      <c r="AO756">
        <v>0</v>
      </c>
      <c r="AP756">
        <v>0</v>
      </c>
      <c r="AQ756">
        <v>0</v>
      </c>
      <c r="AR756" t="s">
        <v>2585</v>
      </c>
      <c r="AS756" t="s">
        <v>2586</v>
      </c>
      <c r="AT756">
        <v>0.96</v>
      </c>
      <c r="AU756" t="s">
        <v>43</v>
      </c>
      <c r="AV756" t="s">
        <v>44</v>
      </c>
      <c r="AW756" t="s">
        <v>45</v>
      </c>
      <c r="AX756" t="s">
        <v>2587</v>
      </c>
      <c r="AY756" t="s">
        <v>2588</v>
      </c>
      <c r="AZ756">
        <v>200.00000000232831</v>
      </c>
      <c r="BA756">
        <v>0</v>
      </c>
      <c r="BB756">
        <v>0</v>
      </c>
      <c r="BC756">
        <v>3</v>
      </c>
      <c r="BD756">
        <v>0</v>
      </c>
      <c r="BE756">
        <f t="shared" si="119"/>
        <v>0</v>
      </c>
    </row>
    <row r="757" spans="1:57" x14ac:dyDescent="0.25">
      <c r="A757" t="s">
        <v>39</v>
      </c>
      <c r="B757" t="s">
        <v>2589</v>
      </c>
      <c r="C757">
        <v>68.099999999999994</v>
      </c>
      <c r="D757">
        <v>55.5</v>
      </c>
      <c r="G757">
        <f t="shared" si="110"/>
        <v>0</v>
      </c>
      <c r="H757">
        <f t="shared" si="111"/>
        <v>0</v>
      </c>
      <c r="I757">
        <f t="shared" si="112"/>
        <v>0</v>
      </c>
      <c r="J757">
        <v>61</v>
      </c>
      <c r="K757">
        <v>68.099999999999994</v>
      </c>
      <c r="L757">
        <v>55.5</v>
      </c>
      <c r="M757">
        <v>61</v>
      </c>
      <c r="N757">
        <v>54</v>
      </c>
      <c r="O757">
        <v>78.400000000000006</v>
      </c>
      <c r="S757">
        <f t="shared" si="113"/>
        <v>1</v>
      </c>
      <c r="T757">
        <f t="shared" si="114"/>
        <v>1</v>
      </c>
      <c r="U757">
        <f t="shared" si="115"/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24.2</v>
      </c>
      <c r="AG757">
        <f t="shared" si="116"/>
        <v>1</v>
      </c>
      <c r="AH757">
        <f t="shared" si="117"/>
        <v>1</v>
      </c>
      <c r="AI757">
        <f t="shared" si="118"/>
        <v>0</v>
      </c>
      <c r="AJ757">
        <v>81.099999999999994</v>
      </c>
      <c r="AK757">
        <v>1015.1</v>
      </c>
      <c r="AL757">
        <v>46.2</v>
      </c>
      <c r="AM757">
        <v>6.8</v>
      </c>
      <c r="AN757">
        <v>0</v>
      </c>
      <c r="AO757">
        <v>0</v>
      </c>
      <c r="AP757">
        <v>0</v>
      </c>
      <c r="AQ757">
        <v>0</v>
      </c>
      <c r="AR757" t="s">
        <v>2590</v>
      </c>
      <c r="AS757" t="s">
        <v>2591</v>
      </c>
      <c r="AT757">
        <v>0.16</v>
      </c>
      <c r="AU757" t="s">
        <v>43</v>
      </c>
      <c r="AV757" t="s">
        <v>44</v>
      </c>
      <c r="AW757" t="s">
        <v>45</v>
      </c>
      <c r="AX757" t="s">
        <v>2592</v>
      </c>
      <c r="AY757" t="s">
        <v>2593</v>
      </c>
      <c r="AZ757">
        <v>20.00000000232831</v>
      </c>
      <c r="BA757">
        <v>0</v>
      </c>
      <c r="BB757">
        <v>0</v>
      </c>
      <c r="BC757">
        <v>0.1</v>
      </c>
      <c r="BD757">
        <v>0</v>
      </c>
      <c r="BE757">
        <f t="shared" si="119"/>
        <v>0</v>
      </c>
    </row>
    <row r="758" spans="1:57" x14ac:dyDescent="0.25">
      <c r="A758" t="s">
        <v>39</v>
      </c>
      <c r="B758" t="s">
        <v>2594</v>
      </c>
      <c r="C758">
        <v>66.3</v>
      </c>
      <c r="D758">
        <v>55.5</v>
      </c>
      <c r="G758">
        <f t="shared" si="110"/>
        <v>0</v>
      </c>
      <c r="H758">
        <f t="shared" si="111"/>
        <v>0</v>
      </c>
      <c r="I758">
        <f t="shared" si="112"/>
        <v>0</v>
      </c>
      <c r="J758">
        <v>60.7</v>
      </c>
      <c r="K758">
        <v>66.3</v>
      </c>
      <c r="L758">
        <v>55.5</v>
      </c>
      <c r="M758">
        <v>60.7</v>
      </c>
      <c r="N758">
        <v>55.3</v>
      </c>
      <c r="O758">
        <v>82.6</v>
      </c>
      <c r="S758">
        <f t="shared" si="113"/>
        <v>1</v>
      </c>
      <c r="T758">
        <f t="shared" si="114"/>
        <v>1</v>
      </c>
      <c r="U758">
        <f t="shared" si="115"/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9.1999999999999993</v>
      </c>
      <c r="AG758">
        <f t="shared" si="116"/>
        <v>1</v>
      </c>
      <c r="AH758">
        <f t="shared" si="117"/>
        <v>0</v>
      </c>
      <c r="AI758">
        <f t="shared" si="118"/>
        <v>1</v>
      </c>
      <c r="AJ758">
        <v>348.8</v>
      </c>
      <c r="AK758">
        <v>1015.2</v>
      </c>
      <c r="AL758">
        <v>74.599999999999994</v>
      </c>
      <c r="AM758">
        <v>6.7</v>
      </c>
      <c r="AN758">
        <v>0</v>
      </c>
      <c r="AO758">
        <v>0</v>
      </c>
      <c r="AP758">
        <v>0</v>
      </c>
      <c r="AQ758">
        <v>0</v>
      </c>
      <c r="AR758" t="s">
        <v>2595</v>
      </c>
      <c r="AS758" t="s">
        <v>2596</v>
      </c>
      <c r="AT758">
        <v>0.3</v>
      </c>
      <c r="AU758" t="s">
        <v>43</v>
      </c>
      <c r="AV758" t="s">
        <v>44</v>
      </c>
      <c r="AW758" t="s">
        <v>45</v>
      </c>
      <c r="AX758" t="s">
        <v>2597</v>
      </c>
      <c r="AY758" t="s">
        <v>2598</v>
      </c>
      <c r="AZ758">
        <v>30.00000000349246</v>
      </c>
      <c r="BA758">
        <v>0</v>
      </c>
      <c r="BB758">
        <v>0</v>
      </c>
      <c r="BC758">
        <v>0.1</v>
      </c>
      <c r="BD758">
        <v>0</v>
      </c>
      <c r="BE758">
        <f t="shared" si="119"/>
        <v>0</v>
      </c>
    </row>
    <row r="759" spans="1:57" x14ac:dyDescent="0.25">
      <c r="A759" t="s">
        <v>39</v>
      </c>
      <c r="B759" t="s">
        <v>2599</v>
      </c>
      <c r="C759">
        <v>82.5</v>
      </c>
      <c r="D759">
        <v>69.900000000000006</v>
      </c>
      <c r="G759">
        <f t="shared" si="110"/>
        <v>0</v>
      </c>
      <c r="H759">
        <f t="shared" si="111"/>
        <v>0</v>
      </c>
      <c r="I759">
        <f t="shared" si="112"/>
        <v>0</v>
      </c>
      <c r="J759">
        <v>77.5</v>
      </c>
      <c r="K759">
        <v>86.4</v>
      </c>
      <c r="L759">
        <v>69.900000000000006</v>
      </c>
      <c r="M759">
        <v>78.5</v>
      </c>
      <c r="N759">
        <v>66.5</v>
      </c>
      <c r="O759">
        <v>69.599999999999994</v>
      </c>
      <c r="S759">
        <f t="shared" si="113"/>
        <v>1</v>
      </c>
      <c r="T759">
        <f t="shared" si="114"/>
        <v>1</v>
      </c>
      <c r="U759">
        <f t="shared" si="115"/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24.2</v>
      </c>
      <c r="AG759">
        <f t="shared" si="116"/>
        <v>1</v>
      </c>
      <c r="AH759">
        <f t="shared" si="117"/>
        <v>1</v>
      </c>
      <c r="AI759">
        <f t="shared" si="118"/>
        <v>0</v>
      </c>
      <c r="AJ759">
        <v>298.60000000000002</v>
      </c>
      <c r="AK759">
        <v>1006.8</v>
      </c>
      <c r="AL759">
        <v>30</v>
      </c>
      <c r="AM759">
        <v>6.4</v>
      </c>
      <c r="AN759">
        <v>0</v>
      </c>
      <c r="AO759">
        <v>0</v>
      </c>
      <c r="AP759">
        <v>0</v>
      </c>
      <c r="AQ759">
        <v>0</v>
      </c>
      <c r="AR759" t="s">
        <v>2600</v>
      </c>
      <c r="AS759" t="s">
        <v>2601</v>
      </c>
      <c r="AT759">
        <v>0.92</v>
      </c>
      <c r="AU759" t="s">
        <v>43</v>
      </c>
      <c r="AV759" t="s">
        <v>44</v>
      </c>
      <c r="AW759" t="s">
        <v>45</v>
      </c>
      <c r="AX759" t="s">
        <v>2602</v>
      </c>
      <c r="AY759" t="s">
        <v>2603</v>
      </c>
      <c r="AZ759">
        <v>1470.9999999962749</v>
      </c>
      <c r="BA759">
        <v>1</v>
      </c>
      <c r="BB759">
        <v>0</v>
      </c>
      <c r="BC759">
        <v>80</v>
      </c>
      <c r="BD759">
        <v>0</v>
      </c>
      <c r="BE759">
        <f t="shared" si="119"/>
        <v>1</v>
      </c>
    </row>
    <row r="760" spans="1:57" x14ac:dyDescent="0.25">
      <c r="A760" t="s">
        <v>39</v>
      </c>
      <c r="B760" t="s">
        <v>2395</v>
      </c>
      <c r="C760">
        <v>82.5</v>
      </c>
      <c r="D760">
        <v>69.900000000000006</v>
      </c>
      <c r="G760">
        <f t="shared" si="110"/>
        <v>0</v>
      </c>
      <c r="H760">
        <f t="shared" si="111"/>
        <v>0</v>
      </c>
      <c r="I760">
        <f t="shared" si="112"/>
        <v>0</v>
      </c>
      <c r="J760">
        <v>78.400000000000006</v>
      </c>
      <c r="K760">
        <v>84.1</v>
      </c>
      <c r="L760">
        <v>69.900000000000006</v>
      </c>
      <c r="M760">
        <v>79.2</v>
      </c>
      <c r="N760">
        <v>65.3</v>
      </c>
      <c r="O760">
        <v>64.400000000000006</v>
      </c>
      <c r="S760">
        <f t="shared" si="113"/>
        <v>1</v>
      </c>
      <c r="T760">
        <f t="shared" si="114"/>
        <v>1</v>
      </c>
      <c r="U760">
        <f t="shared" si="115"/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20.8</v>
      </c>
      <c r="AG760">
        <f t="shared" si="116"/>
        <v>1</v>
      </c>
      <c r="AH760">
        <f t="shared" si="117"/>
        <v>1</v>
      </c>
      <c r="AI760">
        <f t="shared" si="118"/>
        <v>0</v>
      </c>
      <c r="AJ760">
        <v>312.3</v>
      </c>
      <c r="AK760">
        <v>1012</v>
      </c>
      <c r="AL760">
        <v>0</v>
      </c>
      <c r="AM760">
        <v>6.2</v>
      </c>
      <c r="AN760">
        <v>0</v>
      </c>
      <c r="AO760">
        <v>0</v>
      </c>
      <c r="AP760">
        <v>0</v>
      </c>
      <c r="AQ760">
        <v>0</v>
      </c>
      <c r="AR760" t="s">
        <v>2396</v>
      </c>
      <c r="AS760" t="s">
        <v>2397</v>
      </c>
      <c r="AT760">
        <v>0.09</v>
      </c>
      <c r="AU760" t="s">
        <v>74</v>
      </c>
      <c r="AV760" t="s">
        <v>44</v>
      </c>
      <c r="AW760" t="s">
        <v>75</v>
      </c>
      <c r="AX760" t="s">
        <v>2604</v>
      </c>
      <c r="AY760" t="s">
        <v>2605</v>
      </c>
      <c r="AZ760">
        <v>1519.9999999988361</v>
      </c>
      <c r="BA760">
        <v>1</v>
      </c>
      <c r="BB760">
        <v>0</v>
      </c>
      <c r="BC760">
        <v>2000</v>
      </c>
      <c r="BD760">
        <v>0</v>
      </c>
      <c r="BE760">
        <f t="shared" si="119"/>
        <v>1</v>
      </c>
    </row>
    <row r="761" spans="1:57" x14ac:dyDescent="0.25">
      <c r="A761" t="s">
        <v>39</v>
      </c>
      <c r="B761" t="s">
        <v>2606</v>
      </c>
      <c r="C761">
        <v>82.5</v>
      </c>
      <c r="D761">
        <v>68.099999999999994</v>
      </c>
      <c r="G761">
        <f t="shared" si="110"/>
        <v>0</v>
      </c>
      <c r="H761">
        <f t="shared" si="111"/>
        <v>0</v>
      </c>
      <c r="I761">
        <f t="shared" si="112"/>
        <v>0</v>
      </c>
      <c r="J761">
        <v>77.599999999999994</v>
      </c>
      <c r="K761">
        <v>87.4</v>
      </c>
      <c r="L761">
        <v>68.099999999999994</v>
      </c>
      <c r="M761">
        <v>79.5</v>
      </c>
      <c r="N761">
        <v>65.7</v>
      </c>
      <c r="O761">
        <v>66.8</v>
      </c>
      <c r="S761">
        <f t="shared" si="113"/>
        <v>1</v>
      </c>
      <c r="T761">
        <f t="shared" si="114"/>
        <v>1</v>
      </c>
      <c r="U761">
        <f t="shared" si="115"/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18.3</v>
      </c>
      <c r="AG761">
        <f t="shared" si="116"/>
        <v>0</v>
      </c>
      <c r="AH761">
        <f t="shared" si="117"/>
        <v>0</v>
      </c>
      <c r="AI761">
        <f t="shared" si="118"/>
        <v>0</v>
      </c>
      <c r="AJ761">
        <v>308.8</v>
      </c>
      <c r="AK761">
        <v>1010.6</v>
      </c>
      <c r="AL761">
        <v>0</v>
      </c>
      <c r="AM761">
        <v>6.2</v>
      </c>
      <c r="AN761">
        <v>0</v>
      </c>
      <c r="AO761">
        <v>0</v>
      </c>
      <c r="AP761">
        <v>0</v>
      </c>
      <c r="AQ761">
        <v>0</v>
      </c>
      <c r="AR761" t="s">
        <v>2607</v>
      </c>
      <c r="AS761" t="s">
        <v>2608</v>
      </c>
      <c r="AT761">
        <v>0.12</v>
      </c>
      <c r="AU761" t="s">
        <v>74</v>
      </c>
      <c r="AV761" t="s">
        <v>44</v>
      </c>
      <c r="AW761" t="s">
        <v>75</v>
      </c>
      <c r="AX761" t="s">
        <v>2609</v>
      </c>
      <c r="AY761" t="s">
        <v>2610</v>
      </c>
      <c r="AZ761">
        <v>100.0000000011642</v>
      </c>
      <c r="BA761">
        <v>0</v>
      </c>
      <c r="BB761">
        <v>0</v>
      </c>
      <c r="BC761">
        <v>1</v>
      </c>
      <c r="BD761">
        <v>0</v>
      </c>
      <c r="BE761">
        <f t="shared" si="119"/>
        <v>0</v>
      </c>
    </row>
    <row r="762" spans="1:57" x14ac:dyDescent="0.25">
      <c r="A762" t="s">
        <v>39</v>
      </c>
      <c r="B762" t="s">
        <v>2606</v>
      </c>
      <c r="C762">
        <v>82.5</v>
      </c>
      <c r="D762">
        <v>68.099999999999994</v>
      </c>
      <c r="G762">
        <f t="shared" si="110"/>
        <v>0</v>
      </c>
      <c r="H762">
        <f t="shared" si="111"/>
        <v>0</v>
      </c>
      <c r="I762">
        <f t="shared" si="112"/>
        <v>0</v>
      </c>
      <c r="J762">
        <v>77.599999999999994</v>
      </c>
      <c r="K762">
        <v>87.4</v>
      </c>
      <c r="L762">
        <v>68.099999999999994</v>
      </c>
      <c r="M762">
        <v>79.5</v>
      </c>
      <c r="N762">
        <v>65.7</v>
      </c>
      <c r="O762">
        <v>66.8</v>
      </c>
      <c r="S762">
        <f t="shared" si="113"/>
        <v>1</v>
      </c>
      <c r="T762">
        <f t="shared" si="114"/>
        <v>1</v>
      </c>
      <c r="U762">
        <f t="shared" si="115"/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18.3</v>
      </c>
      <c r="AG762">
        <f t="shared" si="116"/>
        <v>0</v>
      </c>
      <c r="AH762">
        <f t="shared" si="117"/>
        <v>0</v>
      </c>
      <c r="AI762">
        <f t="shared" si="118"/>
        <v>0</v>
      </c>
      <c r="AJ762">
        <v>308.8</v>
      </c>
      <c r="AK762">
        <v>1010.6</v>
      </c>
      <c r="AL762">
        <v>0</v>
      </c>
      <c r="AM762">
        <v>6.2</v>
      </c>
      <c r="AN762">
        <v>0</v>
      </c>
      <c r="AO762">
        <v>0</v>
      </c>
      <c r="AP762">
        <v>0</v>
      </c>
      <c r="AQ762">
        <v>0</v>
      </c>
      <c r="AR762" t="s">
        <v>2607</v>
      </c>
      <c r="AS762" t="s">
        <v>2608</v>
      </c>
      <c r="AT762">
        <v>0.12</v>
      </c>
      <c r="AU762" t="s">
        <v>74</v>
      </c>
      <c r="AV762" t="s">
        <v>44</v>
      </c>
      <c r="AW762" t="s">
        <v>75</v>
      </c>
      <c r="AX762" t="s">
        <v>2611</v>
      </c>
      <c r="AY762" t="s">
        <v>2612</v>
      </c>
      <c r="AZ762">
        <v>16504.999999998839</v>
      </c>
      <c r="BA762">
        <v>1</v>
      </c>
      <c r="BB762">
        <v>150</v>
      </c>
      <c r="BC762">
        <v>3000</v>
      </c>
      <c r="BD762">
        <v>0</v>
      </c>
      <c r="BE762">
        <f t="shared" si="119"/>
        <v>0</v>
      </c>
    </row>
    <row r="763" spans="1:57" x14ac:dyDescent="0.25">
      <c r="A763" t="s">
        <v>39</v>
      </c>
      <c r="B763" t="s">
        <v>2613</v>
      </c>
      <c r="C763">
        <v>86.1</v>
      </c>
      <c r="D763">
        <v>71.7</v>
      </c>
      <c r="G763">
        <f t="shared" si="110"/>
        <v>1</v>
      </c>
      <c r="H763">
        <f t="shared" si="111"/>
        <v>1</v>
      </c>
      <c r="I763">
        <f t="shared" si="112"/>
        <v>0</v>
      </c>
      <c r="J763">
        <v>79.8</v>
      </c>
      <c r="K763">
        <v>93.7</v>
      </c>
      <c r="L763">
        <v>71.7</v>
      </c>
      <c r="M763">
        <v>81.900000000000006</v>
      </c>
      <c r="N763">
        <v>65.599999999999994</v>
      </c>
      <c r="O763">
        <v>62.2</v>
      </c>
      <c r="S763">
        <f t="shared" si="113"/>
        <v>1</v>
      </c>
      <c r="T763">
        <f t="shared" si="114"/>
        <v>1</v>
      </c>
      <c r="U763">
        <f t="shared" si="115"/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19.5</v>
      </c>
      <c r="AG763">
        <f t="shared" si="116"/>
        <v>1</v>
      </c>
      <c r="AH763">
        <f t="shared" si="117"/>
        <v>1</v>
      </c>
      <c r="AI763">
        <f t="shared" si="118"/>
        <v>0</v>
      </c>
      <c r="AJ763">
        <v>318.3</v>
      </c>
      <c r="AK763">
        <v>1009.8</v>
      </c>
      <c r="AL763">
        <v>0</v>
      </c>
      <c r="AM763">
        <v>6.2</v>
      </c>
      <c r="AN763">
        <v>0</v>
      </c>
      <c r="AO763">
        <v>0</v>
      </c>
      <c r="AP763">
        <v>0</v>
      </c>
      <c r="AQ763">
        <v>0</v>
      </c>
      <c r="AR763" t="s">
        <v>2614</v>
      </c>
      <c r="AS763" t="s">
        <v>2615</v>
      </c>
      <c r="AT763">
        <v>0.19</v>
      </c>
      <c r="AU763" t="s">
        <v>74</v>
      </c>
      <c r="AV763" t="s">
        <v>44</v>
      </c>
      <c r="AW763" t="s">
        <v>75</v>
      </c>
      <c r="AX763" t="s">
        <v>2592</v>
      </c>
      <c r="AY763" t="s">
        <v>2616</v>
      </c>
      <c r="AZ763">
        <v>2375.0000000093132</v>
      </c>
      <c r="BA763">
        <v>1</v>
      </c>
      <c r="BB763">
        <v>0</v>
      </c>
      <c r="BC763">
        <v>250</v>
      </c>
      <c r="BD763">
        <v>0</v>
      </c>
      <c r="BE763">
        <f t="shared" si="119"/>
        <v>1</v>
      </c>
    </row>
    <row r="764" spans="1:57" x14ac:dyDescent="0.25">
      <c r="A764" t="s">
        <v>39</v>
      </c>
      <c r="B764" t="s">
        <v>2613</v>
      </c>
      <c r="C764">
        <v>86.1</v>
      </c>
      <c r="D764">
        <v>71.7</v>
      </c>
      <c r="G764">
        <f t="shared" si="110"/>
        <v>1</v>
      </c>
      <c r="H764">
        <f t="shared" si="111"/>
        <v>1</v>
      </c>
      <c r="I764">
        <f t="shared" si="112"/>
        <v>0</v>
      </c>
      <c r="J764">
        <v>79.8</v>
      </c>
      <c r="K764">
        <v>93.7</v>
      </c>
      <c r="L764">
        <v>71.7</v>
      </c>
      <c r="M764">
        <v>81.900000000000006</v>
      </c>
      <c r="N764">
        <v>65.599999999999994</v>
      </c>
      <c r="O764">
        <v>62.2</v>
      </c>
      <c r="S764">
        <f t="shared" si="113"/>
        <v>1</v>
      </c>
      <c r="T764">
        <f t="shared" si="114"/>
        <v>1</v>
      </c>
      <c r="U764">
        <f t="shared" si="115"/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19.5</v>
      </c>
      <c r="AG764">
        <f t="shared" si="116"/>
        <v>1</v>
      </c>
      <c r="AH764">
        <f t="shared" si="117"/>
        <v>1</v>
      </c>
      <c r="AI764">
        <f t="shared" si="118"/>
        <v>0</v>
      </c>
      <c r="AJ764">
        <v>318.3</v>
      </c>
      <c r="AK764">
        <v>1009.8</v>
      </c>
      <c r="AL764">
        <v>0</v>
      </c>
      <c r="AM764">
        <v>6.2</v>
      </c>
      <c r="AN764">
        <v>0</v>
      </c>
      <c r="AO764">
        <v>0</v>
      </c>
      <c r="AP764">
        <v>0</v>
      </c>
      <c r="AQ764">
        <v>0</v>
      </c>
      <c r="AR764" t="s">
        <v>2614</v>
      </c>
      <c r="AS764" t="s">
        <v>2615</v>
      </c>
      <c r="AT764">
        <v>0.19</v>
      </c>
      <c r="AU764" t="s">
        <v>74</v>
      </c>
      <c r="AV764" t="s">
        <v>44</v>
      </c>
      <c r="AW764" t="s">
        <v>75</v>
      </c>
      <c r="AX764" t="s">
        <v>2459</v>
      </c>
      <c r="AY764" t="s">
        <v>2617</v>
      </c>
      <c r="AZ764">
        <v>785.00000000232831</v>
      </c>
      <c r="BA764">
        <v>1</v>
      </c>
      <c r="BB764">
        <v>0</v>
      </c>
      <c r="BC764">
        <v>2</v>
      </c>
      <c r="BD764">
        <v>0</v>
      </c>
      <c r="BE764">
        <f t="shared" si="119"/>
        <v>1</v>
      </c>
    </row>
    <row r="765" spans="1:57" x14ac:dyDescent="0.25">
      <c r="A765" t="s">
        <v>39</v>
      </c>
      <c r="B765" t="s">
        <v>2618</v>
      </c>
      <c r="C765">
        <v>82.5</v>
      </c>
      <c r="D765">
        <v>68.099999999999994</v>
      </c>
      <c r="G765">
        <f t="shared" si="110"/>
        <v>0</v>
      </c>
      <c r="H765">
        <f t="shared" si="111"/>
        <v>0</v>
      </c>
      <c r="I765">
        <f t="shared" si="112"/>
        <v>0</v>
      </c>
      <c r="J765">
        <v>76.7</v>
      </c>
      <c r="K765">
        <v>88.5</v>
      </c>
      <c r="L765">
        <v>68.099999999999994</v>
      </c>
      <c r="M765">
        <v>78.7</v>
      </c>
      <c r="N765">
        <v>67</v>
      </c>
      <c r="O765">
        <v>72.099999999999994</v>
      </c>
      <c r="S765">
        <f t="shared" si="113"/>
        <v>1</v>
      </c>
      <c r="T765">
        <f t="shared" si="114"/>
        <v>1</v>
      </c>
      <c r="U765">
        <f t="shared" si="115"/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12.8</v>
      </c>
      <c r="AG765">
        <f t="shared" si="116"/>
        <v>1</v>
      </c>
      <c r="AH765">
        <f t="shared" si="117"/>
        <v>0</v>
      </c>
      <c r="AI765">
        <f t="shared" si="118"/>
        <v>1</v>
      </c>
      <c r="AJ765">
        <v>301.8</v>
      </c>
      <c r="AK765">
        <v>1009.8</v>
      </c>
      <c r="AL765">
        <v>30</v>
      </c>
      <c r="AM765">
        <v>6.5</v>
      </c>
      <c r="AN765">
        <v>0</v>
      </c>
      <c r="AO765">
        <v>0</v>
      </c>
      <c r="AP765">
        <v>0</v>
      </c>
      <c r="AQ765">
        <v>0</v>
      </c>
      <c r="AR765" t="s">
        <v>2619</v>
      </c>
      <c r="AS765" t="s">
        <v>2620</v>
      </c>
      <c r="AT765">
        <v>0.84</v>
      </c>
      <c r="AU765" t="s">
        <v>43</v>
      </c>
      <c r="AV765" t="s">
        <v>44</v>
      </c>
      <c r="AW765" t="s">
        <v>45</v>
      </c>
      <c r="AX765" t="s">
        <v>2621</v>
      </c>
      <c r="AY765" t="s">
        <v>2622</v>
      </c>
      <c r="AZ765">
        <v>1025.9999999916181</v>
      </c>
      <c r="BA765">
        <v>1</v>
      </c>
      <c r="BB765">
        <v>0</v>
      </c>
      <c r="BC765">
        <v>5</v>
      </c>
      <c r="BD765">
        <v>0</v>
      </c>
      <c r="BE765">
        <f t="shared" si="119"/>
        <v>0</v>
      </c>
    </row>
    <row r="766" spans="1:57" x14ac:dyDescent="0.25">
      <c r="A766" t="s">
        <v>39</v>
      </c>
      <c r="B766" t="s">
        <v>2623</v>
      </c>
      <c r="C766">
        <v>86.1</v>
      </c>
      <c r="D766">
        <v>69.900000000000006</v>
      </c>
      <c r="G766">
        <f t="shared" si="110"/>
        <v>1</v>
      </c>
      <c r="H766">
        <f t="shared" si="111"/>
        <v>1</v>
      </c>
      <c r="I766">
        <f t="shared" si="112"/>
        <v>0</v>
      </c>
      <c r="J766">
        <v>78.599999999999994</v>
      </c>
      <c r="K766">
        <v>91.1</v>
      </c>
      <c r="L766">
        <v>69.900000000000006</v>
      </c>
      <c r="M766">
        <v>81</v>
      </c>
      <c r="N766">
        <v>69</v>
      </c>
      <c r="O766">
        <v>73.099999999999994</v>
      </c>
      <c r="S766">
        <f t="shared" si="113"/>
        <v>1</v>
      </c>
      <c r="T766">
        <f t="shared" si="114"/>
        <v>1</v>
      </c>
      <c r="U766">
        <f t="shared" si="115"/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23</v>
      </c>
      <c r="AG766">
        <f t="shared" si="116"/>
        <v>1</v>
      </c>
      <c r="AH766">
        <f t="shared" si="117"/>
        <v>1</v>
      </c>
      <c r="AI766">
        <f t="shared" si="118"/>
        <v>0</v>
      </c>
      <c r="AJ766">
        <v>308.2</v>
      </c>
      <c r="AK766">
        <v>1007.1</v>
      </c>
      <c r="AL766">
        <v>30</v>
      </c>
      <c r="AM766">
        <v>6.5</v>
      </c>
      <c r="AN766">
        <v>0</v>
      </c>
      <c r="AO766">
        <v>0</v>
      </c>
      <c r="AP766">
        <v>0</v>
      </c>
      <c r="AQ766">
        <v>0</v>
      </c>
      <c r="AR766" t="s">
        <v>2624</v>
      </c>
      <c r="AS766" t="s">
        <v>2625</v>
      </c>
      <c r="AT766">
        <v>0.94</v>
      </c>
      <c r="AU766" t="s">
        <v>43</v>
      </c>
      <c r="AV766" t="s">
        <v>44</v>
      </c>
      <c r="AW766" t="s">
        <v>45</v>
      </c>
      <c r="AX766" t="s">
        <v>2626</v>
      </c>
      <c r="AY766" t="s">
        <v>2627</v>
      </c>
      <c r="AZ766">
        <v>720.99999999278225</v>
      </c>
      <c r="BA766">
        <v>1</v>
      </c>
      <c r="BB766">
        <v>0</v>
      </c>
      <c r="BC766">
        <v>3</v>
      </c>
      <c r="BD766">
        <v>0</v>
      </c>
      <c r="BE766">
        <f t="shared" si="119"/>
        <v>1</v>
      </c>
    </row>
    <row r="767" spans="1:57" x14ac:dyDescent="0.25">
      <c r="A767" t="s">
        <v>39</v>
      </c>
      <c r="B767" t="s">
        <v>2628</v>
      </c>
      <c r="C767">
        <v>86.1</v>
      </c>
      <c r="D767">
        <v>78.900000000000006</v>
      </c>
      <c r="G767">
        <f t="shared" si="110"/>
        <v>1</v>
      </c>
      <c r="H767">
        <f t="shared" si="111"/>
        <v>1</v>
      </c>
      <c r="I767">
        <f t="shared" si="112"/>
        <v>0</v>
      </c>
      <c r="J767">
        <v>81.5</v>
      </c>
      <c r="K767">
        <v>90.8</v>
      </c>
      <c r="L767">
        <v>78.900000000000006</v>
      </c>
      <c r="M767">
        <v>83.4</v>
      </c>
      <c r="N767">
        <v>67.599999999999994</v>
      </c>
      <c r="O767">
        <v>63</v>
      </c>
      <c r="S767">
        <f t="shared" si="113"/>
        <v>1</v>
      </c>
      <c r="T767">
        <f t="shared" si="114"/>
        <v>1</v>
      </c>
      <c r="U767">
        <f t="shared" si="115"/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19.5</v>
      </c>
      <c r="AG767">
        <f t="shared" si="116"/>
        <v>1</v>
      </c>
      <c r="AH767">
        <f t="shared" si="117"/>
        <v>1</v>
      </c>
      <c r="AI767">
        <f t="shared" si="118"/>
        <v>0</v>
      </c>
      <c r="AJ767">
        <v>304.5</v>
      </c>
      <c r="AK767">
        <v>1008.5</v>
      </c>
      <c r="AL767">
        <v>30</v>
      </c>
      <c r="AM767">
        <v>6.4</v>
      </c>
      <c r="AN767">
        <v>0</v>
      </c>
      <c r="AO767">
        <v>0</v>
      </c>
      <c r="AP767">
        <v>0</v>
      </c>
      <c r="AQ767">
        <v>0</v>
      </c>
      <c r="AR767" t="s">
        <v>2629</v>
      </c>
      <c r="AS767" t="s">
        <v>2630</v>
      </c>
      <c r="AT767">
        <v>0.11</v>
      </c>
      <c r="AU767" t="s">
        <v>43</v>
      </c>
      <c r="AV767" t="s">
        <v>44</v>
      </c>
      <c r="AW767" t="s">
        <v>45</v>
      </c>
      <c r="AX767" t="s">
        <v>2631</v>
      </c>
      <c r="AY767" t="s">
        <v>2632</v>
      </c>
      <c r="AZ767">
        <v>1230.0000000069849</v>
      </c>
      <c r="BA767">
        <v>1</v>
      </c>
      <c r="BB767">
        <v>0</v>
      </c>
      <c r="BC767">
        <v>10</v>
      </c>
      <c r="BD767">
        <v>0</v>
      </c>
      <c r="BE767">
        <f t="shared" si="119"/>
        <v>1</v>
      </c>
    </row>
    <row r="768" spans="1:57" x14ac:dyDescent="0.25">
      <c r="A768" t="s">
        <v>39</v>
      </c>
      <c r="B768" t="s">
        <v>2536</v>
      </c>
      <c r="C768">
        <v>84.3</v>
      </c>
      <c r="D768">
        <v>71.7</v>
      </c>
      <c r="G768">
        <f t="shared" si="110"/>
        <v>0</v>
      </c>
      <c r="H768">
        <f t="shared" si="111"/>
        <v>0</v>
      </c>
      <c r="I768">
        <f t="shared" si="112"/>
        <v>0</v>
      </c>
      <c r="J768">
        <v>80.099999999999994</v>
      </c>
      <c r="K768">
        <v>91.1</v>
      </c>
      <c r="L768">
        <v>71.7</v>
      </c>
      <c r="M768">
        <v>82.3</v>
      </c>
      <c r="N768">
        <v>67.900000000000006</v>
      </c>
      <c r="O768">
        <v>66.8</v>
      </c>
      <c r="S768">
        <f t="shared" si="113"/>
        <v>1</v>
      </c>
      <c r="T768">
        <f t="shared" si="114"/>
        <v>1</v>
      </c>
      <c r="U768">
        <f t="shared" si="115"/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17.2</v>
      </c>
      <c r="AG768">
        <f t="shared" si="116"/>
        <v>0</v>
      </c>
      <c r="AH768">
        <f t="shared" si="117"/>
        <v>0</v>
      </c>
      <c r="AI768">
        <f t="shared" si="118"/>
        <v>0</v>
      </c>
      <c r="AJ768">
        <v>309.3</v>
      </c>
      <c r="AK768">
        <v>1009.8</v>
      </c>
      <c r="AL768">
        <v>0</v>
      </c>
      <c r="AM768">
        <v>6.2</v>
      </c>
      <c r="AN768">
        <v>0</v>
      </c>
      <c r="AO768">
        <v>0</v>
      </c>
      <c r="AP768">
        <v>0</v>
      </c>
      <c r="AQ768">
        <v>0</v>
      </c>
      <c r="AR768" t="s">
        <v>2537</v>
      </c>
      <c r="AS768" t="s">
        <v>2538</v>
      </c>
      <c r="AT768">
        <v>0.14000000000000001</v>
      </c>
      <c r="AU768" t="s">
        <v>74</v>
      </c>
      <c r="AV768" t="s">
        <v>44</v>
      </c>
      <c r="AW768" t="s">
        <v>75</v>
      </c>
      <c r="AX768" t="s">
        <v>2633</v>
      </c>
      <c r="AY768" t="s">
        <v>2634</v>
      </c>
      <c r="AZ768">
        <v>6340.0000000046566</v>
      </c>
      <c r="BA768">
        <v>1</v>
      </c>
      <c r="BB768">
        <v>0</v>
      </c>
      <c r="BC768">
        <v>4500</v>
      </c>
      <c r="BD768">
        <v>0</v>
      </c>
      <c r="BE768">
        <f t="shared" si="119"/>
        <v>0</v>
      </c>
    </row>
    <row r="769" spans="1:57" x14ac:dyDescent="0.25">
      <c r="A769" t="s">
        <v>39</v>
      </c>
      <c r="B769" t="s">
        <v>2635</v>
      </c>
      <c r="C769">
        <v>86.1</v>
      </c>
      <c r="D769">
        <v>71.7</v>
      </c>
      <c r="G769">
        <f t="shared" si="110"/>
        <v>1</v>
      </c>
      <c r="H769">
        <f t="shared" si="111"/>
        <v>1</v>
      </c>
      <c r="I769">
        <f t="shared" si="112"/>
        <v>0</v>
      </c>
      <c r="J769">
        <v>79.099999999999994</v>
      </c>
      <c r="K769">
        <v>97.4</v>
      </c>
      <c r="L769">
        <v>71.7</v>
      </c>
      <c r="M769">
        <v>82.6</v>
      </c>
      <c r="N769">
        <v>72</v>
      </c>
      <c r="O769">
        <v>79.2</v>
      </c>
      <c r="S769">
        <f t="shared" si="113"/>
        <v>1</v>
      </c>
      <c r="T769">
        <f t="shared" si="114"/>
        <v>1</v>
      </c>
      <c r="U769">
        <f t="shared" si="115"/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10.3</v>
      </c>
      <c r="AG769">
        <f t="shared" si="116"/>
        <v>1</v>
      </c>
      <c r="AH769">
        <f t="shared" si="117"/>
        <v>0</v>
      </c>
      <c r="AI769">
        <f t="shared" si="118"/>
        <v>1</v>
      </c>
      <c r="AJ769">
        <v>324.60000000000002</v>
      </c>
      <c r="AK769">
        <v>1007.9</v>
      </c>
      <c r="AL769">
        <v>30</v>
      </c>
      <c r="AM769">
        <v>6.4</v>
      </c>
      <c r="AN769">
        <v>0</v>
      </c>
      <c r="AO769">
        <v>0</v>
      </c>
      <c r="AP769">
        <v>0</v>
      </c>
      <c r="AQ769">
        <v>0</v>
      </c>
      <c r="AR769" t="s">
        <v>2636</v>
      </c>
      <c r="AS769" t="s">
        <v>2637</v>
      </c>
      <c r="AT769">
        <v>0.24</v>
      </c>
      <c r="AU769" t="s">
        <v>43</v>
      </c>
      <c r="AV769" t="s">
        <v>44</v>
      </c>
      <c r="AW769" t="s">
        <v>45</v>
      </c>
      <c r="AX769" t="s">
        <v>2638</v>
      </c>
      <c r="AY769" t="s">
        <v>2639</v>
      </c>
      <c r="AZ769">
        <v>1620</v>
      </c>
      <c r="BA769">
        <v>1</v>
      </c>
      <c r="BB769">
        <v>0</v>
      </c>
      <c r="BC769">
        <v>700</v>
      </c>
      <c r="BD769">
        <v>0</v>
      </c>
      <c r="BE769">
        <f t="shared" si="119"/>
        <v>1</v>
      </c>
    </row>
    <row r="770" spans="1:57" x14ac:dyDescent="0.25">
      <c r="A770" t="s">
        <v>39</v>
      </c>
      <c r="B770" t="s">
        <v>2410</v>
      </c>
      <c r="C770">
        <v>87.9</v>
      </c>
      <c r="D770">
        <v>75.3</v>
      </c>
      <c r="G770">
        <f t="shared" si="110"/>
        <v>1</v>
      </c>
      <c r="H770">
        <f t="shared" si="111"/>
        <v>1</v>
      </c>
      <c r="I770">
        <f t="shared" si="112"/>
        <v>0</v>
      </c>
      <c r="J770">
        <v>82.7</v>
      </c>
      <c r="K770">
        <v>96.1</v>
      </c>
      <c r="L770">
        <v>75.3</v>
      </c>
      <c r="M770">
        <v>86.6</v>
      </c>
      <c r="N770">
        <v>69</v>
      </c>
      <c r="O770">
        <v>63.5</v>
      </c>
      <c r="S770">
        <f t="shared" si="113"/>
        <v>1</v>
      </c>
      <c r="T770">
        <f t="shared" si="114"/>
        <v>1</v>
      </c>
      <c r="U770">
        <f t="shared" si="115"/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17.2</v>
      </c>
      <c r="AG770">
        <f t="shared" si="116"/>
        <v>0</v>
      </c>
      <c r="AH770">
        <f t="shared" si="117"/>
        <v>0</v>
      </c>
      <c r="AI770">
        <f t="shared" si="118"/>
        <v>0</v>
      </c>
      <c r="AJ770">
        <v>304.8</v>
      </c>
      <c r="AK770">
        <v>1010.6</v>
      </c>
      <c r="AL770">
        <v>0</v>
      </c>
      <c r="AM770">
        <v>6.2</v>
      </c>
      <c r="AN770">
        <v>0</v>
      </c>
      <c r="AO770">
        <v>0</v>
      </c>
      <c r="AP770">
        <v>0</v>
      </c>
      <c r="AQ770">
        <v>0</v>
      </c>
      <c r="AR770" t="s">
        <v>2411</v>
      </c>
      <c r="AS770" t="s">
        <v>2412</v>
      </c>
      <c r="AT770">
        <v>0.34</v>
      </c>
      <c r="AU770" t="s">
        <v>74</v>
      </c>
      <c r="AV770" t="s">
        <v>44</v>
      </c>
      <c r="AW770" t="s">
        <v>75</v>
      </c>
      <c r="AX770" t="s">
        <v>2582</v>
      </c>
      <c r="AY770" t="s">
        <v>2640</v>
      </c>
      <c r="AZ770">
        <v>3455.0000000093132</v>
      </c>
      <c r="BA770">
        <v>1</v>
      </c>
      <c r="BB770">
        <v>0</v>
      </c>
      <c r="BC770">
        <v>2500</v>
      </c>
      <c r="BD770">
        <v>0</v>
      </c>
      <c r="BE770">
        <f t="shared" si="119"/>
        <v>1</v>
      </c>
    </row>
    <row r="771" spans="1:57" x14ac:dyDescent="0.25">
      <c r="A771" t="s">
        <v>39</v>
      </c>
      <c r="B771" t="s">
        <v>2641</v>
      </c>
      <c r="C771">
        <v>86.1</v>
      </c>
      <c r="D771">
        <v>77.099999999999994</v>
      </c>
      <c r="G771">
        <f t="shared" ref="G771:G834" si="120">IF(ABS(C771-INDEX($F$2:$F$13,MONTH(B771)))&gt;1.8,1,0)</f>
        <v>1</v>
      </c>
      <c r="H771">
        <f t="shared" ref="H771:H834" si="121">IF(C771&gt;=INDEX($F$2:$F$13,MONTH(B771))+1.8,1,0)</f>
        <v>1</v>
      </c>
      <c r="I771">
        <f t="shared" ref="I771:I834" si="122">IF(C771&lt;=INDEX($F$2:$F$13,MONTH(B771))-1.8,1,0)</f>
        <v>0</v>
      </c>
      <c r="J771">
        <v>82.9</v>
      </c>
      <c r="K771">
        <v>95.4</v>
      </c>
      <c r="L771">
        <v>77.099999999999994</v>
      </c>
      <c r="M771">
        <v>88.2</v>
      </c>
      <c r="N771">
        <v>71.5</v>
      </c>
      <c r="O771">
        <v>68.7</v>
      </c>
      <c r="S771">
        <f t="shared" ref="S771:S834" si="123">IF(OR(O771&lt;INDEX($Q$2:$Q$13,MONTH(B771)),O771&gt;INDEX($R$2:$R$13,MONTH(B771))),1,0)</f>
        <v>1</v>
      </c>
      <c r="T771">
        <f t="shared" ref="T771:T834" si="124">IF(O771&gt;INDEX($R$2:$R$13,MONTH(B771)),1,0)</f>
        <v>1</v>
      </c>
      <c r="U771">
        <f t="shared" ref="U771:U834" si="125">IF(O771&lt;INDEX($Q$2:$Q$13,MONTH(B771)),1,0)</f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21.9</v>
      </c>
      <c r="AG771">
        <f t="shared" ref="AG771:AG834" si="126">IF(OR(AC771&lt;INDEX($AE$2:$AE$13,MONTH(B771)),AC771&gt;INDEX($AF$2:$AF$13,MONTH(B771))),1,0)</f>
        <v>1</v>
      </c>
      <c r="AH771">
        <f t="shared" ref="AH771:AH834" si="127">IF(AC771&gt;INDEX($AF$2:$AF$13,MONTH(B771)),1,0)</f>
        <v>1</v>
      </c>
      <c r="AI771">
        <f t="shared" ref="AI771:AI834" si="128">IF(AC771&lt;INDEX($AE$2:$AE$13,MONTH(B771)),1,0)</f>
        <v>0</v>
      </c>
      <c r="AJ771">
        <v>308.10000000000002</v>
      </c>
      <c r="AK771">
        <v>1010.4</v>
      </c>
      <c r="AL771">
        <v>0</v>
      </c>
      <c r="AM771">
        <v>6.2</v>
      </c>
      <c r="AN771">
        <v>0</v>
      </c>
      <c r="AO771">
        <v>0</v>
      </c>
      <c r="AP771">
        <v>0</v>
      </c>
      <c r="AQ771">
        <v>0</v>
      </c>
      <c r="AR771" t="s">
        <v>2642</v>
      </c>
      <c r="AS771" t="s">
        <v>2643</v>
      </c>
      <c r="AT771">
        <v>0.37</v>
      </c>
      <c r="AU771" t="s">
        <v>74</v>
      </c>
      <c r="AV771" t="s">
        <v>44</v>
      </c>
      <c r="AW771" t="s">
        <v>75</v>
      </c>
      <c r="AX771" t="s">
        <v>2644</v>
      </c>
      <c r="AY771" t="s">
        <v>2645</v>
      </c>
      <c r="AZ771">
        <v>2669.999999996508</v>
      </c>
      <c r="BA771">
        <v>1</v>
      </c>
      <c r="BB771">
        <v>0</v>
      </c>
      <c r="BC771">
        <v>30</v>
      </c>
      <c r="BD771">
        <v>0</v>
      </c>
      <c r="BE771">
        <f t="shared" ref="BE771:BE834" si="129">IF((3*AH771+3*H771+2*U771+2*BA771-(2*(1-T771)+2*(1-I771)+2*(1-AI771)))&gt;=1,1,0)</f>
        <v>1</v>
      </c>
    </row>
    <row r="772" spans="1:57" x14ac:dyDescent="0.25">
      <c r="A772" t="s">
        <v>39</v>
      </c>
      <c r="B772" t="s">
        <v>2641</v>
      </c>
      <c r="C772">
        <v>86.1</v>
      </c>
      <c r="D772">
        <v>77.099999999999994</v>
      </c>
      <c r="G772">
        <f t="shared" si="120"/>
        <v>1</v>
      </c>
      <c r="H772">
        <f t="shared" si="121"/>
        <v>1</v>
      </c>
      <c r="I772">
        <f t="shared" si="122"/>
        <v>0</v>
      </c>
      <c r="J772">
        <v>82.9</v>
      </c>
      <c r="K772">
        <v>95.4</v>
      </c>
      <c r="L772">
        <v>77.099999999999994</v>
      </c>
      <c r="M772">
        <v>88.2</v>
      </c>
      <c r="N772">
        <v>71.5</v>
      </c>
      <c r="O772">
        <v>68.7</v>
      </c>
      <c r="S772">
        <f t="shared" si="123"/>
        <v>1</v>
      </c>
      <c r="T772">
        <f t="shared" si="124"/>
        <v>1</v>
      </c>
      <c r="U772">
        <f t="shared" si="125"/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21.9</v>
      </c>
      <c r="AG772">
        <f t="shared" si="126"/>
        <v>1</v>
      </c>
      <c r="AH772">
        <f t="shared" si="127"/>
        <v>1</v>
      </c>
      <c r="AI772">
        <f t="shared" si="128"/>
        <v>0</v>
      </c>
      <c r="AJ772">
        <v>308.10000000000002</v>
      </c>
      <c r="AK772">
        <v>1010.4</v>
      </c>
      <c r="AL772">
        <v>0</v>
      </c>
      <c r="AM772">
        <v>6.2</v>
      </c>
      <c r="AN772">
        <v>0</v>
      </c>
      <c r="AO772">
        <v>0</v>
      </c>
      <c r="AP772">
        <v>0</v>
      </c>
      <c r="AQ772">
        <v>0</v>
      </c>
      <c r="AR772" t="s">
        <v>2642</v>
      </c>
      <c r="AS772" t="s">
        <v>2643</v>
      </c>
      <c r="AT772">
        <v>0.37</v>
      </c>
      <c r="AU772" t="s">
        <v>74</v>
      </c>
      <c r="AV772" t="s">
        <v>44</v>
      </c>
      <c r="AW772" t="s">
        <v>75</v>
      </c>
      <c r="AX772" t="s">
        <v>2413</v>
      </c>
      <c r="AY772" t="s">
        <v>2646</v>
      </c>
      <c r="AZ772">
        <v>6420.0000000034916</v>
      </c>
      <c r="BA772">
        <v>1</v>
      </c>
      <c r="BB772">
        <v>0</v>
      </c>
      <c r="BC772">
        <v>2000</v>
      </c>
      <c r="BD772">
        <v>0</v>
      </c>
      <c r="BE772">
        <f t="shared" si="129"/>
        <v>1</v>
      </c>
    </row>
    <row r="773" spans="1:57" x14ac:dyDescent="0.25">
      <c r="A773" t="s">
        <v>39</v>
      </c>
      <c r="B773" t="s">
        <v>2641</v>
      </c>
      <c r="C773">
        <v>86.1</v>
      </c>
      <c r="D773">
        <v>77.099999999999994</v>
      </c>
      <c r="G773">
        <f t="shared" si="120"/>
        <v>1</v>
      </c>
      <c r="H773">
        <f t="shared" si="121"/>
        <v>1</v>
      </c>
      <c r="I773">
        <f t="shared" si="122"/>
        <v>0</v>
      </c>
      <c r="J773">
        <v>82.9</v>
      </c>
      <c r="K773">
        <v>95.4</v>
      </c>
      <c r="L773">
        <v>77.099999999999994</v>
      </c>
      <c r="M773">
        <v>88.2</v>
      </c>
      <c r="N773">
        <v>71.5</v>
      </c>
      <c r="O773">
        <v>68.7</v>
      </c>
      <c r="S773">
        <f t="shared" si="123"/>
        <v>1</v>
      </c>
      <c r="T773">
        <f t="shared" si="124"/>
        <v>1</v>
      </c>
      <c r="U773">
        <f t="shared" si="125"/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21.9</v>
      </c>
      <c r="AG773">
        <f t="shared" si="126"/>
        <v>1</v>
      </c>
      <c r="AH773">
        <f t="shared" si="127"/>
        <v>1</v>
      </c>
      <c r="AI773">
        <f t="shared" si="128"/>
        <v>0</v>
      </c>
      <c r="AJ773">
        <v>308.10000000000002</v>
      </c>
      <c r="AK773">
        <v>1010.4</v>
      </c>
      <c r="AL773">
        <v>0</v>
      </c>
      <c r="AM773">
        <v>6.2</v>
      </c>
      <c r="AN773">
        <v>0</v>
      </c>
      <c r="AO773">
        <v>0</v>
      </c>
      <c r="AP773">
        <v>0</v>
      </c>
      <c r="AQ773">
        <v>0</v>
      </c>
      <c r="AR773" t="s">
        <v>2642</v>
      </c>
      <c r="AS773" t="s">
        <v>2643</v>
      </c>
      <c r="AT773">
        <v>0.37</v>
      </c>
      <c r="AU773" t="s">
        <v>74</v>
      </c>
      <c r="AV773" t="s">
        <v>44</v>
      </c>
      <c r="AW773" t="s">
        <v>75</v>
      </c>
      <c r="AX773" t="s">
        <v>2555</v>
      </c>
      <c r="AY773" t="s">
        <v>2647</v>
      </c>
      <c r="AZ773">
        <v>1425.000000003492</v>
      </c>
      <c r="BA773">
        <v>1</v>
      </c>
      <c r="BB773">
        <v>0</v>
      </c>
      <c r="BC773">
        <v>100</v>
      </c>
      <c r="BD773">
        <v>0</v>
      </c>
      <c r="BE773">
        <f t="shared" si="129"/>
        <v>1</v>
      </c>
    </row>
    <row r="774" spans="1:57" x14ac:dyDescent="0.25">
      <c r="A774" t="s">
        <v>39</v>
      </c>
      <c r="B774" t="s">
        <v>2648</v>
      </c>
      <c r="C774">
        <v>87.9</v>
      </c>
      <c r="D774">
        <v>80.7</v>
      </c>
      <c r="G774">
        <f t="shared" si="120"/>
        <v>1</v>
      </c>
      <c r="H774">
        <f t="shared" si="121"/>
        <v>1</v>
      </c>
      <c r="I774">
        <f t="shared" si="122"/>
        <v>0</v>
      </c>
      <c r="J774">
        <v>84.1</v>
      </c>
      <c r="K774">
        <v>91.6</v>
      </c>
      <c r="L774">
        <v>84.1</v>
      </c>
      <c r="M774">
        <v>87.9</v>
      </c>
      <c r="N774">
        <v>69.400000000000006</v>
      </c>
      <c r="O774">
        <v>61.6</v>
      </c>
      <c r="S774">
        <f t="shared" si="123"/>
        <v>0</v>
      </c>
      <c r="T774">
        <f t="shared" si="124"/>
        <v>0</v>
      </c>
      <c r="U774">
        <f t="shared" si="125"/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21.9</v>
      </c>
      <c r="AG774">
        <f t="shared" si="126"/>
        <v>1</v>
      </c>
      <c r="AH774">
        <f t="shared" si="127"/>
        <v>1</v>
      </c>
      <c r="AI774">
        <f t="shared" si="128"/>
        <v>0</v>
      </c>
      <c r="AJ774">
        <v>305.10000000000002</v>
      </c>
      <c r="AK774">
        <v>1012.4</v>
      </c>
      <c r="AL774">
        <v>0</v>
      </c>
      <c r="AM774">
        <v>6.2</v>
      </c>
      <c r="AN774">
        <v>0</v>
      </c>
      <c r="AO774">
        <v>0</v>
      </c>
      <c r="AP774">
        <v>0</v>
      </c>
      <c r="AQ774">
        <v>0</v>
      </c>
      <c r="AR774" t="s">
        <v>2649</v>
      </c>
      <c r="AS774" t="s">
        <v>2650</v>
      </c>
      <c r="AT774">
        <v>0.4</v>
      </c>
      <c r="AU774" t="s">
        <v>74</v>
      </c>
      <c r="AV774" t="s">
        <v>44</v>
      </c>
      <c r="AW774" t="s">
        <v>75</v>
      </c>
      <c r="AX774" t="s">
        <v>2651</v>
      </c>
      <c r="AY774" t="s">
        <v>2652</v>
      </c>
      <c r="AZ774">
        <v>3055.0000000046571</v>
      </c>
      <c r="BA774">
        <v>1</v>
      </c>
      <c r="BB774">
        <v>0</v>
      </c>
      <c r="BC774">
        <v>20</v>
      </c>
      <c r="BD774">
        <v>0</v>
      </c>
      <c r="BE774">
        <f t="shared" si="129"/>
        <v>1</v>
      </c>
    </row>
    <row r="775" spans="1:57" x14ac:dyDescent="0.25">
      <c r="A775" t="s">
        <v>39</v>
      </c>
      <c r="B775" t="s">
        <v>2653</v>
      </c>
      <c r="C775">
        <v>80.7</v>
      </c>
      <c r="D775">
        <v>73.5</v>
      </c>
      <c r="G775">
        <f t="shared" si="120"/>
        <v>0</v>
      </c>
      <c r="H775">
        <f t="shared" si="121"/>
        <v>0</v>
      </c>
      <c r="I775">
        <f t="shared" si="122"/>
        <v>0</v>
      </c>
      <c r="J775">
        <v>77.099999999999994</v>
      </c>
      <c r="K775">
        <v>84.7</v>
      </c>
      <c r="L775">
        <v>73.5</v>
      </c>
      <c r="M775">
        <v>77.900000000000006</v>
      </c>
      <c r="N775">
        <v>67</v>
      </c>
      <c r="O775">
        <v>71.5</v>
      </c>
      <c r="S775">
        <f t="shared" si="123"/>
        <v>1</v>
      </c>
      <c r="T775">
        <f t="shared" si="124"/>
        <v>1</v>
      </c>
      <c r="U775">
        <f t="shared" si="125"/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19.5</v>
      </c>
      <c r="AG775">
        <f t="shared" si="126"/>
        <v>1</v>
      </c>
      <c r="AH775">
        <f t="shared" si="127"/>
        <v>1</v>
      </c>
      <c r="AI775">
        <f t="shared" si="128"/>
        <v>0</v>
      </c>
      <c r="AJ775">
        <v>310.3</v>
      </c>
      <c r="AK775">
        <v>1012.7</v>
      </c>
      <c r="AL775">
        <v>47.1</v>
      </c>
      <c r="AM775">
        <v>6.6</v>
      </c>
      <c r="AN775">
        <v>0</v>
      </c>
      <c r="AO775">
        <v>0</v>
      </c>
      <c r="AP775">
        <v>0</v>
      </c>
      <c r="AQ775">
        <v>0</v>
      </c>
      <c r="AR775" t="s">
        <v>2654</v>
      </c>
      <c r="AS775" t="s">
        <v>2655</v>
      </c>
      <c r="AT775">
        <v>0.82</v>
      </c>
      <c r="AU775" t="s">
        <v>43</v>
      </c>
      <c r="AV775" t="s">
        <v>44</v>
      </c>
      <c r="AW775" t="s">
        <v>45</v>
      </c>
      <c r="AX775" t="s">
        <v>2631</v>
      </c>
      <c r="AY775" t="s">
        <v>2656</v>
      </c>
      <c r="AZ775">
        <v>4680</v>
      </c>
      <c r="BA775">
        <v>1</v>
      </c>
      <c r="BB775">
        <v>0</v>
      </c>
      <c r="BC775">
        <v>200</v>
      </c>
      <c r="BD775">
        <v>0</v>
      </c>
      <c r="BE775">
        <f t="shared" si="129"/>
        <v>1</v>
      </c>
    </row>
    <row r="776" spans="1:57" x14ac:dyDescent="0.25">
      <c r="A776" t="s">
        <v>39</v>
      </c>
      <c r="B776" t="s">
        <v>2657</v>
      </c>
      <c r="C776">
        <v>71.7</v>
      </c>
      <c r="D776">
        <v>57.3</v>
      </c>
      <c r="G776">
        <f t="shared" si="120"/>
        <v>1</v>
      </c>
      <c r="H776">
        <f t="shared" si="121"/>
        <v>0</v>
      </c>
      <c r="I776">
        <f t="shared" si="122"/>
        <v>1</v>
      </c>
      <c r="J776">
        <v>63.9</v>
      </c>
      <c r="K776">
        <v>71.7</v>
      </c>
      <c r="L776">
        <v>57.3</v>
      </c>
      <c r="M776">
        <v>63.9</v>
      </c>
      <c r="N776">
        <v>55.6</v>
      </c>
      <c r="O776">
        <v>74.8</v>
      </c>
      <c r="S776">
        <f t="shared" si="123"/>
        <v>1</v>
      </c>
      <c r="T776">
        <f t="shared" si="124"/>
        <v>1</v>
      </c>
      <c r="U776">
        <f t="shared" si="125"/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11.4</v>
      </c>
      <c r="AG776">
        <f t="shared" si="126"/>
        <v>1</v>
      </c>
      <c r="AH776">
        <f t="shared" si="127"/>
        <v>0</v>
      </c>
      <c r="AI776">
        <f t="shared" si="128"/>
        <v>1</v>
      </c>
      <c r="AJ776">
        <v>324.8</v>
      </c>
      <c r="AK776">
        <v>1020.9</v>
      </c>
      <c r="AL776">
        <v>44.8</v>
      </c>
      <c r="AM776">
        <v>6.8</v>
      </c>
      <c r="AN776">
        <v>0</v>
      </c>
      <c r="AO776">
        <v>0</v>
      </c>
      <c r="AP776">
        <v>0</v>
      </c>
      <c r="AQ776">
        <v>0</v>
      </c>
      <c r="AR776" t="s">
        <v>2658</v>
      </c>
      <c r="AS776" t="s">
        <v>2659</v>
      </c>
      <c r="AT776">
        <v>0.21</v>
      </c>
      <c r="AU776" t="s">
        <v>43</v>
      </c>
      <c r="AV776" t="s">
        <v>44</v>
      </c>
      <c r="AW776" t="s">
        <v>45</v>
      </c>
      <c r="AX776" t="s">
        <v>2660</v>
      </c>
      <c r="AY776" t="s">
        <v>2661</v>
      </c>
      <c r="AZ776">
        <v>1654.9999999988361</v>
      </c>
      <c r="BA776">
        <v>1</v>
      </c>
      <c r="BB776">
        <v>0</v>
      </c>
      <c r="BC776">
        <v>120</v>
      </c>
      <c r="BD776">
        <v>0</v>
      </c>
      <c r="BE776">
        <f t="shared" si="129"/>
        <v>1</v>
      </c>
    </row>
    <row r="777" spans="1:57" x14ac:dyDescent="0.25">
      <c r="A777" t="s">
        <v>39</v>
      </c>
      <c r="B777" t="s">
        <v>2662</v>
      </c>
      <c r="C777">
        <v>82.5</v>
      </c>
      <c r="D777">
        <v>68.099999999999994</v>
      </c>
      <c r="G777">
        <f t="shared" si="120"/>
        <v>0</v>
      </c>
      <c r="H777">
        <f t="shared" si="121"/>
        <v>0</v>
      </c>
      <c r="I777">
        <f t="shared" si="122"/>
        <v>0</v>
      </c>
      <c r="J777">
        <v>77.5</v>
      </c>
      <c r="K777">
        <v>86.4</v>
      </c>
      <c r="L777">
        <v>68.099999999999994</v>
      </c>
      <c r="M777">
        <v>78.599999999999994</v>
      </c>
      <c r="N777">
        <v>66</v>
      </c>
      <c r="O777">
        <v>68.400000000000006</v>
      </c>
      <c r="S777">
        <f t="shared" si="123"/>
        <v>1</v>
      </c>
      <c r="T777">
        <f t="shared" si="124"/>
        <v>1</v>
      </c>
      <c r="U777">
        <f t="shared" si="125"/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26.4</v>
      </c>
      <c r="AG777">
        <f t="shared" si="126"/>
        <v>1</v>
      </c>
      <c r="AH777">
        <f t="shared" si="127"/>
        <v>1</v>
      </c>
      <c r="AI777">
        <f t="shared" si="128"/>
        <v>0</v>
      </c>
      <c r="AJ777">
        <v>298.8</v>
      </c>
      <c r="AK777">
        <v>1007.5</v>
      </c>
      <c r="AL777">
        <v>30</v>
      </c>
      <c r="AM777">
        <v>6.6</v>
      </c>
      <c r="AN777">
        <v>0</v>
      </c>
      <c r="AO777">
        <v>0</v>
      </c>
      <c r="AP777">
        <v>0</v>
      </c>
      <c r="AQ777">
        <v>0</v>
      </c>
      <c r="AR777" t="s">
        <v>2663</v>
      </c>
      <c r="AS777" t="s">
        <v>2664</v>
      </c>
      <c r="AT777">
        <v>0.98</v>
      </c>
      <c r="AU777" t="s">
        <v>43</v>
      </c>
      <c r="AV777" t="s">
        <v>44</v>
      </c>
      <c r="AW777" t="s">
        <v>45</v>
      </c>
      <c r="AX777" t="s">
        <v>2665</v>
      </c>
      <c r="AY777" t="s">
        <v>2666</v>
      </c>
      <c r="AZ777">
        <v>45</v>
      </c>
      <c r="BA777">
        <v>0</v>
      </c>
      <c r="BB777">
        <v>0</v>
      </c>
      <c r="BC777">
        <v>0.1</v>
      </c>
      <c r="BD777">
        <v>0</v>
      </c>
      <c r="BE777">
        <f t="shared" si="129"/>
        <v>0</v>
      </c>
    </row>
    <row r="778" spans="1:57" x14ac:dyDescent="0.25">
      <c r="A778" t="s">
        <v>39</v>
      </c>
      <c r="B778" t="s">
        <v>2667</v>
      </c>
      <c r="C778">
        <v>89.7</v>
      </c>
      <c r="D778">
        <v>68.099999999999994</v>
      </c>
      <c r="G778">
        <f t="shared" si="120"/>
        <v>1</v>
      </c>
      <c r="H778">
        <f t="shared" si="121"/>
        <v>1</v>
      </c>
      <c r="I778">
        <f t="shared" si="122"/>
        <v>0</v>
      </c>
      <c r="J778">
        <v>79.599999999999994</v>
      </c>
      <c r="K778">
        <v>95.4</v>
      </c>
      <c r="L778">
        <v>68.099999999999994</v>
      </c>
      <c r="M778">
        <v>82.7</v>
      </c>
      <c r="N778">
        <v>65</v>
      </c>
      <c r="O778">
        <v>61.8</v>
      </c>
      <c r="S778">
        <f t="shared" si="123"/>
        <v>1</v>
      </c>
      <c r="T778">
        <f t="shared" si="124"/>
        <v>1</v>
      </c>
      <c r="U778">
        <f t="shared" si="125"/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12.8</v>
      </c>
      <c r="AG778">
        <f t="shared" si="126"/>
        <v>1</v>
      </c>
      <c r="AH778">
        <f t="shared" si="127"/>
        <v>0</v>
      </c>
      <c r="AI778">
        <f t="shared" si="128"/>
        <v>1</v>
      </c>
      <c r="AJ778">
        <v>208.5</v>
      </c>
      <c r="AK778">
        <v>1011.8</v>
      </c>
      <c r="AL778">
        <v>0</v>
      </c>
      <c r="AM778">
        <v>6.2</v>
      </c>
      <c r="AN778">
        <v>0</v>
      </c>
      <c r="AO778">
        <v>0</v>
      </c>
      <c r="AP778">
        <v>0</v>
      </c>
      <c r="AQ778">
        <v>0</v>
      </c>
      <c r="AR778" t="s">
        <v>2668</v>
      </c>
      <c r="AS778" t="s">
        <v>2669</v>
      </c>
      <c r="AT778">
        <v>0.3</v>
      </c>
      <c r="AU778" t="s">
        <v>74</v>
      </c>
      <c r="AV778" t="s">
        <v>44</v>
      </c>
      <c r="AW778" t="s">
        <v>75</v>
      </c>
      <c r="AX778" t="s">
        <v>2670</v>
      </c>
      <c r="AY778" t="s">
        <v>2671</v>
      </c>
      <c r="AZ778">
        <v>434.99999999301508</v>
      </c>
      <c r="BA778">
        <v>1</v>
      </c>
      <c r="BB778">
        <v>0</v>
      </c>
      <c r="BC778">
        <v>3</v>
      </c>
      <c r="BD778">
        <v>0</v>
      </c>
      <c r="BE778">
        <f t="shared" si="129"/>
        <v>1</v>
      </c>
    </row>
    <row r="779" spans="1:57" x14ac:dyDescent="0.25">
      <c r="A779" t="s">
        <v>39</v>
      </c>
      <c r="B779" t="s">
        <v>2672</v>
      </c>
      <c r="C779">
        <v>62.7</v>
      </c>
      <c r="D779">
        <v>46.5</v>
      </c>
      <c r="G779">
        <f t="shared" si="120"/>
        <v>0</v>
      </c>
      <c r="H779">
        <f t="shared" si="121"/>
        <v>0</v>
      </c>
      <c r="I779">
        <f t="shared" si="122"/>
        <v>0</v>
      </c>
      <c r="J779">
        <v>54.7</v>
      </c>
      <c r="K779">
        <v>62.7</v>
      </c>
      <c r="L779">
        <v>43.6</v>
      </c>
      <c r="M779">
        <v>54.1</v>
      </c>
      <c r="N779">
        <v>49.7</v>
      </c>
      <c r="O779">
        <v>83.6</v>
      </c>
      <c r="S779">
        <f t="shared" si="123"/>
        <v>1</v>
      </c>
      <c r="T779">
        <f t="shared" si="124"/>
        <v>1</v>
      </c>
      <c r="U779">
        <f t="shared" si="125"/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54.1</v>
      </c>
      <c r="AG779">
        <f t="shared" si="126"/>
        <v>1</v>
      </c>
      <c r="AH779">
        <f t="shared" si="127"/>
        <v>1</v>
      </c>
      <c r="AI779">
        <f t="shared" si="128"/>
        <v>0</v>
      </c>
      <c r="AJ779">
        <v>97.8</v>
      </c>
      <c r="AK779">
        <v>1017.8</v>
      </c>
      <c r="AL779">
        <v>40.799999999999997</v>
      </c>
      <c r="AM779">
        <v>6.8</v>
      </c>
      <c r="AN779">
        <v>0</v>
      </c>
      <c r="AO779">
        <v>0</v>
      </c>
      <c r="AP779">
        <v>0</v>
      </c>
      <c r="AQ779">
        <v>0</v>
      </c>
      <c r="AR779" t="s">
        <v>2673</v>
      </c>
      <c r="AS779" t="s">
        <v>2674</v>
      </c>
      <c r="AT779">
        <v>0.35</v>
      </c>
      <c r="AU779" t="s">
        <v>43</v>
      </c>
      <c r="AV779" t="s">
        <v>44</v>
      </c>
      <c r="AW779" t="s">
        <v>419</v>
      </c>
      <c r="AX779" t="s">
        <v>2675</v>
      </c>
      <c r="AY779" t="s">
        <v>2676</v>
      </c>
      <c r="AZ779">
        <v>155.00000000232831</v>
      </c>
      <c r="BA779">
        <v>0</v>
      </c>
      <c r="BB779">
        <v>0</v>
      </c>
      <c r="BC779">
        <v>0.5</v>
      </c>
      <c r="BD779">
        <v>0</v>
      </c>
      <c r="BE779">
        <f t="shared" si="129"/>
        <v>0</v>
      </c>
    </row>
    <row r="780" spans="1:57" x14ac:dyDescent="0.25">
      <c r="A780" t="s">
        <v>39</v>
      </c>
      <c r="B780" t="s">
        <v>2677</v>
      </c>
      <c r="C780">
        <v>100.5</v>
      </c>
      <c r="D780">
        <v>82.5</v>
      </c>
      <c r="G780">
        <f t="shared" si="120"/>
        <v>1</v>
      </c>
      <c r="H780">
        <f t="shared" si="121"/>
        <v>1</v>
      </c>
      <c r="I780">
        <f t="shared" si="122"/>
        <v>0</v>
      </c>
      <c r="J780">
        <v>88.4</v>
      </c>
      <c r="K780">
        <v>106.1</v>
      </c>
      <c r="L780">
        <v>80.7</v>
      </c>
      <c r="M780">
        <v>92.3</v>
      </c>
      <c r="N780">
        <v>63.6</v>
      </c>
      <c r="O780">
        <v>45.7</v>
      </c>
      <c r="S780">
        <f t="shared" si="123"/>
        <v>1</v>
      </c>
      <c r="T780">
        <f t="shared" si="124"/>
        <v>0</v>
      </c>
      <c r="U780">
        <f t="shared" si="125"/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15</v>
      </c>
      <c r="AG780">
        <f t="shared" si="126"/>
        <v>1</v>
      </c>
      <c r="AH780">
        <f t="shared" si="127"/>
        <v>0</v>
      </c>
      <c r="AI780">
        <f t="shared" si="128"/>
        <v>1</v>
      </c>
      <c r="AJ780">
        <v>158.19999999999999</v>
      </c>
      <c r="AK780">
        <v>1006.9</v>
      </c>
      <c r="AL780">
        <v>0</v>
      </c>
      <c r="AM780">
        <v>6.2</v>
      </c>
      <c r="AN780">
        <v>0</v>
      </c>
      <c r="AO780">
        <v>0</v>
      </c>
      <c r="AP780">
        <v>0</v>
      </c>
      <c r="AQ780">
        <v>0</v>
      </c>
      <c r="AR780" t="s">
        <v>2678</v>
      </c>
      <c r="AS780" t="s">
        <v>2679</v>
      </c>
      <c r="AT780">
        <v>0.43</v>
      </c>
      <c r="AU780" t="s">
        <v>74</v>
      </c>
      <c r="AV780" t="s">
        <v>44</v>
      </c>
      <c r="AW780" t="s">
        <v>75</v>
      </c>
      <c r="AX780" t="s">
        <v>2491</v>
      </c>
      <c r="AY780" t="s">
        <v>2680</v>
      </c>
      <c r="AZ780">
        <v>2305.0000000011642</v>
      </c>
      <c r="BA780">
        <v>1</v>
      </c>
      <c r="BB780">
        <v>30</v>
      </c>
      <c r="BC780">
        <v>0</v>
      </c>
      <c r="BD780">
        <v>0</v>
      </c>
      <c r="BE780">
        <f t="shared" si="129"/>
        <v>1</v>
      </c>
    </row>
    <row r="781" spans="1:57" x14ac:dyDescent="0.25">
      <c r="A781" t="s">
        <v>39</v>
      </c>
      <c r="B781" t="s">
        <v>2488</v>
      </c>
      <c r="C781">
        <v>57.3</v>
      </c>
      <c r="D781">
        <v>42.9</v>
      </c>
      <c r="G781">
        <f t="shared" si="120"/>
        <v>0</v>
      </c>
      <c r="H781">
        <f t="shared" si="121"/>
        <v>0</v>
      </c>
      <c r="I781">
        <f t="shared" si="122"/>
        <v>0</v>
      </c>
      <c r="J781">
        <v>51.5</v>
      </c>
      <c r="K781">
        <v>57.3</v>
      </c>
      <c r="L781">
        <v>38.700000000000003</v>
      </c>
      <c r="M781">
        <v>50</v>
      </c>
      <c r="N781">
        <v>35</v>
      </c>
      <c r="O781">
        <v>53.6</v>
      </c>
      <c r="S781">
        <f t="shared" si="123"/>
        <v>1</v>
      </c>
      <c r="T781">
        <f t="shared" si="124"/>
        <v>0</v>
      </c>
      <c r="U781">
        <f t="shared" si="125"/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18.3</v>
      </c>
      <c r="AG781">
        <f t="shared" si="126"/>
        <v>1</v>
      </c>
      <c r="AH781">
        <f t="shared" si="127"/>
        <v>0</v>
      </c>
      <c r="AI781">
        <f t="shared" si="128"/>
        <v>1</v>
      </c>
      <c r="AJ781">
        <v>293.7</v>
      </c>
      <c r="AK781">
        <v>1019.2</v>
      </c>
      <c r="AL781">
        <v>46.5</v>
      </c>
      <c r="AM781">
        <v>6.8</v>
      </c>
      <c r="AN781">
        <v>0</v>
      </c>
      <c r="AO781">
        <v>0</v>
      </c>
      <c r="AP781">
        <v>0</v>
      </c>
      <c r="AQ781">
        <v>0</v>
      </c>
      <c r="AR781" t="s">
        <v>2489</v>
      </c>
      <c r="AS781" t="s">
        <v>2490</v>
      </c>
      <c r="AT781">
        <v>0.36</v>
      </c>
      <c r="AU781" t="s">
        <v>43</v>
      </c>
      <c r="AV781" t="s">
        <v>44</v>
      </c>
      <c r="AW781" t="s">
        <v>45</v>
      </c>
      <c r="AX781" t="s">
        <v>2681</v>
      </c>
      <c r="AY781" t="s">
        <v>2682</v>
      </c>
      <c r="AZ781">
        <v>130.99999999743889</v>
      </c>
      <c r="BA781">
        <v>0</v>
      </c>
      <c r="BB781">
        <v>0</v>
      </c>
      <c r="BC781">
        <v>1</v>
      </c>
      <c r="BD781">
        <v>0</v>
      </c>
      <c r="BE781">
        <f t="shared" si="129"/>
        <v>0</v>
      </c>
    </row>
    <row r="782" spans="1:57" x14ac:dyDescent="0.25">
      <c r="A782" t="s">
        <v>39</v>
      </c>
      <c r="B782" t="s">
        <v>2370</v>
      </c>
      <c r="C782">
        <v>68.099999999999994</v>
      </c>
      <c r="D782">
        <v>51.9</v>
      </c>
      <c r="G782">
        <f t="shared" si="120"/>
        <v>0</v>
      </c>
      <c r="H782">
        <f t="shared" si="121"/>
        <v>0</v>
      </c>
      <c r="I782">
        <f t="shared" si="122"/>
        <v>0</v>
      </c>
      <c r="J782">
        <v>60.4</v>
      </c>
      <c r="K782">
        <v>68.099999999999994</v>
      </c>
      <c r="L782">
        <v>51.9</v>
      </c>
      <c r="M782">
        <v>60.4</v>
      </c>
      <c r="N782">
        <v>49</v>
      </c>
      <c r="O782">
        <v>67.2</v>
      </c>
      <c r="S782">
        <f t="shared" si="123"/>
        <v>1</v>
      </c>
      <c r="T782">
        <f t="shared" si="124"/>
        <v>1</v>
      </c>
      <c r="U782">
        <f t="shared" si="125"/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11.4</v>
      </c>
      <c r="AG782">
        <f t="shared" si="126"/>
        <v>1</v>
      </c>
      <c r="AH782">
        <f t="shared" si="127"/>
        <v>0</v>
      </c>
      <c r="AI782">
        <f t="shared" si="128"/>
        <v>1</v>
      </c>
      <c r="AJ782">
        <v>306.7</v>
      </c>
      <c r="AK782">
        <v>1019</v>
      </c>
      <c r="AL782">
        <v>0</v>
      </c>
      <c r="AM782">
        <v>6.2</v>
      </c>
      <c r="AN782">
        <v>0</v>
      </c>
      <c r="AO782">
        <v>0</v>
      </c>
      <c r="AP782">
        <v>0</v>
      </c>
      <c r="AQ782">
        <v>0</v>
      </c>
      <c r="AR782" t="s">
        <v>2371</v>
      </c>
      <c r="AS782" t="s">
        <v>2372</v>
      </c>
      <c r="AT782">
        <v>0.89</v>
      </c>
      <c r="AU782" t="s">
        <v>74</v>
      </c>
      <c r="AV782" t="s">
        <v>44</v>
      </c>
      <c r="AW782" t="s">
        <v>75</v>
      </c>
      <c r="AX782" t="s">
        <v>2683</v>
      </c>
      <c r="AY782" t="s">
        <v>2684</v>
      </c>
      <c r="AZ782">
        <v>135</v>
      </c>
      <c r="BA782">
        <v>0</v>
      </c>
      <c r="BB782">
        <v>0</v>
      </c>
      <c r="BC782">
        <v>0</v>
      </c>
      <c r="BD782">
        <v>1</v>
      </c>
      <c r="BE782">
        <f t="shared" si="129"/>
        <v>0</v>
      </c>
    </row>
    <row r="783" spans="1:57" x14ac:dyDescent="0.25">
      <c r="A783" t="s">
        <v>39</v>
      </c>
      <c r="B783" t="s">
        <v>2685</v>
      </c>
      <c r="C783">
        <v>77.099999999999994</v>
      </c>
      <c r="D783">
        <v>69.900000000000006</v>
      </c>
      <c r="G783">
        <f t="shared" si="120"/>
        <v>1</v>
      </c>
      <c r="H783">
        <f t="shared" si="121"/>
        <v>0</v>
      </c>
      <c r="I783">
        <f t="shared" si="122"/>
        <v>1</v>
      </c>
      <c r="J783">
        <v>72.7</v>
      </c>
      <c r="K783">
        <v>77.099999999999994</v>
      </c>
      <c r="L783">
        <v>69.900000000000006</v>
      </c>
      <c r="M783">
        <v>72.7</v>
      </c>
      <c r="N783">
        <v>62.9</v>
      </c>
      <c r="O783">
        <v>71.7</v>
      </c>
      <c r="S783">
        <f t="shared" si="123"/>
        <v>1</v>
      </c>
      <c r="T783">
        <f t="shared" si="124"/>
        <v>1</v>
      </c>
      <c r="U783">
        <f t="shared" si="125"/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23</v>
      </c>
      <c r="AG783">
        <f t="shared" si="126"/>
        <v>1</v>
      </c>
      <c r="AH783">
        <f t="shared" si="127"/>
        <v>1</v>
      </c>
      <c r="AI783">
        <f t="shared" si="128"/>
        <v>0</v>
      </c>
      <c r="AJ783">
        <v>303.89999999999998</v>
      </c>
      <c r="AK783">
        <v>1009.8</v>
      </c>
      <c r="AL783">
        <v>32.1</v>
      </c>
      <c r="AM783">
        <v>6.7</v>
      </c>
      <c r="AN783">
        <v>0</v>
      </c>
      <c r="AO783">
        <v>0</v>
      </c>
      <c r="AP783">
        <v>0</v>
      </c>
      <c r="AQ783">
        <v>0</v>
      </c>
      <c r="AR783" t="s">
        <v>2686</v>
      </c>
      <c r="AS783" t="s">
        <v>2687</v>
      </c>
      <c r="AT783">
        <v>0.83</v>
      </c>
      <c r="AU783" t="s">
        <v>43</v>
      </c>
      <c r="AV783" t="s">
        <v>44</v>
      </c>
      <c r="AW783" t="s">
        <v>45</v>
      </c>
      <c r="AX783" t="s">
        <v>2373</v>
      </c>
      <c r="AY783" t="s">
        <v>2688</v>
      </c>
      <c r="AZ783">
        <v>659.99999999301508</v>
      </c>
      <c r="BA783">
        <v>1</v>
      </c>
      <c r="BB783">
        <v>0</v>
      </c>
      <c r="BC783">
        <v>8</v>
      </c>
      <c r="BD783">
        <v>0</v>
      </c>
      <c r="BE783">
        <f t="shared" si="129"/>
        <v>1</v>
      </c>
    </row>
    <row r="784" spans="1:57" x14ac:dyDescent="0.25">
      <c r="A784" t="s">
        <v>39</v>
      </c>
      <c r="B784" t="s">
        <v>2689</v>
      </c>
      <c r="C784">
        <v>86.1</v>
      </c>
      <c r="D784">
        <v>77.099999999999994</v>
      </c>
      <c r="G784">
        <f t="shared" si="120"/>
        <v>1</v>
      </c>
      <c r="H784">
        <f t="shared" si="121"/>
        <v>1</v>
      </c>
      <c r="I784">
        <f t="shared" si="122"/>
        <v>0</v>
      </c>
      <c r="J784">
        <v>81</v>
      </c>
      <c r="K784">
        <v>88.5</v>
      </c>
      <c r="L784">
        <v>77.099999999999994</v>
      </c>
      <c r="M784">
        <v>82.4</v>
      </c>
      <c r="N784">
        <v>64.7</v>
      </c>
      <c r="O784">
        <v>57.9</v>
      </c>
      <c r="S784">
        <f t="shared" si="123"/>
        <v>1</v>
      </c>
      <c r="T784">
        <f t="shared" si="124"/>
        <v>0</v>
      </c>
      <c r="U784">
        <f t="shared" si="125"/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18.3</v>
      </c>
      <c r="AG784">
        <f t="shared" si="126"/>
        <v>0</v>
      </c>
      <c r="AH784">
        <f t="shared" si="127"/>
        <v>0</v>
      </c>
      <c r="AI784">
        <f t="shared" si="128"/>
        <v>0</v>
      </c>
      <c r="AJ784">
        <v>311.2</v>
      </c>
      <c r="AK784">
        <v>1013.3</v>
      </c>
      <c r="AL784">
        <v>0</v>
      </c>
      <c r="AM784">
        <v>6.2</v>
      </c>
      <c r="AN784">
        <v>0</v>
      </c>
      <c r="AO784">
        <v>0</v>
      </c>
      <c r="AP784">
        <v>0</v>
      </c>
      <c r="AQ784">
        <v>0</v>
      </c>
      <c r="AR784" t="s">
        <v>2690</v>
      </c>
      <c r="AS784" t="s">
        <v>2691</v>
      </c>
      <c r="AT784">
        <v>0.78</v>
      </c>
      <c r="AU784" t="s">
        <v>74</v>
      </c>
      <c r="AV784" t="s">
        <v>44</v>
      </c>
      <c r="AW784" t="s">
        <v>75</v>
      </c>
      <c r="AX784" t="s">
        <v>2692</v>
      </c>
      <c r="AY784" t="s">
        <v>2693</v>
      </c>
      <c r="AZ784">
        <v>25.000000008149069</v>
      </c>
      <c r="BA784">
        <v>0</v>
      </c>
      <c r="BB784">
        <v>0</v>
      </c>
      <c r="BC784">
        <v>0</v>
      </c>
      <c r="BD784">
        <v>1</v>
      </c>
      <c r="BE784">
        <f t="shared" si="129"/>
        <v>0</v>
      </c>
    </row>
    <row r="785" spans="1:57" x14ac:dyDescent="0.25">
      <c r="A785" t="s">
        <v>39</v>
      </c>
      <c r="B785" t="s">
        <v>2694</v>
      </c>
      <c r="C785">
        <v>100.5</v>
      </c>
      <c r="D785">
        <v>78.900000000000006</v>
      </c>
      <c r="G785">
        <f t="shared" si="120"/>
        <v>1</v>
      </c>
      <c r="H785">
        <f t="shared" si="121"/>
        <v>1</v>
      </c>
      <c r="I785">
        <f t="shared" si="122"/>
        <v>0</v>
      </c>
      <c r="J785">
        <v>87.8</v>
      </c>
      <c r="K785">
        <v>103.9</v>
      </c>
      <c r="L785">
        <v>78.900000000000006</v>
      </c>
      <c r="M785">
        <v>90.9</v>
      </c>
      <c r="N785">
        <v>64.099999999999994</v>
      </c>
      <c r="O785">
        <v>47.7</v>
      </c>
      <c r="S785">
        <f t="shared" si="123"/>
        <v>1</v>
      </c>
      <c r="T785">
        <f t="shared" si="124"/>
        <v>0</v>
      </c>
      <c r="U785">
        <f t="shared" si="125"/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10.3</v>
      </c>
      <c r="AG785">
        <f t="shared" si="126"/>
        <v>1</v>
      </c>
      <c r="AH785">
        <f t="shared" si="127"/>
        <v>0</v>
      </c>
      <c r="AI785">
        <f t="shared" si="128"/>
        <v>1</v>
      </c>
      <c r="AJ785">
        <v>181</v>
      </c>
      <c r="AK785">
        <v>1005.5</v>
      </c>
      <c r="AL785">
        <v>0</v>
      </c>
      <c r="AM785">
        <v>6.2</v>
      </c>
      <c r="AN785">
        <v>0</v>
      </c>
      <c r="AO785">
        <v>0</v>
      </c>
      <c r="AP785">
        <v>0</v>
      </c>
      <c r="AQ785">
        <v>0</v>
      </c>
      <c r="AR785" t="s">
        <v>2695</v>
      </c>
      <c r="AS785" t="s">
        <v>2696</v>
      </c>
      <c r="AT785">
        <v>0.38</v>
      </c>
      <c r="AU785" t="s">
        <v>74</v>
      </c>
      <c r="AV785" t="s">
        <v>44</v>
      </c>
      <c r="AW785" t="s">
        <v>75</v>
      </c>
      <c r="AX785" t="s">
        <v>2461</v>
      </c>
      <c r="AY785" t="s">
        <v>2697</v>
      </c>
      <c r="AZ785">
        <v>695.00000000232831</v>
      </c>
      <c r="BA785">
        <v>1</v>
      </c>
      <c r="BB785">
        <v>0</v>
      </c>
      <c r="BC785">
        <v>10</v>
      </c>
      <c r="BD785">
        <v>0</v>
      </c>
      <c r="BE785">
        <f t="shared" si="129"/>
        <v>1</v>
      </c>
    </row>
    <row r="786" spans="1:57" x14ac:dyDescent="0.25">
      <c r="A786" t="s">
        <v>39</v>
      </c>
      <c r="B786" t="s">
        <v>2698</v>
      </c>
      <c r="C786">
        <v>86.1</v>
      </c>
      <c r="D786">
        <v>69.900000000000006</v>
      </c>
      <c r="G786">
        <f t="shared" si="120"/>
        <v>1</v>
      </c>
      <c r="H786">
        <f t="shared" si="121"/>
        <v>1</v>
      </c>
      <c r="I786">
        <f t="shared" si="122"/>
        <v>0</v>
      </c>
      <c r="J786">
        <v>79.099999999999994</v>
      </c>
      <c r="K786">
        <v>92.7</v>
      </c>
      <c r="L786">
        <v>69.900000000000006</v>
      </c>
      <c r="M786">
        <v>81.599999999999994</v>
      </c>
      <c r="N786">
        <v>67.5</v>
      </c>
      <c r="O786">
        <v>69</v>
      </c>
      <c r="S786">
        <f t="shared" si="123"/>
        <v>1</v>
      </c>
      <c r="T786">
        <f t="shared" si="124"/>
        <v>1</v>
      </c>
      <c r="U786">
        <f t="shared" si="125"/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20.8</v>
      </c>
      <c r="AG786">
        <f t="shared" si="126"/>
        <v>1</v>
      </c>
      <c r="AH786">
        <f t="shared" si="127"/>
        <v>1</v>
      </c>
      <c r="AI786">
        <f t="shared" si="128"/>
        <v>0</v>
      </c>
      <c r="AJ786">
        <v>300.39999999999998</v>
      </c>
      <c r="AK786">
        <v>1004.8</v>
      </c>
      <c r="AL786">
        <v>30</v>
      </c>
      <c r="AM786">
        <v>6.3</v>
      </c>
      <c r="AN786">
        <v>0</v>
      </c>
      <c r="AO786">
        <v>0</v>
      </c>
      <c r="AP786">
        <v>0</v>
      </c>
      <c r="AQ786">
        <v>0</v>
      </c>
      <c r="AR786" t="s">
        <v>2699</v>
      </c>
      <c r="AS786" t="s">
        <v>2700</v>
      </c>
      <c r="AT786">
        <v>0.55000000000000004</v>
      </c>
      <c r="AU786" t="s">
        <v>43</v>
      </c>
      <c r="AV786" t="s">
        <v>44</v>
      </c>
      <c r="AW786" t="s">
        <v>45</v>
      </c>
      <c r="AX786" t="s">
        <v>2701</v>
      </c>
      <c r="AY786" t="s">
        <v>2702</v>
      </c>
      <c r="AZ786">
        <v>1235.0000000023281</v>
      </c>
      <c r="BA786">
        <v>1</v>
      </c>
      <c r="BB786">
        <v>0</v>
      </c>
      <c r="BC786">
        <v>20</v>
      </c>
      <c r="BD786">
        <v>0</v>
      </c>
      <c r="BE786">
        <f t="shared" si="129"/>
        <v>1</v>
      </c>
    </row>
    <row r="787" spans="1:57" x14ac:dyDescent="0.25">
      <c r="A787" t="s">
        <v>39</v>
      </c>
      <c r="B787" t="s">
        <v>2698</v>
      </c>
      <c r="C787">
        <v>86.1</v>
      </c>
      <c r="D787">
        <v>69.900000000000006</v>
      </c>
      <c r="G787">
        <f t="shared" si="120"/>
        <v>1</v>
      </c>
      <c r="H787">
        <f t="shared" si="121"/>
        <v>1</v>
      </c>
      <c r="I787">
        <f t="shared" si="122"/>
        <v>0</v>
      </c>
      <c r="J787">
        <v>79.099999999999994</v>
      </c>
      <c r="K787">
        <v>92.7</v>
      </c>
      <c r="L787">
        <v>69.900000000000006</v>
      </c>
      <c r="M787">
        <v>81.599999999999994</v>
      </c>
      <c r="N787">
        <v>67.5</v>
      </c>
      <c r="O787">
        <v>69</v>
      </c>
      <c r="S787">
        <f t="shared" si="123"/>
        <v>1</v>
      </c>
      <c r="T787">
        <f t="shared" si="124"/>
        <v>1</v>
      </c>
      <c r="U787">
        <f t="shared" si="125"/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20.8</v>
      </c>
      <c r="AG787">
        <f t="shared" si="126"/>
        <v>1</v>
      </c>
      <c r="AH787">
        <f t="shared" si="127"/>
        <v>1</v>
      </c>
      <c r="AI787">
        <f t="shared" si="128"/>
        <v>0</v>
      </c>
      <c r="AJ787">
        <v>300.39999999999998</v>
      </c>
      <c r="AK787">
        <v>1004.8</v>
      </c>
      <c r="AL787">
        <v>30</v>
      </c>
      <c r="AM787">
        <v>6.3</v>
      </c>
      <c r="AN787">
        <v>0</v>
      </c>
      <c r="AO787">
        <v>0</v>
      </c>
      <c r="AP787">
        <v>0</v>
      </c>
      <c r="AQ787">
        <v>0</v>
      </c>
      <c r="AR787" t="s">
        <v>2699</v>
      </c>
      <c r="AS787" t="s">
        <v>2700</v>
      </c>
      <c r="AT787">
        <v>0.55000000000000004</v>
      </c>
      <c r="AU787" t="s">
        <v>43</v>
      </c>
      <c r="AV787" t="s">
        <v>44</v>
      </c>
      <c r="AW787" t="s">
        <v>45</v>
      </c>
      <c r="AX787" t="s">
        <v>2373</v>
      </c>
      <c r="AY787" t="s">
        <v>2703</v>
      </c>
      <c r="AZ787">
        <v>2025</v>
      </c>
      <c r="BA787">
        <v>1</v>
      </c>
      <c r="BB787">
        <v>0</v>
      </c>
      <c r="BC787">
        <v>50</v>
      </c>
      <c r="BD787">
        <v>0</v>
      </c>
      <c r="BE787">
        <f t="shared" si="129"/>
        <v>1</v>
      </c>
    </row>
    <row r="788" spans="1:57" x14ac:dyDescent="0.25">
      <c r="A788" t="s">
        <v>39</v>
      </c>
      <c r="B788" t="s">
        <v>2704</v>
      </c>
      <c r="C788">
        <v>86.1</v>
      </c>
      <c r="D788">
        <v>75.3</v>
      </c>
      <c r="G788">
        <f t="shared" si="120"/>
        <v>1</v>
      </c>
      <c r="H788">
        <f t="shared" si="121"/>
        <v>1</v>
      </c>
      <c r="I788">
        <f t="shared" si="122"/>
        <v>0</v>
      </c>
      <c r="J788">
        <v>82</v>
      </c>
      <c r="K788">
        <v>90.8</v>
      </c>
      <c r="L788">
        <v>75.3</v>
      </c>
      <c r="M788">
        <v>84.1</v>
      </c>
      <c r="N788">
        <v>67.599999999999994</v>
      </c>
      <c r="O788">
        <v>62.1</v>
      </c>
      <c r="S788">
        <f t="shared" si="123"/>
        <v>1</v>
      </c>
      <c r="T788">
        <f t="shared" si="124"/>
        <v>1</v>
      </c>
      <c r="U788">
        <f t="shared" si="125"/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19.5</v>
      </c>
      <c r="AG788">
        <f t="shared" si="126"/>
        <v>1</v>
      </c>
      <c r="AH788">
        <f t="shared" si="127"/>
        <v>1</v>
      </c>
      <c r="AI788">
        <f t="shared" si="128"/>
        <v>0</v>
      </c>
      <c r="AJ788">
        <v>306</v>
      </c>
      <c r="AK788">
        <v>1006.9</v>
      </c>
      <c r="AL788">
        <v>0</v>
      </c>
      <c r="AM788">
        <v>6.2</v>
      </c>
      <c r="AN788">
        <v>0</v>
      </c>
      <c r="AO788">
        <v>0</v>
      </c>
      <c r="AP788">
        <v>0</v>
      </c>
      <c r="AQ788">
        <v>0</v>
      </c>
      <c r="AR788" t="s">
        <v>2705</v>
      </c>
      <c r="AS788" t="s">
        <v>2706</v>
      </c>
      <c r="AT788">
        <v>0.21</v>
      </c>
      <c r="AU788" t="s">
        <v>74</v>
      </c>
      <c r="AV788" t="s">
        <v>44</v>
      </c>
      <c r="AW788" t="s">
        <v>75</v>
      </c>
      <c r="AX788" t="s">
        <v>2592</v>
      </c>
      <c r="AY788" t="s">
        <v>2707</v>
      </c>
      <c r="AZ788">
        <v>310.00000000465661</v>
      </c>
      <c r="BA788">
        <v>0</v>
      </c>
      <c r="BB788">
        <v>0</v>
      </c>
      <c r="BC788">
        <v>1</v>
      </c>
      <c r="BD788">
        <v>0</v>
      </c>
      <c r="BE788">
        <f t="shared" si="129"/>
        <v>1</v>
      </c>
    </row>
    <row r="789" spans="1:57" x14ac:dyDescent="0.25">
      <c r="A789" t="s">
        <v>39</v>
      </c>
      <c r="B789" t="s">
        <v>2708</v>
      </c>
      <c r="C789">
        <v>84.3</v>
      </c>
      <c r="D789">
        <v>73.5</v>
      </c>
      <c r="G789">
        <f t="shared" si="120"/>
        <v>1</v>
      </c>
      <c r="H789">
        <f t="shared" si="121"/>
        <v>1</v>
      </c>
      <c r="I789">
        <f t="shared" si="122"/>
        <v>0</v>
      </c>
      <c r="J789">
        <v>79.400000000000006</v>
      </c>
      <c r="K789">
        <v>91.1</v>
      </c>
      <c r="L789">
        <v>73.5</v>
      </c>
      <c r="M789">
        <v>82.2</v>
      </c>
      <c r="N789">
        <v>72.900000000000006</v>
      </c>
      <c r="O789">
        <v>80.8</v>
      </c>
      <c r="S789">
        <f t="shared" si="123"/>
        <v>1</v>
      </c>
      <c r="T789">
        <f t="shared" si="124"/>
        <v>1</v>
      </c>
      <c r="U789">
        <f t="shared" si="125"/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15</v>
      </c>
      <c r="AG789">
        <f t="shared" si="126"/>
        <v>1</v>
      </c>
      <c r="AH789">
        <f t="shared" si="127"/>
        <v>0</v>
      </c>
      <c r="AI789">
        <f t="shared" si="128"/>
        <v>1</v>
      </c>
      <c r="AJ789">
        <v>320</v>
      </c>
      <c r="AK789">
        <v>1008.5</v>
      </c>
      <c r="AL789">
        <v>40.9</v>
      </c>
      <c r="AM789">
        <v>6.3</v>
      </c>
      <c r="AN789">
        <v>0</v>
      </c>
      <c r="AO789">
        <v>0</v>
      </c>
      <c r="AP789">
        <v>0</v>
      </c>
      <c r="AQ789">
        <v>0</v>
      </c>
      <c r="AR789" t="s">
        <v>2709</v>
      </c>
      <c r="AS789" t="s">
        <v>2710</v>
      </c>
      <c r="AT789">
        <v>0.71</v>
      </c>
      <c r="AU789" t="s">
        <v>43</v>
      </c>
      <c r="AV789" t="s">
        <v>44</v>
      </c>
      <c r="AW789" t="s">
        <v>45</v>
      </c>
      <c r="AX789" t="s">
        <v>2529</v>
      </c>
      <c r="AY789" t="s">
        <v>2711</v>
      </c>
      <c r="AZ789">
        <v>455.00000000582082</v>
      </c>
      <c r="BA789">
        <v>1</v>
      </c>
      <c r="BB789">
        <v>0</v>
      </c>
      <c r="BC789">
        <v>2</v>
      </c>
      <c r="BD789">
        <v>0</v>
      </c>
      <c r="BE789">
        <f t="shared" si="129"/>
        <v>1</v>
      </c>
    </row>
    <row r="790" spans="1:57" x14ac:dyDescent="0.25">
      <c r="A790" t="s">
        <v>39</v>
      </c>
      <c r="B790" t="s">
        <v>2712</v>
      </c>
      <c r="C790">
        <v>82.5</v>
      </c>
      <c r="D790">
        <v>73.5</v>
      </c>
      <c r="G790">
        <f t="shared" si="120"/>
        <v>1</v>
      </c>
      <c r="H790">
        <f t="shared" si="121"/>
        <v>1</v>
      </c>
      <c r="I790">
        <f t="shared" si="122"/>
        <v>0</v>
      </c>
      <c r="J790">
        <v>76.099999999999994</v>
      </c>
      <c r="K790">
        <v>83</v>
      </c>
      <c r="L790">
        <v>73.5</v>
      </c>
      <c r="M790">
        <v>76.099999999999994</v>
      </c>
      <c r="N790">
        <v>62.7</v>
      </c>
      <c r="O790">
        <v>64.099999999999994</v>
      </c>
      <c r="S790">
        <f t="shared" si="123"/>
        <v>0</v>
      </c>
      <c r="T790">
        <f t="shared" si="124"/>
        <v>0</v>
      </c>
      <c r="U790">
        <f t="shared" si="125"/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28.9</v>
      </c>
      <c r="AG790">
        <f t="shared" si="126"/>
        <v>1</v>
      </c>
      <c r="AH790">
        <f t="shared" si="127"/>
        <v>1</v>
      </c>
      <c r="AI790">
        <f t="shared" si="128"/>
        <v>0</v>
      </c>
      <c r="AJ790">
        <v>324.5</v>
      </c>
      <c r="AK790">
        <v>1016.2</v>
      </c>
      <c r="AL790">
        <v>32.6</v>
      </c>
      <c r="AM790">
        <v>6.8</v>
      </c>
      <c r="AN790">
        <v>0</v>
      </c>
      <c r="AO790">
        <v>0</v>
      </c>
      <c r="AP790">
        <v>0</v>
      </c>
      <c r="AQ790">
        <v>0</v>
      </c>
      <c r="AR790" t="s">
        <v>2713</v>
      </c>
      <c r="AS790" t="s">
        <v>2714</v>
      </c>
      <c r="AT790">
        <v>0.16</v>
      </c>
      <c r="AU790" t="s">
        <v>43</v>
      </c>
      <c r="AV790" t="s">
        <v>44</v>
      </c>
      <c r="AW790" t="s">
        <v>45</v>
      </c>
      <c r="AX790" t="s">
        <v>2715</v>
      </c>
      <c r="AY790" t="s">
        <v>2716</v>
      </c>
      <c r="AZ790">
        <v>1865.0000000023281</v>
      </c>
      <c r="BA790">
        <v>1</v>
      </c>
      <c r="BB790">
        <v>0</v>
      </c>
      <c r="BC790">
        <v>20</v>
      </c>
      <c r="BD790">
        <v>0</v>
      </c>
      <c r="BE790">
        <f t="shared" si="129"/>
        <v>1</v>
      </c>
    </row>
    <row r="791" spans="1:57" x14ac:dyDescent="0.25">
      <c r="A791" t="s">
        <v>39</v>
      </c>
      <c r="B791" t="s">
        <v>2717</v>
      </c>
      <c r="C791">
        <v>75.3</v>
      </c>
      <c r="D791">
        <v>69.900000000000006</v>
      </c>
      <c r="G791">
        <f t="shared" si="120"/>
        <v>0</v>
      </c>
      <c r="H791">
        <f t="shared" si="121"/>
        <v>0</v>
      </c>
      <c r="I791">
        <f t="shared" si="122"/>
        <v>0</v>
      </c>
      <c r="J791">
        <v>72.099999999999994</v>
      </c>
      <c r="K791">
        <v>75.3</v>
      </c>
      <c r="L791">
        <v>69.900000000000006</v>
      </c>
      <c r="M791">
        <v>72.099999999999994</v>
      </c>
      <c r="N791">
        <v>62.4</v>
      </c>
      <c r="O791">
        <v>72</v>
      </c>
      <c r="S791">
        <f t="shared" si="123"/>
        <v>1</v>
      </c>
      <c r="T791">
        <f t="shared" si="124"/>
        <v>1</v>
      </c>
      <c r="U791">
        <f t="shared" si="125"/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19.5</v>
      </c>
      <c r="AG791">
        <f t="shared" si="126"/>
        <v>1</v>
      </c>
      <c r="AH791">
        <f t="shared" si="127"/>
        <v>1</v>
      </c>
      <c r="AI791">
        <f t="shared" si="128"/>
        <v>0</v>
      </c>
      <c r="AJ791">
        <v>320.2</v>
      </c>
      <c r="AK791">
        <v>1015.2</v>
      </c>
      <c r="AL791">
        <v>48</v>
      </c>
      <c r="AM791">
        <v>6.8</v>
      </c>
      <c r="AN791">
        <v>0</v>
      </c>
      <c r="AO791">
        <v>0</v>
      </c>
      <c r="AP791">
        <v>0</v>
      </c>
      <c r="AQ791">
        <v>0</v>
      </c>
      <c r="AR791" t="s">
        <v>2718</v>
      </c>
      <c r="AS791" t="s">
        <v>2719</v>
      </c>
      <c r="AT791">
        <v>0.69</v>
      </c>
      <c r="AU791" t="s">
        <v>43</v>
      </c>
      <c r="AV791" t="s">
        <v>44</v>
      </c>
      <c r="AW791" t="s">
        <v>45</v>
      </c>
      <c r="AX791" t="s">
        <v>2720</v>
      </c>
      <c r="AY791" t="s">
        <v>2721</v>
      </c>
      <c r="AZ791">
        <v>95.000000005820766</v>
      </c>
      <c r="BA791">
        <v>0</v>
      </c>
      <c r="BB791">
        <v>0</v>
      </c>
      <c r="BC791">
        <v>1</v>
      </c>
      <c r="BD791">
        <v>0</v>
      </c>
      <c r="BE791">
        <f t="shared" si="129"/>
        <v>0</v>
      </c>
    </row>
    <row r="792" spans="1:57" x14ac:dyDescent="0.25">
      <c r="A792" t="s">
        <v>39</v>
      </c>
      <c r="B792" t="s">
        <v>2722</v>
      </c>
      <c r="C792">
        <v>71.7</v>
      </c>
      <c r="D792">
        <v>60.9</v>
      </c>
      <c r="G792">
        <f t="shared" si="120"/>
        <v>1</v>
      </c>
      <c r="H792">
        <f t="shared" si="121"/>
        <v>0</v>
      </c>
      <c r="I792">
        <f t="shared" si="122"/>
        <v>1</v>
      </c>
      <c r="J792">
        <v>65.5</v>
      </c>
      <c r="K792">
        <v>71.7</v>
      </c>
      <c r="L792">
        <v>60.9</v>
      </c>
      <c r="M792">
        <v>65.5</v>
      </c>
      <c r="N792">
        <v>60.7</v>
      </c>
      <c r="O792">
        <v>85.1</v>
      </c>
      <c r="S792">
        <f t="shared" si="123"/>
        <v>1</v>
      </c>
      <c r="T792">
        <f t="shared" si="124"/>
        <v>1</v>
      </c>
      <c r="U792">
        <f t="shared" si="125"/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5.8</v>
      </c>
      <c r="AG792">
        <f t="shared" si="126"/>
        <v>1</v>
      </c>
      <c r="AH792">
        <f t="shared" si="127"/>
        <v>0</v>
      </c>
      <c r="AI792">
        <f t="shared" si="128"/>
        <v>1</v>
      </c>
      <c r="AJ792">
        <v>160.6</v>
      </c>
      <c r="AK792">
        <v>1021</v>
      </c>
      <c r="AL792">
        <v>51.7</v>
      </c>
      <c r="AM792">
        <v>6.5</v>
      </c>
      <c r="AN792">
        <v>0</v>
      </c>
      <c r="AO792">
        <v>0</v>
      </c>
      <c r="AP792">
        <v>0</v>
      </c>
      <c r="AQ792">
        <v>0</v>
      </c>
      <c r="AR792" t="s">
        <v>2723</v>
      </c>
      <c r="AS792" t="s">
        <v>2724</v>
      </c>
      <c r="AT792">
        <v>0.56999999999999995</v>
      </c>
      <c r="AU792" t="s">
        <v>43</v>
      </c>
      <c r="AV792" t="s">
        <v>44</v>
      </c>
      <c r="AW792" t="s">
        <v>45</v>
      </c>
      <c r="AX792" t="s">
        <v>2725</v>
      </c>
      <c r="AY792" t="s">
        <v>2726</v>
      </c>
      <c r="AZ792">
        <v>65.000000002328306</v>
      </c>
      <c r="BA792">
        <v>0</v>
      </c>
      <c r="BB792">
        <v>0</v>
      </c>
      <c r="BC792">
        <v>1</v>
      </c>
      <c r="BD792">
        <v>0</v>
      </c>
      <c r="BE792">
        <f t="shared" si="129"/>
        <v>0</v>
      </c>
    </row>
    <row r="793" spans="1:57" x14ac:dyDescent="0.25">
      <c r="A793" t="s">
        <v>39</v>
      </c>
      <c r="B793" t="s">
        <v>2727</v>
      </c>
      <c r="C793">
        <v>69.900000000000006</v>
      </c>
      <c r="D793">
        <v>57.3</v>
      </c>
      <c r="G793">
        <f t="shared" si="120"/>
        <v>1</v>
      </c>
      <c r="H793">
        <f t="shared" si="121"/>
        <v>1</v>
      </c>
      <c r="I793">
        <f t="shared" si="122"/>
        <v>0</v>
      </c>
      <c r="J793">
        <v>62.6</v>
      </c>
      <c r="K793">
        <v>69.900000000000006</v>
      </c>
      <c r="L793">
        <v>57.3</v>
      </c>
      <c r="M793">
        <v>62.6</v>
      </c>
      <c r="N793">
        <v>41.4</v>
      </c>
      <c r="O793">
        <v>47.8</v>
      </c>
      <c r="S793">
        <f t="shared" si="123"/>
        <v>1</v>
      </c>
      <c r="T793">
        <f t="shared" si="124"/>
        <v>0</v>
      </c>
      <c r="U793">
        <f t="shared" si="125"/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24.2</v>
      </c>
      <c r="AG793">
        <f t="shared" si="126"/>
        <v>1</v>
      </c>
      <c r="AH793">
        <f t="shared" si="127"/>
        <v>1</v>
      </c>
      <c r="AI793">
        <f t="shared" si="128"/>
        <v>0</v>
      </c>
      <c r="AJ793">
        <v>171.2</v>
      </c>
      <c r="AK793">
        <v>1017.7</v>
      </c>
      <c r="AL793">
        <v>0</v>
      </c>
      <c r="AM793">
        <v>6.2</v>
      </c>
      <c r="AN793">
        <v>0</v>
      </c>
      <c r="AO793">
        <v>0</v>
      </c>
      <c r="AP793">
        <v>0</v>
      </c>
      <c r="AQ793">
        <v>0</v>
      </c>
      <c r="AR793" t="s">
        <v>2728</v>
      </c>
      <c r="AS793" t="s">
        <v>2729</v>
      </c>
      <c r="AT793">
        <v>0.25</v>
      </c>
      <c r="AU793" t="s">
        <v>74</v>
      </c>
      <c r="AV793" t="s">
        <v>44</v>
      </c>
      <c r="AW793" t="s">
        <v>75</v>
      </c>
      <c r="AX793" t="s">
        <v>2730</v>
      </c>
      <c r="AY793" t="s">
        <v>2731</v>
      </c>
      <c r="AZ793">
        <v>169.99999999883579</v>
      </c>
      <c r="BA793">
        <v>0</v>
      </c>
      <c r="BB793">
        <v>0</v>
      </c>
      <c r="BC793">
        <v>2</v>
      </c>
      <c r="BD793">
        <v>0</v>
      </c>
      <c r="BE793">
        <f t="shared" si="129"/>
        <v>1</v>
      </c>
    </row>
    <row r="794" spans="1:57" x14ac:dyDescent="0.25">
      <c r="A794" t="s">
        <v>39</v>
      </c>
      <c r="B794" t="s">
        <v>2732</v>
      </c>
      <c r="C794">
        <v>66.3</v>
      </c>
      <c r="D794">
        <v>50.1</v>
      </c>
      <c r="G794">
        <f t="shared" si="120"/>
        <v>0</v>
      </c>
      <c r="H794">
        <f t="shared" si="121"/>
        <v>0</v>
      </c>
      <c r="I794">
        <f t="shared" si="122"/>
        <v>0</v>
      </c>
      <c r="J794">
        <v>59.3</v>
      </c>
      <c r="K794">
        <v>66.3</v>
      </c>
      <c r="L794">
        <v>50.1</v>
      </c>
      <c r="M794">
        <v>59.3</v>
      </c>
      <c r="N794">
        <v>48.3</v>
      </c>
      <c r="O794">
        <v>67.2</v>
      </c>
      <c r="S794">
        <f t="shared" si="123"/>
        <v>1</v>
      </c>
      <c r="T794">
        <f t="shared" si="124"/>
        <v>1</v>
      </c>
      <c r="U794">
        <f t="shared" si="125"/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19.5</v>
      </c>
      <c r="AG794">
        <f t="shared" si="126"/>
        <v>1</v>
      </c>
      <c r="AH794">
        <f t="shared" si="127"/>
        <v>1</v>
      </c>
      <c r="AI794">
        <f t="shared" si="128"/>
        <v>0</v>
      </c>
      <c r="AJ794">
        <v>301.5</v>
      </c>
      <c r="AK794">
        <v>1014.2</v>
      </c>
      <c r="AL794">
        <v>30</v>
      </c>
      <c r="AM794">
        <v>6.7</v>
      </c>
      <c r="AN794">
        <v>0</v>
      </c>
      <c r="AO794">
        <v>0</v>
      </c>
      <c r="AP794">
        <v>0</v>
      </c>
      <c r="AQ794">
        <v>0</v>
      </c>
      <c r="AR794" t="s">
        <v>2733</v>
      </c>
      <c r="AS794" t="s">
        <v>2734</v>
      </c>
      <c r="AT794">
        <v>0.73</v>
      </c>
      <c r="AU794" t="s">
        <v>43</v>
      </c>
      <c r="AV794" t="s">
        <v>44</v>
      </c>
      <c r="AW794" t="s">
        <v>45</v>
      </c>
      <c r="AX794" t="s">
        <v>2735</v>
      </c>
      <c r="AY794" t="s">
        <v>2736</v>
      </c>
      <c r="AZ794">
        <v>280.00000000116421</v>
      </c>
      <c r="BA794">
        <v>0</v>
      </c>
      <c r="BB794">
        <v>0</v>
      </c>
      <c r="BC794">
        <v>4</v>
      </c>
      <c r="BD794">
        <v>0</v>
      </c>
      <c r="BE794">
        <f t="shared" si="129"/>
        <v>0</v>
      </c>
    </row>
    <row r="795" spans="1:57" x14ac:dyDescent="0.25">
      <c r="A795" t="s">
        <v>39</v>
      </c>
      <c r="B795" t="s">
        <v>2737</v>
      </c>
      <c r="C795">
        <v>98.7</v>
      </c>
      <c r="D795">
        <v>77.099999999999994</v>
      </c>
      <c r="G795">
        <f t="shared" si="120"/>
        <v>1</v>
      </c>
      <c r="H795">
        <f t="shared" si="121"/>
        <v>1</v>
      </c>
      <c r="I795">
        <f t="shared" si="122"/>
        <v>0</v>
      </c>
      <c r="J795">
        <v>87.2</v>
      </c>
      <c r="K795">
        <v>110</v>
      </c>
      <c r="L795">
        <v>77.099999999999994</v>
      </c>
      <c r="M795">
        <v>92.6</v>
      </c>
      <c r="N795">
        <v>67.099999999999994</v>
      </c>
      <c r="O795">
        <v>51.9</v>
      </c>
      <c r="S795">
        <f t="shared" si="123"/>
        <v>1</v>
      </c>
      <c r="T795">
        <f t="shared" si="124"/>
        <v>0</v>
      </c>
      <c r="U795">
        <f t="shared" si="125"/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12.8</v>
      </c>
      <c r="AG795">
        <f t="shared" si="126"/>
        <v>1</v>
      </c>
      <c r="AH795">
        <f t="shared" si="127"/>
        <v>0</v>
      </c>
      <c r="AI795">
        <f t="shared" si="128"/>
        <v>1</v>
      </c>
      <c r="AJ795">
        <v>176.5</v>
      </c>
      <c r="AK795">
        <v>1012.5</v>
      </c>
      <c r="AL795">
        <v>0</v>
      </c>
      <c r="AM795">
        <v>6.2</v>
      </c>
      <c r="AN795">
        <v>0</v>
      </c>
      <c r="AO795">
        <v>0</v>
      </c>
      <c r="AP795">
        <v>0</v>
      </c>
      <c r="AQ795">
        <v>0</v>
      </c>
      <c r="AR795" t="s">
        <v>2738</v>
      </c>
      <c r="AS795" t="s">
        <v>2739</v>
      </c>
      <c r="AT795">
        <v>0.3</v>
      </c>
      <c r="AU795" t="s">
        <v>74</v>
      </c>
      <c r="AV795" t="s">
        <v>44</v>
      </c>
      <c r="AW795" t="s">
        <v>75</v>
      </c>
      <c r="AX795" t="s">
        <v>2493</v>
      </c>
      <c r="AY795" t="s">
        <v>2740</v>
      </c>
      <c r="AZ795">
        <v>805.00000000465661</v>
      </c>
      <c r="BA795">
        <v>1</v>
      </c>
      <c r="BB795">
        <v>0</v>
      </c>
      <c r="BC795">
        <v>5</v>
      </c>
      <c r="BD795">
        <v>0</v>
      </c>
      <c r="BE795">
        <f t="shared" si="129"/>
        <v>1</v>
      </c>
    </row>
    <row r="796" spans="1:57" x14ac:dyDescent="0.25">
      <c r="A796" t="s">
        <v>39</v>
      </c>
      <c r="B796" t="s">
        <v>2741</v>
      </c>
      <c r="C796">
        <v>82.5</v>
      </c>
      <c r="D796">
        <v>64.5</v>
      </c>
      <c r="G796">
        <f t="shared" si="120"/>
        <v>1</v>
      </c>
      <c r="H796">
        <f t="shared" si="121"/>
        <v>1</v>
      </c>
      <c r="I796">
        <f t="shared" si="122"/>
        <v>0</v>
      </c>
      <c r="J796">
        <v>74.599999999999994</v>
      </c>
      <c r="K796">
        <v>81.3</v>
      </c>
      <c r="L796">
        <v>64.5</v>
      </c>
      <c r="M796">
        <v>74.400000000000006</v>
      </c>
      <c r="N796">
        <v>57.1</v>
      </c>
      <c r="O796">
        <v>58.2</v>
      </c>
      <c r="S796">
        <f t="shared" si="123"/>
        <v>1</v>
      </c>
      <c r="T796">
        <f t="shared" si="124"/>
        <v>0</v>
      </c>
      <c r="U796">
        <f t="shared" si="125"/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26.4</v>
      </c>
      <c r="AG796">
        <f t="shared" si="126"/>
        <v>1</v>
      </c>
      <c r="AH796">
        <f t="shared" si="127"/>
        <v>1</v>
      </c>
      <c r="AI796">
        <f t="shared" si="128"/>
        <v>0</v>
      </c>
      <c r="AJ796">
        <v>171.7</v>
      </c>
      <c r="AK796">
        <v>1016.7</v>
      </c>
      <c r="AL796">
        <v>94.6</v>
      </c>
      <c r="AM796">
        <v>6.8</v>
      </c>
      <c r="AN796">
        <v>0</v>
      </c>
      <c r="AO796">
        <v>0</v>
      </c>
      <c r="AP796">
        <v>0</v>
      </c>
      <c r="AQ796">
        <v>0</v>
      </c>
      <c r="AR796" t="s">
        <v>2742</v>
      </c>
      <c r="AS796" t="s">
        <v>2743</v>
      </c>
      <c r="AT796">
        <v>0.68</v>
      </c>
      <c r="AU796" t="s">
        <v>275</v>
      </c>
      <c r="AV796" t="s">
        <v>276</v>
      </c>
      <c r="AW796" t="s">
        <v>277</v>
      </c>
      <c r="AX796" t="s">
        <v>2744</v>
      </c>
      <c r="AY796" t="s">
        <v>2745</v>
      </c>
      <c r="AZ796">
        <v>769.99999999534339</v>
      </c>
      <c r="BA796">
        <v>1</v>
      </c>
      <c r="BB796">
        <v>0</v>
      </c>
      <c r="BC796">
        <v>25</v>
      </c>
      <c r="BD796">
        <v>0</v>
      </c>
      <c r="BE796">
        <f t="shared" si="129"/>
        <v>1</v>
      </c>
    </row>
    <row r="797" spans="1:57" x14ac:dyDescent="0.25">
      <c r="A797" t="s">
        <v>39</v>
      </c>
      <c r="B797" t="s">
        <v>2746</v>
      </c>
      <c r="C797">
        <v>64.5</v>
      </c>
      <c r="D797">
        <v>55.5</v>
      </c>
      <c r="G797">
        <f t="shared" si="120"/>
        <v>1</v>
      </c>
      <c r="H797">
        <f t="shared" si="121"/>
        <v>0</v>
      </c>
      <c r="I797">
        <f t="shared" si="122"/>
        <v>1</v>
      </c>
      <c r="J797">
        <v>59.9</v>
      </c>
      <c r="K797">
        <v>64.5</v>
      </c>
      <c r="L797">
        <v>55.5</v>
      </c>
      <c r="M797">
        <v>59.9</v>
      </c>
      <c r="N797">
        <v>54.6</v>
      </c>
      <c r="O797">
        <v>82.8</v>
      </c>
      <c r="S797">
        <f t="shared" si="123"/>
        <v>1</v>
      </c>
      <c r="T797">
        <f t="shared" si="124"/>
        <v>1</v>
      </c>
      <c r="U797">
        <f t="shared" si="125"/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17.2</v>
      </c>
      <c r="AG797">
        <f t="shared" si="126"/>
        <v>0</v>
      </c>
      <c r="AH797">
        <f t="shared" si="127"/>
        <v>0</v>
      </c>
      <c r="AI797">
        <f t="shared" si="128"/>
        <v>0</v>
      </c>
      <c r="AJ797">
        <v>59.1</v>
      </c>
      <c r="AK797">
        <v>1018.8</v>
      </c>
      <c r="AL797">
        <v>93.5</v>
      </c>
      <c r="AM797">
        <v>6.6</v>
      </c>
      <c r="AN797">
        <v>0</v>
      </c>
      <c r="AO797">
        <v>0</v>
      </c>
      <c r="AP797">
        <v>0</v>
      </c>
      <c r="AQ797">
        <v>0</v>
      </c>
      <c r="AR797" t="s">
        <v>2747</v>
      </c>
      <c r="AS797" t="s">
        <v>2748</v>
      </c>
      <c r="AT797">
        <v>0.63</v>
      </c>
      <c r="AU797" t="s">
        <v>275</v>
      </c>
      <c r="AV797" t="s">
        <v>276</v>
      </c>
      <c r="AW797" t="s">
        <v>277</v>
      </c>
      <c r="AX797" t="s">
        <v>2749</v>
      </c>
      <c r="AY797" t="s">
        <v>2750</v>
      </c>
      <c r="AZ797">
        <v>168.99999999557619</v>
      </c>
      <c r="BA797">
        <v>0</v>
      </c>
      <c r="BB797">
        <v>0</v>
      </c>
      <c r="BC797">
        <v>7</v>
      </c>
      <c r="BD797">
        <v>0</v>
      </c>
      <c r="BE797">
        <f t="shared" si="129"/>
        <v>0</v>
      </c>
    </row>
    <row r="798" spans="1:57" x14ac:dyDescent="0.25">
      <c r="A798" t="s">
        <v>39</v>
      </c>
      <c r="B798" t="s">
        <v>2751</v>
      </c>
      <c r="C798">
        <v>60.9</v>
      </c>
      <c r="D798">
        <v>51.9</v>
      </c>
      <c r="G798">
        <f t="shared" si="120"/>
        <v>1</v>
      </c>
      <c r="H798">
        <f t="shared" si="121"/>
        <v>0</v>
      </c>
      <c r="I798">
        <f t="shared" si="122"/>
        <v>1</v>
      </c>
      <c r="J798">
        <v>56.8</v>
      </c>
      <c r="K798">
        <v>60.9</v>
      </c>
      <c r="L798">
        <v>51.9</v>
      </c>
      <c r="M798">
        <v>56.8</v>
      </c>
      <c r="N798">
        <v>46.6</v>
      </c>
      <c r="O798">
        <v>69.099999999999994</v>
      </c>
      <c r="S798">
        <f t="shared" si="123"/>
        <v>1</v>
      </c>
      <c r="T798">
        <f t="shared" si="124"/>
        <v>1</v>
      </c>
      <c r="U798">
        <f t="shared" si="125"/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13.9</v>
      </c>
      <c r="AG798">
        <f t="shared" si="126"/>
        <v>1</v>
      </c>
      <c r="AH798">
        <f t="shared" si="127"/>
        <v>0</v>
      </c>
      <c r="AI798">
        <f t="shared" si="128"/>
        <v>1</v>
      </c>
      <c r="AJ798">
        <v>347.9</v>
      </c>
      <c r="AK798">
        <v>1015.4</v>
      </c>
      <c r="AL798">
        <v>48.3</v>
      </c>
      <c r="AM798">
        <v>6.8</v>
      </c>
      <c r="AN798">
        <v>0</v>
      </c>
      <c r="AO798">
        <v>0</v>
      </c>
      <c r="AP798">
        <v>0</v>
      </c>
      <c r="AQ798">
        <v>0</v>
      </c>
      <c r="AR798" t="s">
        <v>2752</v>
      </c>
      <c r="AS798" t="s">
        <v>2753</v>
      </c>
      <c r="AT798">
        <v>0.52</v>
      </c>
      <c r="AU798" t="s">
        <v>43</v>
      </c>
      <c r="AV798" t="s">
        <v>44</v>
      </c>
      <c r="AW798" t="s">
        <v>45</v>
      </c>
      <c r="AX798" t="s">
        <v>2754</v>
      </c>
      <c r="AY798" t="s">
        <v>2755</v>
      </c>
      <c r="AZ798">
        <v>139.99999999534339</v>
      </c>
      <c r="BA798">
        <v>0</v>
      </c>
      <c r="BB798">
        <v>0</v>
      </c>
      <c r="BC798">
        <v>1</v>
      </c>
      <c r="BD798">
        <v>0</v>
      </c>
      <c r="BE798">
        <f t="shared" si="129"/>
        <v>0</v>
      </c>
    </row>
    <row r="799" spans="1:57" x14ac:dyDescent="0.25">
      <c r="A799" t="s">
        <v>39</v>
      </c>
      <c r="B799" t="s">
        <v>2756</v>
      </c>
      <c r="C799">
        <v>84.3</v>
      </c>
      <c r="D799">
        <v>71.7</v>
      </c>
      <c r="G799">
        <f t="shared" si="120"/>
        <v>0</v>
      </c>
      <c r="H799">
        <f t="shared" si="121"/>
        <v>0</v>
      </c>
      <c r="I799">
        <f t="shared" si="122"/>
        <v>0</v>
      </c>
      <c r="J799">
        <v>78.900000000000006</v>
      </c>
      <c r="K799">
        <v>89.8</v>
      </c>
      <c r="L799">
        <v>71.7</v>
      </c>
      <c r="M799">
        <v>80.7</v>
      </c>
      <c r="N799">
        <v>67.400000000000006</v>
      </c>
      <c r="O799">
        <v>68.400000000000006</v>
      </c>
      <c r="S799">
        <f t="shared" si="123"/>
        <v>1</v>
      </c>
      <c r="T799">
        <f t="shared" si="124"/>
        <v>1</v>
      </c>
      <c r="U799">
        <f t="shared" si="125"/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15</v>
      </c>
      <c r="AG799">
        <f t="shared" si="126"/>
        <v>1</v>
      </c>
      <c r="AH799">
        <f t="shared" si="127"/>
        <v>0</v>
      </c>
      <c r="AI799">
        <f t="shared" si="128"/>
        <v>1</v>
      </c>
      <c r="AJ799">
        <v>308.2</v>
      </c>
      <c r="AK799">
        <v>1011.6</v>
      </c>
      <c r="AL799">
        <v>30</v>
      </c>
      <c r="AM799">
        <v>6.2</v>
      </c>
      <c r="AN799">
        <v>0</v>
      </c>
      <c r="AO799">
        <v>0</v>
      </c>
      <c r="AP799">
        <v>0</v>
      </c>
      <c r="AQ799">
        <v>0</v>
      </c>
      <c r="AR799" t="s">
        <v>2757</v>
      </c>
      <c r="AS799" t="s">
        <v>2758</v>
      </c>
      <c r="AT799">
        <v>0.56999999999999995</v>
      </c>
      <c r="AU799" t="s">
        <v>43</v>
      </c>
      <c r="AV799" t="s">
        <v>44</v>
      </c>
      <c r="AW799" t="s">
        <v>45</v>
      </c>
      <c r="AX799" t="s">
        <v>2759</v>
      </c>
      <c r="AY799" t="s">
        <v>2760</v>
      </c>
      <c r="AZ799">
        <v>124.9999999988358</v>
      </c>
      <c r="BA799">
        <v>0</v>
      </c>
      <c r="BB799">
        <v>0</v>
      </c>
      <c r="BC799">
        <v>1</v>
      </c>
      <c r="BD799">
        <v>0</v>
      </c>
      <c r="BE799">
        <f t="shared" si="129"/>
        <v>0</v>
      </c>
    </row>
    <row r="800" spans="1:57" x14ac:dyDescent="0.25">
      <c r="A800" t="s">
        <v>39</v>
      </c>
      <c r="B800" t="s">
        <v>2541</v>
      </c>
      <c r="C800">
        <v>89.7</v>
      </c>
      <c r="D800">
        <v>69.900000000000006</v>
      </c>
      <c r="G800">
        <f t="shared" si="120"/>
        <v>1</v>
      </c>
      <c r="H800">
        <f t="shared" si="121"/>
        <v>1</v>
      </c>
      <c r="I800">
        <f t="shared" si="122"/>
        <v>0</v>
      </c>
      <c r="J800">
        <v>79.8</v>
      </c>
      <c r="K800">
        <v>93.7</v>
      </c>
      <c r="L800">
        <v>69.900000000000006</v>
      </c>
      <c r="M800">
        <v>81.3</v>
      </c>
      <c r="N800">
        <v>63.6</v>
      </c>
      <c r="O800">
        <v>59</v>
      </c>
      <c r="S800">
        <f t="shared" si="123"/>
        <v>0</v>
      </c>
      <c r="T800">
        <f t="shared" si="124"/>
        <v>0</v>
      </c>
      <c r="U800">
        <f t="shared" si="125"/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10.3</v>
      </c>
      <c r="AG800">
        <f t="shared" si="126"/>
        <v>1</v>
      </c>
      <c r="AH800">
        <f t="shared" si="127"/>
        <v>0</v>
      </c>
      <c r="AI800">
        <f t="shared" si="128"/>
        <v>1</v>
      </c>
      <c r="AJ800">
        <v>168.5</v>
      </c>
      <c r="AK800">
        <v>1010</v>
      </c>
      <c r="AL800">
        <v>0</v>
      </c>
      <c r="AM800">
        <v>6.2</v>
      </c>
      <c r="AN800">
        <v>0</v>
      </c>
      <c r="AO800">
        <v>0</v>
      </c>
      <c r="AP800">
        <v>0</v>
      </c>
      <c r="AQ800">
        <v>0</v>
      </c>
      <c r="AR800" t="s">
        <v>2542</v>
      </c>
      <c r="AS800" t="s">
        <v>2543</v>
      </c>
      <c r="AT800">
        <v>0.6</v>
      </c>
      <c r="AU800" t="s">
        <v>74</v>
      </c>
      <c r="AV800" t="s">
        <v>44</v>
      </c>
      <c r="AW800" t="s">
        <v>75</v>
      </c>
      <c r="AX800" t="s">
        <v>2761</v>
      </c>
      <c r="AY800" t="s">
        <v>2762</v>
      </c>
      <c r="AZ800">
        <v>379.99999999185093</v>
      </c>
      <c r="BA800">
        <v>1</v>
      </c>
      <c r="BB800">
        <v>0</v>
      </c>
      <c r="BC800">
        <v>5</v>
      </c>
      <c r="BD800">
        <v>0</v>
      </c>
      <c r="BE800">
        <f t="shared" si="129"/>
        <v>1</v>
      </c>
    </row>
    <row r="801" spans="1:57" x14ac:dyDescent="0.25">
      <c r="A801" t="s">
        <v>39</v>
      </c>
      <c r="B801" t="s">
        <v>2483</v>
      </c>
      <c r="C801">
        <v>78.900000000000006</v>
      </c>
      <c r="D801">
        <v>62.7</v>
      </c>
      <c r="G801">
        <f t="shared" si="120"/>
        <v>1</v>
      </c>
      <c r="H801">
        <f t="shared" si="121"/>
        <v>1</v>
      </c>
      <c r="I801">
        <f t="shared" si="122"/>
        <v>0</v>
      </c>
      <c r="J801">
        <v>70.900000000000006</v>
      </c>
      <c r="K801">
        <v>78.900000000000006</v>
      </c>
      <c r="L801">
        <v>62.7</v>
      </c>
      <c r="M801">
        <v>70.900000000000006</v>
      </c>
      <c r="N801">
        <v>61.9</v>
      </c>
      <c r="O801">
        <v>73.7</v>
      </c>
      <c r="S801">
        <f t="shared" si="123"/>
        <v>1</v>
      </c>
      <c r="T801">
        <f t="shared" si="124"/>
        <v>1</v>
      </c>
      <c r="U801">
        <f t="shared" si="125"/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19.5</v>
      </c>
      <c r="AG801">
        <f t="shared" si="126"/>
        <v>1</v>
      </c>
      <c r="AH801">
        <f t="shared" si="127"/>
        <v>1</v>
      </c>
      <c r="AI801">
        <f t="shared" si="128"/>
        <v>0</v>
      </c>
      <c r="AJ801">
        <v>272.2</v>
      </c>
      <c r="AK801">
        <v>1013.4</v>
      </c>
      <c r="AL801">
        <v>58.3</v>
      </c>
      <c r="AM801">
        <v>6.8</v>
      </c>
      <c r="AN801">
        <v>0</v>
      </c>
      <c r="AO801">
        <v>0</v>
      </c>
      <c r="AP801">
        <v>0</v>
      </c>
      <c r="AQ801">
        <v>0</v>
      </c>
      <c r="AR801" t="s">
        <v>2484</v>
      </c>
      <c r="AS801" t="s">
        <v>2485</v>
      </c>
      <c r="AT801">
        <v>7.0000000000000007E-2</v>
      </c>
      <c r="AU801" t="s">
        <v>43</v>
      </c>
      <c r="AV801" t="s">
        <v>44</v>
      </c>
      <c r="AW801" t="s">
        <v>45</v>
      </c>
      <c r="AX801" t="s">
        <v>2763</v>
      </c>
      <c r="AY801" t="s">
        <v>2764</v>
      </c>
      <c r="AZ801">
        <v>90</v>
      </c>
      <c r="BA801">
        <v>0</v>
      </c>
      <c r="BB801">
        <v>0</v>
      </c>
      <c r="BC801">
        <v>1</v>
      </c>
      <c r="BD801">
        <v>0</v>
      </c>
      <c r="BE801">
        <f t="shared" si="129"/>
        <v>1</v>
      </c>
    </row>
    <row r="802" spans="1:57" x14ac:dyDescent="0.25">
      <c r="A802" t="s">
        <v>39</v>
      </c>
      <c r="B802" t="s">
        <v>2483</v>
      </c>
      <c r="C802">
        <v>78.900000000000006</v>
      </c>
      <c r="D802">
        <v>62.7</v>
      </c>
      <c r="G802">
        <f t="shared" si="120"/>
        <v>1</v>
      </c>
      <c r="H802">
        <f t="shared" si="121"/>
        <v>1</v>
      </c>
      <c r="I802">
        <f t="shared" si="122"/>
        <v>0</v>
      </c>
      <c r="J802">
        <v>70.900000000000006</v>
      </c>
      <c r="K802">
        <v>78.900000000000006</v>
      </c>
      <c r="L802">
        <v>62.7</v>
      </c>
      <c r="M802">
        <v>70.900000000000006</v>
      </c>
      <c r="N802">
        <v>61.9</v>
      </c>
      <c r="O802">
        <v>73.7</v>
      </c>
      <c r="S802">
        <f t="shared" si="123"/>
        <v>1</v>
      </c>
      <c r="T802">
        <f t="shared" si="124"/>
        <v>1</v>
      </c>
      <c r="U802">
        <f t="shared" si="125"/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19.5</v>
      </c>
      <c r="AG802">
        <f t="shared" si="126"/>
        <v>1</v>
      </c>
      <c r="AH802">
        <f t="shared" si="127"/>
        <v>1</v>
      </c>
      <c r="AI802">
        <f t="shared" si="128"/>
        <v>0</v>
      </c>
      <c r="AJ802">
        <v>272.2</v>
      </c>
      <c r="AK802">
        <v>1013.4</v>
      </c>
      <c r="AL802">
        <v>58.3</v>
      </c>
      <c r="AM802">
        <v>6.8</v>
      </c>
      <c r="AN802">
        <v>0</v>
      </c>
      <c r="AO802">
        <v>0</v>
      </c>
      <c r="AP802">
        <v>0</v>
      </c>
      <c r="AQ802">
        <v>0</v>
      </c>
      <c r="AR802" t="s">
        <v>2484</v>
      </c>
      <c r="AS802" t="s">
        <v>2485</v>
      </c>
      <c r="AT802">
        <v>7.0000000000000007E-2</v>
      </c>
      <c r="AU802" t="s">
        <v>43</v>
      </c>
      <c r="AV802" t="s">
        <v>44</v>
      </c>
      <c r="AW802" t="s">
        <v>45</v>
      </c>
      <c r="AX802" t="s">
        <v>2683</v>
      </c>
      <c r="AY802" t="s">
        <v>2765</v>
      </c>
      <c r="AZ802">
        <v>145.00000000116421</v>
      </c>
      <c r="BA802">
        <v>0</v>
      </c>
      <c r="BB802">
        <v>0</v>
      </c>
      <c r="BC802">
        <v>1</v>
      </c>
      <c r="BD802">
        <v>0</v>
      </c>
      <c r="BE802">
        <f t="shared" si="129"/>
        <v>1</v>
      </c>
    </row>
    <row r="803" spans="1:57" x14ac:dyDescent="0.25">
      <c r="A803" t="s">
        <v>39</v>
      </c>
      <c r="B803" t="s">
        <v>2766</v>
      </c>
      <c r="C803">
        <v>84.3</v>
      </c>
      <c r="D803">
        <v>68.099999999999994</v>
      </c>
      <c r="G803">
        <f t="shared" si="120"/>
        <v>1</v>
      </c>
      <c r="H803">
        <f t="shared" si="121"/>
        <v>1</v>
      </c>
      <c r="I803">
        <f t="shared" si="122"/>
        <v>0</v>
      </c>
      <c r="J803">
        <v>77.400000000000006</v>
      </c>
      <c r="K803">
        <v>87.6</v>
      </c>
      <c r="L803">
        <v>68.099999999999994</v>
      </c>
      <c r="M803">
        <v>78.7</v>
      </c>
      <c r="N803">
        <v>65.099999999999994</v>
      </c>
      <c r="O803">
        <v>66.5</v>
      </c>
      <c r="S803">
        <f t="shared" si="123"/>
        <v>1</v>
      </c>
      <c r="T803">
        <f t="shared" si="124"/>
        <v>1</v>
      </c>
      <c r="U803">
        <f t="shared" si="125"/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20.8</v>
      </c>
      <c r="AG803">
        <f t="shared" si="126"/>
        <v>1</v>
      </c>
      <c r="AH803">
        <f t="shared" si="127"/>
        <v>1</v>
      </c>
      <c r="AI803">
        <f t="shared" si="128"/>
        <v>0</v>
      </c>
      <c r="AJ803">
        <v>304</v>
      </c>
      <c r="AK803">
        <v>1009.5</v>
      </c>
      <c r="AL803">
        <v>30</v>
      </c>
      <c r="AM803">
        <v>6.4</v>
      </c>
      <c r="AN803">
        <v>0</v>
      </c>
      <c r="AO803">
        <v>0</v>
      </c>
      <c r="AP803">
        <v>0</v>
      </c>
      <c r="AQ803">
        <v>0</v>
      </c>
      <c r="AR803" t="s">
        <v>2767</v>
      </c>
      <c r="AS803" t="s">
        <v>2768</v>
      </c>
      <c r="AT803">
        <v>0.1</v>
      </c>
      <c r="AU803" t="s">
        <v>43</v>
      </c>
      <c r="AV803" t="s">
        <v>44</v>
      </c>
      <c r="AW803" t="s">
        <v>45</v>
      </c>
      <c r="AX803" t="s">
        <v>2769</v>
      </c>
      <c r="AY803" t="s">
        <v>2770</v>
      </c>
      <c r="AZ803">
        <v>259.99999999883579</v>
      </c>
      <c r="BA803">
        <v>0</v>
      </c>
      <c r="BB803">
        <v>0</v>
      </c>
      <c r="BC803">
        <v>6</v>
      </c>
      <c r="BD803">
        <v>0</v>
      </c>
      <c r="BE803">
        <f t="shared" si="129"/>
        <v>1</v>
      </c>
    </row>
    <row r="804" spans="1:57" x14ac:dyDescent="0.25">
      <c r="A804" t="s">
        <v>39</v>
      </c>
      <c r="B804" t="s">
        <v>2771</v>
      </c>
      <c r="C804">
        <v>84.3</v>
      </c>
      <c r="D804">
        <v>77.099999999999994</v>
      </c>
      <c r="G804">
        <f t="shared" si="120"/>
        <v>1</v>
      </c>
      <c r="H804">
        <f t="shared" si="121"/>
        <v>1</v>
      </c>
      <c r="I804">
        <f t="shared" si="122"/>
        <v>0</v>
      </c>
      <c r="J804">
        <v>81.400000000000006</v>
      </c>
      <c r="K804">
        <v>87.6</v>
      </c>
      <c r="L804">
        <v>77.099999999999994</v>
      </c>
      <c r="M804">
        <v>83.1</v>
      </c>
      <c r="N804">
        <v>66.900000000000006</v>
      </c>
      <c r="O804">
        <v>61.8</v>
      </c>
      <c r="S804">
        <f t="shared" si="123"/>
        <v>1</v>
      </c>
      <c r="T804">
        <f t="shared" si="124"/>
        <v>1</v>
      </c>
      <c r="U804">
        <f t="shared" si="125"/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16.100000000000001</v>
      </c>
      <c r="AG804">
        <f t="shared" si="126"/>
        <v>0</v>
      </c>
      <c r="AH804">
        <f t="shared" si="127"/>
        <v>0</v>
      </c>
      <c r="AI804">
        <f t="shared" si="128"/>
        <v>0</v>
      </c>
      <c r="AJ804">
        <v>310.2</v>
      </c>
      <c r="AK804">
        <v>1011.2</v>
      </c>
      <c r="AL804">
        <v>0</v>
      </c>
      <c r="AM804">
        <v>6.2</v>
      </c>
      <c r="AN804">
        <v>0</v>
      </c>
      <c r="AO804">
        <v>0</v>
      </c>
      <c r="AP804">
        <v>0</v>
      </c>
      <c r="AQ804">
        <v>0</v>
      </c>
      <c r="AR804" t="s">
        <v>2772</v>
      </c>
      <c r="AS804" t="s">
        <v>2773</v>
      </c>
      <c r="AT804">
        <v>0.2</v>
      </c>
      <c r="AU804" t="s">
        <v>74</v>
      </c>
      <c r="AV804" t="s">
        <v>44</v>
      </c>
      <c r="AW804" t="s">
        <v>75</v>
      </c>
      <c r="AX804" t="s">
        <v>2774</v>
      </c>
      <c r="AY804" t="s">
        <v>2775</v>
      </c>
      <c r="AZ804">
        <v>869.99999999650754</v>
      </c>
      <c r="BA804">
        <v>1</v>
      </c>
      <c r="BB804">
        <v>0</v>
      </c>
      <c r="BC804">
        <v>25</v>
      </c>
      <c r="BD804">
        <v>0</v>
      </c>
      <c r="BE804">
        <f t="shared" si="129"/>
        <v>1</v>
      </c>
    </row>
    <row r="805" spans="1:57" x14ac:dyDescent="0.25">
      <c r="A805" t="s">
        <v>39</v>
      </c>
      <c r="B805" t="s">
        <v>2776</v>
      </c>
      <c r="C805">
        <v>82.5</v>
      </c>
      <c r="D805">
        <v>75.3</v>
      </c>
      <c r="G805">
        <f t="shared" si="120"/>
        <v>0</v>
      </c>
      <c r="H805">
        <f t="shared" si="121"/>
        <v>0</v>
      </c>
      <c r="I805">
        <f t="shared" si="122"/>
        <v>0</v>
      </c>
      <c r="J805">
        <v>78.8</v>
      </c>
      <c r="K805">
        <v>84.1</v>
      </c>
      <c r="L805">
        <v>75.3</v>
      </c>
      <c r="M805">
        <v>79.599999999999994</v>
      </c>
      <c r="N805">
        <v>64.2</v>
      </c>
      <c r="O805">
        <v>61</v>
      </c>
      <c r="S805">
        <f t="shared" si="123"/>
        <v>0</v>
      </c>
      <c r="T805">
        <f t="shared" si="124"/>
        <v>0</v>
      </c>
      <c r="U805">
        <f t="shared" si="125"/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21.9</v>
      </c>
      <c r="AG805">
        <f t="shared" si="126"/>
        <v>1</v>
      </c>
      <c r="AH805">
        <f t="shared" si="127"/>
        <v>1</v>
      </c>
      <c r="AI805">
        <f t="shared" si="128"/>
        <v>0</v>
      </c>
      <c r="AJ805">
        <v>315.39999999999998</v>
      </c>
      <c r="AK805">
        <v>1011.1</v>
      </c>
      <c r="AL805">
        <v>30</v>
      </c>
      <c r="AM805">
        <v>6.6</v>
      </c>
      <c r="AN805">
        <v>0</v>
      </c>
      <c r="AO805">
        <v>0</v>
      </c>
      <c r="AP805">
        <v>0</v>
      </c>
      <c r="AQ805">
        <v>0</v>
      </c>
      <c r="AR805" t="s">
        <v>2777</v>
      </c>
      <c r="AS805" t="s">
        <v>2778</v>
      </c>
      <c r="AT805">
        <v>0.56000000000000005</v>
      </c>
      <c r="AU805" t="s">
        <v>43</v>
      </c>
      <c r="AV805" t="s">
        <v>44</v>
      </c>
      <c r="AW805" t="s">
        <v>45</v>
      </c>
      <c r="AX805" t="s">
        <v>2774</v>
      </c>
      <c r="AY805" t="s">
        <v>2779</v>
      </c>
      <c r="AZ805">
        <v>34.999999998835847</v>
      </c>
      <c r="BA805">
        <v>0</v>
      </c>
      <c r="BB805">
        <v>0</v>
      </c>
      <c r="BC805">
        <v>0.05</v>
      </c>
      <c r="BD805">
        <v>0</v>
      </c>
      <c r="BE805">
        <f t="shared" si="129"/>
        <v>0</v>
      </c>
    </row>
    <row r="806" spans="1:57" x14ac:dyDescent="0.25">
      <c r="A806" t="s">
        <v>39</v>
      </c>
      <c r="B806" t="s">
        <v>2689</v>
      </c>
      <c r="C806">
        <v>86.1</v>
      </c>
      <c r="D806">
        <v>77.099999999999994</v>
      </c>
      <c r="G806">
        <f t="shared" si="120"/>
        <v>1</v>
      </c>
      <c r="H806">
        <f t="shared" si="121"/>
        <v>1</v>
      </c>
      <c r="I806">
        <f t="shared" si="122"/>
        <v>0</v>
      </c>
      <c r="J806">
        <v>81</v>
      </c>
      <c r="K806">
        <v>88.5</v>
      </c>
      <c r="L806">
        <v>77.099999999999994</v>
      </c>
      <c r="M806">
        <v>82.4</v>
      </c>
      <c r="N806">
        <v>64.7</v>
      </c>
      <c r="O806">
        <v>57.9</v>
      </c>
      <c r="S806">
        <f t="shared" si="123"/>
        <v>1</v>
      </c>
      <c r="T806">
        <f t="shared" si="124"/>
        <v>0</v>
      </c>
      <c r="U806">
        <f t="shared" si="125"/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18.3</v>
      </c>
      <c r="AG806">
        <f t="shared" si="126"/>
        <v>0</v>
      </c>
      <c r="AH806">
        <f t="shared" si="127"/>
        <v>0</v>
      </c>
      <c r="AI806">
        <f t="shared" si="128"/>
        <v>0</v>
      </c>
      <c r="AJ806">
        <v>311.2</v>
      </c>
      <c r="AK806">
        <v>1013.3</v>
      </c>
      <c r="AL806">
        <v>0</v>
      </c>
      <c r="AM806">
        <v>6.2</v>
      </c>
      <c r="AN806">
        <v>0</v>
      </c>
      <c r="AO806">
        <v>0</v>
      </c>
      <c r="AP806">
        <v>0</v>
      </c>
      <c r="AQ806">
        <v>0</v>
      </c>
      <c r="AR806" t="s">
        <v>2690</v>
      </c>
      <c r="AS806" t="s">
        <v>2691</v>
      </c>
      <c r="AT806">
        <v>0.78</v>
      </c>
      <c r="AU806" t="s">
        <v>74</v>
      </c>
      <c r="AV806" t="s">
        <v>44</v>
      </c>
      <c r="AW806" t="s">
        <v>75</v>
      </c>
      <c r="AX806" t="s">
        <v>2539</v>
      </c>
      <c r="AY806" t="s">
        <v>2780</v>
      </c>
      <c r="AZ806">
        <v>1470.000000003492</v>
      </c>
      <c r="BA806">
        <v>1</v>
      </c>
      <c r="BB806">
        <v>0</v>
      </c>
      <c r="BC806">
        <v>60</v>
      </c>
      <c r="BD806">
        <v>0</v>
      </c>
      <c r="BE806">
        <f t="shared" si="129"/>
        <v>1</v>
      </c>
    </row>
    <row r="807" spans="1:57" x14ac:dyDescent="0.25">
      <c r="A807" t="s">
        <v>39</v>
      </c>
      <c r="B807" t="s">
        <v>2390</v>
      </c>
      <c r="C807">
        <v>84.3</v>
      </c>
      <c r="D807">
        <v>75.3</v>
      </c>
      <c r="G807">
        <f t="shared" si="120"/>
        <v>0</v>
      </c>
      <c r="H807">
        <f t="shared" si="121"/>
        <v>0</v>
      </c>
      <c r="I807">
        <f t="shared" si="122"/>
        <v>0</v>
      </c>
      <c r="J807">
        <v>81.2</v>
      </c>
      <c r="K807">
        <v>89.8</v>
      </c>
      <c r="L807">
        <v>75.3</v>
      </c>
      <c r="M807">
        <v>83.1</v>
      </c>
      <c r="N807">
        <v>66.599999999999994</v>
      </c>
      <c r="O807">
        <v>61.5</v>
      </c>
      <c r="S807">
        <f t="shared" si="123"/>
        <v>0</v>
      </c>
      <c r="T807">
        <f t="shared" si="124"/>
        <v>0</v>
      </c>
      <c r="U807">
        <f t="shared" si="125"/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18.3</v>
      </c>
      <c r="AG807">
        <f t="shared" si="126"/>
        <v>0</v>
      </c>
      <c r="AH807">
        <f t="shared" si="127"/>
        <v>0</v>
      </c>
      <c r="AI807">
        <f t="shared" si="128"/>
        <v>0</v>
      </c>
      <c r="AJ807">
        <v>311.7</v>
      </c>
      <c r="AK807">
        <v>1009.5</v>
      </c>
      <c r="AL807">
        <v>0</v>
      </c>
      <c r="AM807">
        <v>6.2</v>
      </c>
      <c r="AN807">
        <v>0</v>
      </c>
      <c r="AO807">
        <v>0</v>
      </c>
      <c r="AP807">
        <v>0</v>
      </c>
      <c r="AQ807">
        <v>0</v>
      </c>
      <c r="AR807" t="s">
        <v>2391</v>
      </c>
      <c r="AS807" t="s">
        <v>2392</v>
      </c>
      <c r="AT807">
        <v>0.82</v>
      </c>
      <c r="AU807" t="s">
        <v>74</v>
      </c>
      <c r="AV807" t="s">
        <v>44</v>
      </c>
      <c r="AW807" t="s">
        <v>75</v>
      </c>
      <c r="AX807" t="s">
        <v>2587</v>
      </c>
      <c r="AY807" t="s">
        <v>2781</v>
      </c>
      <c r="AZ807">
        <v>75.00000000349246</v>
      </c>
      <c r="BA807">
        <v>0</v>
      </c>
      <c r="BB807">
        <v>0</v>
      </c>
      <c r="BC807">
        <v>7.0000000000000007E-2</v>
      </c>
      <c r="BD807">
        <v>0</v>
      </c>
      <c r="BE807">
        <f t="shared" si="129"/>
        <v>0</v>
      </c>
    </row>
    <row r="808" spans="1:57" x14ac:dyDescent="0.25">
      <c r="A808" t="s">
        <v>39</v>
      </c>
      <c r="B808" t="s">
        <v>2468</v>
      </c>
      <c r="C808">
        <v>80.7</v>
      </c>
      <c r="D808">
        <v>73.5</v>
      </c>
      <c r="G808">
        <f t="shared" si="120"/>
        <v>1</v>
      </c>
      <c r="H808">
        <f t="shared" si="121"/>
        <v>0</v>
      </c>
      <c r="I808">
        <f t="shared" si="122"/>
        <v>1</v>
      </c>
      <c r="J808">
        <v>77.8</v>
      </c>
      <c r="K808">
        <v>81.900000000000006</v>
      </c>
      <c r="L808">
        <v>73.5</v>
      </c>
      <c r="M808">
        <v>78</v>
      </c>
      <c r="N808">
        <v>61.7</v>
      </c>
      <c r="O808">
        <v>58.1</v>
      </c>
      <c r="S808">
        <f t="shared" si="123"/>
        <v>1</v>
      </c>
      <c r="T808">
        <f t="shared" si="124"/>
        <v>0</v>
      </c>
      <c r="U808">
        <f t="shared" si="125"/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21.9</v>
      </c>
      <c r="AG808">
        <f t="shared" si="126"/>
        <v>1</v>
      </c>
      <c r="AH808">
        <f t="shared" si="127"/>
        <v>1</v>
      </c>
      <c r="AI808">
        <f t="shared" si="128"/>
        <v>0</v>
      </c>
      <c r="AJ808">
        <v>314.89999999999998</v>
      </c>
      <c r="AK808">
        <v>1014</v>
      </c>
      <c r="AL808">
        <v>30</v>
      </c>
      <c r="AM808">
        <v>6.7</v>
      </c>
      <c r="AN808">
        <v>0</v>
      </c>
      <c r="AO808">
        <v>0</v>
      </c>
      <c r="AP808">
        <v>0</v>
      </c>
      <c r="AQ808">
        <v>0</v>
      </c>
      <c r="AR808" t="s">
        <v>2469</v>
      </c>
      <c r="AS808" t="s">
        <v>2470</v>
      </c>
      <c r="AT808">
        <v>0.03</v>
      </c>
      <c r="AU808" t="s">
        <v>43</v>
      </c>
      <c r="AV808" t="s">
        <v>44</v>
      </c>
      <c r="AW808" t="s">
        <v>45</v>
      </c>
      <c r="AX808" t="s">
        <v>2763</v>
      </c>
      <c r="AY808" t="s">
        <v>2782</v>
      </c>
      <c r="AZ808">
        <v>129.99999999417921</v>
      </c>
      <c r="BA808">
        <v>0</v>
      </c>
      <c r="BB808">
        <v>0</v>
      </c>
      <c r="BC808">
        <v>0.5</v>
      </c>
      <c r="BD808">
        <v>0</v>
      </c>
      <c r="BE808">
        <f t="shared" si="129"/>
        <v>1</v>
      </c>
    </row>
    <row r="809" spans="1:57" x14ac:dyDescent="0.25">
      <c r="A809" t="s">
        <v>39</v>
      </c>
      <c r="B809" t="s">
        <v>2400</v>
      </c>
      <c r="C809">
        <v>87.9</v>
      </c>
      <c r="D809">
        <v>73.5</v>
      </c>
      <c r="G809">
        <f t="shared" si="120"/>
        <v>1</v>
      </c>
      <c r="H809">
        <f t="shared" si="121"/>
        <v>1</v>
      </c>
      <c r="I809">
        <f t="shared" si="122"/>
        <v>0</v>
      </c>
      <c r="J809">
        <v>82.7</v>
      </c>
      <c r="K809">
        <v>94.4</v>
      </c>
      <c r="L809">
        <v>73.5</v>
      </c>
      <c r="M809">
        <v>85.4</v>
      </c>
      <c r="N809">
        <v>65.7</v>
      </c>
      <c r="O809">
        <v>56.8</v>
      </c>
      <c r="S809">
        <f t="shared" si="123"/>
        <v>1</v>
      </c>
      <c r="T809">
        <f t="shared" si="124"/>
        <v>0</v>
      </c>
      <c r="U809">
        <f t="shared" si="125"/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15</v>
      </c>
      <c r="AG809">
        <f t="shared" si="126"/>
        <v>1</v>
      </c>
      <c r="AH809">
        <f t="shared" si="127"/>
        <v>0</v>
      </c>
      <c r="AI809">
        <f t="shared" si="128"/>
        <v>1</v>
      </c>
      <c r="AJ809">
        <v>269.60000000000002</v>
      </c>
      <c r="AK809">
        <v>1006.4</v>
      </c>
      <c r="AL809">
        <v>0</v>
      </c>
      <c r="AM809">
        <v>6.2</v>
      </c>
      <c r="AN809">
        <v>0</v>
      </c>
      <c r="AO809">
        <v>0</v>
      </c>
      <c r="AP809">
        <v>0</v>
      </c>
      <c r="AQ809">
        <v>0</v>
      </c>
      <c r="AR809" t="s">
        <v>2401</v>
      </c>
      <c r="AS809" t="s">
        <v>2402</v>
      </c>
      <c r="AT809">
        <v>0.32</v>
      </c>
      <c r="AU809" t="s">
        <v>74</v>
      </c>
      <c r="AV809" t="s">
        <v>44</v>
      </c>
      <c r="AW809" t="s">
        <v>75</v>
      </c>
      <c r="AX809" t="s">
        <v>2514</v>
      </c>
      <c r="AY809" t="s">
        <v>2783</v>
      </c>
      <c r="AZ809">
        <v>255.00000000349249</v>
      </c>
      <c r="BA809">
        <v>0</v>
      </c>
      <c r="BB809">
        <v>0</v>
      </c>
      <c r="BC809">
        <v>5</v>
      </c>
      <c r="BD809">
        <v>0</v>
      </c>
      <c r="BE809">
        <f t="shared" si="129"/>
        <v>1</v>
      </c>
    </row>
    <row r="810" spans="1:57" x14ac:dyDescent="0.25">
      <c r="A810" t="s">
        <v>39</v>
      </c>
      <c r="B810" t="s">
        <v>2784</v>
      </c>
      <c r="C810">
        <v>84.3</v>
      </c>
      <c r="D810">
        <v>71.7</v>
      </c>
      <c r="G810">
        <f t="shared" si="120"/>
        <v>0</v>
      </c>
      <c r="H810">
        <f t="shared" si="121"/>
        <v>0</v>
      </c>
      <c r="I810">
        <f t="shared" si="122"/>
        <v>0</v>
      </c>
      <c r="J810">
        <v>79.599999999999994</v>
      </c>
      <c r="K810">
        <v>88.6</v>
      </c>
      <c r="L810">
        <v>71.7</v>
      </c>
      <c r="M810">
        <v>81.400000000000006</v>
      </c>
      <c r="N810">
        <v>67.8</v>
      </c>
      <c r="O810">
        <v>67.599999999999994</v>
      </c>
      <c r="S810">
        <f t="shared" si="123"/>
        <v>1</v>
      </c>
      <c r="T810">
        <f t="shared" si="124"/>
        <v>1</v>
      </c>
      <c r="U810">
        <f t="shared" si="125"/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19.5</v>
      </c>
      <c r="AG810">
        <f t="shared" si="126"/>
        <v>1</v>
      </c>
      <c r="AH810">
        <f t="shared" si="127"/>
        <v>1</v>
      </c>
      <c r="AI810">
        <f t="shared" si="128"/>
        <v>0</v>
      </c>
      <c r="AJ810">
        <v>317.60000000000002</v>
      </c>
      <c r="AK810">
        <v>1006.8</v>
      </c>
      <c r="AL810">
        <v>30</v>
      </c>
      <c r="AM810">
        <v>6.5</v>
      </c>
      <c r="AN810">
        <v>0</v>
      </c>
      <c r="AO810">
        <v>0</v>
      </c>
      <c r="AP810">
        <v>0</v>
      </c>
      <c r="AQ810">
        <v>0</v>
      </c>
      <c r="AR810" t="s">
        <v>2785</v>
      </c>
      <c r="AS810" t="s">
        <v>2786</v>
      </c>
      <c r="AT810">
        <v>0.48</v>
      </c>
      <c r="AU810" t="s">
        <v>43</v>
      </c>
      <c r="AV810" t="s">
        <v>44</v>
      </c>
      <c r="AW810" t="s">
        <v>45</v>
      </c>
      <c r="AX810" t="s">
        <v>2443</v>
      </c>
      <c r="AY810" t="s">
        <v>2787</v>
      </c>
      <c r="AZ810">
        <v>84.999999994179234</v>
      </c>
      <c r="BA810">
        <v>0</v>
      </c>
      <c r="BB810">
        <v>0.03</v>
      </c>
      <c r="BC810">
        <v>0</v>
      </c>
      <c r="BD810">
        <v>0</v>
      </c>
      <c r="BE810">
        <f t="shared" si="129"/>
        <v>0</v>
      </c>
    </row>
    <row r="811" spans="1:57" x14ac:dyDescent="0.25">
      <c r="A811" t="s">
        <v>39</v>
      </c>
      <c r="B811" t="s">
        <v>2478</v>
      </c>
      <c r="C811">
        <v>82.5</v>
      </c>
      <c r="D811">
        <v>75.3</v>
      </c>
      <c r="G811">
        <f t="shared" si="120"/>
        <v>0</v>
      </c>
      <c r="H811">
        <f t="shared" si="121"/>
        <v>0</v>
      </c>
      <c r="I811">
        <f t="shared" si="122"/>
        <v>0</v>
      </c>
      <c r="J811">
        <v>79.099999999999994</v>
      </c>
      <c r="K811">
        <v>83.5</v>
      </c>
      <c r="L811">
        <v>75.3</v>
      </c>
      <c r="M811">
        <v>79.400000000000006</v>
      </c>
      <c r="N811">
        <v>62.6</v>
      </c>
      <c r="O811">
        <v>57.3</v>
      </c>
      <c r="S811">
        <f t="shared" si="123"/>
        <v>1</v>
      </c>
      <c r="T811">
        <f t="shared" si="124"/>
        <v>0</v>
      </c>
      <c r="U811">
        <f t="shared" si="125"/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20.8</v>
      </c>
      <c r="AG811">
        <f t="shared" si="126"/>
        <v>1</v>
      </c>
      <c r="AH811">
        <f t="shared" si="127"/>
        <v>1</v>
      </c>
      <c r="AI811">
        <f t="shared" si="128"/>
        <v>0</v>
      </c>
      <c r="AJ811">
        <v>312.5</v>
      </c>
      <c r="AK811">
        <v>1012.3</v>
      </c>
      <c r="AL811">
        <v>30</v>
      </c>
      <c r="AM811">
        <v>6.6</v>
      </c>
      <c r="AN811">
        <v>0</v>
      </c>
      <c r="AO811">
        <v>0</v>
      </c>
      <c r="AP811">
        <v>0</v>
      </c>
      <c r="AQ811">
        <v>0</v>
      </c>
      <c r="AR811" t="s">
        <v>2479</v>
      </c>
      <c r="AS811" t="s">
        <v>2480</v>
      </c>
      <c r="AT811">
        <v>0.66</v>
      </c>
      <c r="AU811" t="s">
        <v>43</v>
      </c>
      <c r="AV811" t="s">
        <v>44</v>
      </c>
      <c r="AW811" t="s">
        <v>45</v>
      </c>
      <c r="AX811" t="s">
        <v>2788</v>
      </c>
      <c r="AY811" t="s">
        <v>2789</v>
      </c>
      <c r="AZ811">
        <v>94.999999995343387</v>
      </c>
      <c r="BA811">
        <v>0</v>
      </c>
      <c r="BB811">
        <v>0</v>
      </c>
      <c r="BC811">
        <v>0.05</v>
      </c>
      <c r="BD811">
        <v>0</v>
      </c>
      <c r="BE811">
        <f t="shared" si="129"/>
        <v>0</v>
      </c>
    </row>
    <row r="812" spans="1:57" x14ac:dyDescent="0.25">
      <c r="A812" t="s">
        <v>39</v>
      </c>
      <c r="B812" t="s">
        <v>2648</v>
      </c>
      <c r="C812">
        <v>87.9</v>
      </c>
      <c r="D812">
        <v>80.7</v>
      </c>
      <c r="G812">
        <f t="shared" si="120"/>
        <v>1</v>
      </c>
      <c r="H812">
        <f t="shared" si="121"/>
        <v>1</v>
      </c>
      <c r="I812">
        <f t="shared" si="122"/>
        <v>0</v>
      </c>
      <c r="J812">
        <v>84.1</v>
      </c>
      <c r="K812">
        <v>91.6</v>
      </c>
      <c r="L812">
        <v>84.1</v>
      </c>
      <c r="M812">
        <v>87.9</v>
      </c>
      <c r="N812">
        <v>69.400000000000006</v>
      </c>
      <c r="O812">
        <v>61.6</v>
      </c>
      <c r="S812">
        <f t="shared" si="123"/>
        <v>0</v>
      </c>
      <c r="T812">
        <f t="shared" si="124"/>
        <v>0</v>
      </c>
      <c r="U812">
        <f t="shared" si="125"/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21.9</v>
      </c>
      <c r="AG812">
        <f t="shared" si="126"/>
        <v>1</v>
      </c>
      <c r="AH812">
        <f t="shared" si="127"/>
        <v>1</v>
      </c>
      <c r="AI812">
        <f t="shared" si="128"/>
        <v>0</v>
      </c>
      <c r="AJ812">
        <v>305.10000000000002</v>
      </c>
      <c r="AK812">
        <v>1012.4</v>
      </c>
      <c r="AL812">
        <v>0</v>
      </c>
      <c r="AM812">
        <v>6.2</v>
      </c>
      <c r="AN812">
        <v>0</v>
      </c>
      <c r="AO812">
        <v>0</v>
      </c>
      <c r="AP812">
        <v>0</v>
      </c>
      <c r="AQ812">
        <v>0</v>
      </c>
      <c r="AR812" t="s">
        <v>2649</v>
      </c>
      <c r="AS812" t="s">
        <v>2650</v>
      </c>
      <c r="AT812">
        <v>0.4</v>
      </c>
      <c r="AU812" t="s">
        <v>74</v>
      </c>
      <c r="AV812" t="s">
        <v>44</v>
      </c>
      <c r="AW812" t="s">
        <v>75</v>
      </c>
      <c r="AX812" t="s">
        <v>2790</v>
      </c>
      <c r="AY812" t="s">
        <v>2791</v>
      </c>
      <c r="AZ812">
        <v>94.999999995343387</v>
      </c>
      <c r="BA812">
        <v>0</v>
      </c>
      <c r="BB812">
        <v>0</v>
      </c>
      <c r="BC812">
        <v>0.3</v>
      </c>
      <c r="BD812">
        <v>0</v>
      </c>
      <c r="BE812">
        <f t="shared" si="129"/>
        <v>0</v>
      </c>
    </row>
    <row r="813" spans="1:57" x14ac:dyDescent="0.25">
      <c r="A813" t="s">
        <v>39</v>
      </c>
      <c r="B813" t="s">
        <v>2792</v>
      </c>
      <c r="C813">
        <v>84.3</v>
      </c>
      <c r="D813">
        <v>66.3</v>
      </c>
      <c r="G813">
        <f t="shared" si="120"/>
        <v>1</v>
      </c>
      <c r="H813">
        <f t="shared" si="121"/>
        <v>1</v>
      </c>
      <c r="I813">
        <f t="shared" si="122"/>
        <v>0</v>
      </c>
      <c r="J813">
        <v>76.900000000000006</v>
      </c>
      <c r="K813">
        <v>89.8</v>
      </c>
      <c r="L813">
        <v>66.3</v>
      </c>
      <c r="M813">
        <v>78.8</v>
      </c>
      <c r="N813">
        <v>64.7</v>
      </c>
      <c r="O813">
        <v>66.3</v>
      </c>
      <c r="S813">
        <f t="shared" si="123"/>
        <v>0</v>
      </c>
      <c r="T813">
        <f t="shared" si="124"/>
        <v>0</v>
      </c>
      <c r="U813">
        <f t="shared" si="125"/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23</v>
      </c>
      <c r="AG813">
        <f t="shared" si="126"/>
        <v>1</v>
      </c>
      <c r="AH813">
        <f t="shared" si="127"/>
        <v>1</v>
      </c>
      <c r="AI813">
        <f t="shared" si="128"/>
        <v>0</v>
      </c>
      <c r="AJ813">
        <v>294.7</v>
      </c>
      <c r="AK813">
        <v>1010.6</v>
      </c>
      <c r="AL813">
        <v>30</v>
      </c>
      <c r="AM813">
        <v>6.4</v>
      </c>
      <c r="AN813">
        <v>0</v>
      </c>
      <c r="AO813">
        <v>0</v>
      </c>
      <c r="AP813">
        <v>0</v>
      </c>
      <c r="AQ813">
        <v>0</v>
      </c>
      <c r="AR813" t="s">
        <v>2793</v>
      </c>
      <c r="AS813" t="s">
        <v>2794</v>
      </c>
      <c r="AT813">
        <v>0.78</v>
      </c>
      <c r="AU813" t="s">
        <v>43</v>
      </c>
      <c r="AV813" t="s">
        <v>44</v>
      </c>
      <c r="AW813" t="s">
        <v>45</v>
      </c>
      <c r="AX813" t="s">
        <v>2795</v>
      </c>
      <c r="AY813" t="s">
        <v>2796</v>
      </c>
      <c r="AZ813">
        <v>259.99999999883579</v>
      </c>
      <c r="BA813">
        <v>0</v>
      </c>
      <c r="BB813">
        <v>0</v>
      </c>
      <c r="BC813">
        <v>5</v>
      </c>
      <c r="BD813">
        <v>0</v>
      </c>
      <c r="BE813">
        <f t="shared" si="129"/>
        <v>0</v>
      </c>
    </row>
    <row r="814" spans="1:57" x14ac:dyDescent="0.25">
      <c r="A814" t="s">
        <v>39</v>
      </c>
      <c r="B814" t="s">
        <v>2797</v>
      </c>
      <c r="C814">
        <v>84.3</v>
      </c>
      <c r="D814">
        <v>71.7</v>
      </c>
      <c r="G814">
        <f t="shared" si="120"/>
        <v>1</v>
      </c>
      <c r="H814">
        <f t="shared" si="121"/>
        <v>1</v>
      </c>
      <c r="I814">
        <f t="shared" si="122"/>
        <v>0</v>
      </c>
      <c r="J814">
        <v>78.8</v>
      </c>
      <c r="K814">
        <v>91.1</v>
      </c>
      <c r="L814">
        <v>71.7</v>
      </c>
      <c r="M814">
        <v>80.900000000000006</v>
      </c>
      <c r="N814">
        <v>69.099999999999994</v>
      </c>
      <c r="O814">
        <v>72.599999999999994</v>
      </c>
      <c r="S814">
        <f t="shared" si="123"/>
        <v>1</v>
      </c>
      <c r="T814">
        <f t="shared" si="124"/>
        <v>1</v>
      </c>
      <c r="U814">
        <f t="shared" si="125"/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18.3</v>
      </c>
      <c r="AG814">
        <f t="shared" si="126"/>
        <v>0</v>
      </c>
      <c r="AH814">
        <f t="shared" si="127"/>
        <v>0</v>
      </c>
      <c r="AI814">
        <f t="shared" si="128"/>
        <v>0</v>
      </c>
      <c r="AJ814">
        <v>310.89999999999998</v>
      </c>
      <c r="AK814">
        <v>1010.7</v>
      </c>
      <c r="AL814">
        <v>30</v>
      </c>
      <c r="AM814">
        <v>6.6</v>
      </c>
      <c r="AN814">
        <v>0</v>
      </c>
      <c r="AO814">
        <v>0</v>
      </c>
      <c r="AP814">
        <v>0</v>
      </c>
      <c r="AQ814">
        <v>0</v>
      </c>
      <c r="AR814" t="s">
        <v>2798</v>
      </c>
      <c r="AS814" t="s">
        <v>2799</v>
      </c>
      <c r="AT814">
        <v>0.5</v>
      </c>
      <c r="AU814" t="s">
        <v>43</v>
      </c>
      <c r="AV814" t="s">
        <v>44</v>
      </c>
      <c r="AW814" t="s">
        <v>45</v>
      </c>
      <c r="AX814" t="s">
        <v>2800</v>
      </c>
      <c r="AY814" t="s">
        <v>2801</v>
      </c>
      <c r="AZ814">
        <v>162.9999999969732</v>
      </c>
      <c r="BA814">
        <v>0</v>
      </c>
      <c r="BB814">
        <v>0</v>
      </c>
      <c r="BC814">
        <v>1</v>
      </c>
      <c r="BD814">
        <v>0</v>
      </c>
      <c r="BE814">
        <f t="shared" si="129"/>
        <v>0</v>
      </c>
    </row>
    <row r="815" spans="1:57" x14ac:dyDescent="0.25">
      <c r="A815" t="s">
        <v>39</v>
      </c>
      <c r="B815" t="s">
        <v>2802</v>
      </c>
      <c r="C815">
        <v>87.9</v>
      </c>
      <c r="D815">
        <v>68.099999999999994</v>
      </c>
      <c r="G815">
        <f t="shared" si="120"/>
        <v>1</v>
      </c>
      <c r="H815">
        <f t="shared" si="121"/>
        <v>1</v>
      </c>
      <c r="I815">
        <f t="shared" si="122"/>
        <v>0</v>
      </c>
      <c r="J815">
        <v>79.599999999999994</v>
      </c>
      <c r="K815">
        <v>89.6</v>
      </c>
      <c r="L815">
        <v>68.099999999999994</v>
      </c>
      <c r="M815">
        <v>80.7</v>
      </c>
      <c r="N815">
        <v>61.1</v>
      </c>
      <c r="O815">
        <v>53.7</v>
      </c>
      <c r="S815">
        <f t="shared" si="123"/>
        <v>1</v>
      </c>
      <c r="T815">
        <f t="shared" si="124"/>
        <v>0</v>
      </c>
      <c r="U815">
        <f t="shared" si="125"/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17.2</v>
      </c>
      <c r="AG815">
        <f t="shared" si="126"/>
        <v>0</v>
      </c>
      <c r="AH815">
        <f t="shared" si="127"/>
        <v>0</v>
      </c>
      <c r="AI815">
        <f t="shared" si="128"/>
        <v>0</v>
      </c>
      <c r="AJ815">
        <v>296.7</v>
      </c>
      <c r="AK815">
        <v>1008.8</v>
      </c>
      <c r="AL815">
        <v>0</v>
      </c>
      <c r="AM815">
        <v>6.2</v>
      </c>
      <c r="AN815">
        <v>0</v>
      </c>
      <c r="AO815">
        <v>0</v>
      </c>
      <c r="AP815">
        <v>0</v>
      </c>
      <c r="AQ815">
        <v>0</v>
      </c>
      <c r="AR815" t="s">
        <v>2803</v>
      </c>
      <c r="AS815" t="s">
        <v>2804</v>
      </c>
      <c r="AT815">
        <v>0.25</v>
      </c>
      <c r="AU815" t="s">
        <v>74</v>
      </c>
      <c r="AV815" t="s">
        <v>44</v>
      </c>
      <c r="AW815" t="s">
        <v>75</v>
      </c>
      <c r="AX815" t="s">
        <v>2805</v>
      </c>
      <c r="AY815" t="s">
        <v>2806</v>
      </c>
      <c r="AZ815">
        <v>3351.9999999983702</v>
      </c>
      <c r="BA815">
        <v>1</v>
      </c>
      <c r="BB815">
        <v>150</v>
      </c>
      <c r="BC815">
        <v>0</v>
      </c>
      <c r="BD815">
        <v>0</v>
      </c>
      <c r="BE815">
        <f t="shared" si="129"/>
        <v>1</v>
      </c>
    </row>
    <row r="816" spans="1:57" x14ac:dyDescent="0.25">
      <c r="A816" t="s">
        <v>39</v>
      </c>
      <c r="B816" t="s">
        <v>2807</v>
      </c>
      <c r="C816">
        <v>59.1</v>
      </c>
      <c r="D816">
        <v>50.1</v>
      </c>
      <c r="G816">
        <f t="shared" si="120"/>
        <v>1</v>
      </c>
      <c r="H816">
        <f t="shared" si="121"/>
        <v>0</v>
      </c>
      <c r="I816">
        <f t="shared" si="122"/>
        <v>1</v>
      </c>
      <c r="J816">
        <v>55</v>
      </c>
      <c r="K816">
        <v>59.1</v>
      </c>
      <c r="L816">
        <v>50.1</v>
      </c>
      <c r="M816">
        <v>55</v>
      </c>
      <c r="N816">
        <v>47.6</v>
      </c>
      <c r="O816">
        <v>76.400000000000006</v>
      </c>
      <c r="S816">
        <f t="shared" si="123"/>
        <v>1</v>
      </c>
      <c r="T816">
        <f t="shared" si="124"/>
        <v>1</v>
      </c>
      <c r="U816">
        <f t="shared" si="125"/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13.9</v>
      </c>
      <c r="AG816">
        <f t="shared" si="126"/>
        <v>1</v>
      </c>
      <c r="AH816">
        <f t="shared" si="127"/>
        <v>0</v>
      </c>
      <c r="AI816">
        <f t="shared" si="128"/>
        <v>1</v>
      </c>
      <c r="AJ816">
        <v>58.5</v>
      </c>
      <c r="AK816">
        <v>1018.8</v>
      </c>
      <c r="AL816">
        <v>54.5</v>
      </c>
      <c r="AM816">
        <v>6.8</v>
      </c>
      <c r="AN816">
        <v>0</v>
      </c>
      <c r="AO816">
        <v>0</v>
      </c>
      <c r="AP816">
        <v>0</v>
      </c>
      <c r="AQ816">
        <v>0</v>
      </c>
      <c r="AR816" t="s">
        <v>2808</v>
      </c>
      <c r="AS816" t="s">
        <v>2809</v>
      </c>
      <c r="AT816">
        <v>0.32</v>
      </c>
      <c r="AU816" t="s">
        <v>43</v>
      </c>
      <c r="AV816" t="s">
        <v>44</v>
      </c>
      <c r="AW816" t="s">
        <v>45</v>
      </c>
      <c r="AX816" t="s">
        <v>2476</v>
      </c>
      <c r="AY816" t="s">
        <v>2810</v>
      </c>
      <c r="AZ816">
        <v>469.99999999185093</v>
      </c>
      <c r="BA816">
        <v>1</v>
      </c>
      <c r="BB816">
        <v>0</v>
      </c>
      <c r="BC816">
        <v>4</v>
      </c>
      <c r="BD816">
        <v>0</v>
      </c>
      <c r="BE816">
        <f t="shared" si="129"/>
        <v>1</v>
      </c>
    </row>
    <row r="817" spans="1:57" x14ac:dyDescent="0.25">
      <c r="A817" t="s">
        <v>39</v>
      </c>
      <c r="B817" t="s">
        <v>2628</v>
      </c>
      <c r="C817">
        <v>86.1</v>
      </c>
      <c r="D817">
        <v>78.900000000000006</v>
      </c>
      <c r="G817">
        <f t="shared" si="120"/>
        <v>1</v>
      </c>
      <c r="H817">
        <f t="shared" si="121"/>
        <v>1</v>
      </c>
      <c r="I817">
        <f t="shared" si="122"/>
        <v>0</v>
      </c>
      <c r="J817">
        <v>81.5</v>
      </c>
      <c r="K817">
        <v>90.8</v>
      </c>
      <c r="L817">
        <v>78.900000000000006</v>
      </c>
      <c r="M817">
        <v>83.4</v>
      </c>
      <c r="N817">
        <v>67.599999999999994</v>
      </c>
      <c r="O817">
        <v>63</v>
      </c>
      <c r="S817">
        <f t="shared" si="123"/>
        <v>1</v>
      </c>
      <c r="T817">
        <f t="shared" si="124"/>
        <v>1</v>
      </c>
      <c r="U817">
        <f t="shared" si="125"/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19.5</v>
      </c>
      <c r="AG817">
        <f t="shared" si="126"/>
        <v>1</v>
      </c>
      <c r="AH817">
        <f t="shared" si="127"/>
        <v>1</v>
      </c>
      <c r="AI817">
        <f t="shared" si="128"/>
        <v>0</v>
      </c>
      <c r="AJ817">
        <v>304.5</v>
      </c>
      <c r="AK817">
        <v>1008.5</v>
      </c>
      <c r="AL817">
        <v>30</v>
      </c>
      <c r="AM817">
        <v>6.4</v>
      </c>
      <c r="AN817">
        <v>0</v>
      </c>
      <c r="AO817">
        <v>0</v>
      </c>
      <c r="AP817">
        <v>0</v>
      </c>
      <c r="AQ817">
        <v>0</v>
      </c>
      <c r="AR817" t="s">
        <v>2629</v>
      </c>
      <c r="AS817" t="s">
        <v>2630</v>
      </c>
      <c r="AT817">
        <v>0.11</v>
      </c>
      <c r="AU817" t="s">
        <v>43</v>
      </c>
      <c r="AV817" t="s">
        <v>44</v>
      </c>
      <c r="AW817" t="s">
        <v>45</v>
      </c>
      <c r="AX817" t="s">
        <v>2670</v>
      </c>
      <c r="AY817" t="s">
        <v>2811</v>
      </c>
      <c r="AZ817">
        <v>1019.999999993015</v>
      </c>
      <c r="BA817">
        <v>1</v>
      </c>
      <c r="BB817">
        <v>0</v>
      </c>
      <c r="BC817">
        <v>1</v>
      </c>
      <c r="BD817">
        <v>0</v>
      </c>
      <c r="BE817">
        <f t="shared" si="129"/>
        <v>1</v>
      </c>
    </row>
    <row r="818" spans="1:57" x14ac:dyDescent="0.25">
      <c r="A818" t="s">
        <v>39</v>
      </c>
      <c r="B818" t="s">
        <v>2812</v>
      </c>
      <c r="C818">
        <v>86.1</v>
      </c>
      <c r="D818">
        <v>75.3</v>
      </c>
      <c r="G818">
        <f t="shared" si="120"/>
        <v>1</v>
      </c>
      <c r="H818">
        <f t="shared" si="121"/>
        <v>1</v>
      </c>
      <c r="I818">
        <f t="shared" si="122"/>
        <v>0</v>
      </c>
      <c r="J818">
        <v>82.4</v>
      </c>
      <c r="K818">
        <v>90.8</v>
      </c>
      <c r="L818">
        <v>75.3</v>
      </c>
      <c r="M818">
        <v>85.5</v>
      </c>
      <c r="N818">
        <v>68.599999999999994</v>
      </c>
      <c r="O818">
        <v>63.3</v>
      </c>
      <c r="S818">
        <f t="shared" si="123"/>
        <v>1</v>
      </c>
      <c r="T818">
        <f t="shared" si="124"/>
        <v>1</v>
      </c>
      <c r="U818">
        <f t="shared" si="125"/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20.8</v>
      </c>
      <c r="AG818">
        <f t="shared" si="126"/>
        <v>1</v>
      </c>
      <c r="AH818">
        <f t="shared" si="127"/>
        <v>1</v>
      </c>
      <c r="AI818">
        <f t="shared" si="128"/>
        <v>0</v>
      </c>
      <c r="AJ818">
        <v>303.60000000000002</v>
      </c>
      <c r="AK818">
        <v>1006.8</v>
      </c>
      <c r="AL818">
        <v>0</v>
      </c>
      <c r="AM818">
        <v>6.2</v>
      </c>
      <c r="AN818">
        <v>0</v>
      </c>
      <c r="AO818">
        <v>0</v>
      </c>
      <c r="AP818">
        <v>0</v>
      </c>
      <c r="AQ818">
        <v>0</v>
      </c>
      <c r="AR818" t="s">
        <v>2813</v>
      </c>
      <c r="AS818" t="s">
        <v>2814</v>
      </c>
      <c r="AT818">
        <v>0.19</v>
      </c>
      <c r="AU818" t="s">
        <v>74</v>
      </c>
      <c r="AV818" t="s">
        <v>44</v>
      </c>
      <c r="AW818" t="s">
        <v>75</v>
      </c>
      <c r="AX818" s="1">
        <v>0.70833333333333337</v>
      </c>
      <c r="AY818" t="s">
        <v>2815</v>
      </c>
      <c r="AZ818">
        <v>3119.999999996508</v>
      </c>
      <c r="BA818">
        <v>1</v>
      </c>
      <c r="BB818">
        <v>0</v>
      </c>
      <c r="BC818">
        <v>8</v>
      </c>
      <c r="BD818">
        <v>0</v>
      </c>
      <c r="BE818">
        <f t="shared" si="129"/>
        <v>1</v>
      </c>
    </row>
    <row r="819" spans="1:57" x14ac:dyDescent="0.25">
      <c r="A819" t="s">
        <v>39</v>
      </c>
      <c r="B819" t="s">
        <v>2816</v>
      </c>
      <c r="C819">
        <v>55.5</v>
      </c>
      <c r="D819">
        <v>48.3</v>
      </c>
      <c r="G819">
        <f t="shared" si="120"/>
        <v>1</v>
      </c>
      <c r="H819">
        <f t="shared" si="121"/>
        <v>0</v>
      </c>
      <c r="I819">
        <f t="shared" si="122"/>
        <v>1</v>
      </c>
      <c r="J819">
        <v>51.3</v>
      </c>
      <c r="K819">
        <v>55.5</v>
      </c>
      <c r="L819">
        <v>41.5</v>
      </c>
      <c r="M819">
        <v>50.4</v>
      </c>
      <c r="N819">
        <v>45.1</v>
      </c>
      <c r="O819">
        <v>79.599999999999994</v>
      </c>
      <c r="S819">
        <f t="shared" si="123"/>
        <v>1</v>
      </c>
      <c r="T819">
        <f t="shared" si="124"/>
        <v>1</v>
      </c>
      <c r="U819">
        <f t="shared" si="125"/>
        <v>0</v>
      </c>
      <c r="V819">
        <v>0.42899999999999999</v>
      </c>
      <c r="W819">
        <v>100</v>
      </c>
      <c r="X819">
        <v>4.17</v>
      </c>
      <c r="Y819" t="s">
        <v>103</v>
      </c>
      <c r="Z819">
        <v>0</v>
      </c>
      <c r="AA819">
        <v>0</v>
      </c>
      <c r="AB819">
        <v>0</v>
      </c>
      <c r="AC819">
        <v>19.5</v>
      </c>
      <c r="AG819">
        <f t="shared" si="126"/>
        <v>0</v>
      </c>
      <c r="AH819">
        <f t="shared" si="127"/>
        <v>0</v>
      </c>
      <c r="AI819">
        <f t="shared" si="128"/>
        <v>0</v>
      </c>
      <c r="AJ819">
        <v>300.89999999999998</v>
      </c>
      <c r="AK819">
        <v>1015.5</v>
      </c>
      <c r="AL819">
        <v>94.2</v>
      </c>
      <c r="AM819">
        <v>6</v>
      </c>
      <c r="AN819">
        <v>0</v>
      </c>
      <c r="AO819">
        <v>0</v>
      </c>
      <c r="AP819">
        <v>0</v>
      </c>
      <c r="AQ819">
        <v>0</v>
      </c>
      <c r="AR819" t="s">
        <v>2817</v>
      </c>
      <c r="AS819" t="s">
        <v>2818</v>
      </c>
      <c r="AT819">
        <v>0.33</v>
      </c>
      <c r="AU819" t="s">
        <v>1357</v>
      </c>
      <c r="AV819" t="s">
        <v>2819</v>
      </c>
      <c r="AW819" t="s">
        <v>103</v>
      </c>
      <c r="AX819" s="1">
        <v>0.33958333333333329</v>
      </c>
      <c r="AY819" t="s">
        <v>2820</v>
      </c>
      <c r="AZ819">
        <v>171.0000000020955</v>
      </c>
      <c r="BA819">
        <v>0</v>
      </c>
      <c r="BB819">
        <v>0</v>
      </c>
      <c r="BC819">
        <v>5</v>
      </c>
      <c r="BD819">
        <v>0</v>
      </c>
      <c r="BE819">
        <f t="shared" si="129"/>
        <v>0</v>
      </c>
    </row>
    <row r="820" spans="1:57" x14ac:dyDescent="0.25">
      <c r="A820" t="s">
        <v>39</v>
      </c>
      <c r="B820" t="s">
        <v>2821</v>
      </c>
      <c r="C820">
        <v>84.3</v>
      </c>
      <c r="D820">
        <v>71.7</v>
      </c>
      <c r="G820">
        <f t="shared" si="120"/>
        <v>1</v>
      </c>
      <c r="H820">
        <f t="shared" si="121"/>
        <v>1</v>
      </c>
      <c r="I820">
        <f t="shared" si="122"/>
        <v>0</v>
      </c>
      <c r="J820">
        <v>78.5</v>
      </c>
      <c r="K820">
        <v>92.7</v>
      </c>
      <c r="L820">
        <v>71.7</v>
      </c>
      <c r="M820">
        <v>81.099999999999994</v>
      </c>
      <c r="N820">
        <v>67.599999999999994</v>
      </c>
      <c r="O820">
        <v>69.400000000000006</v>
      </c>
      <c r="S820">
        <f t="shared" si="123"/>
        <v>1</v>
      </c>
      <c r="T820">
        <f t="shared" si="124"/>
        <v>1</v>
      </c>
      <c r="U820">
        <f t="shared" si="125"/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8.1</v>
      </c>
      <c r="AG820">
        <f t="shared" si="126"/>
        <v>1</v>
      </c>
      <c r="AH820">
        <f t="shared" si="127"/>
        <v>0</v>
      </c>
      <c r="AI820">
        <f t="shared" si="128"/>
        <v>1</v>
      </c>
      <c r="AJ820">
        <v>132</v>
      </c>
      <c r="AK820">
        <v>1010.1</v>
      </c>
      <c r="AL820">
        <v>58</v>
      </c>
      <c r="AM820">
        <v>6.3</v>
      </c>
      <c r="AN820">
        <v>0</v>
      </c>
      <c r="AO820">
        <v>0</v>
      </c>
      <c r="AP820">
        <v>0</v>
      </c>
      <c r="AQ820">
        <v>0</v>
      </c>
      <c r="AR820" t="s">
        <v>2822</v>
      </c>
      <c r="AS820" t="s">
        <v>2823</v>
      </c>
      <c r="AT820">
        <v>0.5</v>
      </c>
      <c r="AU820" t="s">
        <v>43</v>
      </c>
      <c r="AV820" t="s">
        <v>44</v>
      </c>
      <c r="AW820" t="s">
        <v>45</v>
      </c>
      <c r="AX820" s="1">
        <v>0.27083333333333331</v>
      </c>
      <c r="AY820" t="s">
        <v>2824</v>
      </c>
      <c r="AZ820">
        <v>689.99999999650754</v>
      </c>
      <c r="BA820">
        <v>1</v>
      </c>
      <c r="BB820">
        <v>0</v>
      </c>
      <c r="BC820">
        <v>0.03</v>
      </c>
      <c r="BD820">
        <v>0</v>
      </c>
      <c r="BE820">
        <f t="shared" si="129"/>
        <v>1</v>
      </c>
    </row>
    <row r="821" spans="1:57" x14ac:dyDescent="0.25">
      <c r="A821" t="s">
        <v>39</v>
      </c>
      <c r="B821" t="s">
        <v>2825</v>
      </c>
      <c r="C821">
        <v>82.5</v>
      </c>
      <c r="D821">
        <v>69.900000000000006</v>
      </c>
      <c r="G821">
        <f t="shared" si="120"/>
        <v>0</v>
      </c>
      <c r="H821">
        <f t="shared" si="121"/>
        <v>0</v>
      </c>
      <c r="I821">
        <f t="shared" si="122"/>
        <v>0</v>
      </c>
      <c r="J821">
        <v>77.5</v>
      </c>
      <c r="K821">
        <v>87.4</v>
      </c>
      <c r="L821">
        <v>69.900000000000006</v>
      </c>
      <c r="M821">
        <v>78.900000000000006</v>
      </c>
      <c r="N821">
        <v>69.5</v>
      </c>
      <c r="O821">
        <v>77</v>
      </c>
      <c r="S821">
        <f t="shared" si="123"/>
        <v>1</v>
      </c>
      <c r="T821">
        <f t="shared" si="124"/>
        <v>1</v>
      </c>
      <c r="U821">
        <f t="shared" si="125"/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19.5</v>
      </c>
      <c r="AG821">
        <f t="shared" si="126"/>
        <v>1</v>
      </c>
      <c r="AH821">
        <f t="shared" si="127"/>
        <v>1</v>
      </c>
      <c r="AI821">
        <f t="shared" si="128"/>
        <v>0</v>
      </c>
      <c r="AJ821">
        <v>307.39999999999998</v>
      </c>
      <c r="AK821">
        <v>1010.8</v>
      </c>
      <c r="AL821">
        <v>31.7</v>
      </c>
      <c r="AM821">
        <v>6.8</v>
      </c>
      <c r="AN821">
        <v>0</v>
      </c>
      <c r="AO821">
        <v>0</v>
      </c>
      <c r="AP821">
        <v>0</v>
      </c>
      <c r="AQ821">
        <v>0</v>
      </c>
      <c r="AR821" t="s">
        <v>2826</v>
      </c>
      <c r="AS821" t="s">
        <v>2827</v>
      </c>
      <c r="AT821">
        <v>0.02</v>
      </c>
      <c r="AU821" t="s">
        <v>43</v>
      </c>
      <c r="AV821" t="s">
        <v>44</v>
      </c>
      <c r="AW821" t="s">
        <v>45</v>
      </c>
      <c r="AX821" s="1">
        <v>0.78819444444444442</v>
      </c>
      <c r="AY821" t="s">
        <v>2828</v>
      </c>
      <c r="AZ821">
        <v>49.999999995343387</v>
      </c>
      <c r="BA821">
        <v>0</v>
      </c>
      <c r="BB821">
        <v>0</v>
      </c>
      <c r="BC821">
        <v>0.01</v>
      </c>
      <c r="BD821">
        <v>0</v>
      </c>
      <c r="BE821">
        <f t="shared" si="129"/>
        <v>0</v>
      </c>
    </row>
    <row r="822" spans="1:57" x14ac:dyDescent="0.25">
      <c r="A822" t="s">
        <v>39</v>
      </c>
      <c r="B822" t="s">
        <v>2829</v>
      </c>
      <c r="C822">
        <v>60.9</v>
      </c>
      <c r="D822">
        <v>46.5</v>
      </c>
      <c r="G822">
        <f t="shared" si="120"/>
        <v>1</v>
      </c>
      <c r="H822">
        <f t="shared" si="121"/>
        <v>1</v>
      </c>
      <c r="I822">
        <f t="shared" si="122"/>
        <v>0</v>
      </c>
      <c r="J822">
        <v>55.2</v>
      </c>
      <c r="K822">
        <v>60.9</v>
      </c>
      <c r="L822">
        <v>46.4</v>
      </c>
      <c r="M822">
        <v>54.9</v>
      </c>
      <c r="N822">
        <v>50</v>
      </c>
      <c r="O822">
        <v>83.3</v>
      </c>
      <c r="S822">
        <f t="shared" si="123"/>
        <v>1</v>
      </c>
      <c r="T822">
        <f t="shared" si="124"/>
        <v>1</v>
      </c>
      <c r="U822">
        <f t="shared" si="125"/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19.5</v>
      </c>
      <c r="AG822">
        <f t="shared" si="126"/>
        <v>0</v>
      </c>
      <c r="AH822">
        <f t="shared" si="127"/>
        <v>0</v>
      </c>
      <c r="AI822">
        <f t="shared" si="128"/>
        <v>0</v>
      </c>
      <c r="AJ822">
        <v>313.7</v>
      </c>
      <c r="AK822">
        <v>1022.9</v>
      </c>
      <c r="AL822">
        <v>37</v>
      </c>
      <c r="AM822">
        <v>6.8</v>
      </c>
      <c r="AN822">
        <v>0</v>
      </c>
      <c r="AO822">
        <v>0</v>
      </c>
      <c r="AP822">
        <v>0</v>
      </c>
      <c r="AQ822">
        <v>0</v>
      </c>
      <c r="AR822" t="s">
        <v>2830</v>
      </c>
      <c r="AS822" t="s">
        <v>2831</v>
      </c>
      <c r="AT822">
        <v>0.61</v>
      </c>
      <c r="AU822" t="s">
        <v>43</v>
      </c>
      <c r="AV822" t="s">
        <v>2026</v>
      </c>
      <c r="AW822" t="s">
        <v>45</v>
      </c>
      <c r="AX822" s="1">
        <v>0.54861111111111116</v>
      </c>
      <c r="AY822" t="s">
        <v>2832</v>
      </c>
      <c r="AZ822">
        <v>280.00000000116421</v>
      </c>
      <c r="BA822">
        <v>0</v>
      </c>
      <c r="BB822">
        <v>0</v>
      </c>
      <c r="BC822">
        <v>3</v>
      </c>
      <c r="BD822">
        <v>0</v>
      </c>
      <c r="BE822">
        <f t="shared" si="129"/>
        <v>0</v>
      </c>
    </row>
    <row r="823" spans="1:57" x14ac:dyDescent="0.25">
      <c r="A823" t="s">
        <v>39</v>
      </c>
      <c r="B823" t="s">
        <v>2833</v>
      </c>
      <c r="C823">
        <v>89.7</v>
      </c>
      <c r="D823">
        <v>69.900000000000006</v>
      </c>
      <c r="G823">
        <f t="shared" si="120"/>
        <v>1</v>
      </c>
      <c r="H823">
        <f t="shared" si="121"/>
        <v>1</v>
      </c>
      <c r="I823">
        <f t="shared" si="122"/>
        <v>0</v>
      </c>
      <c r="J823">
        <v>77.8</v>
      </c>
      <c r="K823">
        <v>86.8</v>
      </c>
      <c r="L823">
        <v>69.900000000000006</v>
      </c>
      <c r="M823">
        <v>77.3</v>
      </c>
      <c r="N823">
        <v>54.7</v>
      </c>
      <c r="O823">
        <v>47.5</v>
      </c>
      <c r="S823">
        <f t="shared" si="123"/>
        <v>1</v>
      </c>
      <c r="T823">
        <f t="shared" si="124"/>
        <v>0</v>
      </c>
      <c r="U823">
        <f t="shared" si="125"/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23</v>
      </c>
      <c r="AG823">
        <f t="shared" si="126"/>
        <v>1</v>
      </c>
      <c r="AH823">
        <f t="shared" si="127"/>
        <v>1</v>
      </c>
      <c r="AI823">
        <f t="shared" si="128"/>
        <v>0</v>
      </c>
      <c r="AJ823">
        <v>175.1</v>
      </c>
      <c r="AK823">
        <v>1014.9</v>
      </c>
      <c r="AL823">
        <v>90</v>
      </c>
      <c r="AM823">
        <v>6.2</v>
      </c>
      <c r="AN823">
        <v>0</v>
      </c>
      <c r="AO823">
        <v>0</v>
      </c>
      <c r="AP823">
        <v>0</v>
      </c>
      <c r="AQ823">
        <v>0</v>
      </c>
      <c r="AR823" t="s">
        <v>2834</v>
      </c>
      <c r="AS823" t="s">
        <v>2835</v>
      </c>
      <c r="AT823">
        <v>0.25</v>
      </c>
      <c r="AU823" t="s">
        <v>43</v>
      </c>
      <c r="AV823" t="s">
        <v>44</v>
      </c>
      <c r="AW823" t="s">
        <v>45</v>
      </c>
      <c r="AX823" s="1">
        <v>0.47569444444444442</v>
      </c>
      <c r="AY823" t="s">
        <v>2836</v>
      </c>
      <c r="AZ823">
        <v>1550.0000000023281</v>
      </c>
      <c r="BA823">
        <v>1</v>
      </c>
      <c r="BB823">
        <v>0</v>
      </c>
      <c r="BC823">
        <v>40</v>
      </c>
      <c r="BD823">
        <v>0</v>
      </c>
      <c r="BE823">
        <f t="shared" si="129"/>
        <v>1</v>
      </c>
    </row>
    <row r="824" spans="1:57" x14ac:dyDescent="0.25">
      <c r="A824" t="s">
        <v>39</v>
      </c>
      <c r="B824" t="s">
        <v>2837</v>
      </c>
      <c r="C824">
        <v>64.5</v>
      </c>
      <c r="D824">
        <v>48.3</v>
      </c>
      <c r="G824">
        <f t="shared" si="120"/>
        <v>1</v>
      </c>
      <c r="H824">
        <f t="shared" si="121"/>
        <v>0</v>
      </c>
      <c r="I824">
        <f t="shared" si="122"/>
        <v>1</v>
      </c>
      <c r="J824">
        <v>57.5</v>
      </c>
      <c r="K824">
        <v>64.5</v>
      </c>
      <c r="L824">
        <v>44.7</v>
      </c>
      <c r="M824">
        <v>57.1</v>
      </c>
      <c r="N824">
        <v>47.5</v>
      </c>
      <c r="O824">
        <v>69.3</v>
      </c>
      <c r="S824">
        <f t="shared" si="123"/>
        <v>1</v>
      </c>
      <c r="T824">
        <f t="shared" si="124"/>
        <v>1</v>
      </c>
      <c r="U824">
        <f t="shared" si="125"/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13.9</v>
      </c>
      <c r="AG824">
        <f t="shared" si="126"/>
        <v>1</v>
      </c>
      <c r="AH824">
        <f t="shared" si="127"/>
        <v>0</v>
      </c>
      <c r="AI824">
        <f t="shared" si="128"/>
        <v>1</v>
      </c>
      <c r="AJ824">
        <v>125.6</v>
      </c>
      <c r="AK824">
        <v>1018.3</v>
      </c>
      <c r="AL824">
        <v>0</v>
      </c>
      <c r="AM824">
        <v>6.2</v>
      </c>
      <c r="AN824">
        <v>0</v>
      </c>
      <c r="AO824">
        <v>0</v>
      </c>
      <c r="AP824">
        <v>0</v>
      </c>
      <c r="AQ824">
        <v>0</v>
      </c>
      <c r="AR824" t="s">
        <v>2838</v>
      </c>
      <c r="AS824" t="s">
        <v>2839</v>
      </c>
      <c r="AT824">
        <v>0.39</v>
      </c>
      <c r="AU824" t="s">
        <v>74</v>
      </c>
      <c r="AV824" t="s">
        <v>44</v>
      </c>
      <c r="AW824" t="s">
        <v>75</v>
      </c>
      <c r="AX824" s="1">
        <v>0.58333333333333337</v>
      </c>
      <c r="AY824" t="s">
        <v>2840</v>
      </c>
      <c r="AZ824">
        <v>389.99999999301508</v>
      </c>
      <c r="BA824">
        <v>1</v>
      </c>
      <c r="BB824">
        <v>0</v>
      </c>
      <c r="BC824">
        <v>4</v>
      </c>
      <c r="BD824">
        <v>0</v>
      </c>
      <c r="BE824">
        <f t="shared" si="129"/>
        <v>1</v>
      </c>
    </row>
    <row r="825" spans="1:57" x14ac:dyDescent="0.25">
      <c r="A825" t="s">
        <v>39</v>
      </c>
      <c r="B825" t="s">
        <v>2841</v>
      </c>
      <c r="C825">
        <v>62.7</v>
      </c>
      <c r="D825">
        <v>59.1</v>
      </c>
      <c r="G825">
        <f t="shared" si="120"/>
        <v>1</v>
      </c>
      <c r="H825">
        <f t="shared" si="121"/>
        <v>0</v>
      </c>
      <c r="I825">
        <f t="shared" si="122"/>
        <v>1</v>
      </c>
      <c r="J825">
        <v>61.4</v>
      </c>
      <c r="K825">
        <v>62.7</v>
      </c>
      <c r="L825">
        <v>59.1</v>
      </c>
      <c r="M825">
        <v>61.4</v>
      </c>
      <c r="N825">
        <v>54.7</v>
      </c>
      <c r="O825">
        <v>78.7</v>
      </c>
      <c r="S825">
        <f t="shared" si="123"/>
        <v>1</v>
      </c>
      <c r="T825">
        <f t="shared" si="124"/>
        <v>1</v>
      </c>
      <c r="U825">
        <f t="shared" si="125"/>
        <v>0</v>
      </c>
      <c r="V825">
        <v>0.02</v>
      </c>
      <c r="W825">
        <v>100</v>
      </c>
      <c r="X825">
        <v>4.17</v>
      </c>
      <c r="Y825" t="s">
        <v>103</v>
      </c>
      <c r="Z825">
        <v>0</v>
      </c>
      <c r="AA825">
        <v>0</v>
      </c>
      <c r="AB825">
        <v>0</v>
      </c>
      <c r="AC825">
        <v>15</v>
      </c>
      <c r="AG825">
        <f t="shared" si="126"/>
        <v>1</v>
      </c>
      <c r="AH825">
        <f t="shared" si="127"/>
        <v>0</v>
      </c>
      <c r="AI825">
        <f t="shared" si="128"/>
        <v>1</v>
      </c>
      <c r="AJ825">
        <v>312.2</v>
      </c>
      <c r="AK825">
        <v>1020.9</v>
      </c>
      <c r="AL825">
        <v>90.4</v>
      </c>
      <c r="AM825">
        <v>6.8</v>
      </c>
      <c r="AN825">
        <v>0</v>
      </c>
      <c r="AO825">
        <v>0</v>
      </c>
      <c r="AP825">
        <v>0</v>
      </c>
      <c r="AQ825">
        <v>0</v>
      </c>
      <c r="AR825" t="s">
        <v>2842</v>
      </c>
      <c r="AS825" t="s">
        <v>2843</v>
      </c>
      <c r="AT825">
        <v>0.44</v>
      </c>
      <c r="AU825" t="s">
        <v>1357</v>
      </c>
      <c r="AV825" t="s">
        <v>1694</v>
      </c>
      <c r="AW825" t="s">
        <v>103</v>
      </c>
      <c r="AX825" s="1">
        <v>0.90277777777777779</v>
      </c>
      <c r="AY825" t="s">
        <v>2844</v>
      </c>
      <c r="AZ825">
        <v>559.99999999185093</v>
      </c>
      <c r="BA825">
        <v>1</v>
      </c>
      <c r="BB825">
        <v>0</v>
      </c>
      <c r="BC825">
        <v>1</v>
      </c>
      <c r="BD825">
        <v>0</v>
      </c>
      <c r="BE825">
        <f t="shared" si="129"/>
        <v>1</v>
      </c>
    </row>
    <row r="826" spans="1:57" x14ac:dyDescent="0.25">
      <c r="A826" t="s">
        <v>39</v>
      </c>
      <c r="B826" t="s">
        <v>2845</v>
      </c>
      <c r="C826">
        <v>84.3</v>
      </c>
      <c r="D826">
        <v>69.900000000000006</v>
      </c>
      <c r="G826">
        <f t="shared" si="120"/>
        <v>1</v>
      </c>
      <c r="H826">
        <f t="shared" si="121"/>
        <v>1</v>
      </c>
      <c r="I826">
        <f t="shared" si="122"/>
        <v>0</v>
      </c>
      <c r="J826">
        <v>78.8</v>
      </c>
      <c r="K826">
        <v>89.8</v>
      </c>
      <c r="L826">
        <v>69.900000000000006</v>
      </c>
      <c r="M826">
        <v>80.900000000000006</v>
      </c>
      <c r="N826">
        <v>67.599999999999994</v>
      </c>
      <c r="O826">
        <v>69.599999999999994</v>
      </c>
      <c r="S826">
        <f t="shared" si="123"/>
        <v>1</v>
      </c>
      <c r="T826">
        <f t="shared" si="124"/>
        <v>1</v>
      </c>
      <c r="U826">
        <f t="shared" si="125"/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21.9</v>
      </c>
      <c r="AG826">
        <f t="shared" si="126"/>
        <v>1</v>
      </c>
      <c r="AH826">
        <f t="shared" si="127"/>
        <v>1</v>
      </c>
      <c r="AI826">
        <f t="shared" si="128"/>
        <v>0</v>
      </c>
      <c r="AJ826">
        <v>306.7</v>
      </c>
      <c r="AK826">
        <v>1011.7</v>
      </c>
      <c r="AL826">
        <v>0</v>
      </c>
      <c r="AM826">
        <v>6.2</v>
      </c>
      <c r="AN826">
        <v>0</v>
      </c>
      <c r="AO826">
        <v>0</v>
      </c>
      <c r="AP826">
        <v>0</v>
      </c>
      <c r="AQ826">
        <v>0</v>
      </c>
      <c r="AR826" t="s">
        <v>2846</v>
      </c>
      <c r="AS826" t="s">
        <v>2847</v>
      </c>
      <c r="AT826">
        <v>0.87</v>
      </c>
      <c r="AU826" t="s">
        <v>74</v>
      </c>
      <c r="AV826" t="s">
        <v>44</v>
      </c>
      <c r="AW826" t="s">
        <v>75</v>
      </c>
      <c r="AX826" s="1">
        <v>0.70763888888888893</v>
      </c>
      <c r="AY826" t="s">
        <v>2848</v>
      </c>
      <c r="AZ826">
        <v>46.000000003259629</v>
      </c>
      <c r="BA826">
        <v>0</v>
      </c>
      <c r="BB826">
        <v>0</v>
      </c>
      <c r="BC826">
        <v>0.02</v>
      </c>
      <c r="BD826">
        <v>0</v>
      </c>
      <c r="BE826">
        <f t="shared" si="129"/>
        <v>1</v>
      </c>
    </row>
    <row r="827" spans="1:57" x14ac:dyDescent="0.25">
      <c r="A827" t="s">
        <v>39</v>
      </c>
      <c r="B827" t="s">
        <v>2849</v>
      </c>
      <c r="C827">
        <v>82.5</v>
      </c>
      <c r="D827">
        <v>69.900000000000006</v>
      </c>
      <c r="G827">
        <f t="shared" si="120"/>
        <v>1</v>
      </c>
      <c r="H827">
        <f t="shared" si="121"/>
        <v>1</v>
      </c>
      <c r="I827">
        <f t="shared" si="122"/>
        <v>0</v>
      </c>
      <c r="J827">
        <v>76.599999999999994</v>
      </c>
      <c r="K827">
        <v>85.5</v>
      </c>
      <c r="L827">
        <v>69.900000000000006</v>
      </c>
      <c r="M827">
        <v>77.5</v>
      </c>
      <c r="N827">
        <v>66</v>
      </c>
      <c r="O827">
        <v>70.7</v>
      </c>
      <c r="S827">
        <f t="shared" si="123"/>
        <v>1</v>
      </c>
      <c r="T827">
        <f t="shared" si="124"/>
        <v>1</v>
      </c>
      <c r="U827">
        <f t="shared" si="125"/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25.3</v>
      </c>
      <c r="AG827">
        <f t="shared" si="126"/>
        <v>1</v>
      </c>
      <c r="AH827">
        <f t="shared" si="127"/>
        <v>1</v>
      </c>
      <c r="AI827">
        <f t="shared" si="128"/>
        <v>0</v>
      </c>
      <c r="AJ827">
        <v>276.89999999999998</v>
      </c>
      <c r="AK827">
        <v>1008.8</v>
      </c>
      <c r="AL827">
        <v>35.799999999999997</v>
      </c>
      <c r="AM827">
        <v>6.8</v>
      </c>
      <c r="AN827">
        <v>0</v>
      </c>
      <c r="AO827">
        <v>0</v>
      </c>
      <c r="AP827">
        <v>0</v>
      </c>
      <c r="AQ827">
        <v>0</v>
      </c>
      <c r="AR827" t="s">
        <v>2850</v>
      </c>
      <c r="AS827" t="s">
        <v>2851</v>
      </c>
      <c r="AT827">
        <v>0.56999999999999995</v>
      </c>
      <c r="AU827" t="s">
        <v>43</v>
      </c>
      <c r="AV827" t="s">
        <v>44</v>
      </c>
      <c r="AW827" t="s">
        <v>45</v>
      </c>
      <c r="AX827" s="1">
        <v>0.54166666666666663</v>
      </c>
      <c r="AY827" t="s">
        <v>2852</v>
      </c>
      <c r="AZ827">
        <v>439.99999999883579</v>
      </c>
      <c r="BA827">
        <v>1</v>
      </c>
      <c r="BB827">
        <v>0</v>
      </c>
      <c r="BC827">
        <v>1</v>
      </c>
      <c r="BD827">
        <v>0</v>
      </c>
      <c r="BE827">
        <f t="shared" si="129"/>
        <v>1</v>
      </c>
    </row>
    <row r="828" spans="1:57" x14ac:dyDescent="0.25">
      <c r="A828" t="s">
        <v>39</v>
      </c>
      <c r="B828" t="s">
        <v>2853</v>
      </c>
      <c r="C828">
        <v>73.5</v>
      </c>
      <c r="D828">
        <v>62.7</v>
      </c>
      <c r="G828">
        <f t="shared" si="120"/>
        <v>1</v>
      </c>
      <c r="H828">
        <f t="shared" si="121"/>
        <v>1</v>
      </c>
      <c r="I828">
        <f t="shared" si="122"/>
        <v>0</v>
      </c>
      <c r="J828">
        <v>65.400000000000006</v>
      </c>
      <c r="K828">
        <v>73.5</v>
      </c>
      <c r="L828">
        <v>62.7</v>
      </c>
      <c r="M828">
        <v>65.400000000000006</v>
      </c>
      <c r="N828">
        <v>52.4</v>
      </c>
      <c r="O828">
        <v>64.2</v>
      </c>
      <c r="S828">
        <f t="shared" si="123"/>
        <v>0</v>
      </c>
      <c r="T828">
        <f t="shared" si="124"/>
        <v>0</v>
      </c>
      <c r="U828">
        <f t="shared" si="125"/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20.8</v>
      </c>
      <c r="AG828">
        <f t="shared" si="126"/>
        <v>1</v>
      </c>
      <c r="AH828">
        <f t="shared" si="127"/>
        <v>1</v>
      </c>
      <c r="AI828">
        <f t="shared" si="128"/>
        <v>0</v>
      </c>
      <c r="AJ828">
        <v>304</v>
      </c>
      <c r="AK828">
        <v>1010.9</v>
      </c>
      <c r="AL828">
        <v>63.8</v>
      </c>
      <c r="AM828">
        <v>6.5</v>
      </c>
      <c r="AN828">
        <v>0</v>
      </c>
      <c r="AO828">
        <v>0</v>
      </c>
      <c r="AP828">
        <v>0</v>
      </c>
      <c r="AQ828">
        <v>0</v>
      </c>
      <c r="AR828" t="s">
        <v>2854</v>
      </c>
      <c r="AS828" t="s">
        <v>2855</v>
      </c>
      <c r="AT828">
        <v>0.32</v>
      </c>
      <c r="AU828" t="s">
        <v>43</v>
      </c>
      <c r="AV828" t="s">
        <v>44</v>
      </c>
      <c r="AW828" t="s">
        <v>45</v>
      </c>
      <c r="AX828" s="1">
        <v>0.63194444444444442</v>
      </c>
      <c r="AY828" t="s">
        <v>2856</v>
      </c>
      <c r="AZ828">
        <v>6124.9999999953434</v>
      </c>
      <c r="BA828">
        <v>1</v>
      </c>
      <c r="BB828">
        <v>0</v>
      </c>
      <c r="BC828">
        <v>500</v>
      </c>
      <c r="BD828">
        <v>0</v>
      </c>
      <c r="BE828">
        <f t="shared" si="129"/>
        <v>1</v>
      </c>
    </row>
    <row r="829" spans="1:57" x14ac:dyDescent="0.25">
      <c r="A829" t="s">
        <v>39</v>
      </c>
      <c r="B829" t="s">
        <v>2857</v>
      </c>
      <c r="C829">
        <v>64.5</v>
      </c>
      <c r="D829">
        <v>48.3</v>
      </c>
      <c r="G829">
        <f t="shared" si="120"/>
        <v>1</v>
      </c>
      <c r="H829">
        <f t="shared" si="121"/>
        <v>1</v>
      </c>
      <c r="I829">
        <f t="shared" si="122"/>
        <v>0</v>
      </c>
      <c r="J829">
        <v>55.7</v>
      </c>
      <c r="K829">
        <v>64.5</v>
      </c>
      <c r="L829">
        <v>43.5</v>
      </c>
      <c r="M829">
        <v>55.1</v>
      </c>
      <c r="N829">
        <v>45.8</v>
      </c>
      <c r="O829">
        <v>69.900000000000006</v>
      </c>
      <c r="S829">
        <f t="shared" si="123"/>
        <v>1</v>
      </c>
      <c r="T829">
        <f t="shared" si="124"/>
        <v>1</v>
      </c>
      <c r="U829">
        <f t="shared" si="125"/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13.9</v>
      </c>
      <c r="AG829">
        <f t="shared" si="126"/>
        <v>1</v>
      </c>
      <c r="AH829">
        <f t="shared" si="127"/>
        <v>0</v>
      </c>
      <c r="AI829">
        <f t="shared" si="128"/>
        <v>1</v>
      </c>
      <c r="AJ829">
        <v>237.6</v>
      </c>
      <c r="AK829">
        <v>1015.3</v>
      </c>
      <c r="AL829">
        <v>53</v>
      </c>
      <c r="AM829">
        <v>6.7</v>
      </c>
      <c r="AN829">
        <v>0</v>
      </c>
      <c r="AO829">
        <v>0</v>
      </c>
      <c r="AP829">
        <v>0</v>
      </c>
      <c r="AQ829">
        <v>0</v>
      </c>
      <c r="AR829" t="s">
        <v>2858</v>
      </c>
      <c r="AS829" t="s">
        <v>2859</v>
      </c>
      <c r="AT829">
        <v>0.1</v>
      </c>
      <c r="AU829" t="s">
        <v>43</v>
      </c>
      <c r="AV829" t="s">
        <v>44</v>
      </c>
      <c r="AW829" t="s">
        <v>45</v>
      </c>
      <c r="AX829" s="1">
        <v>0.70486111111111116</v>
      </c>
      <c r="AY829" t="s">
        <v>2860</v>
      </c>
      <c r="AZ829">
        <v>365.00000000582082</v>
      </c>
      <c r="BA829">
        <v>1</v>
      </c>
      <c r="BB829">
        <v>0</v>
      </c>
      <c r="BC829">
        <v>2</v>
      </c>
      <c r="BD829">
        <v>0</v>
      </c>
      <c r="BE829">
        <f t="shared" si="129"/>
        <v>1</v>
      </c>
    </row>
    <row r="830" spans="1:57" x14ac:dyDescent="0.25">
      <c r="A830" t="s">
        <v>39</v>
      </c>
      <c r="B830" t="s">
        <v>2857</v>
      </c>
      <c r="C830">
        <v>64.5</v>
      </c>
      <c r="D830">
        <v>48.3</v>
      </c>
      <c r="G830">
        <f t="shared" si="120"/>
        <v>1</v>
      </c>
      <c r="H830">
        <f t="shared" si="121"/>
        <v>1</v>
      </c>
      <c r="I830">
        <f t="shared" si="122"/>
        <v>0</v>
      </c>
      <c r="J830">
        <v>55.7</v>
      </c>
      <c r="K830">
        <v>64.5</v>
      </c>
      <c r="L830">
        <v>43.5</v>
      </c>
      <c r="M830">
        <v>55.1</v>
      </c>
      <c r="N830">
        <v>45.8</v>
      </c>
      <c r="O830">
        <v>69.900000000000006</v>
      </c>
      <c r="S830">
        <f t="shared" si="123"/>
        <v>1</v>
      </c>
      <c r="T830">
        <f t="shared" si="124"/>
        <v>1</v>
      </c>
      <c r="U830">
        <f t="shared" si="125"/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13.9</v>
      </c>
      <c r="AG830">
        <f t="shared" si="126"/>
        <v>1</v>
      </c>
      <c r="AH830">
        <f t="shared" si="127"/>
        <v>0</v>
      </c>
      <c r="AI830">
        <f t="shared" si="128"/>
        <v>1</v>
      </c>
      <c r="AJ830">
        <v>237.6</v>
      </c>
      <c r="AK830">
        <v>1015.3</v>
      </c>
      <c r="AL830">
        <v>53</v>
      </c>
      <c r="AM830">
        <v>6.7</v>
      </c>
      <c r="AN830">
        <v>0</v>
      </c>
      <c r="AO830">
        <v>0</v>
      </c>
      <c r="AP830">
        <v>0</v>
      </c>
      <c r="AQ830">
        <v>0</v>
      </c>
      <c r="AR830" t="s">
        <v>2858</v>
      </c>
      <c r="AS830" t="s">
        <v>2859</v>
      </c>
      <c r="AT830">
        <v>0.1</v>
      </c>
      <c r="AU830" t="s">
        <v>43</v>
      </c>
      <c r="AV830" t="s">
        <v>44</v>
      </c>
      <c r="AW830" t="s">
        <v>45</v>
      </c>
      <c r="AX830" s="1">
        <v>0.60069444444444442</v>
      </c>
      <c r="AY830" t="s">
        <v>2861</v>
      </c>
      <c r="AZ830">
        <v>274.99999999534339</v>
      </c>
      <c r="BA830">
        <v>0</v>
      </c>
      <c r="BB830">
        <v>0</v>
      </c>
      <c r="BC830">
        <v>5</v>
      </c>
      <c r="BD830">
        <v>0</v>
      </c>
      <c r="BE830">
        <f t="shared" si="129"/>
        <v>1</v>
      </c>
    </row>
    <row r="831" spans="1:57" x14ac:dyDescent="0.25">
      <c r="A831" t="s">
        <v>39</v>
      </c>
      <c r="B831" t="s">
        <v>2862</v>
      </c>
      <c r="C831">
        <v>84.3</v>
      </c>
      <c r="D831">
        <v>75.3</v>
      </c>
      <c r="G831">
        <f t="shared" si="120"/>
        <v>1</v>
      </c>
      <c r="H831">
        <f t="shared" si="121"/>
        <v>1</v>
      </c>
      <c r="I831">
        <f t="shared" si="122"/>
        <v>0</v>
      </c>
      <c r="J831">
        <v>79.900000000000006</v>
      </c>
      <c r="K831">
        <v>92.7</v>
      </c>
      <c r="L831">
        <v>75.3</v>
      </c>
      <c r="M831">
        <v>82</v>
      </c>
      <c r="N831">
        <v>69.400000000000006</v>
      </c>
      <c r="O831">
        <v>71.5</v>
      </c>
      <c r="S831">
        <f t="shared" si="123"/>
        <v>1</v>
      </c>
      <c r="T831">
        <f t="shared" si="124"/>
        <v>1</v>
      </c>
      <c r="U831">
        <f t="shared" si="125"/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15</v>
      </c>
      <c r="AG831">
        <f t="shared" si="126"/>
        <v>1</v>
      </c>
      <c r="AH831">
        <f t="shared" si="127"/>
        <v>0</v>
      </c>
      <c r="AI831">
        <f t="shared" si="128"/>
        <v>1</v>
      </c>
      <c r="AJ831">
        <v>342.8</v>
      </c>
      <c r="AK831">
        <v>1008.4</v>
      </c>
      <c r="AL831">
        <v>60.9</v>
      </c>
      <c r="AM831">
        <v>6.5</v>
      </c>
      <c r="AN831">
        <v>0</v>
      </c>
      <c r="AO831">
        <v>0</v>
      </c>
      <c r="AP831">
        <v>0</v>
      </c>
      <c r="AQ831">
        <v>0</v>
      </c>
      <c r="AR831" t="s">
        <v>2863</v>
      </c>
      <c r="AS831" t="s">
        <v>2864</v>
      </c>
      <c r="AT831">
        <v>0.54</v>
      </c>
      <c r="AU831" t="s">
        <v>43</v>
      </c>
      <c r="AV831" t="s">
        <v>44</v>
      </c>
      <c r="AW831" t="s">
        <v>45</v>
      </c>
      <c r="AX831" s="1">
        <v>0.47916666666666669</v>
      </c>
      <c r="AY831" t="s">
        <v>2865</v>
      </c>
      <c r="AZ831">
        <v>660.00000000349246</v>
      </c>
      <c r="BA831">
        <v>1</v>
      </c>
      <c r="BB831">
        <v>1</v>
      </c>
      <c r="BC831">
        <v>0</v>
      </c>
      <c r="BD831">
        <v>0</v>
      </c>
      <c r="BE831">
        <f t="shared" si="129"/>
        <v>1</v>
      </c>
    </row>
    <row r="832" spans="1:57" x14ac:dyDescent="0.25">
      <c r="A832" t="s">
        <v>39</v>
      </c>
      <c r="B832" t="s">
        <v>2821</v>
      </c>
      <c r="C832">
        <v>84.3</v>
      </c>
      <c r="D832">
        <v>71.7</v>
      </c>
      <c r="G832">
        <f t="shared" si="120"/>
        <v>1</v>
      </c>
      <c r="H832">
        <f t="shared" si="121"/>
        <v>1</v>
      </c>
      <c r="I832">
        <f t="shared" si="122"/>
        <v>0</v>
      </c>
      <c r="J832">
        <v>78.5</v>
      </c>
      <c r="K832">
        <v>92.7</v>
      </c>
      <c r="L832">
        <v>71.7</v>
      </c>
      <c r="M832">
        <v>81.099999999999994</v>
      </c>
      <c r="N832">
        <v>67.599999999999994</v>
      </c>
      <c r="O832">
        <v>69.400000000000006</v>
      </c>
      <c r="S832">
        <f t="shared" si="123"/>
        <v>1</v>
      </c>
      <c r="T832">
        <f t="shared" si="124"/>
        <v>1</v>
      </c>
      <c r="U832">
        <f t="shared" si="125"/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8.1</v>
      </c>
      <c r="AG832">
        <f t="shared" si="126"/>
        <v>1</v>
      </c>
      <c r="AH832">
        <f t="shared" si="127"/>
        <v>0</v>
      </c>
      <c r="AI832">
        <f t="shared" si="128"/>
        <v>1</v>
      </c>
      <c r="AJ832">
        <v>132</v>
      </c>
      <c r="AK832">
        <v>1010.1</v>
      </c>
      <c r="AL832">
        <v>58</v>
      </c>
      <c r="AM832">
        <v>6.3</v>
      </c>
      <c r="AN832">
        <v>0</v>
      </c>
      <c r="AO832">
        <v>0</v>
      </c>
      <c r="AP832">
        <v>0</v>
      </c>
      <c r="AQ832">
        <v>0</v>
      </c>
      <c r="AR832" t="s">
        <v>2822</v>
      </c>
      <c r="AS832" t="s">
        <v>2823</v>
      </c>
      <c r="AT832">
        <v>0.5</v>
      </c>
      <c r="AU832" t="s">
        <v>43</v>
      </c>
      <c r="AV832" t="s">
        <v>44</v>
      </c>
      <c r="AW832" t="s">
        <v>45</v>
      </c>
      <c r="AX832" s="1">
        <v>0.87152777777777779</v>
      </c>
      <c r="AY832" t="s">
        <v>2866</v>
      </c>
      <c r="AZ832">
        <v>619.99999999883585</v>
      </c>
      <c r="BA832">
        <v>1</v>
      </c>
      <c r="BB832">
        <v>0</v>
      </c>
      <c r="BC832">
        <v>0.02</v>
      </c>
      <c r="BD832">
        <v>0</v>
      </c>
      <c r="BE832">
        <f t="shared" si="129"/>
        <v>1</v>
      </c>
    </row>
    <row r="833" spans="1:57" x14ac:dyDescent="0.25">
      <c r="A833" t="s">
        <v>39</v>
      </c>
      <c r="B833" t="s">
        <v>2867</v>
      </c>
      <c r="C833">
        <v>80.7</v>
      </c>
      <c r="D833">
        <v>75.3</v>
      </c>
      <c r="G833">
        <f t="shared" si="120"/>
        <v>1</v>
      </c>
      <c r="H833">
        <f t="shared" si="121"/>
        <v>0</v>
      </c>
      <c r="I833">
        <f t="shared" si="122"/>
        <v>1</v>
      </c>
      <c r="J833">
        <v>78.2</v>
      </c>
      <c r="K833">
        <v>82.9</v>
      </c>
      <c r="L833">
        <v>75.3</v>
      </c>
      <c r="M833">
        <v>78.8</v>
      </c>
      <c r="N833">
        <v>64.900000000000006</v>
      </c>
      <c r="O833">
        <v>63.7</v>
      </c>
      <c r="S833">
        <f t="shared" si="123"/>
        <v>1</v>
      </c>
      <c r="T833">
        <f t="shared" si="124"/>
        <v>1</v>
      </c>
      <c r="U833">
        <f t="shared" si="125"/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23</v>
      </c>
      <c r="AG833">
        <f t="shared" si="126"/>
        <v>1</v>
      </c>
      <c r="AH833">
        <f t="shared" si="127"/>
        <v>1</v>
      </c>
      <c r="AI833">
        <f t="shared" si="128"/>
        <v>0</v>
      </c>
      <c r="AJ833">
        <v>313.7</v>
      </c>
      <c r="AK833">
        <v>1010.2</v>
      </c>
      <c r="AL833">
        <v>30</v>
      </c>
      <c r="AM833">
        <v>6.7</v>
      </c>
      <c r="AN833">
        <v>0</v>
      </c>
      <c r="AO833">
        <v>0</v>
      </c>
      <c r="AP833">
        <v>0</v>
      </c>
      <c r="AQ833">
        <v>0</v>
      </c>
      <c r="AR833" t="s">
        <v>2868</v>
      </c>
      <c r="AS833" t="s">
        <v>2869</v>
      </c>
      <c r="AT833">
        <v>0.34</v>
      </c>
      <c r="AU833" t="s">
        <v>43</v>
      </c>
      <c r="AV833" t="s">
        <v>44</v>
      </c>
      <c r="AW833" t="s">
        <v>45</v>
      </c>
      <c r="AX833" s="1">
        <v>0.79861111111111116</v>
      </c>
      <c r="AY833" t="s">
        <v>2870</v>
      </c>
      <c r="AZ833">
        <v>3800.0000000023279</v>
      </c>
      <c r="BA833">
        <v>1</v>
      </c>
      <c r="BB833">
        <v>0</v>
      </c>
      <c r="BC833">
        <v>20</v>
      </c>
      <c r="BD833">
        <v>0</v>
      </c>
      <c r="BE833">
        <f t="shared" si="129"/>
        <v>1</v>
      </c>
    </row>
    <row r="834" spans="1:57" x14ac:dyDescent="0.25">
      <c r="A834" t="s">
        <v>39</v>
      </c>
      <c r="B834" t="s">
        <v>2871</v>
      </c>
      <c r="C834">
        <v>78.900000000000006</v>
      </c>
      <c r="D834">
        <v>71.7</v>
      </c>
      <c r="G834">
        <f t="shared" si="120"/>
        <v>0</v>
      </c>
      <c r="H834">
        <f t="shared" si="121"/>
        <v>0</v>
      </c>
      <c r="I834">
        <f t="shared" si="122"/>
        <v>0</v>
      </c>
      <c r="J834">
        <v>74.900000000000006</v>
      </c>
      <c r="K834">
        <v>78.900000000000006</v>
      </c>
      <c r="L834">
        <v>71.7</v>
      </c>
      <c r="M834">
        <v>74.900000000000006</v>
      </c>
      <c r="N834">
        <v>62.7</v>
      </c>
      <c r="O834">
        <v>66.2</v>
      </c>
      <c r="S834">
        <f t="shared" si="123"/>
        <v>0</v>
      </c>
      <c r="T834">
        <f t="shared" si="124"/>
        <v>0</v>
      </c>
      <c r="U834">
        <f t="shared" si="125"/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19.5</v>
      </c>
      <c r="AG834">
        <f t="shared" si="126"/>
        <v>1</v>
      </c>
      <c r="AH834">
        <f t="shared" si="127"/>
        <v>1</v>
      </c>
      <c r="AI834">
        <f t="shared" si="128"/>
        <v>0</v>
      </c>
      <c r="AJ834">
        <v>311.8</v>
      </c>
      <c r="AK834">
        <v>1012.2</v>
      </c>
      <c r="AL834">
        <v>37.5</v>
      </c>
      <c r="AM834">
        <v>6.8</v>
      </c>
      <c r="AN834">
        <v>0</v>
      </c>
      <c r="AO834">
        <v>0</v>
      </c>
      <c r="AP834">
        <v>0</v>
      </c>
      <c r="AQ834">
        <v>0</v>
      </c>
      <c r="AR834" t="s">
        <v>2872</v>
      </c>
      <c r="AS834" t="s">
        <v>2873</v>
      </c>
      <c r="AT834">
        <v>0.61</v>
      </c>
      <c r="AU834" t="s">
        <v>43</v>
      </c>
      <c r="AV834" t="s">
        <v>2026</v>
      </c>
      <c r="AW834" t="s">
        <v>45</v>
      </c>
      <c r="AX834" s="1">
        <v>0.3125</v>
      </c>
      <c r="AY834" t="s">
        <v>2874</v>
      </c>
      <c r="AZ834">
        <v>2070</v>
      </c>
      <c r="BA834">
        <v>1</v>
      </c>
      <c r="BB834">
        <v>0.3</v>
      </c>
      <c r="BC834">
        <v>0</v>
      </c>
      <c r="BD834">
        <v>0</v>
      </c>
      <c r="BE834">
        <f t="shared" si="129"/>
        <v>0</v>
      </c>
    </row>
    <row r="835" spans="1:57" x14ac:dyDescent="0.25">
      <c r="A835" t="s">
        <v>39</v>
      </c>
      <c r="B835" t="s">
        <v>2875</v>
      </c>
      <c r="C835">
        <v>55.5</v>
      </c>
      <c r="D835">
        <v>48.3</v>
      </c>
      <c r="G835">
        <f t="shared" ref="G835:G898" si="130">IF(ABS(C835-INDEX($F$2:$F$13,MONTH(B835)))&gt;1.8,1,0)</f>
        <v>1</v>
      </c>
      <c r="H835">
        <f t="shared" ref="H835:H898" si="131">IF(C835&gt;=INDEX($F$2:$F$13,MONTH(B835))+1.8,1,0)</f>
        <v>0</v>
      </c>
      <c r="I835">
        <f t="shared" ref="I835:I898" si="132">IF(C835&lt;=INDEX($F$2:$F$13,MONTH(B835))-1.8,1,0)</f>
        <v>1</v>
      </c>
      <c r="J835">
        <v>52.1</v>
      </c>
      <c r="K835">
        <v>55.5</v>
      </c>
      <c r="L835">
        <v>41.2</v>
      </c>
      <c r="M835">
        <v>51.7</v>
      </c>
      <c r="N835">
        <v>39.799999999999997</v>
      </c>
      <c r="O835">
        <v>63.9</v>
      </c>
      <c r="S835">
        <f t="shared" ref="S835:S898" si="133">IF(OR(O835&lt;INDEX($Q$2:$Q$13,MONTH(B835)),O835&gt;INDEX($R$2:$R$13,MONTH(B835))),1,0)</f>
        <v>1</v>
      </c>
      <c r="T835">
        <f t="shared" ref="T835:T898" si="134">IF(O835&gt;INDEX($R$2:$R$13,MONTH(B835)),1,0)</f>
        <v>0</v>
      </c>
      <c r="U835">
        <f t="shared" ref="U835:U898" si="135">IF(O835&lt;INDEX($Q$2:$Q$13,MONTH(B835)),1,0)</f>
        <v>1</v>
      </c>
      <c r="V835">
        <v>0.02</v>
      </c>
      <c r="W835">
        <v>100</v>
      </c>
      <c r="X835">
        <v>4.17</v>
      </c>
      <c r="Y835" t="s">
        <v>103</v>
      </c>
      <c r="Z835">
        <v>0</v>
      </c>
      <c r="AA835">
        <v>0</v>
      </c>
      <c r="AB835">
        <v>0</v>
      </c>
      <c r="AC835">
        <v>28.9</v>
      </c>
      <c r="AG835">
        <f t="shared" ref="AG835:AG898" si="136">IF(OR(AC835&lt;INDEX($AE$2:$AE$13,MONTH(B835)),AC835&gt;INDEX($AF$2:$AF$13,MONTH(B835))),1,0)</f>
        <v>1</v>
      </c>
      <c r="AH835">
        <f t="shared" ref="AH835:AH898" si="137">IF(AC835&gt;INDEX($AF$2:$AF$13,MONTH(B835)),1,0)</f>
        <v>1</v>
      </c>
      <c r="AI835">
        <f t="shared" ref="AI835:AI898" si="138">IF(AC835&lt;INDEX($AE$2:$AE$13,MONTH(B835)),1,0)</f>
        <v>0</v>
      </c>
      <c r="AJ835">
        <v>336.9</v>
      </c>
      <c r="AK835">
        <v>1018.2</v>
      </c>
      <c r="AL835">
        <v>90</v>
      </c>
      <c r="AM835">
        <v>6.8</v>
      </c>
      <c r="AN835">
        <v>0</v>
      </c>
      <c r="AO835">
        <v>0</v>
      </c>
      <c r="AP835">
        <v>0</v>
      </c>
      <c r="AQ835">
        <v>0</v>
      </c>
      <c r="AR835" t="s">
        <v>2876</v>
      </c>
      <c r="AS835" t="s">
        <v>2877</v>
      </c>
      <c r="AT835">
        <v>0.9</v>
      </c>
      <c r="AU835" t="s">
        <v>106</v>
      </c>
      <c r="AV835" t="s">
        <v>296</v>
      </c>
      <c r="AW835" t="s">
        <v>103</v>
      </c>
      <c r="AX835" s="1">
        <v>0.76388888888888884</v>
      </c>
      <c r="AY835" t="s">
        <v>2878</v>
      </c>
      <c r="AZ835">
        <v>114.99999999767169</v>
      </c>
      <c r="BA835">
        <v>0</v>
      </c>
      <c r="BB835">
        <v>0</v>
      </c>
      <c r="BC835">
        <v>2</v>
      </c>
      <c r="BD835">
        <v>0</v>
      </c>
      <c r="BE835">
        <f t="shared" ref="BE835:BE898" si="139">IF((3*AH835+3*H835+2*U835+2*BA835-(2*(1-T835)+2*(1-I835)+2*(1-AI835)))&gt;=1,1,0)</f>
        <v>1</v>
      </c>
    </row>
    <row r="836" spans="1:57" x14ac:dyDescent="0.25">
      <c r="A836" t="s">
        <v>39</v>
      </c>
      <c r="B836" t="s">
        <v>2879</v>
      </c>
      <c r="C836">
        <v>64.5</v>
      </c>
      <c r="D836">
        <v>53.7</v>
      </c>
      <c r="G836">
        <f t="shared" si="130"/>
        <v>1</v>
      </c>
      <c r="H836">
        <f t="shared" si="131"/>
        <v>1</v>
      </c>
      <c r="I836">
        <f t="shared" si="132"/>
        <v>0</v>
      </c>
      <c r="J836">
        <v>59.6</v>
      </c>
      <c r="K836">
        <v>64.5</v>
      </c>
      <c r="L836">
        <v>53.7</v>
      </c>
      <c r="M836">
        <v>59.6</v>
      </c>
      <c r="N836">
        <v>53</v>
      </c>
      <c r="O836">
        <v>79</v>
      </c>
      <c r="S836">
        <f t="shared" si="133"/>
        <v>1</v>
      </c>
      <c r="T836">
        <f t="shared" si="134"/>
        <v>1</v>
      </c>
      <c r="U836">
        <f t="shared" si="135"/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16.100000000000001</v>
      </c>
      <c r="AG836">
        <f t="shared" si="136"/>
        <v>0</v>
      </c>
      <c r="AH836">
        <f t="shared" si="137"/>
        <v>0</v>
      </c>
      <c r="AI836">
        <f t="shared" si="138"/>
        <v>0</v>
      </c>
      <c r="AJ836">
        <v>88.9</v>
      </c>
      <c r="AK836">
        <v>1004.6</v>
      </c>
      <c r="AL836">
        <v>51.3</v>
      </c>
      <c r="AM836">
        <v>6.7</v>
      </c>
      <c r="AN836">
        <v>0</v>
      </c>
      <c r="AO836">
        <v>0</v>
      </c>
      <c r="AP836">
        <v>0</v>
      </c>
      <c r="AQ836">
        <v>0</v>
      </c>
      <c r="AR836" t="s">
        <v>2880</v>
      </c>
      <c r="AS836" t="s">
        <v>2881</v>
      </c>
      <c r="AT836">
        <v>0.52</v>
      </c>
      <c r="AU836" t="s">
        <v>43</v>
      </c>
      <c r="AV836" t="s">
        <v>44</v>
      </c>
      <c r="AW836" t="s">
        <v>45</v>
      </c>
      <c r="AX836" s="1">
        <v>0.4375</v>
      </c>
      <c r="AY836" t="s">
        <v>2882</v>
      </c>
      <c r="AZ836">
        <v>660.00000000349246</v>
      </c>
      <c r="BA836">
        <v>1</v>
      </c>
      <c r="BB836">
        <v>0</v>
      </c>
      <c r="BC836">
        <v>3</v>
      </c>
      <c r="BD836">
        <v>0</v>
      </c>
      <c r="BE836">
        <f t="shared" si="139"/>
        <v>1</v>
      </c>
    </row>
    <row r="837" spans="1:57" x14ac:dyDescent="0.25">
      <c r="A837" t="s">
        <v>39</v>
      </c>
      <c r="B837" t="s">
        <v>2883</v>
      </c>
      <c r="C837">
        <v>87.9</v>
      </c>
      <c r="D837">
        <v>73.5</v>
      </c>
      <c r="G837">
        <f t="shared" si="130"/>
        <v>1</v>
      </c>
      <c r="H837">
        <f t="shared" si="131"/>
        <v>1</v>
      </c>
      <c r="I837">
        <f t="shared" si="132"/>
        <v>0</v>
      </c>
      <c r="J837">
        <v>81.099999999999994</v>
      </c>
      <c r="K837">
        <v>97.4</v>
      </c>
      <c r="L837">
        <v>73.5</v>
      </c>
      <c r="M837">
        <v>84.8</v>
      </c>
      <c r="N837">
        <v>67.099999999999994</v>
      </c>
      <c r="O837">
        <v>63</v>
      </c>
      <c r="S837">
        <f t="shared" si="133"/>
        <v>1</v>
      </c>
      <c r="T837">
        <f t="shared" si="134"/>
        <v>1</v>
      </c>
      <c r="U837">
        <f t="shared" si="135"/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9.1999999999999993</v>
      </c>
      <c r="AG837">
        <f t="shared" si="136"/>
        <v>1</v>
      </c>
      <c r="AH837">
        <f t="shared" si="137"/>
        <v>0</v>
      </c>
      <c r="AI837">
        <f t="shared" si="138"/>
        <v>1</v>
      </c>
      <c r="AJ837">
        <v>140.4</v>
      </c>
      <c r="AK837">
        <v>1008.5</v>
      </c>
      <c r="AL837">
        <v>0</v>
      </c>
      <c r="AM837">
        <v>6.2</v>
      </c>
      <c r="AN837">
        <v>0</v>
      </c>
      <c r="AO837">
        <v>0</v>
      </c>
      <c r="AP837">
        <v>0</v>
      </c>
      <c r="AQ837">
        <v>0</v>
      </c>
      <c r="AR837" t="s">
        <v>2884</v>
      </c>
      <c r="AS837" t="s">
        <v>2885</v>
      </c>
      <c r="AT837">
        <v>0.8</v>
      </c>
      <c r="AU837" t="s">
        <v>74</v>
      </c>
      <c r="AV837" t="s">
        <v>44</v>
      </c>
      <c r="AW837" t="s">
        <v>75</v>
      </c>
      <c r="AX837" s="1">
        <v>0.57986111111111116</v>
      </c>
      <c r="AY837" t="s">
        <v>2886</v>
      </c>
      <c r="AZ837">
        <v>4344.9999999976717</v>
      </c>
      <c r="BA837">
        <v>1</v>
      </c>
      <c r="BB837">
        <v>0</v>
      </c>
      <c r="BC837">
        <v>125</v>
      </c>
      <c r="BD837">
        <v>0</v>
      </c>
      <c r="BE837">
        <f t="shared" si="139"/>
        <v>1</v>
      </c>
    </row>
    <row r="838" spans="1:57" x14ac:dyDescent="0.25">
      <c r="A838" t="s">
        <v>39</v>
      </c>
      <c r="B838" t="s">
        <v>2887</v>
      </c>
      <c r="C838">
        <v>62.7</v>
      </c>
      <c r="D838">
        <v>44.7</v>
      </c>
      <c r="G838">
        <f t="shared" si="130"/>
        <v>0</v>
      </c>
      <c r="H838">
        <f t="shared" si="131"/>
        <v>0</v>
      </c>
      <c r="I838">
        <f t="shared" si="132"/>
        <v>0</v>
      </c>
      <c r="J838">
        <v>53.9</v>
      </c>
      <c r="K838">
        <v>62.7</v>
      </c>
      <c r="L838">
        <v>40.299999999999997</v>
      </c>
      <c r="M838">
        <v>52.7</v>
      </c>
      <c r="N838">
        <v>44.4</v>
      </c>
      <c r="O838">
        <v>70.900000000000006</v>
      </c>
      <c r="S838">
        <f t="shared" si="133"/>
        <v>1</v>
      </c>
      <c r="T838">
        <f t="shared" si="134"/>
        <v>1</v>
      </c>
      <c r="U838">
        <f t="shared" si="135"/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10.3</v>
      </c>
      <c r="AG838">
        <f t="shared" si="136"/>
        <v>1</v>
      </c>
      <c r="AH838">
        <f t="shared" si="137"/>
        <v>0</v>
      </c>
      <c r="AI838">
        <f t="shared" si="138"/>
        <v>1</v>
      </c>
      <c r="AJ838">
        <v>180.9</v>
      </c>
      <c r="AK838">
        <v>1014.9</v>
      </c>
      <c r="AL838">
        <v>30</v>
      </c>
      <c r="AM838">
        <v>6.4</v>
      </c>
      <c r="AN838">
        <v>0</v>
      </c>
      <c r="AO838">
        <v>0</v>
      </c>
      <c r="AP838">
        <v>0</v>
      </c>
      <c r="AQ838">
        <v>0</v>
      </c>
      <c r="AR838" t="s">
        <v>2888</v>
      </c>
      <c r="AS838" t="s">
        <v>2889</v>
      </c>
      <c r="AT838">
        <v>0.06</v>
      </c>
      <c r="AU838" t="s">
        <v>43</v>
      </c>
      <c r="AV838" t="s">
        <v>44</v>
      </c>
      <c r="AW838" t="s">
        <v>45</v>
      </c>
      <c r="AX838" s="1">
        <v>0.68402777777777779</v>
      </c>
      <c r="AY838" t="s">
        <v>2890</v>
      </c>
      <c r="AZ838">
        <v>174.99999999417921</v>
      </c>
      <c r="BA838">
        <v>0</v>
      </c>
      <c r="BB838">
        <v>0</v>
      </c>
      <c r="BC838">
        <v>2</v>
      </c>
      <c r="BD838">
        <v>0</v>
      </c>
      <c r="BE838">
        <f t="shared" si="139"/>
        <v>0</v>
      </c>
    </row>
    <row r="839" spans="1:57" x14ac:dyDescent="0.25">
      <c r="A839" t="s">
        <v>39</v>
      </c>
      <c r="B839" t="s">
        <v>2891</v>
      </c>
      <c r="C839">
        <v>84.3</v>
      </c>
      <c r="D839">
        <v>73.5</v>
      </c>
      <c r="G839">
        <f t="shared" si="130"/>
        <v>0</v>
      </c>
      <c r="H839">
        <f t="shared" si="131"/>
        <v>0</v>
      </c>
      <c r="I839">
        <f t="shared" si="132"/>
        <v>0</v>
      </c>
      <c r="J839">
        <v>79</v>
      </c>
      <c r="K839">
        <v>91.1</v>
      </c>
      <c r="L839">
        <v>73.5</v>
      </c>
      <c r="M839">
        <v>81.599999999999994</v>
      </c>
      <c r="N839">
        <v>69</v>
      </c>
      <c r="O839">
        <v>71.7</v>
      </c>
      <c r="S839">
        <f t="shared" si="133"/>
        <v>1</v>
      </c>
      <c r="T839">
        <f t="shared" si="134"/>
        <v>1</v>
      </c>
      <c r="U839">
        <f t="shared" si="135"/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10.3</v>
      </c>
      <c r="AG839">
        <f t="shared" si="136"/>
        <v>1</v>
      </c>
      <c r="AH839">
        <f t="shared" si="137"/>
        <v>0</v>
      </c>
      <c r="AI839">
        <f t="shared" si="138"/>
        <v>1</v>
      </c>
      <c r="AJ839">
        <v>297.39999999999998</v>
      </c>
      <c r="AK839">
        <v>1008.3</v>
      </c>
      <c r="AL839">
        <v>30</v>
      </c>
      <c r="AM839">
        <v>6.2</v>
      </c>
      <c r="AN839">
        <v>0</v>
      </c>
      <c r="AO839">
        <v>0</v>
      </c>
      <c r="AP839">
        <v>0</v>
      </c>
      <c r="AQ839">
        <v>0</v>
      </c>
      <c r="AR839" t="s">
        <v>2892</v>
      </c>
      <c r="AS839" t="s">
        <v>2893</v>
      </c>
      <c r="AT839">
        <v>0.55000000000000004</v>
      </c>
      <c r="AU839" t="s">
        <v>43</v>
      </c>
      <c r="AV839" t="s">
        <v>44</v>
      </c>
      <c r="AW839" t="s">
        <v>45</v>
      </c>
      <c r="AX839" s="1">
        <v>0.625</v>
      </c>
      <c r="AY839" t="s">
        <v>2894</v>
      </c>
      <c r="AZ839">
        <v>59.99999999650754</v>
      </c>
      <c r="BA839">
        <v>0</v>
      </c>
      <c r="BB839">
        <v>0</v>
      </c>
      <c r="BC839">
        <v>0.04</v>
      </c>
      <c r="BD839">
        <v>0</v>
      </c>
      <c r="BE839">
        <f t="shared" si="139"/>
        <v>0</v>
      </c>
    </row>
    <row r="840" spans="1:57" x14ac:dyDescent="0.25">
      <c r="A840" t="s">
        <v>39</v>
      </c>
      <c r="B840" t="s">
        <v>2895</v>
      </c>
      <c r="C840">
        <v>86.1</v>
      </c>
      <c r="D840">
        <v>78.900000000000006</v>
      </c>
      <c r="G840">
        <f t="shared" si="130"/>
        <v>1</v>
      </c>
      <c r="H840">
        <f t="shared" si="131"/>
        <v>1</v>
      </c>
      <c r="I840">
        <f t="shared" si="132"/>
        <v>0</v>
      </c>
      <c r="J840">
        <v>82.2</v>
      </c>
      <c r="K840">
        <v>88.5</v>
      </c>
      <c r="L840">
        <v>78.900000000000006</v>
      </c>
      <c r="M840">
        <v>83.9</v>
      </c>
      <c r="N840">
        <v>65.599999999999994</v>
      </c>
      <c r="O840">
        <v>57.5</v>
      </c>
      <c r="S840">
        <f t="shared" si="133"/>
        <v>1</v>
      </c>
      <c r="T840">
        <f t="shared" si="134"/>
        <v>0</v>
      </c>
      <c r="U840">
        <f t="shared" si="135"/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21.9</v>
      </c>
      <c r="AG840">
        <f t="shared" si="136"/>
        <v>1</v>
      </c>
      <c r="AH840">
        <f t="shared" si="137"/>
        <v>1</v>
      </c>
      <c r="AI840">
        <f t="shared" si="138"/>
        <v>0</v>
      </c>
      <c r="AJ840">
        <v>302.8</v>
      </c>
      <c r="AK840">
        <v>1008.5</v>
      </c>
      <c r="AL840">
        <v>0</v>
      </c>
      <c r="AM840">
        <v>6.2</v>
      </c>
      <c r="AN840">
        <v>0</v>
      </c>
      <c r="AO840">
        <v>0</v>
      </c>
      <c r="AP840">
        <v>0</v>
      </c>
      <c r="AQ840">
        <v>0</v>
      </c>
      <c r="AR840" t="s">
        <v>2896</v>
      </c>
      <c r="AS840" t="s">
        <v>2897</v>
      </c>
      <c r="AT840">
        <v>0</v>
      </c>
      <c r="AU840" t="s">
        <v>74</v>
      </c>
      <c r="AV840" t="s">
        <v>44</v>
      </c>
      <c r="AW840" t="s">
        <v>75</v>
      </c>
      <c r="AX840" s="1">
        <v>0.53125</v>
      </c>
      <c r="AY840" t="s">
        <v>2898</v>
      </c>
      <c r="AZ840">
        <v>4815</v>
      </c>
      <c r="BA840">
        <v>1</v>
      </c>
      <c r="BB840">
        <v>0</v>
      </c>
      <c r="BC840">
        <v>250</v>
      </c>
      <c r="BD840">
        <v>0</v>
      </c>
      <c r="BE840">
        <f t="shared" si="139"/>
        <v>1</v>
      </c>
    </row>
    <row r="841" spans="1:57" x14ac:dyDescent="0.25">
      <c r="A841" t="s">
        <v>39</v>
      </c>
      <c r="B841" t="s">
        <v>2899</v>
      </c>
      <c r="C841">
        <v>84.3</v>
      </c>
      <c r="D841">
        <v>69.900000000000006</v>
      </c>
      <c r="G841">
        <f t="shared" si="130"/>
        <v>0</v>
      </c>
      <c r="H841">
        <f t="shared" si="131"/>
        <v>0</v>
      </c>
      <c r="I841">
        <f t="shared" si="132"/>
        <v>0</v>
      </c>
      <c r="J841">
        <v>77</v>
      </c>
      <c r="K841">
        <v>92.7</v>
      </c>
      <c r="L841">
        <v>69.900000000000006</v>
      </c>
      <c r="M841">
        <v>79.099999999999994</v>
      </c>
      <c r="N841">
        <v>69.599999999999994</v>
      </c>
      <c r="O841">
        <v>78.2</v>
      </c>
      <c r="S841">
        <f t="shared" si="133"/>
        <v>1</v>
      </c>
      <c r="T841">
        <f t="shared" si="134"/>
        <v>1</v>
      </c>
      <c r="U841">
        <f t="shared" si="135"/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16.100000000000001</v>
      </c>
      <c r="AG841">
        <f t="shared" si="136"/>
        <v>0</v>
      </c>
      <c r="AH841">
        <f t="shared" si="137"/>
        <v>0</v>
      </c>
      <c r="AI841">
        <f t="shared" si="138"/>
        <v>0</v>
      </c>
      <c r="AJ841">
        <v>307.7</v>
      </c>
      <c r="AK841">
        <v>1010</v>
      </c>
      <c r="AL841">
        <v>41.4</v>
      </c>
      <c r="AM841">
        <v>6.6</v>
      </c>
      <c r="AN841">
        <v>0</v>
      </c>
      <c r="AO841">
        <v>0</v>
      </c>
      <c r="AP841">
        <v>0</v>
      </c>
      <c r="AQ841">
        <v>0</v>
      </c>
      <c r="AR841" t="s">
        <v>2900</v>
      </c>
      <c r="AS841" t="s">
        <v>2901</v>
      </c>
      <c r="AT841">
        <v>0</v>
      </c>
      <c r="AU841" t="s">
        <v>43</v>
      </c>
      <c r="AV841" t="s">
        <v>44</v>
      </c>
      <c r="AW841" t="s">
        <v>45</v>
      </c>
      <c r="AX841" s="1">
        <v>0.61111111111111116</v>
      </c>
      <c r="AY841" t="s">
        <v>2902</v>
      </c>
      <c r="AZ841">
        <v>1689.9999999976719</v>
      </c>
      <c r="BA841">
        <v>1</v>
      </c>
      <c r="BB841">
        <v>0</v>
      </c>
      <c r="BC841">
        <v>70</v>
      </c>
      <c r="BD841">
        <v>0</v>
      </c>
      <c r="BE841">
        <f t="shared" si="139"/>
        <v>0</v>
      </c>
    </row>
    <row r="842" spans="1:57" x14ac:dyDescent="0.25">
      <c r="A842" t="s">
        <v>39</v>
      </c>
      <c r="B842" t="s">
        <v>2903</v>
      </c>
      <c r="C842">
        <v>86.1</v>
      </c>
      <c r="D842">
        <v>73.5</v>
      </c>
      <c r="G842">
        <f t="shared" si="130"/>
        <v>1</v>
      </c>
      <c r="H842">
        <f t="shared" si="131"/>
        <v>1</v>
      </c>
      <c r="I842">
        <f t="shared" si="132"/>
        <v>0</v>
      </c>
      <c r="J842">
        <v>79.900000000000006</v>
      </c>
      <c r="K842">
        <v>94.4</v>
      </c>
      <c r="L842">
        <v>73.5</v>
      </c>
      <c r="M842">
        <v>83.3</v>
      </c>
      <c r="N842">
        <v>69.3</v>
      </c>
      <c r="O842">
        <v>71.2</v>
      </c>
      <c r="S842">
        <f t="shared" si="133"/>
        <v>1</v>
      </c>
      <c r="T842">
        <f t="shared" si="134"/>
        <v>1</v>
      </c>
      <c r="U842">
        <f t="shared" si="135"/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13.9</v>
      </c>
      <c r="AG842">
        <f t="shared" si="136"/>
        <v>1</v>
      </c>
      <c r="AH842">
        <f t="shared" si="137"/>
        <v>0</v>
      </c>
      <c r="AI842">
        <f t="shared" si="138"/>
        <v>1</v>
      </c>
      <c r="AJ842">
        <v>270</v>
      </c>
      <c r="AK842">
        <v>1004.9</v>
      </c>
      <c r="AL842">
        <v>44.5</v>
      </c>
      <c r="AM842">
        <v>5.7</v>
      </c>
      <c r="AN842">
        <v>0</v>
      </c>
      <c r="AO842">
        <v>0</v>
      </c>
      <c r="AP842">
        <v>0</v>
      </c>
      <c r="AQ842">
        <v>0</v>
      </c>
      <c r="AR842" t="s">
        <v>2904</v>
      </c>
      <c r="AS842" t="s">
        <v>2905</v>
      </c>
      <c r="AT842">
        <v>0.28999999999999998</v>
      </c>
      <c r="AU842" t="s">
        <v>43</v>
      </c>
      <c r="AV842" t="s">
        <v>44</v>
      </c>
      <c r="AW842" t="s">
        <v>45</v>
      </c>
      <c r="AX842" s="1">
        <v>0.53472222222222221</v>
      </c>
      <c r="AY842" t="s">
        <v>2906</v>
      </c>
      <c r="AZ842">
        <v>3410.0000000093132</v>
      </c>
      <c r="BA842">
        <v>1</v>
      </c>
      <c r="BB842">
        <v>0</v>
      </c>
      <c r="BC842">
        <v>30</v>
      </c>
      <c r="BD842">
        <v>0</v>
      </c>
      <c r="BE842">
        <f t="shared" si="139"/>
        <v>1</v>
      </c>
    </row>
    <row r="843" spans="1:57" x14ac:dyDescent="0.25">
      <c r="A843" t="s">
        <v>39</v>
      </c>
      <c r="B843" t="s">
        <v>2907</v>
      </c>
      <c r="C843">
        <v>66.3</v>
      </c>
      <c r="D843">
        <v>51.9</v>
      </c>
      <c r="G843">
        <f t="shared" si="130"/>
        <v>1</v>
      </c>
      <c r="H843">
        <f t="shared" si="131"/>
        <v>1</v>
      </c>
      <c r="I843">
        <f t="shared" si="132"/>
        <v>0</v>
      </c>
      <c r="J843">
        <v>58.7</v>
      </c>
      <c r="K843">
        <v>66.3</v>
      </c>
      <c r="L843">
        <v>51.9</v>
      </c>
      <c r="M843">
        <v>58.7</v>
      </c>
      <c r="N843">
        <v>50.9</v>
      </c>
      <c r="O843">
        <v>76.2</v>
      </c>
      <c r="S843">
        <f t="shared" si="133"/>
        <v>1</v>
      </c>
      <c r="T843">
        <f t="shared" si="134"/>
        <v>1</v>
      </c>
      <c r="U843">
        <f t="shared" si="135"/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9.1999999999999993</v>
      </c>
      <c r="AG843">
        <f t="shared" si="136"/>
        <v>1</v>
      </c>
      <c r="AH843">
        <f t="shared" si="137"/>
        <v>0</v>
      </c>
      <c r="AI843">
        <f t="shared" si="138"/>
        <v>1</v>
      </c>
      <c r="AJ843">
        <v>161</v>
      </c>
      <c r="AK843">
        <v>1016.1</v>
      </c>
      <c r="AL843">
        <v>30</v>
      </c>
      <c r="AM843">
        <v>6.3</v>
      </c>
      <c r="AN843">
        <v>0</v>
      </c>
      <c r="AO843">
        <v>0</v>
      </c>
      <c r="AP843">
        <v>0</v>
      </c>
      <c r="AQ843">
        <v>0</v>
      </c>
      <c r="AR843" t="s">
        <v>2908</v>
      </c>
      <c r="AS843" t="s">
        <v>2909</v>
      </c>
      <c r="AT843">
        <v>0.86</v>
      </c>
      <c r="AU843" t="s">
        <v>43</v>
      </c>
      <c r="AV843" t="s">
        <v>44</v>
      </c>
      <c r="AW843" t="s">
        <v>45</v>
      </c>
      <c r="AX843" s="1">
        <v>0.48958333333333331</v>
      </c>
      <c r="AY843" t="s">
        <v>2910</v>
      </c>
      <c r="AZ843">
        <v>1170</v>
      </c>
      <c r="BA843">
        <v>1</v>
      </c>
      <c r="BB843">
        <v>0</v>
      </c>
      <c r="BC843">
        <v>20</v>
      </c>
      <c r="BD843">
        <v>0</v>
      </c>
      <c r="BE843">
        <f t="shared" si="139"/>
        <v>1</v>
      </c>
    </row>
    <row r="844" spans="1:57" x14ac:dyDescent="0.25">
      <c r="A844" t="s">
        <v>39</v>
      </c>
      <c r="B844" t="s">
        <v>2862</v>
      </c>
      <c r="C844">
        <v>84.3</v>
      </c>
      <c r="D844">
        <v>75.3</v>
      </c>
      <c r="G844">
        <f t="shared" si="130"/>
        <v>1</v>
      </c>
      <c r="H844">
        <f t="shared" si="131"/>
        <v>1</v>
      </c>
      <c r="I844">
        <f t="shared" si="132"/>
        <v>0</v>
      </c>
      <c r="J844">
        <v>79.900000000000006</v>
      </c>
      <c r="K844">
        <v>92.7</v>
      </c>
      <c r="L844">
        <v>75.3</v>
      </c>
      <c r="M844">
        <v>82</v>
      </c>
      <c r="N844">
        <v>69.400000000000006</v>
      </c>
      <c r="O844">
        <v>71.5</v>
      </c>
      <c r="S844">
        <f t="shared" si="133"/>
        <v>1</v>
      </c>
      <c r="T844">
        <f t="shared" si="134"/>
        <v>1</v>
      </c>
      <c r="U844">
        <f t="shared" si="135"/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15</v>
      </c>
      <c r="AG844">
        <f t="shared" si="136"/>
        <v>1</v>
      </c>
      <c r="AH844">
        <f t="shared" si="137"/>
        <v>0</v>
      </c>
      <c r="AI844">
        <f t="shared" si="138"/>
        <v>1</v>
      </c>
      <c r="AJ844">
        <v>342.8</v>
      </c>
      <c r="AK844">
        <v>1008.4</v>
      </c>
      <c r="AL844">
        <v>60.9</v>
      </c>
      <c r="AM844">
        <v>6.5</v>
      </c>
      <c r="AN844">
        <v>0</v>
      </c>
      <c r="AO844">
        <v>0</v>
      </c>
      <c r="AP844">
        <v>0</v>
      </c>
      <c r="AQ844">
        <v>0</v>
      </c>
      <c r="AR844" t="s">
        <v>2863</v>
      </c>
      <c r="AS844" t="s">
        <v>2864</v>
      </c>
      <c r="AT844">
        <v>0.54</v>
      </c>
      <c r="AU844" t="s">
        <v>43</v>
      </c>
      <c r="AV844" t="s">
        <v>44</v>
      </c>
      <c r="AW844" t="s">
        <v>45</v>
      </c>
      <c r="AX844" s="1">
        <v>0.62152777777777779</v>
      </c>
      <c r="AY844" t="s">
        <v>2911</v>
      </c>
      <c r="AZ844">
        <v>4815</v>
      </c>
      <c r="BA844">
        <v>1</v>
      </c>
      <c r="BB844">
        <v>0</v>
      </c>
      <c r="BC844">
        <v>50</v>
      </c>
      <c r="BD844">
        <v>0</v>
      </c>
      <c r="BE844">
        <f t="shared" si="139"/>
        <v>1</v>
      </c>
    </row>
    <row r="845" spans="1:57" x14ac:dyDescent="0.25">
      <c r="A845" t="s">
        <v>39</v>
      </c>
      <c r="B845" t="s">
        <v>2912</v>
      </c>
      <c r="C845">
        <v>77.099999999999994</v>
      </c>
      <c r="D845">
        <v>59.1</v>
      </c>
      <c r="G845">
        <f t="shared" si="130"/>
        <v>1</v>
      </c>
      <c r="H845">
        <f t="shared" si="131"/>
        <v>1</v>
      </c>
      <c r="I845">
        <f t="shared" si="132"/>
        <v>0</v>
      </c>
      <c r="J845">
        <v>67.099999999999994</v>
      </c>
      <c r="K845">
        <v>77.099999999999994</v>
      </c>
      <c r="L845">
        <v>59.1</v>
      </c>
      <c r="M845">
        <v>67.099999999999994</v>
      </c>
      <c r="N845">
        <v>56</v>
      </c>
      <c r="O845">
        <v>68.599999999999994</v>
      </c>
      <c r="S845">
        <f t="shared" si="133"/>
        <v>1</v>
      </c>
      <c r="T845">
        <f t="shared" si="134"/>
        <v>1</v>
      </c>
      <c r="U845">
        <f t="shared" si="135"/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20.8</v>
      </c>
      <c r="AG845">
        <f t="shared" si="136"/>
        <v>1</v>
      </c>
      <c r="AH845">
        <f t="shared" si="137"/>
        <v>1</v>
      </c>
      <c r="AI845">
        <f t="shared" si="138"/>
        <v>0</v>
      </c>
      <c r="AJ845">
        <v>170.9</v>
      </c>
      <c r="AK845">
        <v>1014.6</v>
      </c>
      <c r="AL845">
        <v>58</v>
      </c>
      <c r="AM845">
        <v>6.4</v>
      </c>
      <c r="AN845">
        <v>0</v>
      </c>
      <c r="AO845">
        <v>0</v>
      </c>
      <c r="AP845">
        <v>0</v>
      </c>
      <c r="AQ845">
        <v>0</v>
      </c>
      <c r="AR845" t="s">
        <v>2913</v>
      </c>
      <c r="AS845" t="s">
        <v>2914</v>
      </c>
      <c r="AT845">
        <v>0.18</v>
      </c>
      <c r="AU845" t="s">
        <v>43</v>
      </c>
      <c r="AV845" t="s">
        <v>44</v>
      </c>
      <c r="AW845" t="s">
        <v>45</v>
      </c>
      <c r="AX845" s="1">
        <v>0.5625</v>
      </c>
      <c r="AY845" t="s">
        <v>2915</v>
      </c>
      <c r="AZ845">
        <v>169.99999999883579</v>
      </c>
      <c r="BA845">
        <v>0</v>
      </c>
      <c r="BB845">
        <v>0</v>
      </c>
      <c r="BC845">
        <v>0.5</v>
      </c>
      <c r="BD845">
        <v>0</v>
      </c>
      <c r="BE845">
        <f t="shared" si="139"/>
        <v>1</v>
      </c>
    </row>
    <row r="846" spans="1:57" x14ac:dyDescent="0.25">
      <c r="A846" t="s">
        <v>39</v>
      </c>
      <c r="B846" t="s">
        <v>2916</v>
      </c>
      <c r="C846">
        <v>91.5</v>
      </c>
      <c r="D846">
        <v>71.7</v>
      </c>
      <c r="G846">
        <f t="shared" si="130"/>
        <v>1</v>
      </c>
      <c r="H846">
        <f t="shared" si="131"/>
        <v>1</v>
      </c>
      <c r="I846">
        <f t="shared" si="132"/>
        <v>0</v>
      </c>
      <c r="J846">
        <v>81</v>
      </c>
      <c r="K846">
        <v>94.5</v>
      </c>
      <c r="L846">
        <v>71.7</v>
      </c>
      <c r="M846">
        <v>82.3</v>
      </c>
      <c r="N846">
        <v>62.9</v>
      </c>
      <c r="O846">
        <v>55.2</v>
      </c>
      <c r="S846">
        <f t="shared" si="133"/>
        <v>1</v>
      </c>
      <c r="T846">
        <f t="shared" si="134"/>
        <v>0</v>
      </c>
      <c r="U846">
        <f t="shared" si="135"/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8.1</v>
      </c>
      <c r="AG846">
        <f t="shared" si="136"/>
        <v>1</v>
      </c>
      <c r="AH846">
        <f t="shared" si="137"/>
        <v>0</v>
      </c>
      <c r="AI846">
        <f t="shared" si="138"/>
        <v>1</v>
      </c>
      <c r="AJ846">
        <v>181.1</v>
      </c>
      <c r="AK846">
        <v>1010.4</v>
      </c>
      <c r="AL846">
        <v>0</v>
      </c>
      <c r="AM846">
        <v>6.2</v>
      </c>
      <c r="AN846">
        <v>0</v>
      </c>
      <c r="AO846">
        <v>0</v>
      </c>
      <c r="AP846">
        <v>0</v>
      </c>
      <c r="AQ846">
        <v>0</v>
      </c>
      <c r="AR846" t="s">
        <v>2917</v>
      </c>
      <c r="AS846" t="s">
        <v>2918</v>
      </c>
      <c r="AT846">
        <v>0.52</v>
      </c>
      <c r="AU846" t="s">
        <v>74</v>
      </c>
      <c r="AV846" t="s">
        <v>44</v>
      </c>
      <c r="AW846" t="s">
        <v>75</v>
      </c>
      <c r="AX846" s="1">
        <v>0.52430555555555558</v>
      </c>
      <c r="AY846" t="s">
        <v>2919</v>
      </c>
      <c r="AZ846">
        <v>7535.0000000023283</v>
      </c>
      <c r="BA846">
        <v>1</v>
      </c>
      <c r="BB846">
        <v>0</v>
      </c>
      <c r="BC846">
        <v>490</v>
      </c>
      <c r="BD846">
        <v>0</v>
      </c>
      <c r="BE846">
        <f t="shared" si="139"/>
        <v>1</v>
      </c>
    </row>
    <row r="847" spans="1:57" x14ac:dyDescent="0.25">
      <c r="A847" t="s">
        <v>39</v>
      </c>
      <c r="B847" t="s">
        <v>2920</v>
      </c>
      <c r="C847">
        <v>75.3</v>
      </c>
      <c r="D847">
        <v>53.7</v>
      </c>
      <c r="G847">
        <f t="shared" si="130"/>
        <v>1</v>
      </c>
      <c r="H847">
        <f t="shared" si="131"/>
        <v>1</v>
      </c>
      <c r="I847">
        <f t="shared" si="132"/>
        <v>0</v>
      </c>
      <c r="J847">
        <v>64.900000000000006</v>
      </c>
      <c r="K847">
        <v>75.3</v>
      </c>
      <c r="L847">
        <v>53.7</v>
      </c>
      <c r="M847">
        <v>64.900000000000006</v>
      </c>
      <c r="N847">
        <v>48.1</v>
      </c>
      <c r="O847">
        <v>57.5</v>
      </c>
      <c r="S847">
        <f t="shared" si="133"/>
        <v>1</v>
      </c>
      <c r="T847">
        <f t="shared" si="134"/>
        <v>0</v>
      </c>
      <c r="U847">
        <f t="shared" si="135"/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24.2</v>
      </c>
      <c r="AG847">
        <f t="shared" si="136"/>
        <v>1</v>
      </c>
      <c r="AH847">
        <f t="shared" si="137"/>
        <v>1</v>
      </c>
      <c r="AI847">
        <f t="shared" si="138"/>
        <v>0</v>
      </c>
      <c r="AJ847">
        <v>171.5</v>
      </c>
      <c r="AK847">
        <v>1010.9</v>
      </c>
      <c r="AL847">
        <v>61.3</v>
      </c>
      <c r="AM847">
        <v>6.8</v>
      </c>
      <c r="AN847">
        <v>0</v>
      </c>
      <c r="AO847">
        <v>0</v>
      </c>
      <c r="AP847">
        <v>0</v>
      </c>
      <c r="AQ847">
        <v>0</v>
      </c>
      <c r="AR847" t="s">
        <v>2921</v>
      </c>
      <c r="AS847" t="s">
        <v>2922</v>
      </c>
      <c r="AT847">
        <v>0.42</v>
      </c>
      <c r="AU847" t="s">
        <v>43</v>
      </c>
      <c r="AV847" t="s">
        <v>44</v>
      </c>
      <c r="AW847" t="s">
        <v>45</v>
      </c>
      <c r="AX847" s="1">
        <v>0.6875</v>
      </c>
      <c r="AY847" t="s">
        <v>2923</v>
      </c>
      <c r="AZ847">
        <v>900</v>
      </c>
      <c r="BA847">
        <v>1</v>
      </c>
      <c r="BB847">
        <v>0</v>
      </c>
      <c r="BC847">
        <v>7</v>
      </c>
      <c r="BD847">
        <v>0</v>
      </c>
      <c r="BE847">
        <f t="shared" si="139"/>
        <v>1</v>
      </c>
    </row>
    <row r="848" spans="1:57" x14ac:dyDescent="0.25">
      <c r="A848" t="s">
        <v>39</v>
      </c>
      <c r="B848" t="s">
        <v>2871</v>
      </c>
      <c r="C848">
        <v>78.900000000000006</v>
      </c>
      <c r="D848">
        <v>71.7</v>
      </c>
      <c r="G848">
        <f t="shared" si="130"/>
        <v>0</v>
      </c>
      <c r="H848">
        <f t="shared" si="131"/>
        <v>0</v>
      </c>
      <c r="I848">
        <f t="shared" si="132"/>
        <v>0</v>
      </c>
      <c r="J848">
        <v>74.900000000000006</v>
      </c>
      <c r="K848">
        <v>78.900000000000006</v>
      </c>
      <c r="L848">
        <v>71.7</v>
      </c>
      <c r="M848">
        <v>74.900000000000006</v>
      </c>
      <c r="N848">
        <v>62.7</v>
      </c>
      <c r="O848">
        <v>66.2</v>
      </c>
      <c r="S848">
        <f t="shared" si="133"/>
        <v>0</v>
      </c>
      <c r="T848">
        <f t="shared" si="134"/>
        <v>0</v>
      </c>
      <c r="U848">
        <f t="shared" si="135"/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19.5</v>
      </c>
      <c r="AG848">
        <f t="shared" si="136"/>
        <v>1</v>
      </c>
      <c r="AH848">
        <f t="shared" si="137"/>
        <v>1</v>
      </c>
      <c r="AI848">
        <f t="shared" si="138"/>
        <v>0</v>
      </c>
      <c r="AJ848">
        <v>311.8</v>
      </c>
      <c r="AK848">
        <v>1012.2</v>
      </c>
      <c r="AL848">
        <v>37.5</v>
      </c>
      <c r="AM848">
        <v>6.8</v>
      </c>
      <c r="AN848">
        <v>0</v>
      </c>
      <c r="AO848">
        <v>0</v>
      </c>
      <c r="AP848">
        <v>0</v>
      </c>
      <c r="AQ848">
        <v>0</v>
      </c>
      <c r="AR848" t="s">
        <v>2872</v>
      </c>
      <c r="AS848" t="s">
        <v>2873</v>
      </c>
      <c r="AT848">
        <v>0.61</v>
      </c>
      <c r="AU848" t="s">
        <v>43</v>
      </c>
      <c r="AV848" t="s">
        <v>2026</v>
      </c>
      <c r="AW848" t="s">
        <v>45</v>
      </c>
      <c r="AX848" s="1">
        <v>0.2638888888888889</v>
      </c>
      <c r="AY848" t="s">
        <v>2924</v>
      </c>
      <c r="AZ848">
        <v>329.99999999650748</v>
      </c>
      <c r="BA848">
        <v>0</v>
      </c>
      <c r="BB848">
        <v>0</v>
      </c>
      <c r="BC848">
        <v>0.05</v>
      </c>
      <c r="BD848">
        <v>0</v>
      </c>
      <c r="BE848">
        <f t="shared" si="139"/>
        <v>0</v>
      </c>
    </row>
    <row r="849" spans="1:57" x14ac:dyDescent="0.25">
      <c r="A849" t="s">
        <v>39</v>
      </c>
      <c r="B849" t="s">
        <v>2925</v>
      </c>
      <c r="C849">
        <v>69.900000000000006</v>
      </c>
      <c r="D849">
        <v>68.099999999999994</v>
      </c>
      <c r="G849">
        <f t="shared" si="130"/>
        <v>1</v>
      </c>
      <c r="H849">
        <f t="shared" si="131"/>
        <v>0</v>
      </c>
      <c r="I849">
        <f t="shared" si="132"/>
        <v>1</v>
      </c>
      <c r="J849">
        <v>68.599999999999994</v>
      </c>
      <c r="K849">
        <v>69.900000000000006</v>
      </c>
      <c r="L849">
        <v>68.099999999999994</v>
      </c>
      <c r="M849">
        <v>68.599999999999994</v>
      </c>
      <c r="N849">
        <v>54.8</v>
      </c>
      <c r="O849">
        <v>61.6</v>
      </c>
      <c r="S849">
        <f t="shared" si="133"/>
        <v>1</v>
      </c>
      <c r="T849">
        <f t="shared" si="134"/>
        <v>0</v>
      </c>
      <c r="U849">
        <f t="shared" si="135"/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27.5</v>
      </c>
      <c r="AG849">
        <f t="shared" si="136"/>
        <v>1</v>
      </c>
      <c r="AH849">
        <f t="shared" si="137"/>
        <v>1</v>
      </c>
      <c r="AI849">
        <f t="shared" si="138"/>
        <v>0</v>
      </c>
      <c r="AJ849">
        <v>332.3</v>
      </c>
      <c r="AK849">
        <v>1022.9</v>
      </c>
      <c r="AL849">
        <v>55</v>
      </c>
      <c r="AM849">
        <v>6.8</v>
      </c>
      <c r="AN849">
        <v>0</v>
      </c>
      <c r="AO849">
        <v>0</v>
      </c>
      <c r="AP849">
        <v>0</v>
      </c>
      <c r="AQ849">
        <v>0</v>
      </c>
      <c r="AR849" t="s">
        <v>2926</v>
      </c>
      <c r="AS849" t="s">
        <v>2927</v>
      </c>
      <c r="AT849">
        <v>0.39</v>
      </c>
      <c r="AU849" t="s">
        <v>43</v>
      </c>
      <c r="AV849" t="s">
        <v>44</v>
      </c>
      <c r="AW849" t="s">
        <v>45</v>
      </c>
      <c r="AX849" s="1">
        <v>0.91319444444444442</v>
      </c>
      <c r="AY849" t="s">
        <v>2928</v>
      </c>
      <c r="AZ849">
        <v>45</v>
      </c>
      <c r="BA849">
        <v>0</v>
      </c>
      <c r="BB849">
        <v>0</v>
      </c>
      <c r="BC849">
        <v>0.5</v>
      </c>
      <c r="BD849">
        <v>0</v>
      </c>
      <c r="BE849">
        <f t="shared" si="139"/>
        <v>1</v>
      </c>
    </row>
    <row r="850" spans="1:57" x14ac:dyDescent="0.25">
      <c r="A850" t="s">
        <v>39</v>
      </c>
      <c r="B850" t="s">
        <v>2929</v>
      </c>
      <c r="C850">
        <v>51.9</v>
      </c>
      <c r="D850">
        <v>44.7</v>
      </c>
      <c r="G850">
        <f t="shared" si="130"/>
        <v>1</v>
      </c>
      <c r="H850">
        <f t="shared" si="131"/>
        <v>0</v>
      </c>
      <c r="I850">
        <f t="shared" si="132"/>
        <v>1</v>
      </c>
      <c r="J850">
        <v>48.2</v>
      </c>
      <c r="K850">
        <v>51.9</v>
      </c>
      <c r="L850">
        <v>35</v>
      </c>
      <c r="M850">
        <v>43.9</v>
      </c>
      <c r="N850">
        <v>35.9</v>
      </c>
      <c r="O850">
        <v>62.6</v>
      </c>
      <c r="S850">
        <f t="shared" si="133"/>
        <v>1</v>
      </c>
      <c r="T850">
        <f t="shared" si="134"/>
        <v>0</v>
      </c>
      <c r="U850">
        <f t="shared" si="135"/>
        <v>1</v>
      </c>
      <c r="V850">
        <v>7.9000000000000001E-2</v>
      </c>
      <c r="W850">
        <v>100</v>
      </c>
      <c r="X850">
        <v>4.17</v>
      </c>
      <c r="Y850" t="s">
        <v>103</v>
      </c>
      <c r="Z850">
        <v>0</v>
      </c>
      <c r="AA850">
        <v>0</v>
      </c>
      <c r="AB850">
        <v>0</v>
      </c>
      <c r="AC850">
        <v>28.9</v>
      </c>
      <c r="AG850">
        <f t="shared" si="136"/>
        <v>1</v>
      </c>
      <c r="AH850">
        <f t="shared" si="137"/>
        <v>1</v>
      </c>
      <c r="AI850">
        <f t="shared" si="138"/>
        <v>0</v>
      </c>
      <c r="AJ850">
        <v>346.6</v>
      </c>
      <c r="AK850">
        <v>1026</v>
      </c>
      <c r="AL850">
        <v>54.3</v>
      </c>
      <c r="AM850">
        <v>6.8</v>
      </c>
      <c r="AN850">
        <v>0</v>
      </c>
      <c r="AO850">
        <v>0</v>
      </c>
      <c r="AP850">
        <v>0</v>
      </c>
      <c r="AQ850">
        <v>0</v>
      </c>
      <c r="AR850" t="s">
        <v>2930</v>
      </c>
      <c r="AS850" t="s">
        <v>2931</v>
      </c>
      <c r="AT850">
        <v>0.75</v>
      </c>
      <c r="AU850" t="s">
        <v>106</v>
      </c>
      <c r="AV850" t="s">
        <v>433</v>
      </c>
      <c r="AW850" t="s">
        <v>103</v>
      </c>
      <c r="AX850" s="1">
        <v>0.65972222222222221</v>
      </c>
      <c r="AY850" t="s">
        <v>2932</v>
      </c>
      <c r="AZ850">
        <v>240.00000000698489</v>
      </c>
      <c r="BA850">
        <v>0</v>
      </c>
      <c r="BB850">
        <v>0</v>
      </c>
      <c r="BC850">
        <v>3</v>
      </c>
      <c r="BD850">
        <v>0</v>
      </c>
      <c r="BE850">
        <f t="shared" si="139"/>
        <v>1</v>
      </c>
    </row>
    <row r="851" spans="1:57" x14ac:dyDescent="0.25">
      <c r="A851" t="s">
        <v>39</v>
      </c>
      <c r="B851" t="s">
        <v>2933</v>
      </c>
      <c r="C851">
        <v>82.5</v>
      </c>
      <c r="D851">
        <v>71.7</v>
      </c>
      <c r="G851">
        <f t="shared" si="130"/>
        <v>0</v>
      </c>
      <c r="H851">
        <f t="shared" si="131"/>
        <v>0</v>
      </c>
      <c r="I851">
        <f t="shared" si="132"/>
        <v>0</v>
      </c>
      <c r="J851">
        <v>77.3</v>
      </c>
      <c r="K851">
        <v>89.7</v>
      </c>
      <c r="L851">
        <v>71.7</v>
      </c>
      <c r="M851">
        <v>79.400000000000006</v>
      </c>
      <c r="N851">
        <v>66.3</v>
      </c>
      <c r="O851">
        <v>69.8</v>
      </c>
      <c r="S851">
        <f t="shared" si="133"/>
        <v>1</v>
      </c>
      <c r="T851">
        <f t="shared" si="134"/>
        <v>1</v>
      </c>
      <c r="U851">
        <f t="shared" si="135"/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13.9</v>
      </c>
      <c r="AG851">
        <f t="shared" si="136"/>
        <v>1</v>
      </c>
      <c r="AH851">
        <f t="shared" si="137"/>
        <v>0</v>
      </c>
      <c r="AI851">
        <f t="shared" si="138"/>
        <v>1</v>
      </c>
      <c r="AJ851">
        <v>324.60000000000002</v>
      </c>
      <c r="AK851">
        <v>1007.9</v>
      </c>
      <c r="AL851">
        <v>30</v>
      </c>
      <c r="AM851">
        <v>6.5</v>
      </c>
      <c r="AN851">
        <v>0</v>
      </c>
      <c r="AO851">
        <v>0</v>
      </c>
      <c r="AP851">
        <v>0</v>
      </c>
      <c r="AQ851">
        <v>0</v>
      </c>
      <c r="AR851" t="s">
        <v>2934</v>
      </c>
      <c r="AS851" t="s">
        <v>2935</v>
      </c>
      <c r="AT851">
        <v>0.82</v>
      </c>
      <c r="AU851" t="s">
        <v>43</v>
      </c>
      <c r="AV851" t="s">
        <v>44</v>
      </c>
      <c r="AW851" t="s">
        <v>45</v>
      </c>
      <c r="AX851" s="1">
        <v>0.13541666666666671</v>
      </c>
      <c r="AY851" t="s">
        <v>2936</v>
      </c>
      <c r="AZ851">
        <v>460.00000000116421</v>
      </c>
      <c r="BA851">
        <v>1</v>
      </c>
      <c r="BB851">
        <v>0</v>
      </c>
      <c r="BC851">
        <v>2</v>
      </c>
      <c r="BD851">
        <v>0</v>
      </c>
      <c r="BE851">
        <f t="shared" si="139"/>
        <v>0</v>
      </c>
    </row>
    <row r="852" spans="1:57" x14ac:dyDescent="0.25">
      <c r="A852" t="s">
        <v>39</v>
      </c>
      <c r="B852" t="s">
        <v>2937</v>
      </c>
      <c r="C852">
        <v>71.7</v>
      </c>
      <c r="D852">
        <v>50.1</v>
      </c>
      <c r="G852">
        <f t="shared" si="130"/>
        <v>1</v>
      </c>
      <c r="H852">
        <f t="shared" si="131"/>
        <v>1</v>
      </c>
      <c r="I852">
        <f t="shared" si="132"/>
        <v>0</v>
      </c>
      <c r="J852">
        <v>60.8</v>
      </c>
      <c r="K852">
        <v>71.7</v>
      </c>
      <c r="L852">
        <v>50.1</v>
      </c>
      <c r="M852">
        <v>60.8</v>
      </c>
      <c r="N852">
        <v>49.4</v>
      </c>
      <c r="O852">
        <v>67.7</v>
      </c>
      <c r="S852">
        <f t="shared" si="133"/>
        <v>1</v>
      </c>
      <c r="T852">
        <f t="shared" si="134"/>
        <v>1</v>
      </c>
      <c r="U852">
        <f t="shared" si="135"/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19.5</v>
      </c>
      <c r="AG852">
        <f t="shared" si="136"/>
        <v>1</v>
      </c>
      <c r="AH852">
        <f t="shared" si="137"/>
        <v>1</v>
      </c>
      <c r="AI852">
        <f t="shared" si="138"/>
        <v>0</v>
      </c>
      <c r="AJ852">
        <v>184.3</v>
      </c>
      <c r="AK852">
        <v>1017.8</v>
      </c>
      <c r="AL852">
        <v>30</v>
      </c>
      <c r="AM852">
        <v>6.6</v>
      </c>
      <c r="AN852">
        <v>0</v>
      </c>
      <c r="AO852">
        <v>0</v>
      </c>
      <c r="AP852">
        <v>0</v>
      </c>
      <c r="AQ852">
        <v>0</v>
      </c>
      <c r="AR852" t="s">
        <v>2938</v>
      </c>
      <c r="AS852" t="s">
        <v>2939</v>
      </c>
      <c r="AT852">
        <v>0.27</v>
      </c>
      <c r="AU852" t="s">
        <v>43</v>
      </c>
      <c r="AV852" t="s">
        <v>44</v>
      </c>
      <c r="AW852" t="s">
        <v>45</v>
      </c>
      <c r="AX852" s="1">
        <v>0.63194444444444442</v>
      </c>
      <c r="AY852" t="s">
        <v>2940</v>
      </c>
      <c r="AZ852">
        <v>4099.9999999953434</v>
      </c>
      <c r="BA852">
        <v>1</v>
      </c>
      <c r="BB852">
        <v>0</v>
      </c>
      <c r="BC852">
        <v>500</v>
      </c>
      <c r="BD852">
        <v>0</v>
      </c>
      <c r="BE852">
        <f t="shared" si="139"/>
        <v>1</v>
      </c>
    </row>
    <row r="853" spans="1:57" x14ac:dyDescent="0.25">
      <c r="A853" t="s">
        <v>39</v>
      </c>
      <c r="B853" t="s">
        <v>2821</v>
      </c>
      <c r="C853">
        <v>84.3</v>
      </c>
      <c r="D853">
        <v>71.7</v>
      </c>
      <c r="G853">
        <f t="shared" si="130"/>
        <v>1</v>
      </c>
      <c r="H853">
        <f t="shared" si="131"/>
        <v>1</v>
      </c>
      <c r="I853">
        <f t="shared" si="132"/>
        <v>0</v>
      </c>
      <c r="J853">
        <v>78.5</v>
      </c>
      <c r="K853">
        <v>92.7</v>
      </c>
      <c r="L853">
        <v>71.7</v>
      </c>
      <c r="M853">
        <v>81.099999999999994</v>
      </c>
      <c r="N853">
        <v>67.599999999999994</v>
      </c>
      <c r="O853">
        <v>69.400000000000006</v>
      </c>
      <c r="S853">
        <f t="shared" si="133"/>
        <v>1</v>
      </c>
      <c r="T853">
        <f t="shared" si="134"/>
        <v>1</v>
      </c>
      <c r="U853">
        <f t="shared" si="135"/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8.1</v>
      </c>
      <c r="AG853">
        <f t="shared" si="136"/>
        <v>1</v>
      </c>
      <c r="AH853">
        <f t="shared" si="137"/>
        <v>0</v>
      </c>
      <c r="AI853">
        <f t="shared" si="138"/>
        <v>1</v>
      </c>
      <c r="AJ853">
        <v>132</v>
      </c>
      <c r="AK853">
        <v>1010.1</v>
      </c>
      <c r="AL853">
        <v>58</v>
      </c>
      <c r="AM853">
        <v>6.3</v>
      </c>
      <c r="AN853">
        <v>0</v>
      </c>
      <c r="AO853">
        <v>0</v>
      </c>
      <c r="AP853">
        <v>0</v>
      </c>
      <c r="AQ853">
        <v>0</v>
      </c>
      <c r="AR853" t="s">
        <v>2822</v>
      </c>
      <c r="AS853" t="s">
        <v>2823</v>
      </c>
      <c r="AT853">
        <v>0.5</v>
      </c>
      <c r="AU853" t="s">
        <v>43</v>
      </c>
      <c r="AV853" t="s">
        <v>44</v>
      </c>
      <c r="AW853" t="s">
        <v>45</v>
      </c>
      <c r="AX853" s="1">
        <v>0.72916666666666663</v>
      </c>
      <c r="AY853" t="s">
        <v>2941</v>
      </c>
      <c r="AZ853">
        <v>15.000000006984919</v>
      </c>
      <c r="BA853">
        <v>0</v>
      </c>
      <c r="BB853">
        <v>0</v>
      </c>
      <c r="BC853">
        <v>0.03</v>
      </c>
      <c r="BD853">
        <v>0</v>
      </c>
      <c r="BE853">
        <f t="shared" si="139"/>
        <v>1</v>
      </c>
    </row>
    <row r="854" spans="1:57" x14ac:dyDescent="0.25">
      <c r="A854" t="s">
        <v>39</v>
      </c>
      <c r="B854" t="s">
        <v>2942</v>
      </c>
      <c r="C854">
        <v>87.9</v>
      </c>
      <c r="D854">
        <v>71.7</v>
      </c>
      <c r="G854">
        <f t="shared" si="130"/>
        <v>1</v>
      </c>
      <c r="H854">
        <f t="shared" si="131"/>
        <v>1</v>
      </c>
      <c r="I854">
        <f t="shared" si="132"/>
        <v>0</v>
      </c>
      <c r="J854">
        <v>81</v>
      </c>
      <c r="K854">
        <v>88.6</v>
      </c>
      <c r="L854">
        <v>71.7</v>
      </c>
      <c r="M854">
        <v>82.5</v>
      </c>
      <c r="N854">
        <v>65.5</v>
      </c>
      <c r="O854">
        <v>60.6</v>
      </c>
      <c r="S854">
        <f t="shared" si="133"/>
        <v>0</v>
      </c>
      <c r="T854">
        <f t="shared" si="134"/>
        <v>0</v>
      </c>
      <c r="U854">
        <f t="shared" si="135"/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26.4</v>
      </c>
      <c r="AG854">
        <f t="shared" si="136"/>
        <v>1</v>
      </c>
      <c r="AH854">
        <f t="shared" si="137"/>
        <v>1</v>
      </c>
      <c r="AI854">
        <f t="shared" si="138"/>
        <v>0</v>
      </c>
      <c r="AJ854">
        <v>313.2</v>
      </c>
      <c r="AK854">
        <v>1008.7</v>
      </c>
      <c r="AL854">
        <v>30</v>
      </c>
      <c r="AM854">
        <v>6.5</v>
      </c>
      <c r="AN854">
        <v>0</v>
      </c>
      <c r="AO854">
        <v>0</v>
      </c>
      <c r="AP854">
        <v>0</v>
      </c>
      <c r="AQ854">
        <v>0</v>
      </c>
      <c r="AR854" t="s">
        <v>2943</v>
      </c>
      <c r="AS854" t="s">
        <v>2944</v>
      </c>
      <c r="AT854">
        <v>0.44</v>
      </c>
      <c r="AU854" t="s">
        <v>43</v>
      </c>
      <c r="AV854" t="s">
        <v>44</v>
      </c>
      <c r="AW854" t="s">
        <v>45</v>
      </c>
      <c r="AX854" s="1">
        <v>6.9444444444444448E-2</v>
      </c>
      <c r="AY854" t="s">
        <v>2945</v>
      </c>
      <c r="AZ854">
        <v>744.99999999767169</v>
      </c>
      <c r="BA854">
        <v>1</v>
      </c>
      <c r="BB854">
        <v>0</v>
      </c>
      <c r="BC854">
        <v>15</v>
      </c>
      <c r="BD854">
        <v>0</v>
      </c>
      <c r="BE854">
        <f t="shared" si="139"/>
        <v>1</v>
      </c>
    </row>
    <row r="855" spans="1:57" x14ac:dyDescent="0.25">
      <c r="A855" t="s">
        <v>39</v>
      </c>
      <c r="B855" t="s">
        <v>2883</v>
      </c>
      <c r="C855">
        <v>87.9</v>
      </c>
      <c r="D855">
        <v>73.5</v>
      </c>
      <c r="G855">
        <f t="shared" si="130"/>
        <v>1</v>
      </c>
      <c r="H855">
        <f t="shared" si="131"/>
        <v>1</v>
      </c>
      <c r="I855">
        <f t="shared" si="132"/>
        <v>0</v>
      </c>
      <c r="J855">
        <v>81.099999999999994</v>
      </c>
      <c r="K855">
        <v>97.4</v>
      </c>
      <c r="L855">
        <v>73.5</v>
      </c>
      <c r="M855">
        <v>84.8</v>
      </c>
      <c r="N855">
        <v>67.099999999999994</v>
      </c>
      <c r="O855">
        <v>63</v>
      </c>
      <c r="S855">
        <f t="shared" si="133"/>
        <v>1</v>
      </c>
      <c r="T855">
        <f t="shared" si="134"/>
        <v>1</v>
      </c>
      <c r="U855">
        <f t="shared" si="135"/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9.1999999999999993</v>
      </c>
      <c r="AG855">
        <f t="shared" si="136"/>
        <v>1</v>
      </c>
      <c r="AH855">
        <f t="shared" si="137"/>
        <v>0</v>
      </c>
      <c r="AI855">
        <f t="shared" si="138"/>
        <v>1</v>
      </c>
      <c r="AJ855">
        <v>140.4</v>
      </c>
      <c r="AK855">
        <v>1008.5</v>
      </c>
      <c r="AL855">
        <v>0</v>
      </c>
      <c r="AM855">
        <v>6.2</v>
      </c>
      <c r="AN855">
        <v>0</v>
      </c>
      <c r="AO855">
        <v>0</v>
      </c>
      <c r="AP855">
        <v>0</v>
      </c>
      <c r="AQ855">
        <v>0</v>
      </c>
      <c r="AR855" t="s">
        <v>2884</v>
      </c>
      <c r="AS855" t="s">
        <v>2885</v>
      </c>
      <c r="AT855">
        <v>0.8</v>
      </c>
      <c r="AU855" t="s">
        <v>74</v>
      </c>
      <c r="AV855" t="s">
        <v>44</v>
      </c>
      <c r="AW855" t="s">
        <v>75</v>
      </c>
      <c r="AX855" s="1">
        <v>0.55902777777777779</v>
      </c>
      <c r="AY855" t="s">
        <v>2946</v>
      </c>
      <c r="AZ855">
        <v>4294.9999999918509</v>
      </c>
      <c r="BA855">
        <v>1</v>
      </c>
      <c r="BB855">
        <v>0</v>
      </c>
      <c r="BC855">
        <v>200</v>
      </c>
      <c r="BD855">
        <v>0</v>
      </c>
      <c r="BE855">
        <f t="shared" si="139"/>
        <v>1</v>
      </c>
    </row>
    <row r="856" spans="1:57" x14ac:dyDescent="0.25">
      <c r="A856" t="s">
        <v>39</v>
      </c>
      <c r="B856" t="s">
        <v>2849</v>
      </c>
      <c r="C856">
        <v>82.5</v>
      </c>
      <c r="D856">
        <v>69.900000000000006</v>
      </c>
      <c r="G856">
        <f t="shared" si="130"/>
        <v>1</v>
      </c>
      <c r="H856">
        <f t="shared" si="131"/>
        <v>1</v>
      </c>
      <c r="I856">
        <f t="shared" si="132"/>
        <v>0</v>
      </c>
      <c r="J856">
        <v>76.599999999999994</v>
      </c>
      <c r="K856">
        <v>85.5</v>
      </c>
      <c r="L856">
        <v>69.900000000000006</v>
      </c>
      <c r="M856">
        <v>77.5</v>
      </c>
      <c r="N856">
        <v>66</v>
      </c>
      <c r="O856">
        <v>70.7</v>
      </c>
      <c r="S856">
        <f t="shared" si="133"/>
        <v>1</v>
      </c>
      <c r="T856">
        <f t="shared" si="134"/>
        <v>1</v>
      </c>
      <c r="U856">
        <f t="shared" si="135"/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25.3</v>
      </c>
      <c r="AG856">
        <f t="shared" si="136"/>
        <v>1</v>
      </c>
      <c r="AH856">
        <f t="shared" si="137"/>
        <v>1</v>
      </c>
      <c r="AI856">
        <f t="shared" si="138"/>
        <v>0</v>
      </c>
      <c r="AJ856">
        <v>276.89999999999998</v>
      </c>
      <c r="AK856">
        <v>1008.8</v>
      </c>
      <c r="AL856">
        <v>35.799999999999997</v>
      </c>
      <c r="AM856">
        <v>6.8</v>
      </c>
      <c r="AN856">
        <v>0</v>
      </c>
      <c r="AO856">
        <v>0</v>
      </c>
      <c r="AP856">
        <v>0</v>
      </c>
      <c r="AQ856">
        <v>0</v>
      </c>
      <c r="AR856" t="s">
        <v>2850</v>
      </c>
      <c r="AS856" t="s">
        <v>2851</v>
      </c>
      <c r="AT856">
        <v>0.56999999999999995</v>
      </c>
      <c r="AU856" t="s">
        <v>43</v>
      </c>
      <c r="AV856" t="s">
        <v>44</v>
      </c>
      <c r="AW856" t="s">
        <v>45</v>
      </c>
      <c r="AX856" s="1">
        <v>0.6875</v>
      </c>
      <c r="AY856" t="s">
        <v>2947</v>
      </c>
      <c r="AZ856">
        <v>900</v>
      </c>
      <c r="BA856">
        <v>1</v>
      </c>
      <c r="BB856">
        <v>0</v>
      </c>
      <c r="BC856">
        <v>1</v>
      </c>
      <c r="BD856">
        <v>0</v>
      </c>
      <c r="BE856">
        <f t="shared" si="139"/>
        <v>1</v>
      </c>
    </row>
    <row r="857" spans="1:57" x14ac:dyDescent="0.25">
      <c r="A857" t="s">
        <v>39</v>
      </c>
      <c r="B857" t="s">
        <v>2948</v>
      </c>
      <c r="C857">
        <v>68.099999999999994</v>
      </c>
      <c r="D857">
        <v>57.3</v>
      </c>
      <c r="G857">
        <f t="shared" si="130"/>
        <v>1</v>
      </c>
      <c r="H857">
        <f t="shared" si="131"/>
        <v>0</v>
      </c>
      <c r="I857">
        <f t="shared" si="132"/>
        <v>1</v>
      </c>
      <c r="J857">
        <v>63</v>
      </c>
      <c r="K857">
        <v>68.099999999999994</v>
      </c>
      <c r="L857">
        <v>57.3</v>
      </c>
      <c r="M857">
        <v>63</v>
      </c>
      <c r="N857">
        <v>54</v>
      </c>
      <c r="O857">
        <v>72.8</v>
      </c>
      <c r="S857">
        <f t="shared" si="133"/>
        <v>1</v>
      </c>
      <c r="T857">
        <f t="shared" si="134"/>
        <v>1</v>
      </c>
      <c r="U857">
        <f t="shared" si="135"/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21.9</v>
      </c>
      <c r="AG857">
        <f t="shared" si="136"/>
        <v>1</v>
      </c>
      <c r="AH857">
        <f t="shared" si="137"/>
        <v>1</v>
      </c>
      <c r="AI857">
        <f t="shared" si="138"/>
        <v>0</v>
      </c>
      <c r="AJ857">
        <v>317.60000000000002</v>
      </c>
      <c r="AK857">
        <v>1011.8</v>
      </c>
      <c r="AL857">
        <v>75</v>
      </c>
      <c r="AM857">
        <v>6.6</v>
      </c>
      <c r="AN857">
        <v>0</v>
      </c>
      <c r="AO857">
        <v>0</v>
      </c>
      <c r="AP857">
        <v>0</v>
      </c>
      <c r="AQ857">
        <v>0</v>
      </c>
      <c r="AR857" t="s">
        <v>2949</v>
      </c>
      <c r="AS857" t="s">
        <v>2950</v>
      </c>
      <c r="AT857">
        <v>0.06</v>
      </c>
      <c r="AU857" t="s">
        <v>43</v>
      </c>
      <c r="AV857" t="s">
        <v>44</v>
      </c>
      <c r="AW857" t="s">
        <v>45</v>
      </c>
      <c r="AX857" s="1">
        <v>0.58333333333333337</v>
      </c>
      <c r="AY857" t="s">
        <v>2951</v>
      </c>
      <c r="AZ857">
        <v>419.99999999650748</v>
      </c>
      <c r="BA857">
        <v>1</v>
      </c>
      <c r="BB857">
        <v>0</v>
      </c>
      <c r="BC857">
        <v>1.5</v>
      </c>
      <c r="BD857">
        <v>0</v>
      </c>
      <c r="BE857">
        <f t="shared" si="139"/>
        <v>1</v>
      </c>
    </row>
    <row r="858" spans="1:57" x14ac:dyDescent="0.25">
      <c r="A858" t="s">
        <v>39</v>
      </c>
      <c r="B858" t="s">
        <v>2952</v>
      </c>
      <c r="C858">
        <v>96.9</v>
      </c>
      <c r="D858">
        <v>66.3</v>
      </c>
      <c r="G858">
        <f t="shared" si="130"/>
        <v>1</v>
      </c>
      <c r="H858">
        <f t="shared" si="131"/>
        <v>1</v>
      </c>
      <c r="I858">
        <f t="shared" si="132"/>
        <v>0</v>
      </c>
      <c r="J858">
        <v>83.6</v>
      </c>
      <c r="K858">
        <v>94</v>
      </c>
      <c r="L858">
        <v>66.3</v>
      </c>
      <c r="M858">
        <v>81.5</v>
      </c>
      <c r="N858">
        <v>48.3</v>
      </c>
      <c r="O858">
        <v>34.4</v>
      </c>
      <c r="S858">
        <f t="shared" si="133"/>
        <v>1</v>
      </c>
      <c r="T858">
        <f t="shared" si="134"/>
        <v>0</v>
      </c>
      <c r="U858">
        <f t="shared" si="135"/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24.2</v>
      </c>
      <c r="AG858">
        <f t="shared" si="136"/>
        <v>1</v>
      </c>
      <c r="AH858">
        <f t="shared" si="137"/>
        <v>1</v>
      </c>
      <c r="AI858">
        <f t="shared" si="138"/>
        <v>0</v>
      </c>
      <c r="AJ858">
        <v>188.9</v>
      </c>
      <c r="AK858">
        <v>1008.2</v>
      </c>
      <c r="AL858">
        <v>0</v>
      </c>
      <c r="AM858">
        <v>6.2</v>
      </c>
      <c r="AN858">
        <v>0</v>
      </c>
      <c r="AO858">
        <v>0</v>
      </c>
      <c r="AP858">
        <v>0</v>
      </c>
      <c r="AQ858">
        <v>0</v>
      </c>
      <c r="AR858" t="s">
        <v>2953</v>
      </c>
      <c r="AS858" t="s">
        <v>2954</v>
      </c>
      <c r="AT858">
        <v>0.56000000000000005</v>
      </c>
      <c r="AU858" t="s">
        <v>74</v>
      </c>
      <c r="AV858" t="s">
        <v>2955</v>
      </c>
      <c r="AW858" t="s">
        <v>75</v>
      </c>
      <c r="AX858" s="1">
        <v>0.69444444444444442</v>
      </c>
      <c r="AY858" t="s">
        <v>2956</v>
      </c>
      <c r="AZ858">
        <v>300.00000000349252</v>
      </c>
      <c r="BA858">
        <v>0</v>
      </c>
      <c r="BB858">
        <v>0</v>
      </c>
      <c r="BC858">
        <v>1</v>
      </c>
      <c r="BD858">
        <v>0</v>
      </c>
      <c r="BE858">
        <f t="shared" si="139"/>
        <v>1</v>
      </c>
    </row>
    <row r="859" spans="1:57" x14ac:dyDescent="0.25">
      <c r="A859" t="s">
        <v>39</v>
      </c>
      <c r="B859" t="s">
        <v>2957</v>
      </c>
      <c r="C859">
        <v>73.5</v>
      </c>
      <c r="D859">
        <v>60.9</v>
      </c>
      <c r="G859">
        <f t="shared" si="130"/>
        <v>0</v>
      </c>
      <c r="H859">
        <f t="shared" si="131"/>
        <v>0</v>
      </c>
      <c r="I859">
        <f t="shared" si="132"/>
        <v>0</v>
      </c>
      <c r="J859">
        <v>67.5</v>
      </c>
      <c r="K859">
        <v>73.5</v>
      </c>
      <c r="L859">
        <v>60.9</v>
      </c>
      <c r="M859">
        <v>67.5</v>
      </c>
      <c r="N859">
        <v>59.9</v>
      </c>
      <c r="O859">
        <v>76.8</v>
      </c>
      <c r="S859">
        <f t="shared" si="133"/>
        <v>1</v>
      </c>
      <c r="T859">
        <f t="shared" si="134"/>
        <v>1</v>
      </c>
      <c r="U859">
        <f t="shared" si="135"/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11.4</v>
      </c>
      <c r="AG859">
        <f t="shared" si="136"/>
        <v>1</v>
      </c>
      <c r="AH859">
        <f t="shared" si="137"/>
        <v>0</v>
      </c>
      <c r="AI859">
        <f t="shared" si="138"/>
        <v>1</v>
      </c>
      <c r="AJ859">
        <v>154.5</v>
      </c>
      <c r="AK859">
        <v>1017.9</v>
      </c>
      <c r="AL859">
        <v>70</v>
      </c>
      <c r="AM859">
        <v>6.5</v>
      </c>
      <c r="AN859">
        <v>0</v>
      </c>
      <c r="AO859">
        <v>0</v>
      </c>
      <c r="AP859">
        <v>0</v>
      </c>
      <c r="AQ859">
        <v>0</v>
      </c>
      <c r="AR859" t="s">
        <v>2958</v>
      </c>
      <c r="AS859" t="s">
        <v>2959</v>
      </c>
      <c r="AT859">
        <v>0.63</v>
      </c>
      <c r="AU859" t="s">
        <v>43</v>
      </c>
      <c r="AV859" t="s">
        <v>44</v>
      </c>
      <c r="AW859" t="s">
        <v>45</v>
      </c>
      <c r="AX859" s="1">
        <v>0.17708333333333329</v>
      </c>
      <c r="AY859" t="s">
        <v>2960</v>
      </c>
      <c r="AZ859">
        <v>784.99999999185093</v>
      </c>
      <c r="BA859">
        <v>1</v>
      </c>
      <c r="BB859">
        <v>0</v>
      </c>
      <c r="BC859">
        <v>5</v>
      </c>
      <c r="BD859">
        <v>0</v>
      </c>
      <c r="BE859">
        <f t="shared" si="139"/>
        <v>0</v>
      </c>
    </row>
    <row r="860" spans="1:57" x14ac:dyDescent="0.25">
      <c r="A860" t="s">
        <v>39</v>
      </c>
      <c r="B860" t="s">
        <v>2961</v>
      </c>
      <c r="C860">
        <v>78.900000000000006</v>
      </c>
      <c r="D860">
        <v>68.099999999999994</v>
      </c>
      <c r="G860">
        <f t="shared" si="130"/>
        <v>1</v>
      </c>
      <c r="H860">
        <f t="shared" si="131"/>
        <v>1</v>
      </c>
      <c r="I860">
        <f t="shared" si="132"/>
        <v>0</v>
      </c>
      <c r="J860">
        <v>72.900000000000006</v>
      </c>
      <c r="K860">
        <v>78.900000000000006</v>
      </c>
      <c r="L860">
        <v>68.099999999999994</v>
      </c>
      <c r="M860">
        <v>72.900000000000006</v>
      </c>
      <c r="N860">
        <v>55.8</v>
      </c>
      <c r="O860">
        <v>55.6</v>
      </c>
      <c r="S860">
        <f t="shared" si="133"/>
        <v>1</v>
      </c>
      <c r="T860">
        <f t="shared" si="134"/>
        <v>0</v>
      </c>
      <c r="U860">
        <f t="shared" si="135"/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13.9</v>
      </c>
      <c r="AG860">
        <f t="shared" si="136"/>
        <v>1</v>
      </c>
      <c r="AH860">
        <f t="shared" si="137"/>
        <v>0</v>
      </c>
      <c r="AI860">
        <f t="shared" si="138"/>
        <v>1</v>
      </c>
      <c r="AJ860">
        <v>175.5</v>
      </c>
      <c r="AK860">
        <v>1021.1</v>
      </c>
      <c r="AL860">
        <v>0</v>
      </c>
      <c r="AM860">
        <v>6.2</v>
      </c>
      <c r="AN860">
        <v>0</v>
      </c>
      <c r="AO860">
        <v>0</v>
      </c>
      <c r="AP860">
        <v>0</v>
      </c>
      <c r="AQ860">
        <v>0</v>
      </c>
      <c r="AR860" t="s">
        <v>2962</v>
      </c>
      <c r="AS860" t="s">
        <v>2963</v>
      </c>
      <c r="AT860">
        <v>0.11</v>
      </c>
      <c r="AU860" t="s">
        <v>74</v>
      </c>
      <c r="AV860" t="s">
        <v>44</v>
      </c>
      <c r="AW860" t="s">
        <v>75</v>
      </c>
      <c r="AX860" s="1">
        <v>0.55555555555555558</v>
      </c>
      <c r="AY860" t="s">
        <v>2964</v>
      </c>
      <c r="AZ860">
        <v>4600.0000000011642</v>
      </c>
      <c r="BA860">
        <v>1</v>
      </c>
      <c r="BB860">
        <v>0</v>
      </c>
      <c r="BC860">
        <v>10</v>
      </c>
      <c r="BD860">
        <v>0</v>
      </c>
      <c r="BE860">
        <f t="shared" si="139"/>
        <v>1</v>
      </c>
    </row>
    <row r="861" spans="1:57" x14ac:dyDescent="0.25">
      <c r="A861" t="s">
        <v>39</v>
      </c>
      <c r="B861" t="s">
        <v>2899</v>
      </c>
      <c r="C861">
        <v>84.3</v>
      </c>
      <c r="D861">
        <v>69.900000000000006</v>
      </c>
      <c r="G861">
        <f t="shared" si="130"/>
        <v>0</v>
      </c>
      <c r="H861">
        <f t="shared" si="131"/>
        <v>0</v>
      </c>
      <c r="I861">
        <f t="shared" si="132"/>
        <v>0</v>
      </c>
      <c r="J861">
        <v>77</v>
      </c>
      <c r="K861">
        <v>92.7</v>
      </c>
      <c r="L861">
        <v>69.900000000000006</v>
      </c>
      <c r="M861">
        <v>79.099999999999994</v>
      </c>
      <c r="N861">
        <v>69.599999999999994</v>
      </c>
      <c r="O861">
        <v>78.2</v>
      </c>
      <c r="S861">
        <f t="shared" si="133"/>
        <v>1</v>
      </c>
      <c r="T861">
        <f t="shared" si="134"/>
        <v>1</v>
      </c>
      <c r="U861">
        <f t="shared" si="135"/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16.100000000000001</v>
      </c>
      <c r="AG861">
        <f t="shared" si="136"/>
        <v>0</v>
      </c>
      <c r="AH861">
        <f t="shared" si="137"/>
        <v>0</v>
      </c>
      <c r="AI861">
        <f t="shared" si="138"/>
        <v>0</v>
      </c>
      <c r="AJ861">
        <v>307.7</v>
      </c>
      <c r="AK861">
        <v>1010</v>
      </c>
      <c r="AL861">
        <v>41.4</v>
      </c>
      <c r="AM861">
        <v>6.6</v>
      </c>
      <c r="AN861">
        <v>0</v>
      </c>
      <c r="AO861">
        <v>0</v>
      </c>
      <c r="AP861">
        <v>0</v>
      </c>
      <c r="AQ861">
        <v>0</v>
      </c>
      <c r="AR861" t="s">
        <v>2900</v>
      </c>
      <c r="AS861" t="s">
        <v>2901</v>
      </c>
      <c r="AT861">
        <v>0</v>
      </c>
      <c r="AU861" t="s">
        <v>43</v>
      </c>
      <c r="AV861" t="s">
        <v>44</v>
      </c>
      <c r="AW861" t="s">
        <v>45</v>
      </c>
      <c r="AX861" s="1">
        <v>0.66666666666666663</v>
      </c>
      <c r="AY861" t="s">
        <v>2965</v>
      </c>
      <c r="AZ861">
        <v>300.00000000349252</v>
      </c>
      <c r="BA861">
        <v>0</v>
      </c>
      <c r="BB861">
        <v>0</v>
      </c>
      <c r="BC861">
        <v>2</v>
      </c>
      <c r="BD861">
        <v>0</v>
      </c>
      <c r="BE861">
        <f t="shared" si="139"/>
        <v>0</v>
      </c>
    </row>
    <row r="862" spans="1:57" x14ac:dyDescent="0.25">
      <c r="A862" t="s">
        <v>39</v>
      </c>
      <c r="B862" t="s">
        <v>2966</v>
      </c>
      <c r="C862">
        <v>68.099999999999994</v>
      </c>
      <c r="D862">
        <v>48.3</v>
      </c>
      <c r="G862">
        <f t="shared" si="130"/>
        <v>1</v>
      </c>
      <c r="H862">
        <f t="shared" si="131"/>
        <v>1</v>
      </c>
      <c r="I862">
        <f t="shared" si="132"/>
        <v>0</v>
      </c>
      <c r="J862">
        <v>58.2</v>
      </c>
      <c r="K862">
        <v>68.099999999999994</v>
      </c>
      <c r="L862">
        <v>44.2</v>
      </c>
      <c r="M862">
        <v>57.9</v>
      </c>
      <c r="N862">
        <v>45.9</v>
      </c>
      <c r="O862">
        <v>65.900000000000006</v>
      </c>
      <c r="S862">
        <f t="shared" si="133"/>
        <v>0</v>
      </c>
      <c r="T862">
        <f t="shared" si="134"/>
        <v>0</v>
      </c>
      <c r="U862">
        <f t="shared" si="135"/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18.3</v>
      </c>
      <c r="AG862">
        <f t="shared" si="136"/>
        <v>0</v>
      </c>
      <c r="AH862">
        <f t="shared" si="137"/>
        <v>0</v>
      </c>
      <c r="AI862">
        <f t="shared" si="138"/>
        <v>0</v>
      </c>
      <c r="AJ862">
        <v>185.7</v>
      </c>
      <c r="AK862">
        <v>1013.7</v>
      </c>
      <c r="AL862">
        <v>53.5</v>
      </c>
      <c r="AM862">
        <v>6.8</v>
      </c>
      <c r="AN862">
        <v>0</v>
      </c>
      <c r="AO862">
        <v>0</v>
      </c>
      <c r="AP862">
        <v>0</v>
      </c>
      <c r="AQ862">
        <v>0</v>
      </c>
      <c r="AR862" t="s">
        <v>2967</v>
      </c>
      <c r="AS862" t="s">
        <v>2968</v>
      </c>
      <c r="AT862">
        <v>0.13</v>
      </c>
      <c r="AU862" t="s">
        <v>43</v>
      </c>
      <c r="AV862" t="s">
        <v>44</v>
      </c>
      <c r="AW862" t="s">
        <v>45</v>
      </c>
      <c r="AX862" s="1">
        <v>0.59722222222222221</v>
      </c>
      <c r="AY862" t="s">
        <v>2969</v>
      </c>
      <c r="AZ862">
        <v>235.00000000116421</v>
      </c>
      <c r="BA862">
        <v>0</v>
      </c>
      <c r="BB862">
        <v>0</v>
      </c>
      <c r="BC862">
        <v>5</v>
      </c>
      <c r="BD862">
        <v>0</v>
      </c>
      <c r="BE862">
        <f t="shared" si="139"/>
        <v>0</v>
      </c>
    </row>
    <row r="863" spans="1:57" x14ac:dyDescent="0.25">
      <c r="A863" t="s">
        <v>39</v>
      </c>
      <c r="B863" t="s">
        <v>2970</v>
      </c>
      <c r="C863">
        <v>80.7</v>
      </c>
      <c r="D863">
        <v>75.3</v>
      </c>
      <c r="G863">
        <f t="shared" si="130"/>
        <v>1</v>
      </c>
      <c r="H863">
        <f t="shared" si="131"/>
        <v>0</v>
      </c>
      <c r="I863">
        <f t="shared" si="132"/>
        <v>1</v>
      </c>
      <c r="J863">
        <v>77.8</v>
      </c>
      <c r="K863">
        <v>83.4</v>
      </c>
      <c r="L863">
        <v>75.3</v>
      </c>
      <c r="M863">
        <v>78.5</v>
      </c>
      <c r="N863">
        <v>66.7</v>
      </c>
      <c r="O863">
        <v>68.900000000000006</v>
      </c>
      <c r="S863">
        <f t="shared" si="133"/>
        <v>1</v>
      </c>
      <c r="T863">
        <f t="shared" si="134"/>
        <v>1</v>
      </c>
      <c r="U863">
        <f t="shared" si="135"/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24.2</v>
      </c>
      <c r="AG863">
        <f t="shared" si="136"/>
        <v>1</v>
      </c>
      <c r="AH863">
        <f t="shared" si="137"/>
        <v>1</v>
      </c>
      <c r="AI863">
        <f t="shared" si="138"/>
        <v>0</v>
      </c>
      <c r="AJ863">
        <v>305.3</v>
      </c>
      <c r="AK863">
        <v>1010.3</v>
      </c>
      <c r="AL863">
        <v>30</v>
      </c>
      <c r="AM863">
        <v>6.6</v>
      </c>
      <c r="AN863">
        <v>0</v>
      </c>
      <c r="AO863">
        <v>0</v>
      </c>
      <c r="AP863">
        <v>0</v>
      </c>
      <c r="AQ863">
        <v>0</v>
      </c>
      <c r="AR863" t="s">
        <v>2971</v>
      </c>
      <c r="AS863" t="s">
        <v>2972</v>
      </c>
      <c r="AT863">
        <v>0.06</v>
      </c>
      <c r="AU863" t="s">
        <v>43</v>
      </c>
      <c r="AV863" t="s">
        <v>44</v>
      </c>
      <c r="AW863" t="s">
        <v>45</v>
      </c>
      <c r="AX863" s="1">
        <v>0.74722222222222223</v>
      </c>
      <c r="AY863" t="s">
        <v>2973</v>
      </c>
      <c r="AZ863">
        <v>34.000000006053597</v>
      </c>
      <c r="BA863">
        <v>0</v>
      </c>
      <c r="BB863">
        <v>0</v>
      </c>
      <c r="BC863">
        <v>0.01</v>
      </c>
      <c r="BD863">
        <v>0</v>
      </c>
      <c r="BE863">
        <f t="shared" si="139"/>
        <v>1</v>
      </c>
    </row>
    <row r="864" spans="1:57" x14ac:dyDescent="0.25">
      <c r="A864" t="s">
        <v>39</v>
      </c>
      <c r="B864" t="s">
        <v>2974</v>
      </c>
      <c r="C864">
        <v>86.1</v>
      </c>
      <c r="D864">
        <v>73.5</v>
      </c>
      <c r="G864">
        <f t="shared" si="130"/>
        <v>1</v>
      </c>
      <c r="H864">
        <f t="shared" si="131"/>
        <v>1</v>
      </c>
      <c r="I864">
        <f t="shared" si="132"/>
        <v>0</v>
      </c>
      <c r="J864">
        <v>80.8</v>
      </c>
      <c r="K864">
        <v>88.6</v>
      </c>
      <c r="L864">
        <v>73.5</v>
      </c>
      <c r="M864">
        <v>82.3</v>
      </c>
      <c r="N864">
        <v>68.599999999999994</v>
      </c>
      <c r="O864">
        <v>68.7</v>
      </c>
      <c r="S864">
        <f t="shared" si="133"/>
        <v>1</v>
      </c>
      <c r="T864">
        <f t="shared" si="134"/>
        <v>1</v>
      </c>
      <c r="U864">
        <f t="shared" si="135"/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20.8</v>
      </c>
      <c r="AG864">
        <f t="shared" si="136"/>
        <v>1</v>
      </c>
      <c r="AH864">
        <f t="shared" si="137"/>
        <v>1</v>
      </c>
      <c r="AI864">
        <f t="shared" si="138"/>
        <v>0</v>
      </c>
      <c r="AJ864">
        <v>311.60000000000002</v>
      </c>
      <c r="AK864">
        <v>1011.8</v>
      </c>
      <c r="AL864">
        <v>42</v>
      </c>
      <c r="AM864">
        <v>5.9</v>
      </c>
      <c r="AN864">
        <v>0</v>
      </c>
      <c r="AO864">
        <v>0</v>
      </c>
      <c r="AP864">
        <v>0</v>
      </c>
      <c r="AQ864">
        <v>0</v>
      </c>
      <c r="AR864" t="s">
        <v>2975</v>
      </c>
      <c r="AS864" t="s">
        <v>2976</v>
      </c>
      <c r="AT864">
        <v>0.14000000000000001</v>
      </c>
      <c r="AU864" t="s">
        <v>43</v>
      </c>
      <c r="AV864" t="s">
        <v>44</v>
      </c>
      <c r="AW864" t="s">
        <v>45</v>
      </c>
      <c r="AX864" s="1">
        <v>0.5</v>
      </c>
      <c r="AY864" t="s">
        <v>2977</v>
      </c>
      <c r="AZ864">
        <v>90</v>
      </c>
      <c r="BA864">
        <v>0</v>
      </c>
      <c r="BB864">
        <v>0</v>
      </c>
      <c r="BC864">
        <v>0.1</v>
      </c>
      <c r="BD864">
        <v>0</v>
      </c>
      <c r="BE864">
        <f t="shared" si="139"/>
        <v>1</v>
      </c>
    </row>
    <row r="865" spans="1:57" x14ac:dyDescent="0.25">
      <c r="A865" t="s">
        <v>39</v>
      </c>
      <c r="B865" t="s">
        <v>2978</v>
      </c>
      <c r="C865">
        <v>57.3</v>
      </c>
      <c r="D865">
        <v>51.9</v>
      </c>
      <c r="G865">
        <f t="shared" si="130"/>
        <v>0</v>
      </c>
      <c r="H865">
        <f t="shared" si="131"/>
        <v>0</v>
      </c>
      <c r="I865">
        <f t="shared" si="132"/>
        <v>0</v>
      </c>
      <c r="J865">
        <v>54</v>
      </c>
      <c r="K865">
        <v>57.3</v>
      </c>
      <c r="L865">
        <v>51.9</v>
      </c>
      <c r="M865">
        <v>54</v>
      </c>
      <c r="N865">
        <v>43.2</v>
      </c>
      <c r="O865">
        <v>66.900000000000006</v>
      </c>
      <c r="S865">
        <f t="shared" si="133"/>
        <v>1</v>
      </c>
      <c r="T865">
        <f t="shared" si="134"/>
        <v>0</v>
      </c>
      <c r="U865">
        <f t="shared" si="135"/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20.8</v>
      </c>
      <c r="AG865">
        <f t="shared" si="136"/>
        <v>1</v>
      </c>
      <c r="AH865">
        <f t="shared" si="137"/>
        <v>1</v>
      </c>
      <c r="AI865">
        <f t="shared" si="138"/>
        <v>0</v>
      </c>
      <c r="AJ865">
        <v>342.9</v>
      </c>
      <c r="AK865">
        <v>1023.8</v>
      </c>
      <c r="AL865">
        <v>52.6</v>
      </c>
      <c r="AM865">
        <v>6.8</v>
      </c>
      <c r="AN865">
        <v>0</v>
      </c>
      <c r="AO865">
        <v>0</v>
      </c>
      <c r="AP865">
        <v>0</v>
      </c>
      <c r="AQ865">
        <v>0</v>
      </c>
      <c r="AR865" t="s">
        <v>2979</v>
      </c>
      <c r="AS865" t="s">
        <v>2980</v>
      </c>
      <c r="AT865">
        <v>7.0000000000000007E-2</v>
      </c>
      <c r="AU865" t="s">
        <v>43</v>
      </c>
      <c r="AV865" t="s">
        <v>44</v>
      </c>
      <c r="AW865" t="s">
        <v>45</v>
      </c>
      <c r="AX865" s="1">
        <v>0.5625</v>
      </c>
      <c r="AY865" t="s">
        <v>2981</v>
      </c>
      <c r="AZ865">
        <v>265.00000000465661</v>
      </c>
      <c r="BA865">
        <v>0</v>
      </c>
      <c r="BB865">
        <v>0</v>
      </c>
      <c r="BC865">
        <v>4</v>
      </c>
      <c r="BD865">
        <v>0</v>
      </c>
      <c r="BE865">
        <f t="shared" si="139"/>
        <v>0</v>
      </c>
    </row>
    <row r="866" spans="1:57" x14ac:dyDescent="0.25">
      <c r="A866" t="s">
        <v>39</v>
      </c>
      <c r="B866" t="s">
        <v>2982</v>
      </c>
      <c r="C866">
        <v>75.3</v>
      </c>
      <c r="D866">
        <v>59.1</v>
      </c>
      <c r="G866">
        <f t="shared" si="130"/>
        <v>1</v>
      </c>
      <c r="H866">
        <f t="shared" si="131"/>
        <v>1</v>
      </c>
      <c r="I866">
        <f t="shared" si="132"/>
        <v>0</v>
      </c>
      <c r="J866">
        <v>67.8</v>
      </c>
      <c r="K866">
        <v>75.3</v>
      </c>
      <c r="L866">
        <v>59.1</v>
      </c>
      <c r="M866">
        <v>67.8</v>
      </c>
      <c r="N866">
        <v>57.8</v>
      </c>
      <c r="O866">
        <v>71</v>
      </c>
      <c r="S866">
        <f t="shared" si="133"/>
        <v>1</v>
      </c>
      <c r="T866">
        <f t="shared" si="134"/>
        <v>1</v>
      </c>
      <c r="U866">
        <f t="shared" si="135"/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12.8</v>
      </c>
      <c r="AG866">
        <f t="shared" si="136"/>
        <v>1</v>
      </c>
      <c r="AH866">
        <f t="shared" si="137"/>
        <v>0</v>
      </c>
      <c r="AI866">
        <f t="shared" si="138"/>
        <v>1</v>
      </c>
      <c r="AJ866">
        <v>227.6</v>
      </c>
      <c r="AK866">
        <v>1013.9</v>
      </c>
      <c r="AL866">
        <v>30</v>
      </c>
      <c r="AM866">
        <v>6.5</v>
      </c>
      <c r="AN866">
        <v>0</v>
      </c>
      <c r="AO866">
        <v>0</v>
      </c>
      <c r="AP866">
        <v>0</v>
      </c>
      <c r="AQ866">
        <v>0</v>
      </c>
      <c r="AR866" t="s">
        <v>2983</v>
      </c>
      <c r="AS866" t="s">
        <v>2984</v>
      </c>
      <c r="AT866">
        <v>0.68</v>
      </c>
      <c r="AU866" t="s">
        <v>43</v>
      </c>
      <c r="AV866" t="s">
        <v>44</v>
      </c>
      <c r="AW866" t="s">
        <v>45</v>
      </c>
      <c r="AX866" s="1">
        <v>0.625</v>
      </c>
      <c r="AY866" t="s">
        <v>2985</v>
      </c>
      <c r="AZ866">
        <v>979.99999999883585</v>
      </c>
      <c r="BA866">
        <v>1</v>
      </c>
      <c r="BB866">
        <v>0</v>
      </c>
      <c r="BC866">
        <v>10</v>
      </c>
      <c r="BD866">
        <v>0</v>
      </c>
      <c r="BE866">
        <f t="shared" si="139"/>
        <v>1</v>
      </c>
    </row>
    <row r="867" spans="1:57" x14ac:dyDescent="0.25">
      <c r="A867" t="s">
        <v>39</v>
      </c>
      <c r="B867" t="s">
        <v>2986</v>
      </c>
      <c r="C867">
        <v>89.7</v>
      </c>
      <c r="D867">
        <v>69.900000000000006</v>
      </c>
      <c r="G867">
        <f t="shared" si="130"/>
        <v>1</v>
      </c>
      <c r="H867">
        <f t="shared" si="131"/>
        <v>1</v>
      </c>
      <c r="I867">
        <f t="shared" si="132"/>
        <v>0</v>
      </c>
      <c r="J867">
        <v>77</v>
      </c>
      <c r="K867">
        <v>89</v>
      </c>
      <c r="L867">
        <v>69.900000000000006</v>
      </c>
      <c r="M867">
        <v>77</v>
      </c>
      <c r="N867">
        <v>54.3</v>
      </c>
      <c r="O867">
        <v>46.1</v>
      </c>
      <c r="S867">
        <f t="shared" si="133"/>
        <v>1</v>
      </c>
      <c r="T867">
        <f t="shared" si="134"/>
        <v>0</v>
      </c>
      <c r="U867">
        <f t="shared" si="135"/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23</v>
      </c>
      <c r="AG867">
        <f t="shared" si="136"/>
        <v>1</v>
      </c>
      <c r="AH867">
        <f t="shared" si="137"/>
        <v>1</v>
      </c>
      <c r="AI867">
        <f t="shared" si="138"/>
        <v>0</v>
      </c>
      <c r="AJ867">
        <v>169.5</v>
      </c>
      <c r="AK867">
        <v>1014.6</v>
      </c>
      <c r="AL867">
        <v>0</v>
      </c>
      <c r="AM867">
        <v>6.2</v>
      </c>
      <c r="AN867">
        <v>0</v>
      </c>
      <c r="AO867">
        <v>0</v>
      </c>
      <c r="AP867">
        <v>0</v>
      </c>
      <c r="AQ867">
        <v>0</v>
      </c>
      <c r="AR867" t="s">
        <v>2987</v>
      </c>
      <c r="AS867" t="s">
        <v>2988</v>
      </c>
      <c r="AT867">
        <v>0.25</v>
      </c>
      <c r="AU867" t="s">
        <v>74</v>
      </c>
      <c r="AV867" t="s">
        <v>44</v>
      </c>
      <c r="AW867" t="s">
        <v>75</v>
      </c>
      <c r="AX867" s="1">
        <v>0.73958333333333337</v>
      </c>
      <c r="AY867" t="s">
        <v>2989</v>
      </c>
      <c r="AZ867">
        <v>1379.9999999930151</v>
      </c>
      <c r="BA867">
        <v>1</v>
      </c>
      <c r="BB867">
        <v>0</v>
      </c>
      <c r="BC867">
        <v>15</v>
      </c>
      <c r="BD867">
        <v>0</v>
      </c>
      <c r="BE867">
        <f t="shared" si="139"/>
        <v>1</v>
      </c>
    </row>
    <row r="868" spans="1:57" x14ac:dyDescent="0.25">
      <c r="A868" t="s">
        <v>39</v>
      </c>
      <c r="B868" t="s">
        <v>2887</v>
      </c>
      <c r="C868">
        <v>62.7</v>
      </c>
      <c r="D868">
        <v>44.7</v>
      </c>
      <c r="G868">
        <f t="shared" si="130"/>
        <v>0</v>
      </c>
      <c r="H868">
        <f t="shared" si="131"/>
        <v>0</v>
      </c>
      <c r="I868">
        <f t="shared" si="132"/>
        <v>0</v>
      </c>
      <c r="J868">
        <v>53.9</v>
      </c>
      <c r="K868">
        <v>62.7</v>
      </c>
      <c r="L868">
        <v>40.299999999999997</v>
      </c>
      <c r="M868">
        <v>52.7</v>
      </c>
      <c r="N868">
        <v>44.4</v>
      </c>
      <c r="O868">
        <v>70.900000000000006</v>
      </c>
      <c r="S868">
        <f t="shared" si="133"/>
        <v>1</v>
      </c>
      <c r="T868">
        <f t="shared" si="134"/>
        <v>1</v>
      </c>
      <c r="U868">
        <f t="shared" si="135"/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10.3</v>
      </c>
      <c r="AG868">
        <f t="shared" si="136"/>
        <v>1</v>
      </c>
      <c r="AH868">
        <f t="shared" si="137"/>
        <v>0</v>
      </c>
      <c r="AI868">
        <f t="shared" si="138"/>
        <v>1</v>
      </c>
      <c r="AJ868">
        <v>180.9</v>
      </c>
      <c r="AK868">
        <v>1014.9</v>
      </c>
      <c r="AL868">
        <v>30</v>
      </c>
      <c r="AM868">
        <v>6.4</v>
      </c>
      <c r="AN868">
        <v>0</v>
      </c>
      <c r="AO868">
        <v>0</v>
      </c>
      <c r="AP868">
        <v>0</v>
      </c>
      <c r="AQ868">
        <v>0</v>
      </c>
      <c r="AR868" t="s">
        <v>2888</v>
      </c>
      <c r="AS868" t="s">
        <v>2889</v>
      </c>
      <c r="AT868">
        <v>0.06</v>
      </c>
      <c r="AU868" t="s">
        <v>43</v>
      </c>
      <c r="AV868" t="s">
        <v>44</v>
      </c>
      <c r="AW868" t="s">
        <v>45</v>
      </c>
      <c r="AX868" s="1">
        <v>0.4375</v>
      </c>
      <c r="AY868" t="s">
        <v>2990</v>
      </c>
      <c r="AZ868">
        <v>300.00000000349252</v>
      </c>
      <c r="BA868">
        <v>0</v>
      </c>
      <c r="BB868">
        <v>0</v>
      </c>
      <c r="BC868">
        <v>10</v>
      </c>
      <c r="BD868">
        <v>0</v>
      </c>
      <c r="BE868">
        <f t="shared" si="139"/>
        <v>0</v>
      </c>
    </row>
    <row r="869" spans="1:57" x14ac:dyDescent="0.25">
      <c r="A869" t="s">
        <v>39</v>
      </c>
      <c r="B869" t="s">
        <v>2991</v>
      </c>
      <c r="C869">
        <v>78.900000000000006</v>
      </c>
      <c r="D869">
        <v>66.3</v>
      </c>
      <c r="G869">
        <f t="shared" si="130"/>
        <v>1</v>
      </c>
      <c r="H869">
        <f t="shared" si="131"/>
        <v>1</v>
      </c>
      <c r="I869">
        <f t="shared" si="132"/>
        <v>0</v>
      </c>
      <c r="J869">
        <v>72.099999999999994</v>
      </c>
      <c r="K869">
        <v>78.900000000000006</v>
      </c>
      <c r="L869">
        <v>66.3</v>
      </c>
      <c r="M869">
        <v>72.099999999999994</v>
      </c>
      <c r="N869">
        <v>46.1</v>
      </c>
      <c r="O869">
        <v>40.4</v>
      </c>
      <c r="S869">
        <f t="shared" si="133"/>
        <v>1</v>
      </c>
      <c r="T869">
        <f t="shared" si="134"/>
        <v>0</v>
      </c>
      <c r="U869">
        <f t="shared" si="135"/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32.200000000000003</v>
      </c>
      <c r="AG869">
        <f t="shared" si="136"/>
        <v>1</v>
      </c>
      <c r="AH869">
        <f t="shared" si="137"/>
        <v>1</v>
      </c>
      <c r="AI869">
        <f t="shared" si="138"/>
        <v>0</v>
      </c>
      <c r="AJ869">
        <v>185.5</v>
      </c>
      <c r="AK869">
        <v>1007.4</v>
      </c>
      <c r="AL869">
        <v>86.8</v>
      </c>
      <c r="AM869">
        <v>6.8</v>
      </c>
      <c r="AN869">
        <v>0</v>
      </c>
      <c r="AO869">
        <v>0</v>
      </c>
      <c r="AP869">
        <v>0</v>
      </c>
      <c r="AQ869">
        <v>0</v>
      </c>
      <c r="AR869" t="s">
        <v>2992</v>
      </c>
      <c r="AS869" t="s">
        <v>2993</v>
      </c>
      <c r="AT869">
        <v>0.45</v>
      </c>
      <c r="AU869" t="s">
        <v>43</v>
      </c>
      <c r="AV869" t="s">
        <v>44</v>
      </c>
      <c r="AW869" t="s">
        <v>419</v>
      </c>
      <c r="AX869" s="1">
        <v>0.625</v>
      </c>
      <c r="AY869" t="s">
        <v>2994</v>
      </c>
      <c r="AZ869">
        <v>280.00000000116421</v>
      </c>
      <c r="BA869">
        <v>0</v>
      </c>
      <c r="BB869">
        <v>0</v>
      </c>
      <c r="BC869">
        <v>6</v>
      </c>
      <c r="BD869">
        <v>0</v>
      </c>
      <c r="BE869">
        <f t="shared" si="139"/>
        <v>1</v>
      </c>
    </row>
    <row r="870" spans="1:57" x14ac:dyDescent="0.25">
      <c r="A870" t="s">
        <v>39</v>
      </c>
      <c r="B870" t="s">
        <v>2995</v>
      </c>
      <c r="C870">
        <v>84.3</v>
      </c>
      <c r="D870">
        <v>69.900000000000006</v>
      </c>
      <c r="G870">
        <f t="shared" si="130"/>
        <v>0</v>
      </c>
      <c r="H870">
        <f t="shared" si="131"/>
        <v>0</v>
      </c>
      <c r="I870">
        <f t="shared" si="132"/>
        <v>0</v>
      </c>
      <c r="J870">
        <v>78.5</v>
      </c>
      <c r="K870">
        <v>91.1</v>
      </c>
      <c r="L870">
        <v>69.900000000000006</v>
      </c>
      <c r="M870">
        <v>80.900000000000006</v>
      </c>
      <c r="N870">
        <v>64.599999999999994</v>
      </c>
      <c r="O870">
        <v>62.5</v>
      </c>
      <c r="S870">
        <f t="shared" si="133"/>
        <v>1</v>
      </c>
      <c r="T870">
        <f t="shared" si="134"/>
        <v>1</v>
      </c>
      <c r="U870">
        <f t="shared" si="135"/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18.3</v>
      </c>
      <c r="AG870">
        <f t="shared" si="136"/>
        <v>0</v>
      </c>
      <c r="AH870">
        <f t="shared" si="137"/>
        <v>0</v>
      </c>
      <c r="AI870">
        <f t="shared" si="138"/>
        <v>0</v>
      </c>
      <c r="AJ870">
        <v>306.10000000000002</v>
      </c>
      <c r="AK870">
        <v>1007</v>
      </c>
      <c r="AL870">
        <v>0</v>
      </c>
      <c r="AM870">
        <v>6.2</v>
      </c>
      <c r="AN870">
        <v>0</v>
      </c>
      <c r="AO870">
        <v>0</v>
      </c>
      <c r="AP870">
        <v>0</v>
      </c>
      <c r="AQ870">
        <v>0</v>
      </c>
      <c r="AR870" t="s">
        <v>2996</v>
      </c>
      <c r="AS870" t="s">
        <v>2997</v>
      </c>
      <c r="AT870">
        <v>0.16</v>
      </c>
      <c r="AU870" t="s">
        <v>74</v>
      </c>
      <c r="AV870" t="s">
        <v>44</v>
      </c>
      <c r="AW870" t="s">
        <v>75</v>
      </c>
      <c r="AX870" s="1">
        <v>0.73958333333333337</v>
      </c>
      <c r="AY870" t="s">
        <v>2998</v>
      </c>
      <c r="AZ870">
        <v>235.00000000116421</v>
      </c>
      <c r="BA870">
        <v>0</v>
      </c>
      <c r="BB870">
        <v>0</v>
      </c>
      <c r="BC870">
        <v>1.5</v>
      </c>
      <c r="BD870">
        <v>0</v>
      </c>
      <c r="BE870">
        <f t="shared" si="139"/>
        <v>0</v>
      </c>
    </row>
    <row r="871" spans="1:57" x14ac:dyDescent="0.25">
      <c r="A871" t="s">
        <v>39</v>
      </c>
      <c r="B871" t="s">
        <v>2999</v>
      </c>
      <c r="C871">
        <v>82.5</v>
      </c>
      <c r="D871">
        <v>77.099999999999994</v>
      </c>
      <c r="G871">
        <f t="shared" si="130"/>
        <v>0</v>
      </c>
      <c r="H871">
        <f t="shared" si="131"/>
        <v>0</v>
      </c>
      <c r="I871">
        <f t="shared" si="132"/>
        <v>0</v>
      </c>
      <c r="J871">
        <v>79.3</v>
      </c>
      <c r="K871">
        <v>86.4</v>
      </c>
      <c r="L871">
        <v>77.099999999999994</v>
      </c>
      <c r="M871">
        <v>80.5</v>
      </c>
      <c r="N871">
        <v>68</v>
      </c>
      <c r="O871">
        <v>68.599999999999994</v>
      </c>
      <c r="S871">
        <f t="shared" si="133"/>
        <v>1</v>
      </c>
      <c r="T871">
        <f t="shared" si="134"/>
        <v>1</v>
      </c>
      <c r="U871">
        <f t="shared" si="135"/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21.9</v>
      </c>
      <c r="AG871">
        <f t="shared" si="136"/>
        <v>1</v>
      </c>
      <c r="AH871">
        <f t="shared" si="137"/>
        <v>1</v>
      </c>
      <c r="AI871">
        <f t="shared" si="138"/>
        <v>0</v>
      </c>
      <c r="AJ871">
        <v>309.10000000000002</v>
      </c>
      <c r="AK871">
        <v>1010.1</v>
      </c>
      <c r="AL871">
        <v>30</v>
      </c>
      <c r="AM871">
        <v>6.7</v>
      </c>
      <c r="AN871">
        <v>0</v>
      </c>
      <c r="AO871">
        <v>0</v>
      </c>
      <c r="AP871">
        <v>0</v>
      </c>
      <c r="AQ871">
        <v>0</v>
      </c>
      <c r="AR871" t="s">
        <v>3000</v>
      </c>
      <c r="AS871" t="s">
        <v>3001</v>
      </c>
      <c r="AT871">
        <v>0.96</v>
      </c>
      <c r="AU871" t="s">
        <v>43</v>
      </c>
      <c r="AV871" t="s">
        <v>44</v>
      </c>
      <c r="AW871" t="s">
        <v>45</v>
      </c>
      <c r="AX871" s="1">
        <v>0.47569444444444442</v>
      </c>
      <c r="AY871" t="s">
        <v>3002</v>
      </c>
      <c r="AZ871">
        <v>4054.9999999953429</v>
      </c>
      <c r="BA871">
        <v>1</v>
      </c>
      <c r="BB871">
        <v>0</v>
      </c>
      <c r="BC871">
        <v>650</v>
      </c>
      <c r="BD871">
        <v>0</v>
      </c>
      <c r="BE871">
        <f t="shared" si="139"/>
        <v>1</v>
      </c>
    </row>
    <row r="872" spans="1:57" x14ac:dyDescent="0.25">
      <c r="A872" t="s">
        <v>39</v>
      </c>
      <c r="B872" t="s">
        <v>3003</v>
      </c>
      <c r="C872">
        <v>60.9</v>
      </c>
      <c r="D872">
        <v>50.1</v>
      </c>
      <c r="G872">
        <f t="shared" si="130"/>
        <v>1</v>
      </c>
      <c r="H872">
        <f t="shared" si="131"/>
        <v>1</v>
      </c>
      <c r="I872">
        <f t="shared" si="132"/>
        <v>0</v>
      </c>
      <c r="J872">
        <v>54.1</v>
      </c>
      <c r="K872">
        <v>60.9</v>
      </c>
      <c r="L872">
        <v>50.1</v>
      </c>
      <c r="M872">
        <v>54.1</v>
      </c>
      <c r="N872">
        <v>43.8</v>
      </c>
      <c r="O872">
        <v>68.400000000000006</v>
      </c>
      <c r="S872">
        <f t="shared" si="133"/>
        <v>0</v>
      </c>
      <c r="T872">
        <f t="shared" si="134"/>
        <v>0</v>
      </c>
      <c r="U872">
        <f t="shared" si="135"/>
        <v>0</v>
      </c>
      <c r="V872">
        <v>0.02</v>
      </c>
      <c r="W872">
        <v>100</v>
      </c>
      <c r="X872">
        <v>4.17</v>
      </c>
      <c r="Y872" t="s">
        <v>103</v>
      </c>
      <c r="Z872">
        <v>0</v>
      </c>
      <c r="AA872">
        <v>0</v>
      </c>
      <c r="AB872">
        <v>0</v>
      </c>
      <c r="AC872">
        <v>40.299999999999997</v>
      </c>
      <c r="AG872">
        <f t="shared" si="136"/>
        <v>1</v>
      </c>
      <c r="AH872">
        <f t="shared" si="137"/>
        <v>1</v>
      </c>
      <c r="AI872">
        <f t="shared" si="138"/>
        <v>0</v>
      </c>
      <c r="AJ872">
        <v>324.7</v>
      </c>
      <c r="AK872">
        <v>1010.1</v>
      </c>
      <c r="AL872">
        <v>74.099999999999994</v>
      </c>
      <c r="AM872">
        <v>6.8</v>
      </c>
      <c r="AN872">
        <v>0</v>
      </c>
      <c r="AO872">
        <v>0</v>
      </c>
      <c r="AP872">
        <v>0</v>
      </c>
      <c r="AQ872">
        <v>0</v>
      </c>
      <c r="AR872" t="s">
        <v>3004</v>
      </c>
      <c r="AS872" t="s">
        <v>3005</v>
      </c>
      <c r="AT872">
        <v>0.69</v>
      </c>
      <c r="AU872" t="s">
        <v>106</v>
      </c>
      <c r="AV872" t="s">
        <v>438</v>
      </c>
      <c r="AW872" t="s">
        <v>103</v>
      </c>
      <c r="AX872" s="1">
        <v>0.73611111111111116</v>
      </c>
      <c r="AY872" t="s">
        <v>3006</v>
      </c>
      <c r="AZ872">
        <v>889.99999999883585</v>
      </c>
      <c r="BA872">
        <v>1</v>
      </c>
      <c r="BB872">
        <v>0</v>
      </c>
      <c r="BC872">
        <v>4</v>
      </c>
      <c r="BD872">
        <v>0</v>
      </c>
      <c r="BE872">
        <f t="shared" si="139"/>
        <v>1</v>
      </c>
    </row>
    <row r="873" spans="1:57" x14ac:dyDescent="0.25">
      <c r="A873" t="s">
        <v>39</v>
      </c>
      <c r="B873" t="s">
        <v>3007</v>
      </c>
      <c r="C873">
        <v>68.099999999999994</v>
      </c>
      <c r="D873">
        <v>53.7</v>
      </c>
      <c r="G873">
        <f t="shared" si="130"/>
        <v>0</v>
      </c>
      <c r="H873">
        <f t="shared" si="131"/>
        <v>0</v>
      </c>
      <c r="I873">
        <f t="shared" si="132"/>
        <v>0</v>
      </c>
      <c r="J873">
        <v>61.8</v>
      </c>
      <c r="K873">
        <v>68.099999999999994</v>
      </c>
      <c r="L873">
        <v>53.7</v>
      </c>
      <c r="M873">
        <v>61.8</v>
      </c>
      <c r="N873">
        <v>52.8</v>
      </c>
      <c r="O873">
        <v>72.900000000000006</v>
      </c>
      <c r="S873">
        <f t="shared" si="133"/>
        <v>1</v>
      </c>
      <c r="T873">
        <f t="shared" si="134"/>
        <v>1</v>
      </c>
      <c r="U873">
        <f t="shared" si="135"/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24.2</v>
      </c>
      <c r="AG873">
        <f t="shared" si="136"/>
        <v>1</v>
      </c>
      <c r="AH873">
        <f t="shared" si="137"/>
        <v>1</v>
      </c>
      <c r="AI873">
        <f t="shared" si="138"/>
        <v>0</v>
      </c>
      <c r="AJ873">
        <v>294.8</v>
      </c>
      <c r="AK873">
        <v>1013.9</v>
      </c>
      <c r="AL873">
        <v>30</v>
      </c>
      <c r="AM873">
        <v>6.5</v>
      </c>
      <c r="AN873">
        <v>0</v>
      </c>
      <c r="AO873">
        <v>0</v>
      </c>
      <c r="AP873">
        <v>0</v>
      </c>
      <c r="AQ873">
        <v>0</v>
      </c>
      <c r="AR873" t="s">
        <v>3008</v>
      </c>
      <c r="AS873" t="s">
        <v>3009</v>
      </c>
      <c r="AT873">
        <v>0.63</v>
      </c>
      <c r="AU873" t="s">
        <v>43</v>
      </c>
      <c r="AV873" t="s">
        <v>44</v>
      </c>
      <c r="AW873" t="s">
        <v>45</v>
      </c>
      <c r="AX873" s="1">
        <v>0.67708333333333337</v>
      </c>
      <c r="AY873" t="s">
        <v>3010</v>
      </c>
      <c r="AZ873">
        <v>284.99999999650748</v>
      </c>
      <c r="BA873">
        <v>0</v>
      </c>
      <c r="BB873">
        <v>0</v>
      </c>
      <c r="BC873">
        <v>1</v>
      </c>
      <c r="BD873">
        <v>0</v>
      </c>
      <c r="BE873">
        <f t="shared" si="139"/>
        <v>0</v>
      </c>
    </row>
    <row r="874" spans="1:57" x14ac:dyDescent="0.25">
      <c r="A874" t="s">
        <v>39</v>
      </c>
      <c r="B874" t="s">
        <v>2966</v>
      </c>
      <c r="C874">
        <v>68.099999999999994</v>
      </c>
      <c r="D874">
        <v>48.3</v>
      </c>
      <c r="G874">
        <f t="shared" si="130"/>
        <v>1</v>
      </c>
      <c r="H874">
        <f t="shared" si="131"/>
        <v>1</v>
      </c>
      <c r="I874">
        <f t="shared" si="132"/>
        <v>0</v>
      </c>
      <c r="J874">
        <v>58.2</v>
      </c>
      <c r="K874">
        <v>68.099999999999994</v>
      </c>
      <c r="L874">
        <v>44.2</v>
      </c>
      <c r="M874">
        <v>57.9</v>
      </c>
      <c r="N874">
        <v>45.9</v>
      </c>
      <c r="O874">
        <v>65.900000000000006</v>
      </c>
      <c r="S874">
        <f t="shared" si="133"/>
        <v>0</v>
      </c>
      <c r="T874">
        <f t="shared" si="134"/>
        <v>0</v>
      </c>
      <c r="U874">
        <f t="shared" si="135"/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18.3</v>
      </c>
      <c r="AG874">
        <f t="shared" si="136"/>
        <v>0</v>
      </c>
      <c r="AH874">
        <f t="shared" si="137"/>
        <v>0</v>
      </c>
      <c r="AI874">
        <f t="shared" si="138"/>
        <v>0</v>
      </c>
      <c r="AJ874">
        <v>185.7</v>
      </c>
      <c r="AK874">
        <v>1013.7</v>
      </c>
      <c r="AL874">
        <v>53.5</v>
      </c>
      <c r="AM874">
        <v>6.8</v>
      </c>
      <c r="AN874">
        <v>0</v>
      </c>
      <c r="AO874">
        <v>0</v>
      </c>
      <c r="AP874">
        <v>0</v>
      </c>
      <c r="AQ874">
        <v>0</v>
      </c>
      <c r="AR874" t="s">
        <v>2967</v>
      </c>
      <c r="AS874" t="s">
        <v>2968</v>
      </c>
      <c r="AT874">
        <v>0.13</v>
      </c>
      <c r="AU874" t="s">
        <v>43</v>
      </c>
      <c r="AV874" t="s">
        <v>44</v>
      </c>
      <c r="AW874" t="s">
        <v>45</v>
      </c>
      <c r="AX874" s="1">
        <v>0.91666666666666663</v>
      </c>
      <c r="AY874" t="s">
        <v>3011</v>
      </c>
      <c r="AZ874">
        <v>155.00000000232831</v>
      </c>
      <c r="BA874">
        <v>0</v>
      </c>
      <c r="BB874">
        <v>0</v>
      </c>
      <c r="BC874">
        <v>0.2</v>
      </c>
      <c r="BD874">
        <v>0</v>
      </c>
      <c r="BE874">
        <f t="shared" si="139"/>
        <v>0</v>
      </c>
    </row>
    <row r="875" spans="1:57" x14ac:dyDescent="0.25">
      <c r="A875" t="s">
        <v>39</v>
      </c>
      <c r="B875" t="s">
        <v>3003</v>
      </c>
      <c r="C875">
        <v>60.9</v>
      </c>
      <c r="D875">
        <v>50.1</v>
      </c>
      <c r="G875">
        <f t="shared" si="130"/>
        <v>1</v>
      </c>
      <c r="H875">
        <f t="shared" si="131"/>
        <v>1</v>
      </c>
      <c r="I875">
        <f t="shared" si="132"/>
        <v>0</v>
      </c>
      <c r="J875">
        <v>54.1</v>
      </c>
      <c r="K875">
        <v>60.9</v>
      </c>
      <c r="L875">
        <v>50.1</v>
      </c>
      <c r="M875">
        <v>54.1</v>
      </c>
      <c r="N875">
        <v>43.8</v>
      </c>
      <c r="O875">
        <v>68.400000000000006</v>
      </c>
      <c r="S875">
        <f t="shared" si="133"/>
        <v>0</v>
      </c>
      <c r="T875">
        <f t="shared" si="134"/>
        <v>0</v>
      </c>
      <c r="U875">
        <f t="shared" si="135"/>
        <v>0</v>
      </c>
      <c r="V875">
        <v>0.02</v>
      </c>
      <c r="W875">
        <v>100</v>
      </c>
      <c r="X875">
        <v>4.17</v>
      </c>
      <c r="Y875" t="s">
        <v>103</v>
      </c>
      <c r="Z875">
        <v>0</v>
      </c>
      <c r="AA875">
        <v>0</v>
      </c>
      <c r="AB875">
        <v>0</v>
      </c>
      <c r="AC875">
        <v>40.299999999999997</v>
      </c>
      <c r="AG875">
        <f t="shared" si="136"/>
        <v>1</v>
      </c>
      <c r="AH875">
        <f t="shared" si="137"/>
        <v>1</v>
      </c>
      <c r="AI875">
        <f t="shared" si="138"/>
        <v>0</v>
      </c>
      <c r="AJ875">
        <v>324.7</v>
      </c>
      <c r="AK875">
        <v>1010.1</v>
      </c>
      <c r="AL875">
        <v>74.099999999999994</v>
      </c>
      <c r="AM875">
        <v>6.8</v>
      </c>
      <c r="AN875">
        <v>0</v>
      </c>
      <c r="AO875">
        <v>0</v>
      </c>
      <c r="AP875">
        <v>0</v>
      </c>
      <c r="AQ875">
        <v>0</v>
      </c>
      <c r="AR875" t="s">
        <v>3004</v>
      </c>
      <c r="AS875" t="s">
        <v>3005</v>
      </c>
      <c r="AT875">
        <v>0.69</v>
      </c>
      <c r="AU875" t="s">
        <v>106</v>
      </c>
      <c r="AV875" t="s">
        <v>438</v>
      </c>
      <c r="AW875" t="s">
        <v>103</v>
      </c>
      <c r="AX875" s="1">
        <v>0.72916666666666663</v>
      </c>
      <c r="AY875" t="s">
        <v>3012</v>
      </c>
      <c r="AZ875">
        <v>889.99999999883585</v>
      </c>
      <c r="BA875">
        <v>1</v>
      </c>
      <c r="BB875">
        <v>0</v>
      </c>
      <c r="BC875">
        <v>5</v>
      </c>
      <c r="BD875">
        <v>0</v>
      </c>
      <c r="BE875">
        <f t="shared" si="139"/>
        <v>1</v>
      </c>
    </row>
    <row r="876" spans="1:57" x14ac:dyDescent="0.25">
      <c r="A876" t="s">
        <v>39</v>
      </c>
      <c r="B876" t="s">
        <v>3013</v>
      </c>
      <c r="C876">
        <v>82.5</v>
      </c>
      <c r="D876">
        <v>77.099999999999994</v>
      </c>
      <c r="G876">
        <f t="shared" si="130"/>
        <v>0</v>
      </c>
      <c r="H876">
        <f t="shared" si="131"/>
        <v>0</v>
      </c>
      <c r="I876">
        <f t="shared" si="132"/>
        <v>0</v>
      </c>
      <c r="J876">
        <v>79.2</v>
      </c>
      <c r="K876">
        <v>84.8</v>
      </c>
      <c r="L876">
        <v>77.099999999999994</v>
      </c>
      <c r="M876">
        <v>80.099999999999994</v>
      </c>
      <c r="N876">
        <v>66</v>
      </c>
      <c r="O876">
        <v>64.2</v>
      </c>
      <c r="S876">
        <f t="shared" si="133"/>
        <v>1</v>
      </c>
      <c r="T876">
        <f t="shared" si="134"/>
        <v>1</v>
      </c>
      <c r="U876">
        <f t="shared" si="135"/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21.9</v>
      </c>
      <c r="AG876">
        <f t="shared" si="136"/>
        <v>1</v>
      </c>
      <c r="AH876">
        <f t="shared" si="137"/>
        <v>1</v>
      </c>
      <c r="AI876">
        <f t="shared" si="138"/>
        <v>0</v>
      </c>
      <c r="AJ876">
        <v>308.89999999999998</v>
      </c>
      <c r="AK876">
        <v>1010.4</v>
      </c>
      <c r="AL876">
        <v>30</v>
      </c>
      <c r="AM876">
        <v>6.8</v>
      </c>
      <c r="AN876">
        <v>0</v>
      </c>
      <c r="AO876">
        <v>0</v>
      </c>
      <c r="AP876">
        <v>0</v>
      </c>
      <c r="AQ876">
        <v>0</v>
      </c>
      <c r="AR876" t="s">
        <v>3014</v>
      </c>
      <c r="AS876" t="s">
        <v>3015</v>
      </c>
      <c r="AT876">
        <v>0.93</v>
      </c>
      <c r="AU876" t="s">
        <v>43</v>
      </c>
      <c r="AV876" t="s">
        <v>44</v>
      </c>
      <c r="AW876" t="s">
        <v>45</v>
      </c>
      <c r="AX876" s="1">
        <v>0.72569444444444442</v>
      </c>
      <c r="AY876" t="s">
        <v>3016</v>
      </c>
      <c r="AZ876">
        <v>5285.0000000023283</v>
      </c>
      <c r="BA876">
        <v>1</v>
      </c>
      <c r="BB876">
        <v>0</v>
      </c>
      <c r="BC876">
        <v>200</v>
      </c>
      <c r="BD876">
        <v>0</v>
      </c>
      <c r="BE876">
        <f t="shared" si="139"/>
        <v>1</v>
      </c>
    </row>
    <row r="877" spans="1:57" x14ac:dyDescent="0.25">
      <c r="A877" t="s">
        <v>39</v>
      </c>
      <c r="B877" t="s">
        <v>3017</v>
      </c>
      <c r="C877">
        <v>82.5</v>
      </c>
      <c r="D877">
        <v>75.3</v>
      </c>
      <c r="G877">
        <f t="shared" si="130"/>
        <v>0</v>
      </c>
      <c r="H877">
        <f t="shared" si="131"/>
        <v>0</v>
      </c>
      <c r="I877">
        <f t="shared" si="132"/>
        <v>0</v>
      </c>
      <c r="J877">
        <v>78.900000000000006</v>
      </c>
      <c r="K877">
        <v>85.5</v>
      </c>
      <c r="L877">
        <v>75.3</v>
      </c>
      <c r="M877">
        <v>79.900000000000006</v>
      </c>
      <c r="N877">
        <v>65.5</v>
      </c>
      <c r="O877">
        <v>63.8</v>
      </c>
      <c r="S877">
        <f t="shared" si="133"/>
        <v>1</v>
      </c>
      <c r="T877">
        <f t="shared" si="134"/>
        <v>1</v>
      </c>
      <c r="U877">
        <f t="shared" si="135"/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20.8</v>
      </c>
      <c r="AG877">
        <f t="shared" si="136"/>
        <v>1</v>
      </c>
      <c r="AH877">
        <f t="shared" si="137"/>
        <v>1</v>
      </c>
      <c r="AI877">
        <f t="shared" si="138"/>
        <v>0</v>
      </c>
      <c r="AJ877">
        <v>307.8</v>
      </c>
      <c r="AK877">
        <v>1010.1</v>
      </c>
      <c r="AL877">
        <v>30</v>
      </c>
      <c r="AM877">
        <v>6.5</v>
      </c>
      <c r="AN877">
        <v>0</v>
      </c>
      <c r="AO877">
        <v>0</v>
      </c>
      <c r="AP877">
        <v>0</v>
      </c>
      <c r="AQ877">
        <v>0</v>
      </c>
      <c r="AR877" t="s">
        <v>3018</v>
      </c>
      <c r="AS877" t="s">
        <v>3019</v>
      </c>
      <c r="AT877">
        <v>0.5</v>
      </c>
      <c r="AU877" t="s">
        <v>43</v>
      </c>
      <c r="AV877" t="s">
        <v>44</v>
      </c>
      <c r="AW877" t="s">
        <v>45</v>
      </c>
      <c r="AX877" s="1">
        <v>0.51041666666666663</v>
      </c>
      <c r="AY877" t="s">
        <v>3020</v>
      </c>
      <c r="AZ877">
        <v>75.00000000349246</v>
      </c>
      <c r="BA877">
        <v>0</v>
      </c>
      <c r="BB877">
        <v>0</v>
      </c>
      <c r="BC877">
        <v>1</v>
      </c>
      <c r="BD877">
        <v>0</v>
      </c>
      <c r="BE877">
        <f t="shared" si="139"/>
        <v>0</v>
      </c>
    </row>
    <row r="878" spans="1:57" x14ac:dyDescent="0.25">
      <c r="A878" t="s">
        <v>39</v>
      </c>
      <c r="B878" t="s">
        <v>3021</v>
      </c>
      <c r="C878">
        <v>82.5</v>
      </c>
      <c r="D878">
        <v>73.5</v>
      </c>
      <c r="G878">
        <f t="shared" si="130"/>
        <v>1</v>
      </c>
      <c r="H878">
        <f t="shared" si="131"/>
        <v>1</v>
      </c>
      <c r="I878">
        <f t="shared" si="132"/>
        <v>0</v>
      </c>
      <c r="J878">
        <v>77</v>
      </c>
      <c r="K878">
        <v>84.8</v>
      </c>
      <c r="L878">
        <v>73.5</v>
      </c>
      <c r="M878">
        <v>77.2</v>
      </c>
      <c r="N878">
        <v>66.8</v>
      </c>
      <c r="O878">
        <v>70.900000000000006</v>
      </c>
      <c r="S878">
        <f t="shared" si="133"/>
        <v>1</v>
      </c>
      <c r="T878">
        <f t="shared" si="134"/>
        <v>1</v>
      </c>
      <c r="U878">
        <f t="shared" si="135"/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23</v>
      </c>
      <c r="AG878">
        <f t="shared" si="136"/>
        <v>1</v>
      </c>
      <c r="AH878">
        <f t="shared" si="137"/>
        <v>1</v>
      </c>
      <c r="AI878">
        <f t="shared" si="138"/>
        <v>0</v>
      </c>
      <c r="AJ878">
        <v>315.10000000000002</v>
      </c>
      <c r="AK878">
        <v>1013.3</v>
      </c>
      <c r="AL878">
        <v>36.700000000000003</v>
      </c>
      <c r="AM878">
        <v>6.8</v>
      </c>
      <c r="AN878">
        <v>0</v>
      </c>
      <c r="AO878">
        <v>0</v>
      </c>
      <c r="AP878">
        <v>0</v>
      </c>
      <c r="AQ878">
        <v>0</v>
      </c>
      <c r="AR878" t="s">
        <v>3022</v>
      </c>
      <c r="AS878" t="s">
        <v>3023</v>
      </c>
      <c r="AT878">
        <v>0.05</v>
      </c>
      <c r="AU878" t="s">
        <v>43</v>
      </c>
      <c r="AV878" t="s">
        <v>44</v>
      </c>
      <c r="AW878" t="s">
        <v>45</v>
      </c>
      <c r="AX878" s="1">
        <v>0.72569444444444442</v>
      </c>
      <c r="AY878" t="s">
        <v>3024</v>
      </c>
      <c r="AZ878">
        <v>214.99999999883579</v>
      </c>
      <c r="BA878">
        <v>0</v>
      </c>
      <c r="BB878">
        <v>0</v>
      </c>
      <c r="BC878">
        <v>2.5</v>
      </c>
      <c r="BD878">
        <v>0</v>
      </c>
      <c r="BE878">
        <f t="shared" si="139"/>
        <v>1</v>
      </c>
    </row>
    <row r="879" spans="1:57" x14ac:dyDescent="0.25">
      <c r="A879" t="s">
        <v>39</v>
      </c>
      <c r="B879" t="s">
        <v>3025</v>
      </c>
      <c r="C879">
        <v>86.1</v>
      </c>
      <c r="D879">
        <v>57.3</v>
      </c>
      <c r="G879">
        <f t="shared" si="130"/>
        <v>1</v>
      </c>
      <c r="H879">
        <f t="shared" si="131"/>
        <v>1</v>
      </c>
      <c r="I879">
        <f t="shared" si="132"/>
        <v>0</v>
      </c>
      <c r="J879">
        <v>71.8</v>
      </c>
      <c r="K879">
        <v>83</v>
      </c>
      <c r="L879">
        <v>57.3</v>
      </c>
      <c r="M879">
        <v>71.400000000000006</v>
      </c>
      <c r="N879">
        <v>50.1</v>
      </c>
      <c r="O879">
        <v>49.6</v>
      </c>
      <c r="S879">
        <f t="shared" si="133"/>
        <v>1</v>
      </c>
      <c r="T879">
        <f t="shared" si="134"/>
        <v>0</v>
      </c>
      <c r="U879">
        <f t="shared" si="135"/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30</v>
      </c>
      <c r="AG879">
        <f t="shared" si="136"/>
        <v>1</v>
      </c>
      <c r="AH879">
        <f t="shared" si="137"/>
        <v>1</v>
      </c>
      <c r="AI879">
        <f t="shared" si="138"/>
        <v>0</v>
      </c>
      <c r="AJ879">
        <v>195.1</v>
      </c>
      <c r="AK879">
        <v>1000.6</v>
      </c>
      <c r="AL879">
        <v>61.8</v>
      </c>
      <c r="AM879">
        <v>5.8</v>
      </c>
      <c r="AN879">
        <v>0</v>
      </c>
      <c r="AO879">
        <v>0</v>
      </c>
      <c r="AP879">
        <v>0</v>
      </c>
      <c r="AQ879">
        <v>0</v>
      </c>
      <c r="AR879" t="s">
        <v>3026</v>
      </c>
      <c r="AS879" t="s">
        <v>3027</v>
      </c>
      <c r="AT879">
        <v>0.55000000000000004</v>
      </c>
      <c r="AU879" t="s">
        <v>43</v>
      </c>
      <c r="AV879" t="s">
        <v>44</v>
      </c>
      <c r="AW879" t="s">
        <v>45</v>
      </c>
      <c r="AX879" s="1">
        <v>0.57638888888888884</v>
      </c>
      <c r="AY879" t="s">
        <v>3028</v>
      </c>
      <c r="AZ879">
        <v>100.0000000011642</v>
      </c>
      <c r="BA879">
        <v>0</v>
      </c>
      <c r="BB879">
        <v>0</v>
      </c>
      <c r="BC879">
        <v>0.05</v>
      </c>
      <c r="BD879">
        <v>0</v>
      </c>
      <c r="BE879">
        <f t="shared" si="139"/>
        <v>1</v>
      </c>
    </row>
    <row r="880" spans="1:57" x14ac:dyDescent="0.25">
      <c r="A880" t="s">
        <v>39</v>
      </c>
      <c r="B880" t="s">
        <v>3029</v>
      </c>
      <c r="C880">
        <v>86.1</v>
      </c>
      <c r="D880">
        <v>68.099999999999994</v>
      </c>
      <c r="G880">
        <f t="shared" si="130"/>
        <v>1</v>
      </c>
      <c r="H880">
        <f t="shared" si="131"/>
        <v>1</v>
      </c>
      <c r="I880">
        <f t="shared" si="132"/>
        <v>0</v>
      </c>
      <c r="J880">
        <v>76.099999999999994</v>
      </c>
      <c r="K880">
        <v>91.1</v>
      </c>
      <c r="L880">
        <v>68.099999999999994</v>
      </c>
      <c r="M880">
        <v>77.3</v>
      </c>
      <c r="N880">
        <v>63</v>
      </c>
      <c r="O880">
        <v>65.2</v>
      </c>
      <c r="S880">
        <f t="shared" si="133"/>
        <v>0</v>
      </c>
      <c r="T880">
        <f t="shared" si="134"/>
        <v>0</v>
      </c>
      <c r="U880">
        <f t="shared" si="135"/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12.8</v>
      </c>
      <c r="AG880">
        <f t="shared" si="136"/>
        <v>1</v>
      </c>
      <c r="AH880">
        <f t="shared" si="137"/>
        <v>0</v>
      </c>
      <c r="AI880">
        <f t="shared" si="138"/>
        <v>1</v>
      </c>
      <c r="AJ880">
        <v>155.30000000000001</v>
      </c>
      <c r="AK880">
        <v>1009.9</v>
      </c>
      <c r="AL880">
        <v>0</v>
      </c>
      <c r="AM880">
        <v>6.2</v>
      </c>
      <c r="AN880">
        <v>0</v>
      </c>
      <c r="AO880">
        <v>0</v>
      </c>
      <c r="AP880">
        <v>0</v>
      </c>
      <c r="AQ880">
        <v>0</v>
      </c>
      <c r="AR880" t="s">
        <v>3030</v>
      </c>
      <c r="AS880" t="s">
        <v>3031</v>
      </c>
      <c r="AT880">
        <v>0.44</v>
      </c>
      <c r="AU880" t="s">
        <v>74</v>
      </c>
      <c r="AV880" t="s">
        <v>44</v>
      </c>
      <c r="AW880" t="s">
        <v>75</v>
      </c>
      <c r="AX880" s="1">
        <v>0.72222222222222221</v>
      </c>
      <c r="AY880" t="s">
        <v>3032</v>
      </c>
      <c r="AZ880">
        <v>2365.0000000081491</v>
      </c>
      <c r="BA880">
        <v>1</v>
      </c>
      <c r="BB880">
        <v>0</v>
      </c>
      <c r="BC880">
        <v>500</v>
      </c>
      <c r="BD880">
        <v>0</v>
      </c>
      <c r="BE880">
        <f t="shared" si="139"/>
        <v>1</v>
      </c>
    </row>
    <row r="881" spans="1:57" x14ac:dyDescent="0.25">
      <c r="A881" t="s">
        <v>39</v>
      </c>
      <c r="B881" t="s">
        <v>3033</v>
      </c>
      <c r="C881">
        <v>66.3</v>
      </c>
      <c r="D881">
        <v>55.5</v>
      </c>
      <c r="G881">
        <f t="shared" si="130"/>
        <v>1</v>
      </c>
      <c r="H881">
        <f t="shared" si="131"/>
        <v>1</v>
      </c>
      <c r="I881">
        <f t="shared" si="132"/>
        <v>0</v>
      </c>
      <c r="J881">
        <v>60.7</v>
      </c>
      <c r="K881">
        <v>66.3</v>
      </c>
      <c r="L881">
        <v>55.5</v>
      </c>
      <c r="M881">
        <v>60.7</v>
      </c>
      <c r="N881">
        <v>52</v>
      </c>
      <c r="O881">
        <v>73.3</v>
      </c>
      <c r="S881">
        <f t="shared" si="133"/>
        <v>1</v>
      </c>
      <c r="T881">
        <f t="shared" si="134"/>
        <v>1</v>
      </c>
      <c r="U881">
        <f t="shared" si="135"/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15</v>
      </c>
      <c r="AG881">
        <f t="shared" si="136"/>
        <v>1</v>
      </c>
      <c r="AH881">
        <f t="shared" si="137"/>
        <v>0</v>
      </c>
      <c r="AI881">
        <f t="shared" si="138"/>
        <v>1</v>
      </c>
      <c r="AJ881">
        <v>144.30000000000001</v>
      </c>
      <c r="AK881">
        <v>1012.9</v>
      </c>
      <c r="AL881">
        <v>42.5</v>
      </c>
      <c r="AM881">
        <v>6.4</v>
      </c>
      <c r="AN881">
        <v>0</v>
      </c>
      <c r="AO881">
        <v>0</v>
      </c>
      <c r="AP881">
        <v>0</v>
      </c>
      <c r="AQ881">
        <v>0</v>
      </c>
      <c r="AR881" t="s">
        <v>3034</v>
      </c>
      <c r="AS881" t="s">
        <v>3035</v>
      </c>
      <c r="AT881">
        <v>0.96</v>
      </c>
      <c r="AU881" t="s">
        <v>43</v>
      </c>
      <c r="AV881" t="s">
        <v>44</v>
      </c>
      <c r="AW881" t="s">
        <v>45</v>
      </c>
      <c r="AX881" s="1">
        <v>0.3611111111111111</v>
      </c>
      <c r="AY881" t="s">
        <v>3036</v>
      </c>
      <c r="AZ881">
        <v>65.000000002328306</v>
      </c>
      <c r="BA881">
        <v>0</v>
      </c>
      <c r="BB881">
        <v>0</v>
      </c>
      <c r="BC881">
        <v>1</v>
      </c>
      <c r="BD881">
        <v>0</v>
      </c>
      <c r="BE881">
        <f t="shared" si="139"/>
        <v>1</v>
      </c>
    </row>
    <row r="882" spans="1:57" x14ac:dyDescent="0.25">
      <c r="A882" t="s">
        <v>39</v>
      </c>
      <c r="B882" t="s">
        <v>3037</v>
      </c>
      <c r="C882">
        <v>87.9</v>
      </c>
      <c r="D882">
        <v>77.099999999999994</v>
      </c>
      <c r="G882">
        <f t="shared" si="130"/>
        <v>1</v>
      </c>
      <c r="H882">
        <f t="shared" si="131"/>
        <v>1</v>
      </c>
      <c r="I882">
        <f t="shared" si="132"/>
        <v>0</v>
      </c>
      <c r="J882">
        <v>82.2</v>
      </c>
      <c r="K882">
        <v>96.1</v>
      </c>
      <c r="L882">
        <v>77.099999999999994</v>
      </c>
      <c r="M882">
        <v>85.1</v>
      </c>
      <c r="N882">
        <v>65.3</v>
      </c>
      <c r="O882">
        <v>57.1</v>
      </c>
      <c r="S882">
        <f t="shared" si="133"/>
        <v>1</v>
      </c>
      <c r="T882">
        <f t="shared" si="134"/>
        <v>0</v>
      </c>
      <c r="U882">
        <f t="shared" si="135"/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24.2</v>
      </c>
      <c r="AG882">
        <f t="shared" si="136"/>
        <v>1</v>
      </c>
      <c r="AH882">
        <f t="shared" si="137"/>
        <v>1</v>
      </c>
      <c r="AI882">
        <f t="shared" si="138"/>
        <v>0</v>
      </c>
      <c r="AJ882">
        <v>293.39999999999998</v>
      </c>
      <c r="AK882">
        <v>1005.5</v>
      </c>
      <c r="AL882">
        <v>0</v>
      </c>
      <c r="AM882">
        <v>6.2</v>
      </c>
      <c r="AN882">
        <v>0</v>
      </c>
      <c r="AO882">
        <v>0</v>
      </c>
      <c r="AP882">
        <v>0</v>
      </c>
      <c r="AQ882">
        <v>0</v>
      </c>
      <c r="AR882" t="s">
        <v>3038</v>
      </c>
      <c r="AS882" t="s">
        <v>3039</v>
      </c>
      <c r="AT882">
        <v>0.68</v>
      </c>
      <c r="AU882" t="s">
        <v>74</v>
      </c>
      <c r="AV882" t="s">
        <v>44</v>
      </c>
      <c r="AW882" t="s">
        <v>75</v>
      </c>
      <c r="AX882" s="1">
        <v>0.95833333333333337</v>
      </c>
      <c r="AY882" t="s">
        <v>3040</v>
      </c>
      <c r="AZ882">
        <v>2369.9999999930151</v>
      </c>
      <c r="BA882">
        <v>1</v>
      </c>
      <c r="BB882">
        <v>0</v>
      </c>
      <c r="BC882">
        <v>100</v>
      </c>
      <c r="BD882">
        <v>0</v>
      </c>
      <c r="BE882">
        <f t="shared" si="139"/>
        <v>1</v>
      </c>
    </row>
    <row r="883" spans="1:57" x14ac:dyDescent="0.25">
      <c r="A883" t="s">
        <v>39</v>
      </c>
      <c r="B883" t="s">
        <v>3041</v>
      </c>
      <c r="C883">
        <v>87.9</v>
      </c>
      <c r="D883">
        <v>71.7</v>
      </c>
      <c r="G883">
        <f t="shared" si="130"/>
        <v>1</v>
      </c>
      <c r="H883">
        <f t="shared" si="131"/>
        <v>1</v>
      </c>
      <c r="I883">
        <f t="shared" si="132"/>
        <v>0</v>
      </c>
      <c r="J883">
        <v>80.8</v>
      </c>
      <c r="K883">
        <v>88.6</v>
      </c>
      <c r="L883">
        <v>71.7</v>
      </c>
      <c r="M883">
        <v>81.7</v>
      </c>
      <c r="N883">
        <v>64.099999999999994</v>
      </c>
      <c r="O883">
        <v>57.7</v>
      </c>
      <c r="S883">
        <f t="shared" si="133"/>
        <v>1</v>
      </c>
      <c r="T883">
        <f t="shared" si="134"/>
        <v>0</v>
      </c>
      <c r="U883">
        <f t="shared" si="135"/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18.3</v>
      </c>
      <c r="AG883">
        <f t="shared" si="136"/>
        <v>1</v>
      </c>
      <c r="AH883">
        <f t="shared" si="137"/>
        <v>1</v>
      </c>
      <c r="AI883">
        <f t="shared" si="138"/>
        <v>0</v>
      </c>
      <c r="AJ883">
        <v>306.10000000000002</v>
      </c>
      <c r="AK883">
        <v>1010.5</v>
      </c>
      <c r="AL883">
        <v>0</v>
      </c>
      <c r="AM883">
        <v>6.2</v>
      </c>
      <c r="AN883">
        <v>0</v>
      </c>
      <c r="AO883">
        <v>0</v>
      </c>
      <c r="AP883">
        <v>0</v>
      </c>
      <c r="AQ883">
        <v>0</v>
      </c>
      <c r="AR883" t="s">
        <v>3042</v>
      </c>
      <c r="AS883" t="s">
        <v>3043</v>
      </c>
      <c r="AT883">
        <v>0.31</v>
      </c>
      <c r="AU883" t="s">
        <v>74</v>
      </c>
      <c r="AV883" t="s">
        <v>44</v>
      </c>
      <c r="AW883" t="s">
        <v>75</v>
      </c>
      <c r="AX883" s="1">
        <v>0.60833333333333328</v>
      </c>
      <c r="AY883" t="s">
        <v>3044</v>
      </c>
      <c r="AZ883">
        <v>6099.0000000048894</v>
      </c>
      <c r="BA883">
        <v>1</v>
      </c>
      <c r="BB883">
        <v>0</v>
      </c>
      <c r="BC883">
        <v>200</v>
      </c>
      <c r="BD883">
        <v>0</v>
      </c>
      <c r="BE883">
        <f t="shared" si="139"/>
        <v>1</v>
      </c>
    </row>
    <row r="884" spans="1:57" x14ac:dyDescent="0.25">
      <c r="A884" t="s">
        <v>39</v>
      </c>
      <c r="B884" t="s">
        <v>3045</v>
      </c>
      <c r="C884">
        <v>80.7</v>
      </c>
      <c r="D884">
        <v>64.5</v>
      </c>
      <c r="G884">
        <f t="shared" si="130"/>
        <v>0</v>
      </c>
      <c r="H884">
        <f t="shared" si="131"/>
        <v>0</v>
      </c>
      <c r="I884">
        <f t="shared" si="132"/>
        <v>0</v>
      </c>
      <c r="J884">
        <v>73.8</v>
      </c>
      <c r="K884">
        <v>84.1</v>
      </c>
      <c r="L884">
        <v>64.5</v>
      </c>
      <c r="M884">
        <v>74.5</v>
      </c>
      <c r="N884">
        <v>64.099999999999994</v>
      </c>
      <c r="O884">
        <v>72</v>
      </c>
      <c r="S884">
        <f t="shared" si="133"/>
        <v>1</v>
      </c>
      <c r="T884">
        <f t="shared" si="134"/>
        <v>1</v>
      </c>
      <c r="U884">
        <f t="shared" si="135"/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10.3</v>
      </c>
      <c r="AG884">
        <f t="shared" si="136"/>
        <v>1</v>
      </c>
      <c r="AH884">
        <f t="shared" si="137"/>
        <v>0</v>
      </c>
      <c r="AI884">
        <f t="shared" si="138"/>
        <v>1</v>
      </c>
      <c r="AJ884">
        <v>247.7</v>
      </c>
      <c r="AK884">
        <v>1009.6</v>
      </c>
      <c r="AL884">
        <v>30</v>
      </c>
      <c r="AM884">
        <v>6.2</v>
      </c>
      <c r="AN884">
        <v>0</v>
      </c>
      <c r="AO884">
        <v>0</v>
      </c>
      <c r="AP884">
        <v>0</v>
      </c>
      <c r="AQ884">
        <v>0</v>
      </c>
      <c r="AR884" t="s">
        <v>3046</v>
      </c>
      <c r="AS884" t="s">
        <v>3047</v>
      </c>
      <c r="AT884">
        <v>0.4</v>
      </c>
      <c r="AU884" t="s">
        <v>43</v>
      </c>
      <c r="AV884" t="s">
        <v>44</v>
      </c>
      <c r="AW884" t="s">
        <v>45</v>
      </c>
      <c r="AX884" s="1">
        <v>0.80555555555555558</v>
      </c>
      <c r="AY884" t="s">
        <v>3048</v>
      </c>
      <c r="AZ884">
        <v>4389.9999999976717</v>
      </c>
      <c r="BA884">
        <v>1</v>
      </c>
      <c r="BB884">
        <v>0</v>
      </c>
      <c r="BC884">
        <v>300</v>
      </c>
      <c r="BD884">
        <v>0</v>
      </c>
      <c r="BE884">
        <f t="shared" si="139"/>
        <v>0</v>
      </c>
    </row>
    <row r="885" spans="1:57" x14ac:dyDescent="0.25">
      <c r="A885" t="s">
        <v>39</v>
      </c>
      <c r="B885" t="s">
        <v>3049</v>
      </c>
      <c r="C885">
        <v>69.900000000000006</v>
      </c>
      <c r="D885">
        <v>57.3</v>
      </c>
      <c r="G885">
        <f t="shared" si="130"/>
        <v>1</v>
      </c>
      <c r="H885">
        <f t="shared" si="131"/>
        <v>0</v>
      </c>
      <c r="I885">
        <f t="shared" si="132"/>
        <v>1</v>
      </c>
      <c r="J885">
        <v>65</v>
      </c>
      <c r="K885">
        <v>69.900000000000006</v>
      </c>
      <c r="L885">
        <v>57.3</v>
      </c>
      <c r="M885">
        <v>65</v>
      </c>
      <c r="N885">
        <v>57.5</v>
      </c>
      <c r="O885">
        <v>76.900000000000006</v>
      </c>
      <c r="S885">
        <f t="shared" si="133"/>
        <v>1</v>
      </c>
      <c r="T885">
        <f t="shared" si="134"/>
        <v>1</v>
      </c>
      <c r="U885">
        <f t="shared" si="135"/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13.9</v>
      </c>
      <c r="AG885">
        <f t="shared" si="136"/>
        <v>1</v>
      </c>
      <c r="AH885">
        <f t="shared" si="137"/>
        <v>0</v>
      </c>
      <c r="AI885">
        <f t="shared" si="138"/>
        <v>1</v>
      </c>
      <c r="AJ885">
        <v>320.60000000000002</v>
      </c>
      <c r="AK885">
        <v>1013.2</v>
      </c>
      <c r="AL885">
        <v>30</v>
      </c>
      <c r="AM885">
        <v>6.8</v>
      </c>
      <c r="AN885">
        <v>0</v>
      </c>
      <c r="AO885">
        <v>0</v>
      </c>
      <c r="AP885">
        <v>0</v>
      </c>
      <c r="AQ885">
        <v>0</v>
      </c>
      <c r="AR885" t="s">
        <v>3050</v>
      </c>
      <c r="AS885" t="s">
        <v>3051</v>
      </c>
      <c r="AT885">
        <v>0.34</v>
      </c>
      <c r="AU885" t="s">
        <v>43</v>
      </c>
      <c r="AV885" t="s">
        <v>44</v>
      </c>
      <c r="AW885" t="s">
        <v>45</v>
      </c>
      <c r="AX885" s="1">
        <v>0.69444444444444442</v>
      </c>
      <c r="AY885" t="s">
        <v>3052</v>
      </c>
      <c r="AZ885">
        <v>290.00000000232831</v>
      </c>
      <c r="BA885">
        <v>0</v>
      </c>
      <c r="BB885">
        <v>0</v>
      </c>
      <c r="BC885">
        <v>10</v>
      </c>
      <c r="BD885">
        <v>0</v>
      </c>
      <c r="BE885">
        <f t="shared" si="139"/>
        <v>0</v>
      </c>
    </row>
    <row r="886" spans="1:57" x14ac:dyDescent="0.25">
      <c r="A886" t="s">
        <v>39</v>
      </c>
      <c r="B886" t="s">
        <v>3053</v>
      </c>
      <c r="C886">
        <v>84.3</v>
      </c>
      <c r="D886">
        <v>71.7</v>
      </c>
      <c r="G886">
        <f t="shared" si="130"/>
        <v>0</v>
      </c>
      <c r="H886">
        <f t="shared" si="131"/>
        <v>0</v>
      </c>
      <c r="I886">
        <f t="shared" si="132"/>
        <v>0</v>
      </c>
      <c r="J886">
        <v>78.5</v>
      </c>
      <c r="K886">
        <v>91.1</v>
      </c>
      <c r="L886">
        <v>71.7</v>
      </c>
      <c r="M886">
        <v>81</v>
      </c>
      <c r="N886">
        <v>70.7</v>
      </c>
      <c r="O886">
        <v>77.3</v>
      </c>
      <c r="S886">
        <f t="shared" si="133"/>
        <v>1</v>
      </c>
      <c r="T886">
        <f t="shared" si="134"/>
        <v>1</v>
      </c>
      <c r="U886">
        <f t="shared" si="135"/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19.5</v>
      </c>
      <c r="AG886">
        <f t="shared" si="136"/>
        <v>1</v>
      </c>
      <c r="AH886">
        <f t="shared" si="137"/>
        <v>1</v>
      </c>
      <c r="AI886">
        <f t="shared" si="138"/>
        <v>0</v>
      </c>
      <c r="AJ886">
        <v>318.5</v>
      </c>
      <c r="AK886">
        <v>1008.2</v>
      </c>
      <c r="AL886">
        <v>30</v>
      </c>
      <c r="AM886">
        <v>6.3</v>
      </c>
      <c r="AN886">
        <v>0</v>
      </c>
      <c r="AO886">
        <v>0</v>
      </c>
      <c r="AP886">
        <v>0</v>
      </c>
      <c r="AQ886">
        <v>0</v>
      </c>
      <c r="AR886" t="s">
        <v>3054</v>
      </c>
      <c r="AS886" t="s">
        <v>3055</v>
      </c>
      <c r="AT886">
        <v>0.63</v>
      </c>
      <c r="AU886" t="s">
        <v>43</v>
      </c>
      <c r="AV886" t="s">
        <v>44</v>
      </c>
      <c r="AW886" t="s">
        <v>45</v>
      </c>
      <c r="AX886" s="1">
        <v>0.53472222222222221</v>
      </c>
      <c r="AY886" t="s">
        <v>3056</v>
      </c>
      <c r="AZ886">
        <v>825.00000000698492</v>
      </c>
      <c r="BA886">
        <v>1</v>
      </c>
      <c r="BB886">
        <v>30</v>
      </c>
      <c r="BC886">
        <v>0</v>
      </c>
      <c r="BD886">
        <v>0</v>
      </c>
      <c r="BE886">
        <f t="shared" si="139"/>
        <v>1</v>
      </c>
    </row>
    <row r="887" spans="1:57" x14ac:dyDescent="0.25">
      <c r="A887" t="s">
        <v>39</v>
      </c>
      <c r="B887" t="s">
        <v>3057</v>
      </c>
      <c r="C887">
        <v>69.900000000000006</v>
      </c>
      <c r="D887">
        <v>64.5</v>
      </c>
      <c r="G887">
        <f t="shared" si="130"/>
        <v>1</v>
      </c>
      <c r="H887">
        <f t="shared" si="131"/>
        <v>0</v>
      </c>
      <c r="I887">
        <f t="shared" si="132"/>
        <v>1</v>
      </c>
      <c r="J887">
        <v>65.8</v>
      </c>
      <c r="K887">
        <v>69.900000000000006</v>
      </c>
      <c r="L887">
        <v>64.5</v>
      </c>
      <c r="M887">
        <v>65.8</v>
      </c>
      <c r="N887">
        <v>56.9</v>
      </c>
      <c r="O887">
        <v>73.099999999999994</v>
      </c>
      <c r="S887">
        <f t="shared" si="133"/>
        <v>1</v>
      </c>
      <c r="T887">
        <f t="shared" si="134"/>
        <v>1</v>
      </c>
      <c r="U887">
        <f t="shared" si="135"/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17.2</v>
      </c>
      <c r="AG887">
        <f t="shared" si="136"/>
        <v>0</v>
      </c>
      <c r="AH887">
        <f t="shared" si="137"/>
        <v>0</v>
      </c>
      <c r="AI887">
        <f t="shared" si="138"/>
        <v>0</v>
      </c>
      <c r="AJ887">
        <v>316.60000000000002</v>
      </c>
      <c r="AK887">
        <v>1019.2</v>
      </c>
      <c r="AL887">
        <v>54.5</v>
      </c>
      <c r="AM887">
        <v>6.8</v>
      </c>
      <c r="AN887">
        <v>0</v>
      </c>
      <c r="AO887">
        <v>0</v>
      </c>
      <c r="AP887">
        <v>0</v>
      </c>
      <c r="AQ887">
        <v>0</v>
      </c>
      <c r="AR887" t="s">
        <v>3058</v>
      </c>
      <c r="AS887" t="s">
        <v>3059</v>
      </c>
      <c r="AT887">
        <v>0.84</v>
      </c>
      <c r="AU887" t="s">
        <v>43</v>
      </c>
      <c r="AV887" t="s">
        <v>44</v>
      </c>
      <c r="AW887" t="s">
        <v>45</v>
      </c>
      <c r="AX887" s="1">
        <v>0.84375</v>
      </c>
      <c r="AY887" t="s">
        <v>3060</v>
      </c>
      <c r="AZ887">
        <v>1425.000000003492</v>
      </c>
      <c r="BA887">
        <v>1</v>
      </c>
      <c r="BB887">
        <v>0</v>
      </c>
      <c r="BC887">
        <v>5</v>
      </c>
      <c r="BD887">
        <v>0</v>
      </c>
      <c r="BE887">
        <f t="shared" si="139"/>
        <v>0</v>
      </c>
    </row>
    <row r="888" spans="1:57" x14ac:dyDescent="0.25">
      <c r="A888" t="s">
        <v>39</v>
      </c>
      <c r="B888" t="s">
        <v>3061</v>
      </c>
      <c r="C888">
        <v>71.7</v>
      </c>
      <c r="D888">
        <v>64.5</v>
      </c>
      <c r="G888">
        <f t="shared" si="130"/>
        <v>1</v>
      </c>
      <c r="H888">
        <f t="shared" si="131"/>
        <v>0</v>
      </c>
      <c r="I888">
        <f t="shared" si="132"/>
        <v>1</v>
      </c>
      <c r="J888">
        <v>67.5</v>
      </c>
      <c r="K888">
        <v>71.7</v>
      </c>
      <c r="L888">
        <v>64.5</v>
      </c>
      <c r="M888">
        <v>67.5</v>
      </c>
      <c r="N888">
        <v>56.3</v>
      </c>
      <c r="O888">
        <v>67.5</v>
      </c>
      <c r="S888">
        <f t="shared" si="133"/>
        <v>0</v>
      </c>
      <c r="T888">
        <f t="shared" si="134"/>
        <v>0</v>
      </c>
      <c r="U888">
        <f t="shared" si="135"/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21.9</v>
      </c>
      <c r="AG888">
        <f t="shared" si="136"/>
        <v>1</v>
      </c>
      <c r="AH888">
        <f t="shared" si="137"/>
        <v>1</v>
      </c>
      <c r="AI888">
        <f t="shared" si="138"/>
        <v>0</v>
      </c>
      <c r="AJ888">
        <v>315.7</v>
      </c>
      <c r="AK888">
        <v>1015.3</v>
      </c>
      <c r="AL888">
        <v>60.9</v>
      </c>
      <c r="AM888">
        <v>6.8</v>
      </c>
      <c r="AN888">
        <v>0</v>
      </c>
      <c r="AO888">
        <v>0</v>
      </c>
      <c r="AP888">
        <v>0</v>
      </c>
      <c r="AQ888">
        <v>0</v>
      </c>
      <c r="AR888" t="s">
        <v>3062</v>
      </c>
      <c r="AS888" t="s">
        <v>3063</v>
      </c>
      <c r="AT888">
        <v>0.77</v>
      </c>
      <c r="AU888" t="s">
        <v>43</v>
      </c>
      <c r="AV888" t="s">
        <v>44</v>
      </c>
      <c r="AW888" t="s">
        <v>45</v>
      </c>
      <c r="AX888" s="1">
        <v>9.7222222222222224E-2</v>
      </c>
      <c r="AY888" t="s">
        <v>3064</v>
      </c>
      <c r="AZ888">
        <v>3100.0000000046571</v>
      </c>
      <c r="BA888">
        <v>1</v>
      </c>
      <c r="BB888">
        <v>0</v>
      </c>
      <c r="BC888">
        <v>100</v>
      </c>
      <c r="BD888">
        <v>0</v>
      </c>
      <c r="BE888">
        <f t="shared" si="139"/>
        <v>1</v>
      </c>
    </row>
    <row r="889" spans="1:57" x14ac:dyDescent="0.25">
      <c r="A889" t="s">
        <v>39</v>
      </c>
      <c r="B889" t="s">
        <v>3065</v>
      </c>
      <c r="C889">
        <v>73.5</v>
      </c>
      <c r="D889">
        <v>68.099999999999994</v>
      </c>
      <c r="G889">
        <f t="shared" si="130"/>
        <v>0</v>
      </c>
      <c r="H889">
        <f t="shared" si="131"/>
        <v>0</v>
      </c>
      <c r="I889">
        <f t="shared" si="132"/>
        <v>0</v>
      </c>
      <c r="J889">
        <v>69.599999999999994</v>
      </c>
      <c r="K889">
        <v>73.5</v>
      </c>
      <c r="L889">
        <v>68.099999999999994</v>
      </c>
      <c r="M889">
        <v>69.599999999999994</v>
      </c>
      <c r="N889">
        <v>60.2</v>
      </c>
      <c r="O889">
        <v>72.2</v>
      </c>
      <c r="S889">
        <f t="shared" si="133"/>
        <v>1</v>
      </c>
      <c r="T889">
        <f t="shared" si="134"/>
        <v>1</v>
      </c>
      <c r="U889">
        <f t="shared" si="135"/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21.9</v>
      </c>
      <c r="AG889">
        <f t="shared" si="136"/>
        <v>1</v>
      </c>
      <c r="AH889">
        <f t="shared" si="137"/>
        <v>1</v>
      </c>
      <c r="AI889">
        <f t="shared" si="138"/>
        <v>0</v>
      </c>
      <c r="AJ889">
        <v>308.5</v>
      </c>
      <c r="AK889">
        <v>1015.6</v>
      </c>
      <c r="AL889">
        <v>52.5</v>
      </c>
      <c r="AM889">
        <v>6.8</v>
      </c>
      <c r="AN889">
        <v>0</v>
      </c>
      <c r="AO889">
        <v>0</v>
      </c>
      <c r="AP889">
        <v>0</v>
      </c>
      <c r="AQ889">
        <v>0</v>
      </c>
      <c r="AR889" t="s">
        <v>3066</v>
      </c>
      <c r="AS889" t="s">
        <v>3067</v>
      </c>
      <c r="AT889">
        <v>0.75</v>
      </c>
      <c r="AU889" t="s">
        <v>43</v>
      </c>
      <c r="AV889" t="s">
        <v>44</v>
      </c>
      <c r="AW889" t="s">
        <v>45</v>
      </c>
      <c r="AX889" s="1">
        <v>6.9444444444444441E-3</v>
      </c>
      <c r="AY889" t="s">
        <v>3068</v>
      </c>
      <c r="AZ889">
        <v>429.99999999767169</v>
      </c>
      <c r="BA889">
        <v>1</v>
      </c>
      <c r="BB889">
        <v>0</v>
      </c>
      <c r="BC889">
        <v>60</v>
      </c>
      <c r="BD889">
        <v>0</v>
      </c>
      <c r="BE889">
        <f t="shared" si="139"/>
        <v>1</v>
      </c>
    </row>
    <row r="890" spans="1:57" x14ac:dyDescent="0.25">
      <c r="A890" t="s">
        <v>39</v>
      </c>
      <c r="B890" t="s">
        <v>3069</v>
      </c>
      <c r="C890">
        <v>59.1</v>
      </c>
      <c r="D890">
        <v>46.5</v>
      </c>
      <c r="G890">
        <f t="shared" si="130"/>
        <v>0</v>
      </c>
      <c r="H890">
        <f t="shared" si="131"/>
        <v>0</v>
      </c>
      <c r="I890">
        <f t="shared" si="132"/>
        <v>0</v>
      </c>
      <c r="J890">
        <v>52.7</v>
      </c>
      <c r="K890">
        <v>59.1</v>
      </c>
      <c r="L890">
        <v>42.5</v>
      </c>
      <c r="M890">
        <v>51.5</v>
      </c>
      <c r="N890">
        <v>48.3</v>
      </c>
      <c r="O890">
        <v>85.4</v>
      </c>
      <c r="S890">
        <f t="shared" si="133"/>
        <v>1</v>
      </c>
      <c r="T890">
        <f t="shared" si="134"/>
        <v>1</v>
      </c>
      <c r="U890">
        <f t="shared" si="135"/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9.1999999999999993</v>
      </c>
      <c r="AG890">
        <f t="shared" si="136"/>
        <v>1</v>
      </c>
      <c r="AH890">
        <f t="shared" si="137"/>
        <v>0</v>
      </c>
      <c r="AI890">
        <f t="shared" si="138"/>
        <v>1</v>
      </c>
      <c r="AJ890">
        <v>164.4</v>
      </c>
      <c r="AK890">
        <v>1023.8</v>
      </c>
      <c r="AL890">
        <v>34.299999999999997</v>
      </c>
      <c r="AM890">
        <v>6.8</v>
      </c>
      <c r="AN890">
        <v>0</v>
      </c>
      <c r="AO890">
        <v>0</v>
      </c>
      <c r="AP890">
        <v>0</v>
      </c>
      <c r="AQ890">
        <v>0</v>
      </c>
      <c r="AR890" t="s">
        <v>3070</v>
      </c>
      <c r="AS890" t="s">
        <v>3071</v>
      </c>
      <c r="AT890">
        <v>0.94</v>
      </c>
      <c r="AU890" t="s">
        <v>43</v>
      </c>
      <c r="AV890" t="s">
        <v>44</v>
      </c>
      <c r="AW890" t="s">
        <v>45</v>
      </c>
      <c r="AX890" s="1">
        <v>0.44444444444444442</v>
      </c>
      <c r="AY890" t="s">
        <v>3072</v>
      </c>
      <c r="AZ890">
        <v>94.999999995343387</v>
      </c>
      <c r="BA890">
        <v>0</v>
      </c>
      <c r="BB890">
        <v>0</v>
      </c>
      <c r="BC890">
        <v>0.5</v>
      </c>
      <c r="BD890">
        <v>0</v>
      </c>
      <c r="BE890">
        <f t="shared" si="139"/>
        <v>0</v>
      </c>
    </row>
    <row r="891" spans="1:57" x14ac:dyDescent="0.25">
      <c r="A891" t="s">
        <v>39</v>
      </c>
      <c r="B891" t="s">
        <v>3073</v>
      </c>
      <c r="C891">
        <v>86.1</v>
      </c>
      <c r="D891">
        <v>73.5</v>
      </c>
      <c r="G891">
        <f t="shared" si="130"/>
        <v>1</v>
      </c>
      <c r="H891">
        <f t="shared" si="131"/>
        <v>1</v>
      </c>
      <c r="I891">
        <f t="shared" si="132"/>
        <v>0</v>
      </c>
      <c r="J891">
        <v>81.5</v>
      </c>
      <c r="K891">
        <v>90.8</v>
      </c>
      <c r="L891">
        <v>73.5</v>
      </c>
      <c r="M891">
        <v>83</v>
      </c>
      <c r="N891">
        <v>65.8</v>
      </c>
      <c r="O891">
        <v>59.4</v>
      </c>
      <c r="S891">
        <f t="shared" si="133"/>
        <v>0</v>
      </c>
      <c r="T891">
        <f t="shared" si="134"/>
        <v>0</v>
      </c>
      <c r="U891">
        <f t="shared" si="135"/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20.8</v>
      </c>
      <c r="AG891">
        <f t="shared" si="136"/>
        <v>1</v>
      </c>
      <c r="AH891">
        <f t="shared" si="137"/>
        <v>1</v>
      </c>
      <c r="AI891">
        <f t="shared" si="138"/>
        <v>0</v>
      </c>
      <c r="AJ891">
        <v>309</v>
      </c>
      <c r="AK891">
        <v>1007.1</v>
      </c>
      <c r="AL891">
        <v>0</v>
      </c>
      <c r="AM891">
        <v>6.2</v>
      </c>
      <c r="AN891">
        <v>0</v>
      </c>
      <c r="AO891">
        <v>0</v>
      </c>
      <c r="AP891">
        <v>0</v>
      </c>
      <c r="AQ891">
        <v>0</v>
      </c>
      <c r="AR891" t="s">
        <v>3074</v>
      </c>
      <c r="AS891" t="s">
        <v>3075</v>
      </c>
      <c r="AT891">
        <v>0.26</v>
      </c>
      <c r="AU891" t="s">
        <v>74</v>
      </c>
      <c r="AV891" t="s">
        <v>44</v>
      </c>
      <c r="AW891" t="s">
        <v>75</v>
      </c>
      <c r="AX891" s="1">
        <v>0.85416666666666663</v>
      </c>
      <c r="AY891" t="s">
        <v>3076</v>
      </c>
      <c r="AZ891">
        <v>195.00000000698489</v>
      </c>
      <c r="BA891">
        <v>0</v>
      </c>
      <c r="BB891">
        <v>0</v>
      </c>
      <c r="BC891">
        <v>1</v>
      </c>
      <c r="BD891">
        <v>0</v>
      </c>
      <c r="BE891">
        <f t="shared" si="139"/>
        <v>0</v>
      </c>
    </row>
    <row r="892" spans="1:57" x14ac:dyDescent="0.25">
      <c r="A892" t="s">
        <v>39</v>
      </c>
      <c r="B892" t="s">
        <v>3077</v>
      </c>
      <c r="C892">
        <v>82.5</v>
      </c>
      <c r="D892">
        <v>69.900000000000006</v>
      </c>
      <c r="G892">
        <f t="shared" si="130"/>
        <v>1</v>
      </c>
      <c r="H892">
        <f t="shared" si="131"/>
        <v>1</v>
      </c>
      <c r="I892">
        <f t="shared" si="132"/>
        <v>0</v>
      </c>
      <c r="J892">
        <v>78.5</v>
      </c>
      <c r="K892">
        <v>86.4</v>
      </c>
      <c r="L892">
        <v>69.900000000000006</v>
      </c>
      <c r="M892">
        <v>79.599999999999994</v>
      </c>
      <c r="N892">
        <v>65</v>
      </c>
      <c r="O892">
        <v>63.5</v>
      </c>
      <c r="S892">
        <f t="shared" si="133"/>
        <v>1</v>
      </c>
      <c r="T892">
        <f t="shared" si="134"/>
        <v>0</v>
      </c>
      <c r="U892">
        <f t="shared" si="135"/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21.9</v>
      </c>
      <c r="AG892">
        <f t="shared" si="136"/>
        <v>1</v>
      </c>
      <c r="AH892">
        <f t="shared" si="137"/>
        <v>1</v>
      </c>
      <c r="AI892">
        <f t="shared" si="138"/>
        <v>0</v>
      </c>
      <c r="AJ892">
        <v>307</v>
      </c>
      <c r="AK892">
        <v>1010.5</v>
      </c>
      <c r="AL892">
        <v>30</v>
      </c>
      <c r="AM892">
        <v>6.5</v>
      </c>
      <c r="AN892">
        <v>0</v>
      </c>
      <c r="AO892">
        <v>0</v>
      </c>
      <c r="AP892">
        <v>0</v>
      </c>
      <c r="AQ892">
        <v>0</v>
      </c>
      <c r="AR892" t="s">
        <v>3078</v>
      </c>
      <c r="AS892" t="s">
        <v>3079</v>
      </c>
      <c r="AT892">
        <v>0.27</v>
      </c>
      <c r="AU892" t="s">
        <v>43</v>
      </c>
      <c r="AV892" t="s">
        <v>44</v>
      </c>
      <c r="AW892" t="s">
        <v>45</v>
      </c>
      <c r="AX892" s="1">
        <v>0.54166666666666663</v>
      </c>
      <c r="AY892" t="s">
        <v>3080</v>
      </c>
      <c r="AZ892">
        <v>1155.000000003492</v>
      </c>
      <c r="BA892">
        <v>1</v>
      </c>
      <c r="BB892">
        <v>0</v>
      </c>
      <c r="BC892">
        <v>5</v>
      </c>
      <c r="BD892">
        <v>0</v>
      </c>
      <c r="BE892">
        <f t="shared" si="139"/>
        <v>1</v>
      </c>
    </row>
    <row r="893" spans="1:57" x14ac:dyDescent="0.25">
      <c r="A893" t="s">
        <v>39</v>
      </c>
      <c r="B893" t="s">
        <v>3081</v>
      </c>
      <c r="C893">
        <v>84.3</v>
      </c>
      <c r="D893">
        <v>78.900000000000006</v>
      </c>
      <c r="G893">
        <f t="shared" si="130"/>
        <v>0</v>
      </c>
      <c r="H893">
        <f t="shared" si="131"/>
        <v>0</v>
      </c>
      <c r="I893">
        <f t="shared" si="132"/>
        <v>0</v>
      </c>
      <c r="J893">
        <v>82.3</v>
      </c>
      <c r="K893">
        <v>92.7</v>
      </c>
      <c r="L893">
        <v>78.900000000000006</v>
      </c>
      <c r="M893">
        <v>86.4</v>
      </c>
      <c r="N893">
        <v>70.3</v>
      </c>
      <c r="O893">
        <v>67.400000000000006</v>
      </c>
      <c r="S893">
        <f t="shared" si="133"/>
        <v>1</v>
      </c>
      <c r="T893">
        <f t="shared" si="134"/>
        <v>1</v>
      </c>
      <c r="U893">
        <f t="shared" si="135"/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20.8</v>
      </c>
      <c r="AG893">
        <f t="shared" si="136"/>
        <v>1</v>
      </c>
      <c r="AH893">
        <f t="shared" si="137"/>
        <v>1</v>
      </c>
      <c r="AI893">
        <f t="shared" si="138"/>
        <v>0</v>
      </c>
      <c r="AJ893">
        <v>312.3</v>
      </c>
      <c r="AK893">
        <v>1009.4</v>
      </c>
      <c r="AL893">
        <v>30</v>
      </c>
      <c r="AM893">
        <v>6.5</v>
      </c>
      <c r="AN893">
        <v>0</v>
      </c>
      <c r="AO893">
        <v>0</v>
      </c>
      <c r="AP893">
        <v>0</v>
      </c>
      <c r="AQ893">
        <v>0</v>
      </c>
      <c r="AR893" t="s">
        <v>3082</v>
      </c>
      <c r="AS893" t="s">
        <v>3083</v>
      </c>
      <c r="AT893">
        <v>0.25</v>
      </c>
      <c r="AU893" t="s">
        <v>43</v>
      </c>
      <c r="AV893" t="s">
        <v>44</v>
      </c>
      <c r="AW893" t="s">
        <v>45</v>
      </c>
      <c r="AX893" s="1">
        <v>0.46180555555555558</v>
      </c>
      <c r="AY893" t="s">
        <v>3084</v>
      </c>
      <c r="AZ893">
        <v>155.00000000232831</v>
      </c>
      <c r="BA893">
        <v>0</v>
      </c>
      <c r="BB893">
        <v>0</v>
      </c>
      <c r="BC893">
        <v>1</v>
      </c>
      <c r="BD893">
        <v>0</v>
      </c>
      <c r="BE893">
        <f t="shared" si="139"/>
        <v>0</v>
      </c>
    </row>
    <row r="894" spans="1:57" x14ac:dyDescent="0.25">
      <c r="A894" t="s">
        <v>39</v>
      </c>
      <c r="B894" t="s">
        <v>2821</v>
      </c>
      <c r="C894">
        <v>84.3</v>
      </c>
      <c r="D894">
        <v>71.7</v>
      </c>
      <c r="G894">
        <f t="shared" si="130"/>
        <v>1</v>
      </c>
      <c r="H894">
        <f t="shared" si="131"/>
        <v>1</v>
      </c>
      <c r="I894">
        <f t="shared" si="132"/>
        <v>0</v>
      </c>
      <c r="J894">
        <v>78.5</v>
      </c>
      <c r="K894">
        <v>92.7</v>
      </c>
      <c r="L894">
        <v>71.7</v>
      </c>
      <c r="M894">
        <v>81.099999999999994</v>
      </c>
      <c r="N894">
        <v>67.599999999999994</v>
      </c>
      <c r="O894">
        <v>69.400000000000006</v>
      </c>
      <c r="S894">
        <f t="shared" si="133"/>
        <v>1</v>
      </c>
      <c r="T894">
        <f t="shared" si="134"/>
        <v>1</v>
      </c>
      <c r="U894">
        <f t="shared" si="135"/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8.1</v>
      </c>
      <c r="AG894">
        <f t="shared" si="136"/>
        <v>1</v>
      </c>
      <c r="AH894">
        <f t="shared" si="137"/>
        <v>0</v>
      </c>
      <c r="AI894">
        <f t="shared" si="138"/>
        <v>1</v>
      </c>
      <c r="AJ894">
        <v>132</v>
      </c>
      <c r="AK894">
        <v>1010.1</v>
      </c>
      <c r="AL894">
        <v>58</v>
      </c>
      <c r="AM894">
        <v>6.3</v>
      </c>
      <c r="AN894">
        <v>0</v>
      </c>
      <c r="AO894">
        <v>0</v>
      </c>
      <c r="AP894">
        <v>0</v>
      </c>
      <c r="AQ894">
        <v>0</v>
      </c>
      <c r="AR894" t="s">
        <v>2822</v>
      </c>
      <c r="AS894" t="s">
        <v>2823</v>
      </c>
      <c r="AT894">
        <v>0.5</v>
      </c>
      <c r="AU894" t="s">
        <v>43</v>
      </c>
      <c r="AV894" t="s">
        <v>44</v>
      </c>
      <c r="AW894" t="s">
        <v>45</v>
      </c>
      <c r="AX894" s="1">
        <v>0.8125</v>
      </c>
      <c r="AY894" t="s">
        <v>3085</v>
      </c>
      <c r="AZ894">
        <v>255.00000000349249</v>
      </c>
      <c r="BA894">
        <v>0</v>
      </c>
      <c r="BB894">
        <v>1</v>
      </c>
      <c r="BC894">
        <v>0</v>
      </c>
      <c r="BD894">
        <v>0</v>
      </c>
      <c r="BE894">
        <f t="shared" si="139"/>
        <v>1</v>
      </c>
    </row>
    <row r="895" spans="1:57" x14ac:dyDescent="0.25">
      <c r="A895" t="s">
        <v>39</v>
      </c>
      <c r="B895" t="s">
        <v>3086</v>
      </c>
      <c r="C895">
        <v>71.7</v>
      </c>
      <c r="D895">
        <v>68.099999999999994</v>
      </c>
      <c r="G895">
        <f t="shared" si="130"/>
        <v>1</v>
      </c>
      <c r="H895">
        <f t="shared" si="131"/>
        <v>0</v>
      </c>
      <c r="I895">
        <f t="shared" si="132"/>
        <v>1</v>
      </c>
      <c r="J895">
        <v>70.099999999999994</v>
      </c>
      <c r="K895">
        <v>71.7</v>
      </c>
      <c r="L895">
        <v>68.099999999999994</v>
      </c>
      <c r="M895">
        <v>70.099999999999994</v>
      </c>
      <c r="N895">
        <v>56.9</v>
      </c>
      <c r="O895">
        <v>63</v>
      </c>
      <c r="S895">
        <f t="shared" si="133"/>
        <v>1</v>
      </c>
      <c r="T895">
        <f t="shared" si="134"/>
        <v>0</v>
      </c>
      <c r="U895">
        <f t="shared" si="135"/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24.2</v>
      </c>
      <c r="AG895">
        <f t="shared" si="136"/>
        <v>1</v>
      </c>
      <c r="AH895">
        <f t="shared" si="137"/>
        <v>1</v>
      </c>
      <c r="AI895">
        <f t="shared" si="138"/>
        <v>0</v>
      </c>
      <c r="AJ895">
        <v>330.4</v>
      </c>
      <c r="AK895">
        <v>1022.9</v>
      </c>
      <c r="AL895">
        <v>60.8</v>
      </c>
      <c r="AM895">
        <v>6.8</v>
      </c>
      <c r="AN895">
        <v>0</v>
      </c>
      <c r="AO895">
        <v>0</v>
      </c>
      <c r="AP895">
        <v>0</v>
      </c>
      <c r="AQ895">
        <v>0</v>
      </c>
      <c r="AR895" t="s">
        <v>3087</v>
      </c>
      <c r="AS895" t="s">
        <v>3088</v>
      </c>
      <c r="AT895">
        <v>0.36</v>
      </c>
      <c r="AU895" t="s">
        <v>43</v>
      </c>
      <c r="AV895" t="s">
        <v>44</v>
      </c>
      <c r="AW895" t="s">
        <v>45</v>
      </c>
      <c r="AX895" s="1">
        <v>0.80902777777777779</v>
      </c>
      <c r="AY895" t="s">
        <v>3089</v>
      </c>
      <c r="AZ895">
        <v>964.99999999185093</v>
      </c>
      <c r="BA895">
        <v>1</v>
      </c>
      <c r="BB895">
        <v>0</v>
      </c>
      <c r="BC895">
        <v>150</v>
      </c>
      <c r="BD895">
        <v>0</v>
      </c>
      <c r="BE895">
        <f t="shared" si="139"/>
        <v>1</v>
      </c>
    </row>
    <row r="896" spans="1:57" x14ac:dyDescent="0.25">
      <c r="A896" t="s">
        <v>39</v>
      </c>
      <c r="B896" t="s">
        <v>2862</v>
      </c>
      <c r="C896">
        <v>84.3</v>
      </c>
      <c r="D896">
        <v>75.3</v>
      </c>
      <c r="G896">
        <f t="shared" si="130"/>
        <v>1</v>
      </c>
      <c r="H896">
        <f t="shared" si="131"/>
        <v>1</v>
      </c>
      <c r="I896">
        <f t="shared" si="132"/>
        <v>0</v>
      </c>
      <c r="J896">
        <v>79.900000000000006</v>
      </c>
      <c r="K896">
        <v>92.7</v>
      </c>
      <c r="L896">
        <v>75.3</v>
      </c>
      <c r="M896">
        <v>82</v>
      </c>
      <c r="N896">
        <v>69.400000000000006</v>
      </c>
      <c r="O896">
        <v>71.5</v>
      </c>
      <c r="S896">
        <f t="shared" si="133"/>
        <v>1</v>
      </c>
      <c r="T896">
        <f t="shared" si="134"/>
        <v>1</v>
      </c>
      <c r="U896">
        <f t="shared" si="135"/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15</v>
      </c>
      <c r="AG896">
        <f t="shared" si="136"/>
        <v>1</v>
      </c>
      <c r="AH896">
        <f t="shared" si="137"/>
        <v>0</v>
      </c>
      <c r="AI896">
        <f t="shared" si="138"/>
        <v>1</v>
      </c>
      <c r="AJ896">
        <v>342.8</v>
      </c>
      <c r="AK896">
        <v>1008.4</v>
      </c>
      <c r="AL896">
        <v>60.9</v>
      </c>
      <c r="AM896">
        <v>6.5</v>
      </c>
      <c r="AN896">
        <v>0</v>
      </c>
      <c r="AO896">
        <v>0</v>
      </c>
      <c r="AP896">
        <v>0</v>
      </c>
      <c r="AQ896">
        <v>0</v>
      </c>
      <c r="AR896" t="s">
        <v>2863</v>
      </c>
      <c r="AS896" t="s">
        <v>2864</v>
      </c>
      <c r="AT896">
        <v>0.54</v>
      </c>
      <c r="AU896" t="s">
        <v>43</v>
      </c>
      <c r="AV896" t="s">
        <v>44</v>
      </c>
      <c r="AW896" t="s">
        <v>45</v>
      </c>
      <c r="AX896" s="1">
        <v>0.56666666666666665</v>
      </c>
      <c r="AY896" t="s">
        <v>3090</v>
      </c>
      <c r="AZ896">
        <v>92.000000006519258</v>
      </c>
      <c r="BA896">
        <v>0</v>
      </c>
      <c r="BB896">
        <v>0</v>
      </c>
      <c r="BC896">
        <v>0.05</v>
      </c>
      <c r="BD896">
        <v>0</v>
      </c>
      <c r="BE896">
        <f t="shared" si="139"/>
        <v>1</v>
      </c>
    </row>
    <row r="897" spans="1:57" x14ac:dyDescent="0.25">
      <c r="A897" t="s">
        <v>39</v>
      </c>
      <c r="B897" t="s">
        <v>3091</v>
      </c>
      <c r="C897">
        <v>86.1</v>
      </c>
      <c r="D897">
        <v>71.7</v>
      </c>
      <c r="G897">
        <f t="shared" si="130"/>
        <v>1</v>
      </c>
      <c r="H897">
        <f t="shared" si="131"/>
        <v>1</v>
      </c>
      <c r="I897">
        <f t="shared" si="132"/>
        <v>0</v>
      </c>
      <c r="J897">
        <v>79.400000000000006</v>
      </c>
      <c r="K897">
        <v>96.4</v>
      </c>
      <c r="L897">
        <v>71.7</v>
      </c>
      <c r="M897">
        <v>83.2</v>
      </c>
      <c r="N897">
        <v>71</v>
      </c>
      <c r="O897">
        <v>75.8</v>
      </c>
      <c r="S897">
        <f t="shared" si="133"/>
        <v>1</v>
      </c>
      <c r="T897">
        <f t="shared" si="134"/>
        <v>1</v>
      </c>
      <c r="U897">
        <f t="shared" si="135"/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9.1999999999999993</v>
      </c>
      <c r="AG897">
        <f t="shared" si="136"/>
        <v>1</v>
      </c>
      <c r="AH897">
        <f t="shared" si="137"/>
        <v>0</v>
      </c>
      <c r="AI897">
        <f t="shared" si="138"/>
        <v>1</v>
      </c>
      <c r="AJ897">
        <v>318.3</v>
      </c>
      <c r="AK897">
        <v>1011.9</v>
      </c>
      <c r="AL897">
        <v>58</v>
      </c>
      <c r="AM897">
        <v>6.1</v>
      </c>
      <c r="AN897">
        <v>0</v>
      </c>
      <c r="AO897">
        <v>0</v>
      </c>
      <c r="AP897">
        <v>0</v>
      </c>
      <c r="AQ897">
        <v>0</v>
      </c>
      <c r="AR897" t="s">
        <v>3092</v>
      </c>
      <c r="AS897" t="s">
        <v>3093</v>
      </c>
      <c r="AT897">
        <v>0.84</v>
      </c>
      <c r="AU897" t="s">
        <v>43</v>
      </c>
      <c r="AV897" t="s">
        <v>44</v>
      </c>
      <c r="AW897" t="s">
        <v>45</v>
      </c>
      <c r="AX897" s="1">
        <v>0.57638888888888884</v>
      </c>
      <c r="AY897" t="s">
        <v>3094</v>
      </c>
      <c r="AZ897">
        <v>315</v>
      </c>
      <c r="BA897">
        <v>0</v>
      </c>
      <c r="BB897">
        <v>0</v>
      </c>
      <c r="BC897">
        <v>1</v>
      </c>
      <c r="BD897">
        <v>0</v>
      </c>
      <c r="BE897">
        <f t="shared" si="139"/>
        <v>1</v>
      </c>
    </row>
    <row r="898" spans="1:57" x14ac:dyDescent="0.25">
      <c r="A898" t="s">
        <v>39</v>
      </c>
      <c r="B898" t="s">
        <v>3095</v>
      </c>
      <c r="C898">
        <v>89.7</v>
      </c>
      <c r="D898">
        <v>59.1</v>
      </c>
      <c r="G898">
        <f t="shared" si="130"/>
        <v>1</v>
      </c>
      <c r="H898">
        <f t="shared" si="131"/>
        <v>1</v>
      </c>
      <c r="I898">
        <f t="shared" si="132"/>
        <v>0</v>
      </c>
      <c r="J898">
        <v>78</v>
      </c>
      <c r="K898">
        <v>86.3</v>
      </c>
      <c r="L898">
        <v>59.1</v>
      </c>
      <c r="M898">
        <v>76.7</v>
      </c>
      <c r="N898">
        <v>45.7</v>
      </c>
      <c r="O898">
        <v>36.299999999999997</v>
      </c>
      <c r="S898">
        <f t="shared" si="133"/>
        <v>1</v>
      </c>
      <c r="T898">
        <f t="shared" si="134"/>
        <v>0</v>
      </c>
      <c r="U898">
        <f t="shared" si="135"/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34.4</v>
      </c>
      <c r="AG898">
        <f t="shared" si="136"/>
        <v>1</v>
      </c>
      <c r="AH898">
        <f t="shared" si="137"/>
        <v>1</v>
      </c>
      <c r="AI898">
        <f t="shared" si="138"/>
        <v>0</v>
      </c>
      <c r="AJ898">
        <v>170.3</v>
      </c>
      <c r="AK898">
        <v>1010</v>
      </c>
      <c r="AL898">
        <v>0</v>
      </c>
      <c r="AM898">
        <v>6.2</v>
      </c>
      <c r="AN898">
        <v>0</v>
      </c>
      <c r="AO898">
        <v>0</v>
      </c>
      <c r="AP898">
        <v>0</v>
      </c>
      <c r="AQ898">
        <v>0</v>
      </c>
      <c r="AR898" t="s">
        <v>3096</v>
      </c>
      <c r="AS898" t="s">
        <v>3097</v>
      </c>
      <c r="AT898">
        <v>0.5</v>
      </c>
      <c r="AU898" t="s">
        <v>74</v>
      </c>
      <c r="AV898" t="s">
        <v>44</v>
      </c>
      <c r="AW898" t="s">
        <v>419</v>
      </c>
      <c r="AX898" s="1">
        <v>0.64583333333333337</v>
      </c>
      <c r="AY898" t="s">
        <v>3098</v>
      </c>
      <c r="AZ898">
        <v>0</v>
      </c>
      <c r="BA898">
        <v>0</v>
      </c>
      <c r="BB898">
        <v>0</v>
      </c>
      <c r="BC898">
        <v>8</v>
      </c>
      <c r="BD898">
        <v>0</v>
      </c>
      <c r="BE898">
        <f t="shared" si="139"/>
        <v>1</v>
      </c>
    </row>
    <row r="899" spans="1:57" x14ac:dyDescent="0.25">
      <c r="A899" t="s">
        <v>39</v>
      </c>
      <c r="B899" t="s">
        <v>2991</v>
      </c>
      <c r="C899">
        <v>78.900000000000006</v>
      </c>
      <c r="D899">
        <v>66.3</v>
      </c>
      <c r="G899">
        <f t="shared" ref="G899:G962" si="140">IF(ABS(C899-INDEX($F$2:$F$13,MONTH(B899)))&gt;1.8,1,0)</f>
        <v>1</v>
      </c>
      <c r="H899">
        <f t="shared" ref="H899:H962" si="141">IF(C899&gt;=INDEX($F$2:$F$13,MONTH(B899))+1.8,1,0)</f>
        <v>1</v>
      </c>
      <c r="I899">
        <f t="shared" ref="I899:I962" si="142">IF(C899&lt;=INDEX($F$2:$F$13,MONTH(B899))-1.8,1,0)</f>
        <v>0</v>
      </c>
      <c r="J899">
        <v>72.099999999999994</v>
      </c>
      <c r="K899">
        <v>78.900000000000006</v>
      </c>
      <c r="L899">
        <v>66.3</v>
      </c>
      <c r="M899">
        <v>72.099999999999994</v>
      </c>
      <c r="N899">
        <v>46.1</v>
      </c>
      <c r="O899">
        <v>40.4</v>
      </c>
      <c r="S899">
        <f t="shared" ref="S899:S962" si="143">IF(OR(O899&lt;INDEX($Q$2:$Q$13,MONTH(B899)),O899&gt;INDEX($R$2:$R$13,MONTH(B899))),1,0)</f>
        <v>1</v>
      </c>
      <c r="T899">
        <f t="shared" ref="T899:T962" si="144">IF(O899&gt;INDEX($R$2:$R$13,MONTH(B899)),1,0)</f>
        <v>0</v>
      </c>
      <c r="U899">
        <f t="shared" ref="U899:U962" si="145">IF(O899&lt;INDEX($Q$2:$Q$13,MONTH(B899)),1,0)</f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32.200000000000003</v>
      </c>
      <c r="AG899">
        <f t="shared" ref="AG899:AG962" si="146">IF(OR(AC899&lt;INDEX($AE$2:$AE$13,MONTH(B899)),AC899&gt;INDEX($AF$2:$AF$13,MONTH(B899))),1,0)</f>
        <v>1</v>
      </c>
      <c r="AH899">
        <f t="shared" ref="AH899:AH962" si="147">IF(AC899&gt;INDEX($AF$2:$AF$13,MONTH(B899)),1,0)</f>
        <v>1</v>
      </c>
      <c r="AI899">
        <f t="shared" ref="AI899:AI962" si="148">IF(AC899&lt;INDEX($AE$2:$AE$13,MONTH(B899)),1,0)</f>
        <v>0</v>
      </c>
      <c r="AJ899">
        <v>185.5</v>
      </c>
      <c r="AK899">
        <v>1007.4</v>
      </c>
      <c r="AL899">
        <v>86.8</v>
      </c>
      <c r="AM899">
        <v>6.8</v>
      </c>
      <c r="AN899">
        <v>0</v>
      </c>
      <c r="AO899">
        <v>0</v>
      </c>
      <c r="AP899">
        <v>0</v>
      </c>
      <c r="AQ899">
        <v>0</v>
      </c>
      <c r="AR899" t="s">
        <v>2992</v>
      </c>
      <c r="AS899" t="s">
        <v>2993</v>
      </c>
      <c r="AT899">
        <v>0.45</v>
      </c>
      <c r="AU899" t="s">
        <v>43</v>
      </c>
      <c r="AV899" t="s">
        <v>44</v>
      </c>
      <c r="AW899" t="s">
        <v>419</v>
      </c>
      <c r="AX899" s="1">
        <v>0.51041666666666663</v>
      </c>
      <c r="AY899" t="s">
        <v>3099</v>
      </c>
      <c r="AZ899">
        <v>210.00000000349249</v>
      </c>
      <c r="BA899">
        <v>0</v>
      </c>
      <c r="BB899">
        <v>0</v>
      </c>
      <c r="BC899">
        <v>1</v>
      </c>
      <c r="BD899">
        <v>0</v>
      </c>
      <c r="BE899">
        <f t="shared" ref="BE899:BE962" si="149">IF((3*AH899+3*H899+2*U899+2*BA899-(2*(1-T899)+2*(1-I899)+2*(1-AI899)))&gt;=1,1,0)</f>
        <v>1</v>
      </c>
    </row>
    <row r="900" spans="1:57" x14ac:dyDescent="0.25">
      <c r="A900" t="s">
        <v>39</v>
      </c>
      <c r="B900" t="s">
        <v>2916</v>
      </c>
      <c r="C900">
        <v>91.5</v>
      </c>
      <c r="D900">
        <v>71.7</v>
      </c>
      <c r="G900">
        <f t="shared" si="140"/>
        <v>1</v>
      </c>
      <c r="H900">
        <f t="shared" si="141"/>
        <v>1</v>
      </c>
      <c r="I900">
        <f t="shared" si="142"/>
        <v>0</v>
      </c>
      <c r="J900">
        <v>81</v>
      </c>
      <c r="K900">
        <v>94.5</v>
      </c>
      <c r="L900">
        <v>71.7</v>
      </c>
      <c r="M900">
        <v>82.3</v>
      </c>
      <c r="N900">
        <v>62.9</v>
      </c>
      <c r="O900">
        <v>55.2</v>
      </c>
      <c r="S900">
        <f t="shared" si="143"/>
        <v>1</v>
      </c>
      <c r="T900">
        <f t="shared" si="144"/>
        <v>0</v>
      </c>
      <c r="U900">
        <f t="shared" si="145"/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8.1</v>
      </c>
      <c r="AG900">
        <f t="shared" si="146"/>
        <v>1</v>
      </c>
      <c r="AH900">
        <f t="shared" si="147"/>
        <v>0</v>
      </c>
      <c r="AI900">
        <f t="shared" si="148"/>
        <v>1</v>
      </c>
      <c r="AJ900">
        <v>181.1</v>
      </c>
      <c r="AK900">
        <v>1010.4</v>
      </c>
      <c r="AL900">
        <v>0</v>
      </c>
      <c r="AM900">
        <v>6.2</v>
      </c>
      <c r="AN900">
        <v>0</v>
      </c>
      <c r="AO900">
        <v>0</v>
      </c>
      <c r="AP900">
        <v>0</v>
      </c>
      <c r="AQ900">
        <v>0</v>
      </c>
      <c r="AR900" t="s">
        <v>2917</v>
      </c>
      <c r="AS900" t="s">
        <v>2918</v>
      </c>
      <c r="AT900">
        <v>0.52</v>
      </c>
      <c r="AU900" t="s">
        <v>74</v>
      </c>
      <c r="AV900" t="s">
        <v>44</v>
      </c>
      <c r="AW900" t="s">
        <v>75</v>
      </c>
      <c r="AX900" s="1">
        <v>0.85416666666666663</v>
      </c>
      <c r="AY900" t="s">
        <v>3100</v>
      </c>
      <c r="AZ900">
        <v>150.00000000698489</v>
      </c>
      <c r="BA900">
        <v>0</v>
      </c>
      <c r="BB900">
        <v>0</v>
      </c>
      <c r="BC900">
        <v>2</v>
      </c>
      <c r="BD900">
        <v>0</v>
      </c>
      <c r="BE900">
        <f t="shared" si="149"/>
        <v>1</v>
      </c>
    </row>
    <row r="901" spans="1:57" x14ac:dyDescent="0.25">
      <c r="A901" t="s">
        <v>39</v>
      </c>
      <c r="B901" t="s">
        <v>2916</v>
      </c>
      <c r="C901">
        <v>91.5</v>
      </c>
      <c r="D901">
        <v>71.7</v>
      </c>
      <c r="G901">
        <f t="shared" si="140"/>
        <v>1</v>
      </c>
      <c r="H901">
        <f t="shared" si="141"/>
        <v>1</v>
      </c>
      <c r="I901">
        <f t="shared" si="142"/>
        <v>0</v>
      </c>
      <c r="J901">
        <v>81</v>
      </c>
      <c r="K901">
        <v>94.5</v>
      </c>
      <c r="L901">
        <v>71.7</v>
      </c>
      <c r="M901">
        <v>82.3</v>
      </c>
      <c r="N901">
        <v>62.9</v>
      </c>
      <c r="O901">
        <v>55.2</v>
      </c>
      <c r="S901">
        <f t="shared" si="143"/>
        <v>1</v>
      </c>
      <c r="T901">
        <f t="shared" si="144"/>
        <v>0</v>
      </c>
      <c r="U901">
        <f t="shared" si="145"/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8.1</v>
      </c>
      <c r="AG901">
        <f t="shared" si="146"/>
        <v>1</v>
      </c>
      <c r="AH901">
        <f t="shared" si="147"/>
        <v>0</v>
      </c>
      <c r="AI901">
        <f t="shared" si="148"/>
        <v>1</v>
      </c>
      <c r="AJ901">
        <v>181.1</v>
      </c>
      <c r="AK901">
        <v>1010.4</v>
      </c>
      <c r="AL901">
        <v>0</v>
      </c>
      <c r="AM901">
        <v>6.2</v>
      </c>
      <c r="AN901">
        <v>0</v>
      </c>
      <c r="AO901">
        <v>0</v>
      </c>
      <c r="AP901">
        <v>0</v>
      </c>
      <c r="AQ901">
        <v>0</v>
      </c>
      <c r="AR901" t="s">
        <v>2917</v>
      </c>
      <c r="AS901" t="s">
        <v>2918</v>
      </c>
      <c r="AT901">
        <v>0.52</v>
      </c>
      <c r="AU901" t="s">
        <v>74</v>
      </c>
      <c r="AV901" t="s">
        <v>44</v>
      </c>
      <c r="AW901" t="s">
        <v>75</v>
      </c>
      <c r="AX901" s="1">
        <v>0.85069444444444442</v>
      </c>
      <c r="AY901" t="s">
        <v>3101</v>
      </c>
      <c r="AZ901">
        <v>14555.00000000233</v>
      </c>
      <c r="BA901">
        <v>1</v>
      </c>
      <c r="BB901">
        <v>0</v>
      </c>
      <c r="BC901">
        <v>1</v>
      </c>
      <c r="BD901">
        <v>0</v>
      </c>
      <c r="BE901">
        <f t="shared" si="149"/>
        <v>1</v>
      </c>
    </row>
    <row r="902" spans="1:57" x14ac:dyDescent="0.25">
      <c r="A902" t="s">
        <v>39</v>
      </c>
      <c r="B902" t="s">
        <v>2933</v>
      </c>
      <c r="C902">
        <v>82.5</v>
      </c>
      <c r="D902">
        <v>71.7</v>
      </c>
      <c r="G902">
        <f t="shared" si="140"/>
        <v>0</v>
      </c>
      <c r="H902">
        <f t="shared" si="141"/>
        <v>0</v>
      </c>
      <c r="I902">
        <f t="shared" si="142"/>
        <v>0</v>
      </c>
      <c r="J902">
        <v>77.3</v>
      </c>
      <c r="K902">
        <v>89.7</v>
      </c>
      <c r="L902">
        <v>71.7</v>
      </c>
      <c r="M902">
        <v>79.400000000000006</v>
      </c>
      <c r="N902">
        <v>66.3</v>
      </c>
      <c r="O902">
        <v>69.8</v>
      </c>
      <c r="S902">
        <f t="shared" si="143"/>
        <v>1</v>
      </c>
      <c r="T902">
        <f t="shared" si="144"/>
        <v>1</v>
      </c>
      <c r="U902">
        <f t="shared" si="145"/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13.9</v>
      </c>
      <c r="AG902">
        <f t="shared" si="146"/>
        <v>1</v>
      </c>
      <c r="AH902">
        <f t="shared" si="147"/>
        <v>0</v>
      </c>
      <c r="AI902">
        <f t="shared" si="148"/>
        <v>1</v>
      </c>
      <c r="AJ902">
        <v>324.60000000000002</v>
      </c>
      <c r="AK902">
        <v>1007.9</v>
      </c>
      <c r="AL902">
        <v>30</v>
      </c>
      <c r="AM902">
        <v>6.5</v>
      </c>
      <c r="AN902">
        <v>0</v>
      </c>
      <c r="AO902">
        <v>0</v>
      </c>
      <c r="AP902">
        <v>0</v>
      </c>
      <c r="AQ902">
        <v>0</v>
      </c>
      <c r="AR902" t="s">
        <v>2934</v>
      </c>
      <c r="AS902" t="s">
        <v>2935</v>
      </c>
      <c r="AT902">
        <v>0.82</v>
      </c>
      <c r="AU902" t="s">
        <v>43</v>
      </c>
      <c r="AV902" t="s">
        <v>44</v>
      </c>
      <c r="AW902" t="s">
        <v>45</v>
      </c>
      <c r="AX902" s="1">
        <v>0.37152777777777779</v>
      </c>
      <c r="AY902" t="s">
        <v>3102</v>
      </c>
      <c r="AZ902">
        <v>799.99999999883585</v>
      </c>
      <c r="BA902">
        <v>1</v>
      </c>
      <c r="BB902">
        <v>2</v>
      </c>
      <c r="BC902">
        <v>0</v>
      </c>
      <c r="BD902">
        <v>0</v>
      </c>
      <c r="BE902">
        <f t="shared" si="149"/>
        <v>0</v>
      </c>
    </row>
    <row r="903" spans="1:57" x14ac:dyDescent="0.25">
      <c r="A903" t="s">
        <v>39</v>
      </c>
      <c r="B903" t="s">
        <v>3095</v>
      </c>
      <c r="C903">
        <v>89.7</v>
      </c>
      <c r="D903">
        <v>59.1</v>
      </c>
      <c r="G903">
        <f t="shared" si="140"/>
        <v>1</v>
      </c>
      <c r="H903">
        <f t="shared" si="141"/>
        <v>1</v>
      </c>
      <c r="I903">
        <f t="shared" si="142"/>
        <v>0</v>
      </c>
      <c r="J903">
        <v>78</v>
      </c>
      <c r="K903">
        <v>86.3</v>
      </c>
      <c r="L903">
        <v>59.1</v>
      </c>
      <c r="M903">
        <v>76.7</v>
      </c>
      <c r="N903">
        <v>45.7</v>
      </c>
      <c r="O903">
        <v>36.299999999999997</v>
      </c>
      <c r="S903">
        <f t="shared" si="143"/>
        <v>1</v>
      </c>
      <c r="T903">
        <f t="shared" si="144"/>
        <v>0</v>
      </c>
      <c r="U903">
        <f t="shared" si="145"/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34.4</v>
      </c>
      <c r="AG903">
        <f t="shared" si="146"/>
        <v>1</v>
      </c>
      <c r="AH903">
        <f t="shared" si="147"/>
        <v>1</v>
      </c>
      <c r="AI903">
        <f t="shared" si="148"/>
        <v>0</v>
      </c>
      <c r="AJ903">
        <v>170.3</v>
      </c>
      <c r="AK903">
        <v>1010</v>
      </c>
      <c r="AL903">
        <v>0</v>
      </c>
      <c r="AM903">
        <v>6.2</v>
      </c>
      <c r="AN903">
        <v>0</v>
      </c>
      <c r="AO903">
        <v>0</v>
      </c>
      <c r="AP903">
        <v>0</v>
      </c>
      <c r="AQ903">
        <v>0</v>
      </c>
      <c r="AR903" t="s">
        <v>3096</v>
      </c>
      <c r="AS903" t="s">
        <v>3097</v>
      </c>
      <c r="AT903">
        <v>0.5</v>
      </c>
      <c r="AU903" t="s">
        <v>74</v>
      </c>
      <c r="AV903" t="s">
        <v>44</v>
      </c>
      <c r="AW903" t="s">
        <v>419</v>
      </c>
      <c r="AX903" s="1">
        <v>0.69097222222222221</v>
      </c>
      <c r="AY903" t="s">
        <v>3103</v>
      </c>
      <c r="AZ903">
        <v>415.00000000116421</v>
      </c>
      <c r="BA903">
        <v>1</v>
      </c>
      <c r="BB903">
        <v>0</v>
      </c>
      <c r="BC903">
        <v>2</v>
      </c>
      <c r="BD903">
        <v>0</v>
      </c>
      <c r="BE903">
        <f t="shared" si="149"/>
        <v>1</v>
      </c>
    </row>
    <row r="904" spans="1:57" x14ac:dyDescent="0.25">
      <c r="A904" t="s">
        <v>39</v>
      </c>
      <c r="B904" t="s">
        <v>3104</v>
      </c>
      <c r="C904">
        <v>82.5</v>
      </c>
      <c r="D904">
        <v>77.099999999999994</v>
      </c>
      <c r="G904">
        <f t="shared" si="140"/>
        <v>0</v>
      </c>
      <c r="H904">
        <f t="shared" si="141"/>
        <v>0</v>
      </c>
      <c r="I904">
        <f t="shared" si="142"/>
        <v>0</v>
      </c>
      <c r="J904">
        <v>79.099999999999994</v>
      </c>
      <c r="K904">
        <v>84.1</v>
      </c>
      <c r="L904">
        <v>77.099999999999994</v>
      </c>
      <c r="M904">
        <v>79.7</v>
      </c>
      <c r="N904">
        <v>65</v>
      </c>
      <c r="O904">
        <v>62.2</v>
      </c>
      <c r="S904">
        <f t="shared" si="143"/>
        <v>1</v>
      </c>
      <c r="T904">
        <f t="shared" si="144"/>
        <v>1</v>
      </c>
      <c r="U904">
        <f t="shared" si="145"/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20.8</v>
      </c>
      <c r="AG904">
        <f t="shared" si="146"/>
        <v>1</v>
      </c>
      <c r="AH904">
        <f t="shared" si="147"/>
        <v>1</v>
      </c>
      <c r="AI904">
        <f t="shared" si="148"/>
        <v>0</v>
      </c>
      <c r="AJ904">
        <v>311.89999999999998</v>
      </c>
      <c r="AK904">
        <v>1009.3</v>
      </c>
      <c r="AL904">
        <v>30</v>
      </c>
      <c r="AM904">
        <v>6.8</v>
      </c>
      <c r="AN904">
        <v>0</v>
      </c>
      <c r="AO904">
        <v>0</v>
      </c>
      <c r="AP904">
        <v>0</v>
      </c>
      <c r="AQ904">
        <v>0</v>
      </c>
      <c r="AR904" t="s">
        <v>3105</v>
      </c>
      <c r="AS904" t="s">
        <v>3106</v>
      </c>
      <c r="AT904">
        <v>0.3</v>
      </c>
      <c r="AU904" t="s">
        <v>43</v>
      </c>
      <c r="AV904" t="s">
        <v>44</v>
      </c>
      <c r="AW904" t="s">
        <v>45</v>
      </c>
      <c r="AX904" s="1">
        <v>0.66666666666666663</v>
      </c>
      <c r="AY904" t="s">
        <v>3107</v>
      </c>
      <c r="AZ904">
        <v>1335.000000003492</v>
      </c>
      <c r="BA904">
        <v>1</v>
      </c>
      <c r="BB904">
        <v>0</v>
      </c>
      <c r="BC904">
        <v>3</v>
      </c>
      <c r="BD904">
        <v>0</v>
      </c>
      <c r="BE904">
        <f t="shared" si="149"/>
        <v>1</v>
      </c>
    </row>
    <row r="905" spans="1:57" x14ac:dyDescent="0.25">
      <c r="A905" t="s">
        <v>39</v>
      </c>
      <c r="B905" t="s">
        <v>3108</v>
      </c>
      <c r="C905">
        <v>64.5</v>
      </c>
      <c r="D905">
        <v>51.9</v>
      </c>
      <c r="G905">
        <f t="shared" si="140"/>
        <v>1</v>
      </c>
      <c r="H905">
        <f t="shared" si="141"/>
        <v>1</v>
      </c>
      <c r="I905">
        <f t="shared" si="142"/>
        <v>0</v>
      </c>
      <c r="J905">
        <v>59.4</v>
      </c>
      <c r="K905">
        <v>64.5</v>
      </c>
      <c r="L905">
        <v>51.9</v>
      </c>
      <c r="M905">
        <v>59.4</v>
      </c>
      <c r="N905">
        <v>44.2</v>
      </c>
      <c r="O905">
        <v>57.3</v>
      </c>
      <c r="S905">
        <f t="shared" si="143"/>
        <v>1</v>
      </c>
      <c r="T905">
        <f t="shared" si="144"/>
        <v>0</v>
      </c>
      <c r="U905">
        <f t="shared" si="145"/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34.4</v>
      </c>
      <c r="AG905">
        <f t="shared" si="146"/>
        <v>1</v>
      </c>
      <c r="AH905">
        <f t="shared" si="147"/>
        <v>1</v>
      </c>
      <c r="AI905">
        <f t="shared" si="148"/>
        <v>0</v>
      </c>
      <c r="AJ905">
        <v>289.10000000000002</v>
      </c>
      <c r="AK905">
        <v>1005.9</v>
      </c>
      <c r="AL905">
        <v>41.3</v>
      </c>
      <c r="AM905">
        <v>6.8</v>
      </c>
      <c r="AN905">
        <v>0</v>
      </c>
      <c r="AO905">
        <v>0</v>
      </c>
      <c r="AP905">
        <v>0</v>
      </c>
      <c r="AQ905">
        <v>0</v>
      </c>
      <c r="AR905" t="s">
        <v>3109</v>
      </c>
      <c r="AS905" t="s">
        <v>3110</v>
      </c>
      <c r="AT905">
        <v>0.62</v>
      </c>
      <c r="AU905" t="s">
        <v>43</v>
      </c>
      <c r="AV905" t="s">
        <v>44</v>
      </c>
      <c r="AW905" t="s">
        <v>419</v>
      </c>
      <c r="AX905" s="1">
        <v>0.54861111111111116</v>
      </c>
      <c r="AY905" t="s">
        <v>3111</v>
      </c>
      <c r="AZ905">
        <v>240.00000000698489</v>
      </c>
      <c r="BA905">
        <v>0</v>
      </c>
      <c r="BB905">
        <v>0</v>
      </c>
      <c r="BC905">
        <v>1</v>
      </c>
      <c r="BD905">
        <v>0</v>
      </c>
      <c r="BE905">
        <f t="shared" si="149"/>
        <v>1</v>
      </c>
    </row>
    <row r="906" spans="1:57" x14ac:dyDescent="0.25">
      <c r="A906" t="s">
        <v>39</v>
      </c>
      <c r="B906" t="s">
        <v>2991</v>
      </c>
      <c r="C906">
        <v>78.900000000000006</v>
      </c>
      <c r="D906">
        <v>66.3</v>
      </c>
      <c r="G906">
        <f t="shared" si="140"/>
        <v>1</v>
      </c>
      <c r="H906">
        <f t="shared" si="141"/>
        <v>1</v>
      </c>
      <c r="I906">
        <f t="shared" si="142"/>
        <v>0</v>
      </c>
      <c r="J906">
        <v>72.099999999999994</v>
      </c>
      <c r="K906">
        <v>78.900000000000006</v>
      </c>
      <c r="L906">
        <v>66.3</v>
      </c>
      <c r="M906">
        <v>72.099999999999994</v>
      </c>
      <c r="N906">
        <v>46.1</v>
      </c>
      <c r="O906">
        <v>40.4</v>
      </c>
      <c r="S906">
        <f t="shared" si="143"/>
        <v>1</v>
      </c>
      <c r="T906">
        <f t="shared" si="144"/>
        <v>0</v>
      </c>
      <c r="U906">
        <f t="shared" si="145"/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32.200000000000003</v>
      </c>
      <c r="AG906">
        <f t="shared" si="146"/>
        <v>1</v>
      </c>
      <c r="AH906">
        <f t="shared" si="147"/>
        <v>1</v>
      </c>
      <c r="AI906">
        <f t="shared" si="148"/>
        <v>0</v>
      </c>
      <c r="AJ906">
        <v>185.5</v>
      </c>
      <c r="AK906">
        <v>1007.4</v>
      </c>
      <c r="AL906">
        <v>86.8</v>
      </c>
      <c r="AM906">
        <v>6.8</v>
      </c>
      <c r="AN906">
        <v>0</v>
      </c>
      <c r="AO906">
        <v>0</v>
      </c>
      <c r="AP906">
        <v>0</v>
      </c>
      <c r="AQ906">
        <v>0</v>
      </c>
      <c r="AR906" t="s">
        <v>2992</v>
      </c>
      <c r="AS906" t="s">
        <v>2993</v>
      </c>
      <c r="AT906">
        <v>0.45</v>
      </c>
      <c r="AU906" t="s">
        <v>43</v>
      </c>
      <c r="AV906" t="s">
        <v>44</v>
      </c>
      <c r="AW906" t="s">
        <v>419</v>
      </c>
      <c r="AX906" s="1">
        <v>0.75694444444444442</v>
      </c>
      <c r="AY906" t="s">
        <v>3112</v>
      </c>
      <c r="AZ906">
        <v>1010.000000002328</v>
      </c>
      <c r="BA906">
        <v>1</v>
      </c>
      <c r="BB906">
        <v>0</v>
      </c>
      <c r="BC906">
        <v>8</v>
      </c>
      <c r="BD906">
        <v>0</v>
      </c>
      <c r="BE906">
        <f t="shared" si="149"/>
        <v>1</v>
      </c>
    </row>
    <row r="907" spans="1:57" x14ac:dyDescent="0.25">
      <c r="A907" t="s">
        <v>39</v>
      </c>
      <c r="B907" t="s">
        <v>3113</v>
      </c>
      <c r="C907">
        <v>64.5</v>
      </c>
      <c r="D907">
        <v>50.1</v>
      </c>
      <c r="G907">
        <f t="shared" si="140"/>
        <v>1</v>
      </c>
      <c r="H907">
        <f t="shared" si="141"/>
        <v>1</v>
      </c>
      <c r="I907">
        <f t="shared" si="142"/>
        <v>0</v>
      </c>
      <c r="J907">
        <v>58.1</v>
      </c>
      <c r="K907">
        <v>64.5</v>
      </c>
      <c r="L907">
        <v>50.1</v>
      </c>
      <c r="M907">
        <v>58.1</v>
      </c>
      <c r="N907">
        <v>48.1</v>
      </c>
      <c r="O907">
        <v>69.900000000000006</v>
      </c>
      <c r="S907">
        <f t="shared" si="143"/>
        <v>1</v>
      </c>
      <c r="T907">
        <f t="shared" si="144"/>
        <v>1</v>
      </c>
      <c r="U907">
        <f t="shared" si="145"/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13.9</v>
      </c>
      <c r="AG907">
        <f t="shared" si="146"/>
        <v>1</v>
      </c>
      <c r="AH907">
        <f t="shared" si="147"/>
        <v>0</v>
      </c>
      <c r="AI907">
        <f t="shared" si="148"/>
        <v>1</v>
      </c>
      <c r="AJ907">
        <v>293.2</v>
      </c>
      <c r="AK907">
        <v>1015.7</v>
      </c>
      <c r="AL907">
        <v>31.3</v>
      </c>
      <c r="AM907">
        <v>6.6</v>
      </c>
      <c r="AN907">
        <v>0</v>
      </c>
      <c r="AO907">
        <v>0</v>
      </c>
      <c r="AP907">
        <v>0</v>
      </c>
      <c r="AQ907">
        <v>0</v>
      </c>
      <c r="AR907" t="s">
        <v>3114</v>
      </c>
      <c r="AS907" t="s">
        <v>3115</v>
      </c>
      <c r="AT907">
        <v>0.25</v>
      </c>
      <c r="AU907" t="s">
        <v>43</v>
      </c>
      <c r="AV907" t="s">
        <v>44</v>
      </c>
      <c r="AW907" t="s">
        <v>45</v>
      </c>
      <c r="AX907" s="1">
        <v>0.51041666666666663</v>
      </c>
      <c r="AY907" t="s">
        <v>3116</v>
      </c>
      <c r="AZ907">
        <v>165.00000000349249</v>
      </c>
      <c r="BA907">
        <v>0</v>
      </c>
      <c r="BB907">
        <v>0</v>
      </c>
      <c r="BC907">
        <v>2</v>
      </c>
      <c r="BD907">
        <v>0</v>
      </c>
      <c r="BE907">
        <f t="shared" si="149"/>
        <v>1</v>
      </c>
    </row>
    <row r="908" spans="1:57" x14ac:dyDescent="0.25">
      <c r="A908" t="s">
        <v>39</v>
      </c>
      <c r="B908" t="s">
        <v>2907</v>
      </c>
      <c r="C908">
        <v>66.3</v>
      </c>
      <c r="D908">
        <v>51.9</v>
      </c>
      <c r="G908">
        <f t="shared" si="140"/>
        <v>1</v>
      </c>
      <c r="H908">
        <f t="shared" si="141"/>
        <v>1</v>
      </c>
      <c r="I908">
        <f t="shared" si="142"/>
        <v>0</v>
      </c>
      <c r="J908">
        <v>58.7</v>
      </c>
      <c r="K908">
        <v>66.3</v>
      </c>
      <c r="L908">
        <v>51.9</v>
      </c>
      <c r="M908">
        <v>58.7</v>
      </c>
      <c r="N908">
        <v>50.9</v>
      </c>
      <c r="O908">
        <v>76.2</v>
      </c>
      <c r="S908">
        <f t="shared" si="143"/>
        <v>1</v>
      </c>
      <c r="T908">
        <f t="shared" si="144"/>
        <v>1</v>
      </c>
      <c r="U908">
        <f t="shared" si="145"/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9.1999999999999993</v>
      </c>
      <c r="AG908">
        <f t="shared" si="146"/>
        <v>1</v>
      </c>
      <c r="AH908">
        <f t="shared" si="147"/>
        <v>0</v>
      </c>
      <c r="AI908">
        <f t="shared" si="148"/>
        <v>1</v>
      </c>
      <c r="AJ908">
        <v>161</v>
      </c>
      <c r="AK908">
        <v>1016.1</v>
      </c>
      <c r="AL908">
        <v>30</v>
      </c>
      <c r="AM908">
        <v>6.3</v>
      </c>
      <c r="AN908">
        <v>0</v>
      </c>
      <c r="AO908">
        <v>0</v>
      </c>
      <c r="AP908">
        <v>0</v>
      </c>
      <c r="AQ908">
        <v>0</v>
      </c>
      <c r="AR908" t="s">
        <v>2908</v>
      </c>
      <c r="AS908" t="s">
        <v>2909</v>
      </c>
      <c r="AT908">
        <v>0.86</v>
      </c>
      <c r="AU908" t="s">
        <v>43</v>
      </c>
      <c r="AV908" t="s">
        <v>44</v>
      </c>
      <c r="AW908" t="s">
        <v>45</v>
      </c>
      <c r="AX908" s="1">
        <v>0.4548611111111111</v>
      </c>
      <c r="AY908" t="s">
        <v>3117</v>
      </c>
      <c r="AZ908">
        <v>79.999999998835847</v>
      </c>
      <c r="BA908">
        <v>0</v>
      </c>
      <c r="BB908">
        <v>0</v>
      </c>
      <c r="BC908">
        <v>1</v>
      </c>
      <c r="BD908">
        <v>0</v>
      </c>
      <c r="BE908">
        <f t="shared" si="149"/>
        <v>1</v>
      </c>
    </row>
    <row r="909" spans="1:57" x14ac:dyDescent="0.25">
      <c r="A909" t="s">
        <v>39</v>
      </c>
      <c r="B909" t="s">
        <v>3118</v>
      </c>
      <c r="C909">
        <v>82.5</v>
      </c>
      <c r="D909">
        <v>60.9</v>
      </c>
      <c r="G909">
        <f t="shared" si="140"/>
        <v>1</v>
      </c>
      <c r="H909">
        <f t="shared" si="141"/>
        <v>1</v>
      </c>
      <c r="I909">
        <f t="shared" si="142"/>
        <v>0</v>
      </c>
      <c r="J909">
        <v>71.5</v>
      </c>
      <c r="K909">
        <v>80.900000000000006</v>
      </c>
      <c r="L909">
        <v>60.9</v>
      </c>
      <c r="M909">
        <v>71.3</v>
      </c>
      <c r="N909">
        <v>51.2</v>
      </c>
      <c r="O909">
        <v>51.6</v>
      </c>
      <c r="S909">
        <f t="shared" si="143"/>
        <v>1</v>
      </c>
      <c r="T909">
        <f t="shared" si="144"/>
        <v>0</v>
      </c>
      <c r="U909">
        <f t="shared" si="145"/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18.3</v>
      </c>
      <c r="AG909">
        <f t="shared" si="146"/>
        <v>0</v>
      </c>
      <c r="AH909">
        <f t="shared" si="147"/>
        <v>0</v>
      </c>
      <c r="AI909">
        <f t="shared" si="148"/>
        <v>0</v>
      </c>
      <c r="AJ909">
        <v>219.6</v>
      </c>
      <c r="AK909">
        <v>1003.4</v>
      </c>
      <c r="AL909">
        <v>83.2</v>
      </c>
      <c r="AM909">
        <v>6.8</v>
      </c>
      <c r="AN909">
        <v>0</v>
      </c>
      <c r="AO909">
        <v>0</v>
      </c>
      <c r="AP909">
        <v>0</v>
      </c>
      <c r="AQ909">
        <v>0</v>
      </c>
      <c r="AR909" t="s">
        <v>3119</v>
      </c>
      <c r="AS909" t="s">
        <v>3120</v>
      </c>
      <c r="AT909">
        <v>0.5</v>
      </c>
      <c r="AU909" t="s">
        <v>43</v>
      </c>
      <c r="AV909" t="s">
        <v>44</v>
      </c>
      <c r="AW909" t="s">
        <v>45</v>
      </c>
      <c r="AX909" s="1">
        <v>0.66527777777777775</v>
      </c>
      <c r="AY909" t="s">
        <v>3121</v>
      </c>
      <c r="AZ909">
        <v>91.999999996041879</v>
      </c>
      <c r="BA909">
        <v>0</v>
      </c>
      <c r="BB909">
        <v>0</v>
      </c>
      <c r="BC909">
        <v>2</v>
      </c>
      <c r="BD909">
        <v>0</v>
      </c>
      <c r="BE909">
        <f t="shared" si="149"/>
        <v>0</v>
      </c>
    </row>
    <row r="910" spans="1:57" x14ac:dyDescent="0.25">
      <c r="A910" t="s">
        <v>39</v>
      </c>
      <c r="B910" t="s">
        <v>3122</v>
      </c>
      <c r="C910">
        <v>66.3</v>
      </c>
      <c r="D910">
        <v>59.1</v>
      </c>
      <c r="G910">
        <f t="shared" si="140"/>
        <v>0</v>
      </c>
      <c r="H910">
        <f t="shared" si="141"/>
        <v>0</v>
      </c>
      <c r="I910">
        <f t="shared" si="142"/>
        <v>0</v>
      </c>
      <c r="J910">
        <v>63.8</v>
      </c>
      <c r="K910">
        <v>66.3</v>
      </c>
      <c r="L910">
        <v>59.1</v>
      </c>
      <c r="M910">
        <v>63.8</v>
      </c>
      <c r="N910">
        <v>55.3</v>
      </c>
      <c r="O910">
        <v>74.2</v>
      </c>
      <c r="S910">
        <f t="shared" si="143"/>
        <v>1</v>
      </c>
      <c r="T910">
        <f t="shared" si="144"/>
        <v>1</v>
      </c>
      <c r="U910">
        <f t="shared" si="145"/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18.3</v>
      </c>
      <c r="AG910">
        <f t="shared" si="146"/>
        <v>1</v>
      </c>
      <c r="AH910">
        <f t="shared" si="147"/>
        <v>1</v>
      </c>
      <c r="AI910">
        <f t="shared" si="148"/>
        <v>0</v>
      </c>
      <c r="AJ910">
        <v>337.1</v>
      </c>
      <c r="AK910">
        <v>1023</v>
      </c>
      <c r="AL910">
        <v>73.900000000000006</v>
      </c>
      <c r="AM910">
        <v>6.8</v>
      </c>
      <c r="AN910">
        <v>0</v>
      </c>
      <c r="AO910">
        <v>0</v>
      </c>
      <c r="AP910">
        <v>0</v>
      </c>
      <c r="AQ910">
        <v>0</v>
      </c>
      <c r="AR910" t="s">
        <v>3123</v>
      </c>
      <c r="AS910" t="s">
        <v>3124</v>
      </c>
      <c r="AT910">
        <v>0.37</v>
      </c>
      <c r="AU910" t="s">
        <v>43</v>
      </c>
      <c r="AV910" t="s">
        <v>44</v>
      </c>
      <c r="AW910" t="s">
        <v>45</v>
      </c>
      <c r="AX910" s="1">
        <v>0.75</v>
      </c>
      <c r="AY910" t="s">
        <v>3125</v>
      </c>
      <c r="AZ910">
        <v>300.00000000349252</v>
      </c>
      <c r="BA910">
        <v>0</v>
      </c>
      <c r="BB910">
        <v>0</v>
      </c>
      <c r="BC910">
        <v>2</v>
      </c>
      <c r="BD910">
        <v>0</v>
      </c>
      <c r="BE910">
        <f t="shared" si="149"/>
        <v>0</v>
      </c>
    </row>
    <row r="911" spans="1:57" x14ac:dyDescent="0.25">
      <c r="A911" t="s">
        <v>39</v>
      </c>
      <c r="B911" t="s">
        <v>3126</v>
      </c>
      <c r="C911">
        <v>82.5</v>
      </c>
      <c r="D911">
        <v>66.3</v>
      </c>
      <c r="G911">
        <f t="shared" si="140"/>
        <v>1</v>
      </c>
      <c r="H911">
        <f t="shared" si="141"/>
        <v>1</v>
      </c>
      <c r="I911">
        <f t="shared" si="142"/>
        <v>0</v>
      </c>
      <c r="J911">
        <v>73.099999999999994</v>
      </c>
      <c r="K911">
        <v>83</v>
      </c>
      <c r="L911">
        <v>66.3</v>
      </c>
      <c r="M911">
        <v>73.099999999999994</v>
      </c>
      <c r="N911">
        <v>57.8</v>
      </c>
      <c r="O911">
        <v>59.5</v>
      </c>
      <c r="S911">
        <f t="shared" si="143"/>
        <v>1</v>
      </c>
      <c r="T911">
        <f t="shared" si="144"/>
        <v>0</v>
      </c>
      <c r="U911">
        <f t="shared" si="145"/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12.8</v>
      </c>
      <c r="AG911">
        <f t="shared" si="146"/>
        <v>1</v>
      </c>
      <c r="AH911">
        <f t="shared" si="147"/>
        <v>0</v>
      </c>
      <c r="AI911">
        <f t="shared" si="148"/>
        <v>1</v>
      </c>
      <c r="AJ911">
        <v>151.4</v>
      </c>
      <c r="AK911">
        <v>1020.5</v>
      </c>
      <c r="AL911">
        <v>36.700000000000003</v>
      </c>
      <c r="AM911">
        <v>6.2</v>
      </c>
      <c r="AN911">
        <v>0</v>
      </c>
      <c r="AO911">
        <v>0</v>
      </c>
      <c r="AP911">
        <v>0</v>
      </c>
      <c r="AQ911">
        <v>0</v>
      </c>
      <c r="AR911" t="s">
        <v>3127</v>
      </c>
      <c r="AS911" t="s">
        <v>3128</v>
      </c>
      <c r="AT911">
        <v>0.08</v>
      </c>
      <c r="AU911" t="s">
        <v>43</v>
      </c>
      <c r="AV911" t="s">
        <v>44</v>
      </c>
      <c r="AW911" t="s">
        <v>45</v>
      </c>
      <c r="AX911" s="1">
        <v>0.45833333333333331</v>
      </c>
      <c r="AY911" t="s">
        <v>3129</v>
      </c>
      <c r="AZ911">
        <v>450</v>
      </c>
      <c r="BA911">
        <v>1</v>
      </c>
      <c r="BB911">
        <v>3</v>
      </c>
      <c r="BC911">
        <v>0</v>
      </c>
      <c r="BD911">
        <v>0</v>
      </c>
      <c r="BE911">
        <f t="shared" si="149"/>
        <v>1</v>
      </c>
    </row>
    <row r="912" spans="1:57" x14ac:dyDescent="0.25">
      <c r="A912" t="s">
        <v>39</v>
      </c>
      <c r="B912" t="s">
        <v>2871</v>
      </c>
      <c r="C912">
        <v>78.900000000000006</v>
      </c>
      <c r="D912">
        <v>71.7</v>
      </c>
      <c r="G912">
        <f t="shared" si="140"/>
        <v>0</v>
      </c>
      <c r="H912">
        <f t="shared" si="141"/>
        <v>0</v>
      </c>
      <c r="I912">
        <f t="shared" si="142"/>
        <v>0</v>
      </c>
      <c r="J912">
        <v>74.900000000000006</v>
      </c>
      <c r="K912">
        <v>78.900000000000006</v>
      </c>
      <c r="L912">
        <v>71.7</v>
      </c>
      <c r="M912">
        <v>74.900000000000006</v>
      </c>
      <c r="N912">
        <v>62.7</v>
      </c>
      <c r="O912">
        <v>66.2</v>
      </c>
      <c r="S912">
        <f t="shared" si="143"/>
        <v>0</v>
      </c>
      <c r="T912">
        <f t="shared" si="144"/>
        <v>0</v>
      </c>
      <c r="U912">
        <f t="shared" si="145"/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19.5</v>
      </c>
      <c r="AG912">
        <f t="shared" si="146"/>
        <v>1</v>
      </c>
      <c r="AH912">
        <f t="shared" si="147"/>
        <v>1</v>
      </c>
      <c r="AI912">
        <f t="shared" si="148"/>
        <v>0</v>
      </c>
      <c r="AJ912">
        <v>311.8</v>
      </c>
      <c r="AK912">
        <v>1012.2</v>
      </c>
      <c r="AL912">
        <v>37.5</v>
      </c>
      <c r="AM912">
        <v>6.8</v>
      </c>
      <c r="AN912">
        <v>0</v>
      </c>
      <c r="AO912">
        <v>0</v>
      </c>
      <c r="AP912">
        <v>0</v>
      </c>
      <c r="AQ912">
        <v>0</v>
      </c>
      <c r="AR912" t="s">
        <v>2872</v>
      </c>
      <c r="AS912" t="s">
        <v>2873</v>
      </c>
      <c r="AT912">
        <v>0.61</v>
      </c>
      <c r="AU912" t="s">
        <v>43</v>
      </c>
      <c r="AV912" t="s">
        <v>2026</v>
      </c>
      <c r="AW912" t="s">
        <v>45</v>
      </c>
      <c r="AX912" s="1">
        <v>0.60416666666666663</v>
      </c>
      <c r="AY912" t="s">
        <v>3130</v>
      </c>
      <c r="AZ912">
        <v>3915</v>
      </c>
      <c r="BA912">
        <v>1</v>
      </c>
      <c r="BB912">
        <v>0</v>
      </c>
      <c r="BC912">
        <v>60</v>
      </c>
      <c r="BD912">
        <v>0</v>
      </c>
      <c r="BE912">
        <f t="shared" si="149"/>
        <v>0</v>
      </c>
    </row>
    <row r="913" spans="1:57" x14ac:dyDescent="0.25">
      <c r="A913" t="s">
        <v>39</v>
      </c>
      <c r="B913" t="s">
        <v>3131</v>
      </c>
      <c r="C913">
        <v>69.900000000000006</v>
      </c>
      <c r="D913">
        <v>55.5</v>
      </c>
      <c r="G913">
        <f t="shared" si="140"/>
        <v>1</v>
      </c>
      <c r="H913">
        <f t="shared" si="141"/>
        <v>1</v>
      </c>
      <c r="I913">
        <f t="shared" si="142"/>
        <v>0</v>
      </c>
      <c r="J913">
        <v>62.6</v>
      </c>
      <c r="K913">
        <v>69.900000000000006</v>
      </c>
      <c r="L913">
        <v>55.5</v>
      </c>
      <c r="M913">
        <v>62.6</v>
      </c>
      <c r="N913">
        <v>56.6</v>
      </c>
      <c r="O913">
        <v>81</v>
      </c>
      <c r="S913">
        <f t="shared" si="143"/>
        <v>1</v>
      </c>
      <c r="T913">
        <f t="shared" si="144"/>
        <v>1</v>
      </c>
      <c r="U913">
        <f t="shared" si="145"/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10.3</v>
      </c>
      <c r="AG913">
        <f t="shared" si="146"/>
        <v>1</v>
      </c>
      <c r="AH913">
        <f t="shared" si="147"/>
        <v>0</v>
      </c>
      <c r="AI913">
        <f t="shared" si="148"/>
        <v>1</v>
      </c>
      <c r="AJ913">
        <v>115.4</v>
      </c>
      <c r="AK913">
        <v>1013.7</v>
      </c>
      <c r="AL913">
        <v>0</v>
      </c>
      <c r="AM913">
        <v>5.8</v>
      </c>
      <c r="AN913">
        <v>0</v>
      </c>
      <c r="AO913">
        <v>0</v>
      </c>
      <c r="AP913">
        <v>0</v>
      </c>
      <c r="AQ913">
        <v>0</v>
      </c>
      <c r="AR913" t="s">
        <v>3132</v>
      </c>
      <c r="AS913" t="s">
        <v>3133</v>
      </c>
      <c r="AT913">
        <v>0.46</v>
      </c>
      <c r="AU913" t="s">
        <v>74</v>
      </c>
      <c r="AV913" t="s">
        <v>2955</v>
      </c>
      <c r="AW913" t="s">
        <v>75</v>
      </c>
      <c r="AX913" s="1">
        <v>0.84236111111111112</v>
      </c>
      <c r="AY913" t="s">
        <v>3134</v>
      </c>
      <c r="AZ913">
        <v>451.99999999604188</v>
      </c>
      <c r="BA913">
        <v>1</v>
      </c>
      <c r="BB913">
        <v>0</v>
      </c>
      <c r="BC913">
        <v>20</v>
      </c>
      <c r="BD913">
        <v>0</v>
      </c>
      <c r="BE913">
        <f t="shared" si="149"/>
        <v>1</v>
      </c>
    </row>
    <row r="914" spans="1:57" x14ac:dyDescent="0.25">
      <c r="A914" t="s">
        <v>39</v>
      </c>
      <c r="B914" t="s">
        <v>3108</v>
      </c>
      <c r="C914">
        <v>64.5</v>
      </c>
      <c r="D914">
        <v>51.9</v>
      </c>
      <c r="G914">
        <f t="shared" si="140"/>
        <v>1</v>
      </c>
      <c r="H914">
        <f t="shared" si="141"/>
        <v>1</v>
      </c>
      <c r="I914">
        <f t="shared" si="142"/>
        <v>0</v>
      </c>
      <c r="J914">
        <v>59.4</v>
      </c>
      <c r="K914">
        <v>64.5</v>
      </c>
      <c r="L914">
        <v>51.9</v>
      </c>
      <c r="M914">
        <v>59.4</v>
      </c>
      <c r="N914">
        <v>44.2</v>
      </c>
      <c r="O914">
        <v>57.3</v>
      </c>
      <c r="S914">
        <f t="shared" si="143"/>
        <v>1</v>
      </c>
      <c r="T914">
        <f t="shared" si="144"/>
        <v>0</v>
      </c>
      <c r="U914">
        <f t="shared" si="145"/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34.4</v>
      </c>
      <c r="AG914">
        <f t="shared" si="146"/>
        <v>1</v>
      </c>
      <c r="AH914">
        <f t="shared" si="147"/>
        <v>1</v>
      </c>
      <c r="AI914">
        <f t="shared" si="148"/>
        <v>0</v>
      </c>
      <c r="AJ914">
        <v>289.10000000000002</v>
      </c>
      <c r="AK914">
        <v>1005.9</v>
      </c>
      <c r="AL914">
        <v>41.3</v>
      </c>
      <c r="AM914">
        <v>6.8</v>
      </c>
      <c r="AN914">
        <v>0</v>
      </c>
      <c r="AO914">
        <v>0</v>
      </c>
      <c r="AP914">
        <v>0</v>
      </c>
      <c r="AQ914">
        <v>0</v>
      </c>
      <c r="AR914" t="s">
        <v>3109</v>
      </c>
      <c r="AS914" t="s">
        <v>3110</v>
      </c>
      <c r="AT914">
        <v>0.62</v>
      </c>
      <c r="AU914" t="s">
        <v>43</v>
      </c>
      <c r="AV914" t="s">
        <v>44</v>
      </c>
      <c r="AW914" t="s">
        <v>419</v>
      </c>
      <c r="AX914" s="1">
        <v>0.50694444444444442</v>
      </c>
      <c r="AY914" t="s">
        <v>3135</v>
      </c>
      <c r="AZ914">
        <v>290.00000000232831</v>
      </c>
      <c r="BA914">
        <v>0</v>
      </c>
      <c r="BB914">
        <v>0</v>
      </c>
      <c r="BC914">
        <v>25</v>
      </c>
      <c r="BD914">
        <v>0</v>
      </c>
      <c r="BE914">
        <f t="shared" si="149"/>
        <v>1</v>
      </c>
    </row>
    <row r="915" spans="1:57" x14ac:dyDescent="0.25">
      <c r="A915" t="s">
        <v>39</v>
      </c>
      <c r="B915" t="s">
        <v>3136</v>
      </c>
      <c r="C915">
        <v>77.099999999999994</v>
      </c>
      <c r="D915">
        <v>62.7</v>
      </c>
      <c r="G915">
        <f t="shared" si="140"/>
        <v>1</v>
      </c>
      <c r="H915">
        <f t="shared" si="141"/>
        <v>0</v>
      </c>
      <c r="I915">
        <f t="shared" si="142"/>
        <v>1</v>
      </c>
      <c r="J915">
        <v>70.900000000000006</v>
      </c>
      <c r="K915">
        <v>77.099999999999994</v>
      </c>
      <c r="L915">
        <v>62.7</v>
      </c>
      <c r="M915">
        <v>70.900000000000006</v>
      </c>
      <c r="N915">
        <v>60.3</v>
      </c>
      <c r="O915">
        <v>70</v>
      </c>
      <c r="S915">
        <f t="shared" si="143"/>
        <v>1</v>
      </c>
      <c r="T915">
        <f t="shared" si="144"/>
        <v>1</v>
      </c>
      <c r="U915">
        <f t="shared" si="145"/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15</v>
      </c>
      <c r="AG915">
        <f t="shared" si="146"/>
        <v>1</v>
      </c>
      <c r="AH915">
        <f t="shared" si="147"/>
        <v>0</v>
      </c>
      <c r="AI915">
        <f t="shared" si="148"/>
        <v>1</v>
      </c>
      <c r="AJ915">
        <v>299.5</v>
      </c>
      <c r="AK915">
        <v>1010.7</v>
      </c>
      <c r="AL915">
        <v>30</v>
      </c>
      <c r="AM915">
        <v>6.4</v>
      </c>
      <c r="AN915">
        <v>0</v>
      </c>
      <c r="AO915">
        <v>0</v>
      </c>
      <c r="AP915">
        <v>0</v>
      </c>
      <c r="AQ915">
        <v>0</v>
      </c>
      <c r="AR915" t="s">
        <v>3137</v>
      </c>
      <c r="AS915" t="s">
        <v>3138</v>
      </c>
      <c r="AT915">
        <v>0.12</v>
      </c>
      <c r="AU915" t="s">
        <v>43</v>
      </c>
      <c r="AV915" t="s">
        <v>44</v>
      </c>
      <c r="AW915" t="s">
        <v>45</v>
      </c>
      <c r="AX915" s="1">
        <v>0.5</v>
      </c>
      <c r="AY915" t="s">
        <v>3139</v>
      </c>
      <c r="AZ915">
        <v>114.99999999767169</v>
      </c>
      <c r="BA915">
        <v>0</v>
      </c>
      <c r="BB915">
        <v>0</v>
      </c>
      <c r="BC915">
        <v>0.6</v>
      </c>
      <c r="BD915">
        <v>0</v>
      </c>
      <c r="BE915">
        <f t="shared" si="149"/>
        <v>0</v>
      </c>
    </row>
    <row r="916" spans="1:57" x14ac:dyDescent="0.25">
      <c r="A916" t="s">
        <v>39</v>
      </c>
      <c r="B916" t="s">
        <v>3140</v>
      </c>
      <c r="C916">
        <v>84.3</v>
      </c>
      <c r="D916">
        <v>71.7</v>
      </c>
      <c r="G916">
        <f t="shared" si="140"/>
        <v>1</v>
      </c>
      <c r="H916">
        <f t="shared" si="141"/>
        <v>1</v>
      </c>
      <c r="I916">
        <f t="shared" si="142"/>
        <v>0</v>
      </c>
      <c r="J916">
        <v>79.2</v>
      </c>
      <c r="K916">
        <v>88.6</v>
      </c>
      <c r="L916">
        <v>71.7</v>
      </c>
      <c r="M916">
        <v>80.400000000000006</v>
      </c>
      <c r="N916">
        <v>65.8</v>
      </c>
      <c r="O916">
        <v>64.099999999999994</v>
      </c>
      <c r="S916">
        <f t="shared" si="143"/>
        <v>0</v>
      </c>
      <c r="T916">
        <f t="shared" si="144"/>
        <v>0</v>
      </c>
      <c r="U916">
        <f t="shared" si="145"/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17.2</v>
      </c>
      <c r="AG916">
        <f t="shared" si="146"/>
        <v>0</v>
      </c>
      <c r="AH916">
        <f t="shared" si="147"/>
        <v>0</v>
      </c>
      <c r="AI916">
        <f t="shared" si="148"/>
        <v>0</v>
      </c>
      <c r="AJ916">
        <v>306.5</v>
      </c>
      <c r="AK916">
        <v>1011.7</v>
      </c>
      <c r="AL916">
        <v>0</v>
      </c>
      <c r="AM916">
        <v>6.2</v>
      </c>
      <c r="AN916">
        <v>0</v>
      </c>
      <c r="AO916">
        <v>0</v>
      </c>
      <c r="AP916">
        <v>0</v>
      </c>
      <c r="AQ916">
        <v>0</v>
      </c>
      <c r="AR916" t="s">
        <v>3141</v>
      </c>
      <c r="AS916" t="s">
        <v>3142</v>
      </c>
      <c r="AT916">
        <v>0.21</v>
      </c>
      <c r="AU916" t="s">
        <v>74</v>
      </c>
      <c r="AV916" t="s">
        <v>44</v>
      </c>
      <c r="AW916" t="s">
        <v>75</v>
      </c>
      <c r="AX916" s="1">
        <v>0.90277777777777779</v>
      </c>
      <c r="AY916" t="s">
        <v>3143</v>
      </c>
      <c r="AZ916">
        <v>369.99999999068677</v>
      </c>
      <c r="BA916">
        <v>1</v>
      </c>
      <c r="BB916">
        <v>0</v>
      </c>
      <c r="BC916">
        <v>2</v>
      </c>
      <c r="BD916">
        <v>0</v>
      </c>
      <c r="BE916">
        <f t="shared" si="149"/>
        <v>0</v>
      </c>
    </row>
    <row r="917" spans="1:57" x14ac:dyDescent="0.25">
      <c r="A917" t="s">
        <v>39</v>
      </c>
      <c r="B917" t="s">
        <v>3144</v>
      </c>
      <c r="C917">
        <v>87.9</v>
      </c>
      <c r="D917">
        <v>71.7</v>
      </c>
      <c r="G917">
        <f t="shared" si="140"/>
        <v>1</v>
      </c>
      <c r="H917">
        <f t="shared" si="141"/>
        <v>1</v>
      </c>
      <c r="I917">
        <f t="shared" si="142"/>
        <v>0</v>
      </c>
      <c r="J917">
        <v>80.5</v>
      </c>
      <c r="K917">
        <v>94.4</v>
      </c>
      <c r="L917">
        <v>71.7</v>
      </c>
      <c r="M917">
        <v>83</v>
      </c>
      <c r="N917">
        <v>66.5</v>
      </c>
      <c r="O917">
        <v>62.8</v>
      </c>
      <c r="S917">
        <f t="shared" si="143"/>
        <v>1</v>
      </c>
      <c r="T917">
        <f t="shared" si="144"/>
        <v>1</v>
      </c>
      <c r="U917">
        <f t="shared" si="145"/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12.8</v>
      </c>
      <c r="AG917">
        <f t="shared" si="146"/>
        <v>1</v>
      </c>
      <c r="AH917">
        <f t="shared" si="147"/>
        <v>0</v>
      </c>
      <c r="AI917">
        <f t="shared" si="148"/>
        <v>1</v>
      </c>
      <c r="AJ917">
        <v>237.5</v>
      </c>
      <c r="AK917">
        <v>1007.9</v>
      </c>
      <c r="AL917">
        <v>0</v>
      </c>
      <c r="AM917">
        <v>6.2</v>
      </c>
      <c r="AN917">
        <v>0</v>
      </c>
      <c r="AO917">
        <v>0</v>
      </c>
      <c r="AP917">
        <v>0</v>
      </c>
      <c r="AQ917">
        <v>0</v>
      </c>
      <c r="AR917" t="s">
        <v>3145</v>
      </c>
      <c r="AS917" t="s">
        <v>3146</v>
      </c>
      <c r="AT917">
        <v>0.64</v>
      </c>
      <c r="AU917" t="s">
        <v>74</v>
      </c>
      <c r="AV917" t="s">
        <v>44</v>
      </c>
      <c r="AW917" t="s">
        <v>75</v>
      </c>
      <c r="AX917" s="1">
        <v>0.63541666666666663</v>
      </c>
      <c r="AY917" t="s">
        <v>3147</v>
      </c>
      <c r="AZ917">
        <v>1725.0000000069849</v>
      </c>
      <c r="BA917">
        <v>1</v>
      </c>
      <c r="BB917">
        <v>0</v>
      </c>
      <c r="BC917">
        <v>20</v>
      </c>
      <c r="BD917">
        <v>0</v>
      </c>
      <c r="BE917">
        <f t="shared" si="149"/>
        <v>1</v>
      </c>
    </row>
    <row r="918" spans="1:57" x14ac:dyDescent="0.25">
      <c r="A918" t="s">
        <v>39</v>
      </c>
      <c r="B918" t="s">
        <v>3148</v>
      </c>
      <c r="C918">
        <v>84.3</v>
      </c>
      <c r="D918">
        <v>69.900000000000006</v>
      </c>
      <c r="G918">
        <f t="shared" si="140"/>
        <v>0</v>
      </c>
      <c r="H918">
        <f t="shared" si="141"/>
        <v>0</v>
      </c>
      <c r="I918">
        <f t="shared" si="142"/>
        <v>0</v>
      </c>
      <c r="J918">
        <v>78.900000000000006</v>
      </c>
      <c r="K918">
        <v>86.6</v>
      </c>
      <c r="L918">
        <v>69.900000000000006</v>
      </c>
      <c r="M918">
        <v>80.3</v>
      </c>
      <c r="N918">
        <v>65.2</v>
      </c>
      <c r="O918">
        <v>63.1</v>
      </c>
      <c r="S918">
        <f t="shared" si="143"/>
        <v>1</v>
      </c>
      <c r="T918">
        <f t="shared" si="144"/>
        <v>1</v>
      </c>
      <c r="U918">
        <f t="shared" si="145"/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21.9</v>
      </c>
      <c r="AG918">
        <f t="shared" si="146"/>
        <v>1</v>
      </c>
      <c r="AH918">
        <f t="shared" si="147"/>
        <v>1</v>
      </c>
      <c r="AI918">
        <f t="shared" si="148"/>
        <v>0</v>
      </c>
      <c r="AJ918">
        <v>315.60000000000002</v>
      </c>
      <c r="AK918">
        <v>1013.3</v>
      </c>
      <c r="AL918">
        <v>30</v>
      </c>
      <c r="AM918">
        <v>6.3</v>
      </c>
      <c r="AN918">
        <v>0</v>
      </c>
      <c r="AO918">
        <v>0</v>
      </c>
      <c r="AP918">
        <v>0</v>
      </c>
      <c r="AQ918">
        <v>0</v>
      </c>
      <c r="AR918" t="s">
        <v>3149</v>
      </c>
      <c r="AS918" t="s">
        <v>3150</v>
      </c>
      <c r="AT918">
        <v>0.37</v>
      </c>
      <c r="AU918" t="s">
        <v>43</v>
      </c>
      <c r="AV918" t="s">
        <v>44</v>
      </c>
      <c r="AW918" t="s">
        <v>45</v>
      </c>
      <c r="AX918" s="1">
        <v>0.14930555555555561</v>
      </c>
      <c r="AY918" t="s">
        <v>3151</v>
      </c>
      <c r="AZ918">
        <v>419.99999999650748</v>
      </c>
      <c r="BA918">
        <v>1</v>
      </c>
      <c r="BB918">
        <v>0</v>
      </c>
      <c r="BC918">
        <v>8</v>
      </c>
      <c r="BD918">
        <v>0</v>
      </c>
      <c r="BE918">
        <f t="shared" si="149"/>
        <v>1</v>
      </c>
    </row>
    <row r="919" spans="1:57" x14ac:dyDescent="0.25">
      <c r="A919" t="s">
        <v>39</v>
      </c>
      <c r="B919" t="s">
        <v>3152</v>
      </c>
      <c r="C919">
        <v>59.1</v>
      </c>
      <c r="D919">
        <v>50.1</v>
      </c>
      <c r="G919">
        <f t="shared" si="140"/>
        <v>0</v>
      </c>
      <c r="H919">
        <f t="shared" si="141"/>
        <v>0</v>
      </c>
      <c r="I919">
        <f t="shared" si="142"/>
        <v>0</v>
      </c>
      <c r="J919">
        <v>54.2</v>
      </c>
      <c r="K919">
        <v>59.1</v>
      </c>
      <c r="L919">
        <v>50.1</v>
      </c>
      <c r="M919">
        <v>54.2</v>
      </c>
      <c r="N919">
        <v>44.4</v>
      </c>
      <c r="O919">
        <v>69.8</v>
      </c>
      <c r="S919">
        <f t="shared" si="143"/>
        <v>1</v>
      </c>
      <c r="T919">
        <f t="shared" si="144"/>
        <v>1</v>
      </c>
      <c r="U919">
        <f t="shared" si="145"/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19.5</v>
      </c>
      <c r="AG919">
        <f t="shared" si="146"/>
        <v>0</v>
      </c>
      <c r="AH919">
        <f t="shared" si="147"/>
        <v>0</v>
      </c>
      <c r="AI919">
        <f t="shared" si="148"/>
        <v>0</v>
      </c>
      <c r="AJ919">
        <v>309.7</v>
      </c>
      <c r="AK919">
        <v>1020.3</v>
      </c>
      <c r="AL919">
        <v>52.5</v>
      </c>
      <c r="AM919">
        <v>6.8</v>
      </c>
      <c r="AN919">
        <v>0</v>
      </c>
      <c r="AO919">
        <v>0</v>
      </c>
      <c r="AP919">
        <v>0</v>
      </c>
      <c r="AQ919">
        <v>0</v>
      </c>
      <c r="AR919" t="s">
        <v>3153</v>
      </c>
      <c r="AS919" t="s">
        <v>3154</v>
      </c>
      <c r="AT919">
        <v>0.66</v>
      </c>
      <c r="AU919" t="s">
        <v>43</v>
      </c>
      <c r="AV919" t="s">
        <v>80</v>
      </c>
      <c r="AW919" t="s">
        <v>45</v>
      </c>
      <c r="AX919" s="1">
        <v>0.50694444444444442</v>
      </c>
      <c r="AY919" t="s">
        <v>3155</v>
      </c>
      <c r="AZ919">
        <v>139.99999999534339</v>
      </c>
      <c r="BA919">
        <v>0</v>
      </c>
      <c r="BB919">
        <v>0</v>
      </c>
      <c r="BC919">
        <v>0.25</v>
      </c>
      <c r="BD919">
        <v>0</v>
      </c>
      <c r="BE919">
        <f t="shared" si="149"/>
        <v>0</v>
      </c>
    </row>
    <row r="920" spans="1:57" x14ac:dyDescent="0.25">
      <c r="A920" t="s">
        <v>39</v>
      </c>
      <c r="B920" t="s">
        <v>2970</v>
      </c>
      <c r="C920">
        <v>80.7</v>
      </c>
      <c r="D920">
        <v>75.3</v>
      </c>
      <c r="G920">
        <f t="shared" si="140"/>
        <v>1</v>
      </c>
      <c r="H920">
        <f t="shared" si="141"/>
        <v>0</v>
      </c>
      <c r="I920">
        <f t="shared" si="142"/>
        <v>1</v>
      </c>
      <c r="J920">
        <v>77.8</v>
      </c>
      <c r="K920">
        <v>83.4</v>
      </c>
      <c r="L920">
        <v>75.3</v>
      </c>
      <c r="M920">
        <v>78.5</v>
      </c>
      <c r="N920">
        <v>66.7</v>
      </c>
      <c r="O920">
        <v>68.900000000000006</v>
      </c>
      <c r="S920">
        <f t="shared" si="143"/>
        <v>1</v>
      </c>
      <c r="T920">
        <f t="shared" si="144"/>
        <v>1</v>
      </c>
      <c r="U920">
        <f t="shared" si="145"/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24.2</v>
      </c>
      <c r="AG920">
        <f t="shared" si="146"/>
        <v>1</v>
      </c>
      <c r="AH920">
        <f t="shared" si="147"/>
        <v>1</v>
      </c>
      <c r="AI920">
        <f t="shared" si="148"/>
        <v>0</v>
      </c>
      <c r="AJ920">
        <v>305.3</v>
      </c>
      <c r="AK920">
        <v>1010.3</v>
      </c>
      <c r="AL920">
        <v>30</v>
      </c>
      <c r="AM920">
        <v>6.6</v>
      </c>
      <c r="AN920">
        <v>0</v>
      </c>
      <c r="AO920">
        <v>0</v>
      </c>
      <c r="AP920">
        <v>0</v>
      </c>
      <c r="AQ920">
        <v>0</v>
      </c>
      <c r="AR920" t="s">
        <v>2971</v>
      </c>
      <c r="AS920" t="s">
        <v>2972</v>
      </c>
      <c r="AT920">
        <v>0.06</v>
      </c>
      <c r="AU920" t="s">
        <v>43</v>
      </c>
      <c r="AV920" t="s">
        <v>44</v>
      </c>
      <c r="AW920" t="s">
        <v>45</v>
      </c>
      <c r="AX920" s="1">
        <v>0.91249999999999998</v>
      </c>
      <c r="AY920" t="s">
        <v>3156</v>
      </c>
      <c r="AZ920">
        <v>1441.0000000032601</v>
      </c>
      <c r="BA920">
        <v>1</v>
      </c>
      <c r="BB920">
        <v>27</v>
      </c>
      <c r="BC920">
        <v>0</v>
      </c>
      <c r="BD920">
        <v>0</v>
      </c>
      <c r="BE920">
        <f t="shared" si="149"/>
        <v>1</v>
      </c>
    </row>
    <row r="921" spans="1:57" x14ac:dyDescent="0.25">
      <c r="A921" t="s">
        <v>39</v>
      </c>
      <c r="B921" t="s">
        <v>3157</v>
      </c>
      <c r="C921">
        <v>68.099999999999994</v>
      </c>
      <c r="D921">
        <v>51.9</v>
      </c>
      <c r="G921">
        <f t="shared" si="140"/>
        <v>1</v>
      </c>
      <c r="H921">
        <f t="shared" si="141"/>
        <v>1</v>
      </c>
      <c r="I921">
        <f t="shared" si="142"/>
        <v>0</v>
      </c>
      <c r="J921">
        <v>58.9</v>
      </c>
      <c r="K921">
        <v>68.099999999999994</v>
      </c>
      <c r="L921">
        <v>51.9</v>
      </c>
      <c r="M921">
        <v>58.9</v>
      </c>
      <c r="N921">
        <v>51.4</v>
      </c>
      <c r="O921">
        <v>77.400000000000006</v>
      </c>
      <c r="S921">
        <f t="shared" si="143"/>
        <v>1</v>
      </c>
      <c r="T921">
        <f t="shared" si="144"/>
        <v>1</v>
      </c>
      <c r="U921">
        <f t="shared" si="145"/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12.8</v>
      </c>
      <c r="AG921">
        <f t="shared" si="146"/>
        <v>1</v>
      </c>
      <c r="AH921">
        <f t="shared" si="147"/>
        <v>0</v>
      </c>
      <c r="AI921">
        <f t="shared" si="148"/>
        <v>1</v>
      </c>
      <c r="AJ921">
        <v>165.2</v>
      </c>
      <c r="AK921">
        <v>1017.9</v>
      </c>
      <c r="AL921">
        <v>52.2</v>
      </c>
      <c r="AM921">
        <v>6.7</v>
      </c>
      <c r="AN921">
        <v>0</v>
      </c>
      <c r="AO921">
        <v>0</v>
      </c>
      <c r="AP921">
        <v>0</v>
      </c>
      <c r="AQ921">
        <v>0</v>
      </c>
      <c r="AR921" t="s">
        <v>3158</v>
      </c>
      <c r="AS921" t="s">
        <v>3159</v>
      </c>
      <c r="AT921">
        <v>0.75</v>
      </c>
      <c r="AU921" t="s">
        <v>43</v>
      </c>
      <c r="AV921" t="s">
        <v>44</v>
      </c>
      <c r="AW921" t="s">
        <v>45</v>
      </c>
      <c r="AX921" s="1">
        <v>0.75694444444444442</v>
      </c>
      <c r="AY921" t="s">
        <v>3160</v>
      </c>
      <c r="AZ921">
        <v>79.999999998835847</v>
      </c>
      <c r="BA921">
        <v>0</v>
      </c>
      <c r="BB921">
        <v>0</v>
      </c>
      <c r="BC921">
        <v>2</v>
      </c>
      <c r="BD921">
        <v>0</v>
      </c>
      <c r="BE921">
        <f t="shared" si="149"/>
        <v>1</v>
      </c>
    </row>
    <row r="922" spans="1:57" x14ac:dyDescent="0.25">
      <c r="A922" t="s">
        <v>39</v>
      </c>
      <c r="B922" t="s">
        <v>3007</v>
      </c>
      <c r="C922">
        <v>68.099999999999994</v>
      </c>
      <c r="D922">
        <v>53.7</v>
      </c>
      <c r="G922">
        <f t="shared" si="140"/>
        <v>0</v>
      </c>
      <c r="H922">
        <f t="shared" si="141"/>
        <v>0</v>
      </c>
      <c r="I922">
        <f t="shared" si="142"/>
        <v>0</v>
      </c>
      <c r="J922">
        <v>61.8</v>
      </c>
      <c r="K922">
        <v>68.099999999999994</v>
      </c>
      <c r="L922">
        <v>53.7</v>
      </c>
      <c r="M922">
        <v>61.8</v>
      </c>
      <c r="N922">
        <v>52.8</v>
      </c>
      <c r="O922">
        <v>72.900000000000006</v>
      </c>
      <c r="S922">
        <f t="shared" si="143"/>
        <v>1</v>
      </c>
      <c r="T922">
        <f t="shared" si="144"/>
        <v>1</v>
      </c>
      <c r="U922">
        <f t="shared" si="145"/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24.2</v>
      </c>
      <c r="AG922">
        <f t="shared" si="146"/>
        <v>1</v>
      </c>
      <c r="AH922">
        <f t="shared" si="147"/>
        <v>1</v>
      </c>
      <c r="AI922">
        <f t="shared" si="148"/>
        <v>0</v>
      </c>
      <c r="AJ922">
        <v>294.8</v>
      </c>
      <c r="AK922">
        <v>1013.9</v>
      </c>
      <c r="AL922">
        <v>30</v>
      </c>
      <c r="AM922">
        <v>6.5</v>
      </c>
      <c r="AN922">
        <v>0</v>
      </c>
      <c r="AO922">
        <v>0</v>
      </c>
      <c r="AP922">
        <v>0</v>
      </c>
      <c r="AQ922">
        <v>0</v>
      </c>
      <c r="AR922" t="s">
        <v>3008</v>
      </c>
      <c r="AS922" t="s">
        <v>3009</v>
      </c>
      <c r="AT922">
        <v>0.63</v>
      </c>
      <c r="AU922" t="s">
        <v>43</v>
      </c>
      <c r="AV922" t="s">
        <v>44</v>
      </c>
      <c r="AW922" t="s">
        <v>45</v>
      </c>
      <c r="AX922" s="1">
        <v>0.375</v>
      </c>
      <c r="AY922" t="s">
        <v>3161</v>
      </c>
      <c r="AZ922">
        <v>59.99999999650754</v>
      </c>
      <c r="BA922">
        <v>0</v>
      </c>
      <c r="BB922">
        <v>0.1</v>
      </c>
      <c r="BC922">
        <v>0</v>
      </c>
      <c r="BD922">
        <v>0</v>
      </c>
      <c r="BE922">
        <f t="shared" si="149"/>
        <v>0</v>
      </c>
    </row>
    <row r="923" spans="1:57" x14ac:dyDescent="0.25">
      <c r="A923" t="s">
        <v>39</v>
      </c>
      <c r="B923" t="s">
        <v>3162</v>
      </c>
      <c r="C923">
        <v>68.099999999999994</v>
      </c>
      <c r="D923">
        <v>59.1</v>
      </c>
      <c r="G923">
        <f t="shared" si="140"/>
        <v>1</v>
      </c>
      <c r="H923">
        <f t="shared" si="141"/>
        <v>0</v>
      </c>
      <c r="I923">
        <f t="shared" si="142"/>
        <v>1</v>
      </c>
      <c r="J923">
        <v>63.4</v>
      </c>
      <c r="K923">
        <v>68.099999999999994</v>
      </c>
      <c r="L923">
        <v>59.1</v>
      </c>
      <c r="M923">
        <v>63.4</v>
      </c>
      <c r="N923">
        <v>54.5</v>
      </c>
      <c r="O923">
        <v>72.900000000000006</v>
      </c>
      <c r="S923">
        <f t="shared" si="143"/>
        <v>1</v>
      </c>
      <c r="T923">
        <f t="shared" si="144"/>
        <v>1</v>
      </c>
      <c r="U923">
        <f t="shared" si="145"/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13.9</v>
      </c>
      <c r="AG923">
        <f t="shared" si="146"/>
        <v>1</v>
      </c>
      <c r="AH923">
        <f t="shared" si="147"/>
        <v>0</v>
      </c>
      <c r="AI923">
        <f t="shared" si="148"/>
        <v>1</v>
      </c>
      <c r="AJ923">
        <v>316.8</v>
      </c>
      <c r="AK923">
        <v>1016</v>
      </c>
      <c r="AL923">
        <v>39.5</v>
      </c>
      <c r="AM923">
        <v>6.7</v>
      </c>
      <c r="AN923">
        <v>0</v>
      </c>
      <c r="AO923">
        <v>0</v>
      </c>
      <c r="AP923">
        <v>0</v>
      </c>
      <c r="AQ923">
        <v>0</v>
      </c>
      <c r="AR923" t="s">
        <v>3163</v>
      </c>
      <c r="AS923" t="s">
        <v>3164</v>
      </c>
      <c r="AT923">
        <v>0.03</v>
      </c>
      <c r="AU923" t="s">
        <v>43</v>
      </c>
      <c r="AV923" t="s">
        <v>44</v>
      </c>
      <c r="AW923" t="s">
        <v>45</v>
      </c>
      <c r="AX923" s="1">
        <v>0.56180555555555556</v>
      </c>
      <c r="AY923" t="s">
        <v>3165</v>
      </c>
      <c r="AZ923">
        <v>271.00000000325957</v>
      </c>
      <c r="BA923">
        <v>0</v>
      </c>
      <c r="BB923">
        <v>0</v>
      </c>
      <c r="BC923">
        <v>0.15</v>
      </c>
      <c r="BD923">
        <v>0</v>
      </c>
      <c r="BE923">
        <f t="shared" si="149"/>
        <v>0</v>
      </c>
    </row>
    <row r="924" spans="1:57" x14ac:dyDescent="0.25">
      <c r="A924" t="s">
        <v>39</v>
      </c>
      <c r="B924" t="s">
        <v>3166</v>
      </c>
      <c r="C924">
        <v>80.7</v>
      </c>
      <c r="D924">
        <v>75.3</v>
      </c>
      <c r="G924">
        <f t="shared" si="140"/>
        <v>1</v>
      </c>
      <c r="H924">
        <f t="shared" si="141"/>
        <v>0</v>
      </c>
      <c r="I924">
        <f t="shared" si="142"/>
        <v>1</v>
      </c>
      <c r="J924">
        <v>77.7</v>
      </c>
      <c r="K924">
        <v>82.4</v>
      </c>
      <c r="L924">
        <v>75.3</v>
      </c>
      <c r="M924">
        <v>78</v>
      </c>
      <c r="N924">
        <v>62.9</v>
      </c>
      <c r="O924">
        <v>60.7</v>
      </c>
      <c r="S924">
        <f t="shared" si="143"/>
        <v>0</v>
      </c>
      <c r="T924">
        <f t="shared" si="144"/>
        <v>0</v>
      </c>
      <c r="U924">
        <f t="shared" si="145"/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24.2</v>
      </c>
      <c r="AG924">
        <f t="shared" si="146"/>
        <v>1</v>
      </c>
      <c r="AH924">
        <f t="shared" si="147"/>
        <v>1</v>
      </c>
      <c r="AI924">
        <f t="shared" si="148"/>
        <v>0</v>
      </c>
      <c r="AJ924">
        <v>322.3</v>
      </c>
      <c r="AK924">
        <v>1010.5</v>
      </c>
      <c r="AL924">
        <v>30</v>
      </c>
      <c r="AM924">
        <v>6.6</v>
      </c>
      <c r="AN924">
        <v>0</v>
      </c>
      <c r="AO924">
        <v>0</v>
      </c>
      <c r="AP924">
        <v>0</v>
      </c>
      <c r="AQ924">
        <v>0</v>
      </c>
      <c r="AR924" t="s">
        <v>3167</v>
      </c>
      <c r="AS924" t="s">
        <v>3168</v>
      </c>
      <c r="AT924">
        <v>0.47</v>
      </c>
      <c r="AU924" t="s">
        <v>43</v>
      </c>
      <c r="AV924" t="s">
        <v>44</v>
      </c>
      <c r="AW924" t="s">
        <v>45</v>
      </c>
      <c r="AX924" s="1">
        <v>0.52083333333333337</v>
      </c>
      <c r="AY924" t="s">
        <v>3169</v>
      </c>
      <c r="AZ924">
        <v>4770</v>
      </c>
      <c r="BA924">
        <v>1</v>
      </c>
      <c r="BB924">
        <v>0</v>
      </c>
      <c r="BC924">
        <v>1000</v>
      </c>
      <c r="BD924">
        <v>0</v>
      </c>
      <c r="BE924">
        <f t="shared" si="149"/>
        <v>1</v>
      </c>
    </row>
    <row r="925" spans="1:57" x14ac:dyDescent="0.25">
      <c r="A925" t="s">
        <v>39</v>
      </c>
      <c r="B925" t="s">
        <v>3170</v>
      </c>
      <c r="C925">
        <v>82.5</v>
      </c>
      <c r="D925">
        <v>69.900000000000006</v>
      </c>
      <c r="G925">
        <f t="shared" si="140"/>
        <v>1</v>
      </c>
      <c r="H925">
        <f t="shared" si="141"/>
        <v>1</v>
      </c>
      <c r="I925">
        <f t="shared" si="142"/>
        <v>0</v>
      </c>
      <c r="J925">
        <v>76.2</v>
      </c>
      <c r="K925">
        <v>85.5</v>
      </c>
      <c r="L925">
        <v>69.900000000000006</v>
      </c>
      <c r="M925">
        <v>77.099999999999994</v>
      </c>
      <c r="N925">
        <v>61.5</v>
      </c>
      <c r="O925">
        <v>60.8</v>
      </c>
      <c r="S925">
        <f t="shared" si="143"/>
        <v>0</v>
      </c>
      <c r="T925">
        <f t="shared" si="144"/>
        <v>0</v>
      </c>
      <c r="U925">
        <f t="shared" si="145"/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8.1</v>
      </c>
      <c r="AG925">
        <f t="shared" si="146"/>
        <v>1</v>
      </c>
      <c r="AH925">
        <f t="shared" si="147"/>
        <v>0</v>
      </c>
      <c r="AI925">
        <f t="shared" si="148"/>
        <v>1</v>
      </c>
      <c r="AJ925">
        <v>9.5</v>
      </c>
      <c r="AK925">
        <v>1010.4</v>
      </c>
      <c r="AL925">
        <v>30</v>
      </c>
      <c r="AM925">
        <v>6.6</v>
      </c>
      <c r="AN925">
        <v>0</v>
      </c>
      <c r="AO925">
        <v>0</v>
      </c>
      <c r="AP925">
        <v>0</v>
      </c>
      <c r="AQ925">
        <v>0</v>
      </c>
      <c r="AR925" t="s">
        <v>3171</v>
      </c>
      <c r="AS925" t="s">
        <v>3172</v>
      </c>
      <c r="AT925">
        <v>0.95</v>
      </c>
      <c r="AU925" t="s">
        <v>43</v>
      </c>
      <c r="AV925" t="s">
        <v>44</v>
      </c>
      <c r="AW925" t="s">
        <v>45</v>
      </c>
      <c r="AX925" s="1">
        <v>0.4548611111111111</v>
      </c>
      <c r="AY925" t="s">
        <v>3173</v>
      </c>
      <c r="AZ925">
        <v>259.99999999883579</v>
      </c>
      <c r="BA925">
        <v>0</v>
      </c>
      <c r="BB925">
        <v>1</v>
      </c>
      <c r="BC925">
        <v>0</v>
      </c>
      <c r="BD925">
        <v>0</v>
      </c>
      <c r="BE925">
        <f t="shared" si="149"/>
        <v>0</v>
      </c>
    </row>
    <row r="926" spans="1:57" x14ac:dyDescent="0.25">
      <c r="A926" t="s">
        <v>39</v>
      </c>
      <c r="B926" t="s">
        <v>3174</v>
      </c>
      <c r="C926">
        <v>66.3</v>
      </c>
      <c r="D926">
        <v>46.5</v>
      </c>
      <c r="G926">
        <f t="shared" si="140"/>
        <v>1</v>
      </c>
      <c r="H926">
        <f t="shared" si="141"/>
        <v>1</v>
      </c>
      <c r="I926">
        <f t="shared" si="142"/>
        <v>0</v>
      </c>
      <c r="J926">
        <v>57.1</v>
      </c>
      <c r="K926">
        <v>66.3</v>
      </c>
      <c r="L926">
        <v>43</v>
      </c>
      <c r="M926">
        <v>56.9</v>
      </c>
      <c r="N926">
        <v>50</v>
      </c>
      <c r="O926">
        <v>77.599999999999994</v>
      </c>
      <c r="S926">
        <f t="shared" si="143"/>
        <v>1</v>
      </c>
      <c r="T926">
        <f t="shared" si="144"/>
        <v>1</v>
      </c>
      <c r="U926">
        <f t="shared" si="145"/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11.4</v>
      </c>
      <c r="AG926">
        <f t="shared" si="146"/>
        <v>1</v>
      </c>
      <c r="AH926">
        <f t="shared" si="147"/>
        <v>0</v>
      </c>
      <c r="AI926">
        <f t="shared" si="148"/>
        <v>1</v>
      </c>
      <c r="AJ926">
        <v>177.3</v>
      </c>
      <c r="AK926">
        <v>1020.9</v>
      </c>
      <c r="AL926">
        <v>0</v>
      </c>
      <c r="AM926">
        <v>6.2</v>
      </c>
      <c r="AN926">
        <v>0</v>
      </c>
      <c r="AO926">
        <v>0</v>
      </c>
      <c r="AP926">
        <v>0</v>
      </c>
      <c r="AQ926">
        <v>0</v>
      </c>
      <c r="AR926" t="s">
        <v>3175</v>
      </c>
      <c r="AS926" t="s">
        <v>3176</v>
      </c>
      <c r="AT926">
        <v>0.23</v>
      </c>
      <c r="AU926" t="s">
        <v>74</v>
      </c>
      <c r="AV926" t="s">
        <v>44</v>
      </c>
      <c r="AW926" t="s">
        <v>75</v>
      </c>
      <c r="AX926" s="1">
        <v>0.72916666666666663</v>
      </c>
      <c r="AY926" t="s">
        <v>3177</v>
      </c>
      <c r="AZ926">
        <v>360</v>
      </c>
      <c r="BA926">
        <v>0</v>
      </c>
      <c r="BB926">
        <v>0</v>
      </c>
      <c r="BC926">
        <v>10</v>
      </c>
      <c r="BD926">
        <v>0</v>
      </c>
      <c r="BE926">
        <f t="shared" si="149"/>
        <v>1</v>
      </c>
    </row>
    <row r="927" spans="1:57" x14ac:dyDescent="0.25">
      <c r="A927" t="s">
        <v>39</v>
      </c>
      <c r="B927" t="s">
        <v>3178</v>
      </c>
      <c r="C927">
        <v>57.3</v>
      </c>
      <c r="D927">
        <v>48.3</v>
      </c>
      <c r="G927">
        <f t="shared" si="140"/>
        <v>1</v>
      </c>
      <c r="H927">
        <f t="shared" si="141"/>
        <v>0</v>
      </c>
      <c r="I927">
        <f t="shared" si="142"/>
        <v>1</v>
      </c>
      <c r="J927">
        <v>53.3</v>
      </c>
      <c r="K927">
        <v>57.3</v>
      </c>
      <c r="L927">
        <v>44.2</v>
      </c>
      <c r="M927">
        <v>52.8</v>
      </c>
      <c r="N927">
        <v>39.1</v>
      </c>
      <c r="O927">
        <v>58.9</v>
      </c>
      <c r="S927">
        <f t="shared" si="143"/>
        <v>1</v>
      </c>
      <c r="T927">
        <f t="shared" si="144"/>
        <v>0</v>
      </c>
      <c r="U927">
        <f t="shared" si="145"/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21.9</v>
      </c>
      <c r="AG927">
        <f t="shared" si="146"/>
        <v>1</v>
      </c>
      <c r="AH927">
        <f t="shared" si="147"/>
        <v>1</v>
      </c>
      <c r="AI927">
        <f t="shared" si="148"/>
        <v>0</v>
      </c>
      <c r="AJ927">
        <v>320.39999999999998</v>
      </c>
      <c r="AK927">
        <v>1020.7</v>
      </c>
      <c r="AL927">
        <v>67.3</v>
      </c>
      <c r="AM927">
        <v>6.8</v>
      </c>
      <c r="AN927">
        <v>0</v>
      </c>
      <c r="AO927">
        <v>0</v>
      </c>
      <c r="AP927">
        <v>0</v>
      </c>
      <c r="AQ927">
        <v>0</v>
      </c>
      <c r="AR927" t="s">
        <v>3179</v>
      </c>
      <c r="AS927" t="s">
        <v>3180</v>
      </c>
      <c r="AT927">
        <v>0.15</v>
      </c>
      <c r="AU927" t="s">
        <v>43</v>
      </c>
      <c r="AV927" t="s">
        <v>44</v>
      </c>
      <c r="AW927" t="s">
        <v>45</v>
      </c>
      <c r="AX927" s="1">
        <v>0.52083333333333337</v>
      </c>
      <c r="AY927" t="s">
        <v>3181</v>
      </c>
      <c r="AZ927">
        <v>225</v>
      </c>
      <c r="BA927">
        <v>0</v>
      </c>
      <c r="BB927">
        <v>0</v>
      </c>
      <c r="BC927">
        <v>3</v>
      </c>
      <c r="BD927">
        <v>0</v>
      </c>
      <c r="BE927">
        <f t="shared" si="149"/>
        <v>1</v>
      </c>
    </row>
    <row r="928" spans="1:57" x14ac:dyDescent="0.25">
      <c r="A928" t="s">
        <v>39</v>
      </c>
      <c r="B928" t="s">
        <v>3182</v>
      </c>
      <c r="C928">
        <v>82.5</v>
      </c>
      <c r="D928">
        <v>77.099999999999994</v>
      </c>
      <c r="G928">
        <f t="shared" si="140"/>
        <v>1</v>
      </c>
      <c r="H928">
        <f t="shared" si="141"/>
        <v>1</v>
      </c>
      <c r="I928">
        <f t="shared" si="142"/>
        <v>0</v>
      </c>
      <c r="J928">
        <v>79.099999999999994</v>
      </c>
      <c r="K928">
        <v>86.4</v>
      </c>
      <c r="L928">
        <v>77.099999999999994</v>
      </c>
      <c r="M928">
        <v>80</v>
      </c>
      <c r="N928">
        <v>68.099999999999994</v>
      </c>
      <c r="O928">
        <v>69.3</v>
      </c>
      <c r="S928">
        <f t="shared" si="143"/>
        <v>1</v>
      </c>
      <c r="T928">
        <f t="shared" si="144"/>
        <v>1</v>
      </c>
      <c r="U928">
        <f t="shared" si="145"/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25.3</v>
      </c>
      <c r="AG928">
        <f t="shared" si="146"/>
        <v>1</v>
      </c>
      <c r="AH928">
        <f t="shared" si="147"/>
        <v>1</v>
      </c>
      <c r="AI928">
        <f t="shared" si="148"/>
        <v>0</v>
      </c>
      <c r="AJ928">
        <v>311.5</v>
      </c>
      <c r="AK928">
        <v>1014.6</v>
      </c>
      <c r="AL928">
        <v>30</v>
      </c>
      <c r="AM928">
        <v>6.6</v>
      </c>
      <c r="AN928">
        <v>0</v>
      </c>
      <c r="AO928">
        <v>0</v>
      </c>
      <c r="AP928">
        <v>0</v>
      </c>
      <c r="AQ928">
        <v>0</v>
      </c>
      <c r="AR928" t="s">
        <v>3183</v>
      </c>
      <c r="AS928" t="s">
        <v>3184</v>
      </c>
      <c r="AT928">
        <v>0.39</v>
      </c>
      <c r="AU928" t="s">
        <v>43</v>
      </c>
      <c r="AV928" t="s">
        <v>44</v>
      </c>
      <c r="AW928" t="s">
        <v>45</v>
      </c>
      <c r="AX928" s="1">
        <v>0.34722222222222221</v>
      </c>
      <c r="AY928" t="s">
        <v>3185</v>
      </c>
      <c r="AZ928">
        <v>160.0000000081491</v>
      </c>
      <c r="BA928">
        <v>0</v>
      </c>
      <c r="BB928">
        <v>0.1</v>
      </c>
      <c r="BC928">
        <v>0</v>
      </c>
      <c r="BD928">
        <v>0</v>
      </c>
      <c r="BE928">
        <f t="shared" si="149"/>
        <v>1</v>
      </c>
    </row>
    <row r="929" spans="1:57" x14ac:dyDescent="0.25">
      <c r="A929" t="s">
        <v>39</v>
      </c>
      <c r="B929" t="s">
        <v>3186</v>
      </c>
      <c r="C929">
        <v>80.7</v>
      </c>
      <c r="D929">
        <v>68.099999999999994</v>
      </c>
      <c r="G929">
        <f t="shared" si="140"/>
        <v>1</v>
      </c>
      <c r="H929">
        <f t="shared" si="141"/>
        <v>0</v>
      </c>
      <c r="I929">
        <f t="shared" si="142"/>
        <v>1</v>
      </c>
      <c r="J929">
        <v>76.599999999999994</v>
      </c>
      <c r="K929">
        <v>83.4</v>
      </c>
      <c r="L929">
        <v>68.099999999999994</v>
      </c>
      <c r="M929">
        <v>77.099999999999994</v>
      </c>
      <c r="N929">
        <v>65.599999999999994</v>
      </c>
      <c r="O929">
        <v>69.099999999999994</v>
      </c>
      <c r="S929">
        <f t="shared" si="143"/>
        <v>1</v>
      </c>
      <c r="T929">
        <f t="shared" si="144"/>
        <v>1</v>
      </c>
      <c r="U929">
        <f t="shared" si="145"/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18.3</v>
      </c>
      <c r="AG929">
        <f t="shared" si="146"/>
        <v>0</v>
      </c>
      <c r="AH929">
        <f t="shared" si="147"/>
        <v>0</v>
      </c>
      <c r="AI929">
        <f t="shared" si="148"/>
        <v>0</v>
      </c>
      <c r="AJ929">
        <v>310.39999999999998</v>
      </c>
      <c r="AK929">
        <v>1012.2</v>
      </c>
      <c r="AL929">
        <v>32.5</v>
      </c>
      <c r="AM929">
        <v>6.8</v>
      </c>
      <c r="AN929">
        <v>0</v>
      </c>
      <c r="AO929">
        <v>0</v>
      </c>
      <c r="AP929">
        <v>0</v>
      </c>
      <c r="AQ929">
        <v>0</v>
      </c>
      <c r="AR929" t="s">
        <v>3187</v>
      </c>
      <c r="AS929" t="s">
        <v>3188</v>
      </c>
      <c r="AT929">
        <v>0.16</v>
      </c>
      <c r="AU929" t="s">
        <v>43</v>
      </c>
      <c r="AV929" t="s">
        <v>44</v>
      </c>
      <c r="AW929" t="s">
        <v>45</v>
      </c>
      <c r="AX929" s="1">
        <v>0.70833333333333337</v>
      </c>
      <c r="AY929" t="s">
        <v>3189</v>
      </c>
      <c r="AZ929">
        <v>69.999999997671694</v>
      </c>
      <c r="BA929">
        <v>0</v>
      </c>
      <c r="BB929">
        <v>0.1</v>
      </c>
      <c r="BC929">
        <v>0</v>
      </c>
      <c r="BD929">
        <v>0</v>
      </c>
      <c r="BE929">
        <f t="shared" si="149"/>
        <v>0</v>
      </c>
    </row>
    <row r="930" spans="1:57" x14ac:dyDescent="0.25">
      <c r="A930" t="s">
        <v>39</v>
      </c>
      <c r="B930" t="s">
        <v>3190</v>
      </c>
      <c r="C930">
        <v>80.7</v>
      </c>
      <c r="D930">
        <v>73.5</v>
      </c>
      <c r="G930">
        <f t="shared" si="140"/>
        <v>1</v>
      </c>
      <c r="H930">
        <f t="shared" si="141"/>
        <v>0</v>
      </c>
      <c r="I930">
        <f t="shared" si="142"/>
        <v>1</v>
      </c>
      <c r="J930">
        <v>77.3</v>
      </c>
      <c r="K930">
        <v>82.4</v>
      </c>
      <c r="L930">
        <v>73.5</v>
      </c>
      <c r="M930">
        <v>77.7</v>
      </c>
      <c r="N930">
        <v>64.400000000000006</v>
      </c>
      <c r="O930">
        <v>65</v>
      </c>
      <c r="S930">
        <f t="shared" si="143"/>
        <v>1</v>
      </c>
      <c r="T930">
        <f t="shared" si="144"/>
        <v>1</v>
      </c>
      <c r="U930">
        <f t="shared" si="145"/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23</v>
      </c>
      <c r="AG930">
        <f t="shared" si="146"/>
        <v>1</v>
      </c>
      <c r="AH930">
        <f t="shared" si="147"/>
        <v>1</v>
      </c>
      <c r="AI930">
        <f t="shared" si="148"/>
        <v>0</v>
      </c>
      <c r="AJ930">
        <v>316.7</v>
      </c>
      <c r="AK930">
        <v>1014.5</v>
      </c>
      <c r="AL930">
        <v>33.299999999999997</v>
      </c>
      <c r="AM930">
        <v>6.8</v>
      </c>
      <c r="AN930">
        <v>0</v>
      </c>
      <c r="AO930">
        <v>0</v>
      </c>
      <c r="AP930">
        <v>0</v>
      </c>
      <c r="AQ930">
        <v>0</v>
      </c>
      <c r="AR930" t="s">
        <v>3191</v>
      </c>
      <c r="AS930" t="s">
        <v>3192</v>
      </c>
      <c r="AT930">
        <v>0.2</v>
      </c>
      <c r="AU930" t="s">
        <v>43</v>
      </c>
      <c r="AV930" t="s">
        <v>44</v>
      </c>
      <c r="AW930" t="s">
        <v>45</v>
      </c>
      <c r="AX930" s="1">
        <v>0.71180555555555558</v>
      </c>
      <c r="AY930" t="s">
        <v>3193</v>
      </c>
      <c r="AZ930">
        <v>284.99999999650748</v>
      </c>
      <c r="BA930">
        <v>0</v>
      </c>
      <c r="BB930">
        <v>0.1</v>
      </c>
      <c r="BC930">
        <v>0</v>
      </c>
      <c r="BD930">
        <v>0</v>
      </c>
      <c r="BE930">
        <f t="shared" si="149"/>
        <v>1</v>
      </c>
    </row>
    <row r="931" spans="1:57" x14ac:dyDescent="0.25">
      <c r="A931" t="s">
        <v>39</v>
      </c>
      <c r="B931" t="s">
        <v>3194</v>
      </c>
      <c r="C931">
        <v>84.3</v>
      </c>
      <c r="D931">
        <v>68.099999999999994</v>
      </c>
      <c r="G931">
        <f t="shared" si="140"/>
        <v>0</v>
      </c>
      <c r="H931">
        <f t="shared" si="141"/>
        <v>0</v>
      </c>
      <c r="I931">
        <f t="shared" si="142"/>
        <v>0</v>
      </c>
      <c r="J931">
        <v>76.599999999999994</v>
      </c>
      <c r="K931">
        <v>92.7</v>
      </c>
      <c r="L931">
        <v>68.099999999999994</v>
      </c>
      <c r="M931">
        <v>79</v>
      </c>
      <c r="N931">
        <v>66.5</v>
      </c>
      <c r="O931">
        <v>71.2</v>
      </c>
      <c r="S931">
        <f t="shared" si="143"/>
        <v>1</v>
      </c>
      <c r="T931">
        <f t="shared" si="144"/>
        <v>1</v>
      </c>
      <c r="U931">
        <f t="shared" si="145"/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11.4</v>
      </c>
      <c r="AG931">
        <f t="shared" si="146"/>
        <v>1</v>
      </c>
      <c r="AH931">
        <f t="shared" si="147"/>
        <v>0</v>
      </c>
      <c r="AI931">
        <f t="shared" si="148"/>
        <v>1</v>
      </c>
      <c r="AJ931">
        <v>248.4</v>
      </c>
      <c r="AK931">
        <v>1012.7</v>
      </c>
      <c r="AL931">
        <v>30</v>
      </c>
      <c r="AM931">
        <v>6.5</v>
      </c>
      <c r="AN931">
        <v>0</v>
      </c>
      <c r="AO931">
        <v>0</v>
      </c>
      <c r="AP931">
        <v>0</v>
      </c>
      <c r="AQ931">
        <v>0</v>
      </c>
      <c r="AR931" t="s">
        <v>3195</v>
      </c>
      <c r="AS931" t="s">
        <v>3196</v>
      </c>
      <c r="AT931">
        <v>0.33</v>
      </c>
      <c r="AU931" t="s">
        <v>43</v>
      </c>
      <c r="AV931" t="s">
        <v>44</v>
      </c>
      <c r="AW931" t="s">
        <v>45</v>
      </c>
      <c r="AX931" s="1">
        <v>0.6875</v>
      </c>
      <c r="AY931" t="s">
        <v>3197</v>
      </c>
      <c r="AZ931">
        <v>200.00000000232831</v>
      </c>
      <c r="BA931">
        <v>0</v>
      </c>
      <c r="BB931">
        <v>0</v>
      </c>
      <c r="BC931">
        <v>1</v>
      </c>
      <c r="BD931">
        <v>0</v>
      </c>
      <c r="BE931">
        <f t="shared" si="149"/>
        <v>0</v>
      </c>
    </row>
    <row r="932" spans="1:57" x14ac:dyDescent="0.25">
      <c r="A932" t="s">
        <v>39</v>
      </c>
      <c r="B932" t="s">
        <v>3198</v>
      </c>
      <c r="C932">
        <v>77.099999999999994</v>
      </c>
      <c r="D932">
        <v>60.8</v>
      </c>
      <c r="G932">
        <f t="shared" si="140"/>
        <v>1</v>
      </c>
      <c r="H932">
        <f t="shared" si="141"/>
        <v>1</v>
      </c>
      <c r="I932">
        <f t="shared" si="142"/>
        <v>0</v>
      </c>
      <c r="J932">
        <v>68.5</v>
      </c>
      <c r="K932">
        <v>77.099999999999994</v>
      </c>
      <c r="L932">
        <v>60.8</v>
      </c>
      <c r="M932">
        <v>68.5</v>
      </c>
      <c r="N932">
        <v>62.1</v>
      </c>
      <c r="O932">
        <v>80.599999999999994</v>
      </c>
      <c r="S932">
        <f t="shared" si="143"/>
        <v>1</v>
      </c>
      <c r="T932">
        <f t="shared" si="144"/>
        <v>1</v>
      </c>
      <c r="U932">
        <f t="shared" si="145"/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10.3</v>
      </c>
      <c r="AG932">
        <f t="shared" si="146"/>
        <v>1</v>
      </c>
      <c r="AH932">
        <f t="shared" si="147"/>
        <v>0</v>
      </c>
      <c r="AI932">
        <f t="shared" si="148"/>
        <v>1</v>
      </c>
      <c r="AJ932">
        <v>180.1</v>
      </c>
      <c r="AK932">
        <v>1014.2</v>
      </c>
      <c r="AL932">
        <v>6</v>
      </c>
      <c r="AM932">
        <v>6.3</v>
      </c>
      <c r="AN932">
        <v>0</v>
      </c>
      <c r="AO932">
        <v>0</v>
      </c>
      <c r="AP932">
        <v>0</v>
      </c>
      <c r="AQ932">
        <v>0</v>
      </c>
      <c r="AR932" t="s">
        <v>3199</v>
      </c>
      <c r="AS932" t="s">
        <v>3200</v>
      </c>
      <c r="AT932">
        <v>0.72</v>
      </c>
      <c r="AU932" t="s">
        <v>74</v>
      </c>
      <c r="AV932" t="s">
        <v>2955</v>
      </c>
      <c r="AW932" t="s">
        <v>75</v>
      </c>
      <c r="AX932" s="1">
        <v>0.41666666666666669</v>
      </c>
      <c r="AY932" t="s">
        <v>3201</v>
      </c>
      <c r="AZ932">
        <v>210.00000000349249</v>
      </c>
      <c r="BA932">
        <v>0</v>
      </c>
      <c r="BB932">
        <v>0</v>
      </c>
      <c r="BC932">
        <v>0.1</v>
      </c>
      <c r="BD932">
        <v>0</v>
      </c>
      <c r="BE932">
        <f t="shared" si="149"/>
        <v>1</v>
      </c>
    </row>
    <row r="933" spans="1:57" x14ac:dyDescent="0.25">
      <c r="A933" t="s">
        <v>39</v>
      </c>
      <c r="B933" t="s">
        <v>3202</v>
      </c>
      <c r="C933">
        <v>80.7</v>
      </c>
      <c r="D933">
        <v>73.5</v>
      </c>
      <c r="G933">
        <f t="shared" si="140"/>
        <v>0</v>
      </c>
      <c r="H933">
        <f t="shared" si="141"/>
        <v>0</v>
      </c>
      <c r="I933">
        <f t="shared" si="142"/>
        <v>0</v>
      </c>
      <c r="J933">
        <v>76.3</v>
      </c>
      <c r="K933">
        <v>81.5</v>
      </c>
      <c r="L933">
        <v>73.5</v>
      </c>
      <c r="M933">
        <v>76.400000000000006</v>
      </c>
      <c r="N933">
        <v>62.7</v>
      </c>
      <c r="O933">
        <v>63.2</v>
      </c>
      <c r="S933">
        <f t="shared" si="143"/>
        <v>1</v>
      </c>
      <c r="T933">
        <f t="shared" si="144"/>
        <v>1</v>
      </c>
      <c r="U933">
        <f t="shared" si="145"/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21.9</v>
      </c>
      <c r="AG933">
        <f t="shared" si="146"/>
        <v>1</v>
      </c>
      <c r="AH933">
        <f t="shared" si="147"/>
        <v>1</v>
      </c>
      <c r="AI933">
        <f t="shared" si="148"/>
        <v>0</v>
      </c>
      <c r="AJ933">
        <v>312.3</v>
      </c>
      <c r="AK933">
        <v>1015</v>
      </c>
      <c r="AL933">
        <v>0</v>
      </c>
      <c r="AM933">
        <v>6.2</v>
      </c>
      <c r="AN933">
        <v>0</v>
      </c>
      <c r="AO933">
        <v>0</v>
      </c>
      <c r="AP933">
        <v>0</v>
      </c>
      <c r="AQ933">
        <v>0</v>
      </c>
      <c r="AR933" t="s">
        <v>3203</v>
      </c>
      <c r="AS933" t="s">
        <v>3204</v>
      </c>
      <c r="AT933">
        <v>0.89</v>
      </c>
      <c r="AU933" t="s">
        <v>74</v>
      </c>
      <c r="AV933" t="s">
        <v>44</v>
      </c>
      <c r="AW933" t="s">
        <v>75</v>
      </c>
      <c r="AX933" s="1">
        <v>0.70486111111111116</v>
      </c>
      <c r="AY933" t="s">
        <v>3205</v>
      </c>
      <c r="AZ933">
        <v>1564.9999999988361</v>
      </c>
      <c r="BA933">
        <v>1</v>
      </c>
      <c r="BB933">
        <v>1</v>
      </c>
      <c r="BC933">
        <v>0</v>
      </c>
      <c r="BD933">
        <v>0</v>
      </c>
      <c r="BE933">
        <f t="shared" si="149"/>
        <v>1</v>
      </c>
    </row>
    <row r="934" spans="1:57" x14ac:dyDescent="0.25">
      <c r="A934" t="s">
        <v>39</v>
      </c>
      <c r="B934" t="s">
        <v>3198</v>
      </c>
      <c r="C934">
        <v>77.099999999999994</v>
      </c>
      <c r="D934">
        <v>60.8</v>
      </c>
      <c r="G934">
        <f t="shared" si="140"/>
        <v>1</v>
      </c>
      <c r="H934">
        <f t="shared" si="141"/>
        <v>1</v>
      </c>
      <c r="I934">
        <f t="shared" si="142"/>
        <v>0</v>
      </c>
      <c r="J934">
        <v>68.5</v>
      </c>
      <c r="K934">
        <v>77.099999999999994</v>
      </c>
      <c r="L934">
        <v>60.8</v>
      </c>
      <c r="M934">
        <v>68.5</v>
      </c>
      <c r="N934">
        <v>62.1</v>
      </c>
      <c r="O934">
        <v>80.599999999999994</v>
      </c>
      <c r="S934">
        <f t="shared" si="143"/>
        <v>1</v>
      </c>
      <c r="T934">
        <f t="shared" si="144"/>
        <v>1</v>
      </c>
      <c r="U934">
        <f t="shared" si="145"/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10.3</v>
      </c>
      <c r="AG934">
        <f t="shared" si="146"/>
        <v>1</v>
      </c>
      <c r="AH934">
        <f t="shared" si="147"/>
        <v>0</v>
      </c>
      <c r="AI934">
        <f t="shared" si="148"/>
        <v>1</v>
      </c>
      <c r="AJ934">
        <v>180.1</v>
      </c>
      <c r="AK934">
        <v>1014.2</v>
      </c>
      <c r="AL934">
        <v>6</v>
      </c>
      <c r="AM934">
        <v>6.3</v>
      </c>
      <c r="AN934">
        <v>0</v>
      </c>
      <c r="AO934">
        <v>0</v>
      </c>
      <c r="AP934">
        <v>0</v>
      </c>
      <c r="AQ934">
        <v>0</v>
      </c>
      <c r="AR934" t="s">
        <v>3199</v>
      </c>
      <c r="AS934" t="s">
        <v>3200</v>
      </c>
      <c r="AT934">
        <v>0.72</v>
      </c>
      <c r="AU934" t="s">
        <v>74</v>
      </c>
      <c r="AV934" t="s">
        <v>2955</v>
      </c>
      <c r="AW934" t="s">
        <v>75</v>
      </c>
      <c r="AX934" s="1">
        <v>0.4861111111111111</v>
      </c>
      <c r="AY934" t="s">
        <v>3206</v>
      </c>
      <c r="AZ934">
        <v>214.99999999883579</v>
      </c>
      <c r="BA934">
        <v>0</v>
      </c>
      <c r="BB934">
        <v>0</v>
      </c>
      <c r="BC934">
        <v>0.1</v>
      </c>
      <c r="BD934">
        <v>0</v>
      </c>
      <c r="BE934">
        <f t="shared" si="149"/>
        <v>1</v>
      </c>
    </row>
    <row r="935" spans="1:57" x14ac:dyDescent="0.25">
      <c r="A935" t="s">
        <v>39</v>
      </c>
      <c r="B935" t="s">
        <v>3207</v>
      </c>
      <c r="C935">
        <v>87.9</v>
      </c>
      <c r="D935">
        <v>75.3</v>
      </c>
      <c r="G935">
        <f t="shared" si="140"/>
        <v>1</v>
      </c>
      <c r="H935">
        <f t="shared" si="141"/>
        <v>1</v>
      </c>
      <c r="I935">
        <f t="shared" si="142"/>
        <v>0</v>
      </c>
      <c r="J935">
        <v>81.3</v>
      </c>
      <c r="K935">
        <v>87.2</v>
      </c>
      <c r="L935">
        <v>75.3</v>
      </c>
      <c r="M935">
        <v>81.7</v>
      </c>
      <c r="N935">
        <v>61.5</v>
      </c>
      <c r="O935">
        <v>51.6</v>
      </c>
      <c r="S935">
        <f t="shared" si="143"/>
        <v>1</v>
      </c>
      <c r="T935">
        <f t="shared" si="144"/>
        <v>0</v>
      </c>
      <c r="U935">
        <f t="shared" si="145"/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19.5</v>
      </c>
      <c r="AG935">
        <f t="shared" si="146"/>
        <v>1</v>
      </c>
      <c r="AH935">
        <f t="shared" si="147"/>
        <v>1</v>
      </c>
      <c r="AI935">
        <f t="shared" si="148"/>
        <v>0</v>
      </c>
      <c r="AJ935">
        <v>302.39999999999998</v>
      </c>
      <c r="AK935">
        <v>1010.5</v>
      </c>
      <c r="AL935">
        <v>50</v>
      </c>
      <c r="AM935">
        <v>6.2</v>
      </c>
      <c r="AN935">
        <v>0</v>
      </c>
      <c r="AO935">
        <v>0</v>
      </c>
      <c r="AP935">
        <v>0</v>
      </c>
      <c r="AQ935">
        <v>0</v>
      </c>
      <c r="AR935" t="s">
        <v>3208</v>
      </c>
      <c r="AS935" t="s">
        <v>3209</v>
      </c>
      <c r="AT935">
        <v>0.62</v>
      </c>
      <c r="AU935" t="s">
        <v>43</v>
      </c>
      <c r="AV935" t="s">
        <v>44</v>
      </c>
      <c r="AW935" t="s">
        <v>45</v>
      </c>
      <c r="AX935" s="1">
        <v>0.78472222222222221</v>
      </c>
      <c r="AY935" t="s">
        <v>3210</v>
      </c>
      <c r="AZ935">
        <v>250.0000000081491</v>
      </c>
      <c r="BA935">
        <v>0</v>
      </c>
      <c r="BB935">
        <v>0.1</v>
      </c>
      <c r="BC935">
        <v>0</v>
      </c>
      <c r="BD935">
        <v>0</v>
      </c>
      <c r="BE935">
        <f t="shared" si="149"/>
        <v>1</v>
      </c>
    </row>
    <row r="936" spans="1:57" x14ac:dyDescent="0.25">
      <c r="A936" t="s">
        <v>39</v>
      </c>
      <c r="B936" t="s">
        <v>3190</v>
      </c>
      <c r="C936">
        <v>80.7</v>
      </c>
      <c r="D936">
        <v>73.5</v>
      </c>
      <c r="G936">
        <f t="shared" si="140"/>
        <v>1</v>
      </c>
      <c r="H936">
        <f t="shared" si="141"/>
        <v>0</v>
      </c>
      <c r="I936">
        <f t="shared" si="142"/>
        <v>1</v>
      </c>
      <c r="J936">
        <v>77.3</v>
      </c>
      <c r="K936">
        <v>82.4</v>
      </c>
      <c r="L936">
        <v>73.5</v>
      </c>
      <c r="M936">
        <v>77.7</v>
      </c>
      <c r="N936">
        <v>64.400000000000006</v>
      </c>
      <c r="O936">
        <v>65</v>
      </c>
      <c r="S936">
        <f t="shared" si="143"/>
        <v>1</v>
      </c>
      <c r="T936">
        <f t="shared" si="144"/>
        <v>1</v>
      </c>
      <c r="U936">
        <f t="shared" si="145"/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23</v>
      </c>
      <c r="AG936">
        <f t="shared" si="146"/>
        <v>1</v>
      </c>
      <c r="AH936">
        <f t="shared" si="147"/>
        <v>1</v>
      </c>
      <c r="AI936">
        <f t="shared" si="148"/>
        <v>0</v>
      </c>
      <c r="AJ936">
        <v>316.7</v>
      </c>
      <c r="AK936">
        <v>1014.5</v>
      </c>
      <c r="AL936">
        <v>33.299999999999997</v>
      </c>
      <c r="AM936">
        <v>6.8</v>
      </c>
      <c r="AN936">
        <v>0</v>
      </c>
      <c r="AO936">
        <v>0</v>
      </c>
      <c r="AP936">
        <v>0</v>
      </c>
      <c r="AQ936">
        <v>0</v>
      </c>
      <c r="AR936" t="s">
        <v>3191</v>
      </c>
      <c r="AS936" t="s">
        <v>3192</v>
      </c>
      <c r="AT936">
        <v>0.2</v>
      </c>
      <c r="AU936" t="s">
        <v>43</v>
      </c>
      <c r="AV936" t="s">
        <v>44</v>
      </c>
      <c r="AW936" t="s">
        <v>45</v>
      </c>
      <c r="AX936" s="1">
        <v>0.47222222222222221</v>
      </c>
      <c r="AY936" t="s">
        <v>3211</v>
      </c>
      <c r="AZ936">
        <v>460.00000000116421</v>
      </c>
      <c r="BA936">
        <v>1</v>
      </c>
      <c r="BB936">
        <v>0.1</v>
      </c>
      <c r="BC936">
        <v>0</v>
      </c>
      <c r="BD936">
        <v>0</v>
      </c>
      <c r="BE936">
        <f t="shared" si="149"/>
        <v>1</v>
      </c>
    </row>
    <row r="937" spans="1:57" x14ac:dyDescent="0.25">
      <c r="A937" t="s">
        <v>39</v>
      </c>
      <c r="B937" t="s">
        <v>3212</v>
      </c>
      <c r="C937">
        <v>53.7</v>
      </c>
      <c r="D937">
        <v>42.9</v>
      </c>
      <c r="G937">
        <f t="shared" si="140"/>
        <v>1</v>
      </c>
      <c r="H937">
        <f t="shared" si="141"/>
        <v>0</v>
      </c>
      <c r="I937">
        <f t="shared" si="142"/>
        <v>1</v>
      </c>
      <c r="J937">
        <v>49.4</v>
      </c>
      <c r="K937">
        <v>53.7</v>
      </c>
      <c r="L937">
        <v>35.4</v>
      </c>
      <c r="M937">
        <v>46</v>
      </c>
      <c r="N937">
        <v>36.700000000000003</v>
      </c>
      <c r="O937">
        <v>62.2</v>
      </c>
      <c r="S937">
        <f t="shared" si="143"/>
        <v>1</v>
      </c>
      <c r="T937">
        <f t="shared" si="144"/>
        <v>0</v>
      </c>
      <c r="U937">
        <f t="shared" si="145"/>
        <v>1</v>
      </c>
      <c r="V937">
        <v>3.9E-2</v>
      </c>
      <c r="W937">
        <v>100</v>
      </c>
      <c r="X937">
        <v>4.17</v>
      </c>
      <c r="Y937" t="s">
        <v>103</v>
      </c>
      <c r="Z937">
        <v>0</v>
      </c>
      <c r="AA937">
        <v>0</v>
      </c>
      <c r="AB937">
        <v>0</v>
      </c>
      <c r="AC937">
        <v>28.9</v>
      </c>
      <c r="AG937">
        <f t="shared" si="146"/>
        <v>1</v>
      </c>
      <c r="AH937">
        <f t="shared" si="147"/>
        <v>1</v>
      </c>
      <c r="AI937">
        <f t="shared" si="148"/>
        <v>0</v>
      </c>
      <c r="AJ937">
        <v>321.10000000000002</v>
      </c>
      <c r="AK937">
        <v>1011.4</v>
      </c>
      <c r="AL937">
        <v>61.7</v>
      </c>
      <c r="AM937">
        <v>6.7</v>
      </c>
      <c r="AN937">
        <v>0</v>
      </c>
      <c r="AO937">
        <v>0</v>
      </c>
      <c r="AP937">
        <v>0</v>
      </c>
      <c r="AQ937">
        <v>0</v>
      </c>
      <c r="AR937" t="s">
        <v>3213</v>
      </c>
      <c r="AS937" t="s">
        <v>3214</v>
      </c>
      <c r="AT937">
        <v>0.08</v>
      </c>
      <c r="AU937" t="s">
        <v>106</v>
      </c>
      <c r="AV937" t="s">
        <v>296</v>
      </c>
      <c r="AW937" t="s">
        <v>103</v>
      </c>
      <c r="AX937" s="1">
        <v>0.92361111111111116</v>
      </c>
      <c r="AY937" t="s">
        <v>3215</v>
      </c>
      <c r="AZ937">
        <v>545.00000000582077</v>
      </c>
      <c r="BA937">
        <v>1</v>
      </c>
      <c r="BB937">
        <v>0</v>
      </c>
      <c r="BC937">
        <v>2</v>
      </c>
      <c r="BD937">
        <v>0</v>
      </c>
      <c r="BE937">
        <f t="shared" si="149"/>
        <v>1</v>
      </c>
    </row>
    <row r="938" spans="1:57" x14ac:dyDescent="0.25">
      <c r="A938" t="s">
        <v>39</v>
      </c>
      <c r="B938" t="s">
        <v>3216</v>
      </c>
      <c r="C938">
        <v>60.9</v>
      </c>
      <c r="D938">
        <v>44.7</v>
      </c>
      <c r="G938">
        <f t="shared" si="140"/>
        <v>0</v>
      </c>
      <c r="H938">
        <f t="shared" si="141"/>
        <v>0</v>
      </c>
      <c r="I938">
        <f t="shared" si="142"/>
        <v>0</v>
      </c>
      <c r="J938">
        <v>52.6</v>
      </c>
      <c r="K938">
        <v>60.9</v>
      </c>
      <c r="L938">
        <v>39.799999999999997</v>
      </c>
      <c r="M938">
        <v>51.1</v>
      </c>
      <c r="N938">
        <v>42.3</v>
      </c>
      <c r="O938">
        <v>68.599999999999994</v>
      </c>
      <c r="S938">
        <f t="shared" si="143"/>
        <v>1</v>
      </c>
      <c r="T938">
        <f t="shared" si="144"/>
        <v>1</v>
      </c>
      <c r="U938">
        <f t="shared" si="145"/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9.1999999999999993</v>
      </c>
      <c r="AG938">
        <f t="shared" si="146"/>
        <v>1</v>
      </c>
      <c r="AH938">
        <f t="shared" si="147"/>
        <v>0</v>
      </c>
      <c r="AI938">
        <f t="shared" si="148"/>
        <v>1</v>
      </c>
      <c r="AJ938">
        <v>147.6</v>
      </c>
      <c r="AK938">
        <v>1020.2</v>
      </c>
      <c r="AL938">
        <v>47.5</v>
      </c>
      <c r="AM938">
        <v>6.8</v>
      </c>
      <c r="AN938">
        <v>0</v>
      </c>
      <c r="AO938">
        <v>0</v>
      </c>
      <c r="AP938">
        <v>0</v>
      </c>
      <c r="AQ938">
        <v>0</v>
      </c>
      <c r="AR938" t="s">
        <v>3217</v>
      </c>
      <c r="AS938" t="s">
        <v>3218</v>
      </c>
      <c r="AT938">
        <v>0.7</v>
      </c>
      <c r="AU938" t="s">
        <v>43</v>
      </c>
      <c r="AV938" t="s">
        <v>44</v>
      </c>
      <c r="AW938" t="s">
        <v>45</v>
      </c>
      <c r="AX938" s="1">
        <v>0.69791666666666663</v>
      </c>
      <c r="AY938" t="s">
        <v>3219</v>
      </c>
      <c r="AZ938">
        <v>120.0000000034925</v>
      </c>
      <c r="BA938">
        <v>0</v>
      </c>
      <c r="BB938">
        <v>0</v>
      </c>
      <c r="BC938">
        <v>2</v>
      </c>
      <c r="BD938">
        <v>0</v>
      </c>
      <c r="BE938">
        <f t="shared" si="149"/>
        <v>0</v>
      </c>
    </row>
    <row r="939" spans="1:57" x14ac:dyDescent="0.25">
      <c r="A939" t="s">
        <v>39</v>
      </c>
      <c r="B939" t="s">
        <v>3194</v>
      </c>
      <c r="C939">
        <v>84.3</v>
      </c>
      <c r="D939">
        <v>68.099999999999994</v>
      </c>
      <c r="G939">
        <f t="shared" si="140"/>
        <v>0</v>
      </c>
      <c r="H939">
        <f t="shared" si="141"/>
        <v>0</v>
      </c>
      <c r="I939">
        <f t="shared" si="142"/>
        <v>0</v>
      </c>
      <c r="J939">
        <v>76.599999999999994</v>
      </c>
      <c r="K939">
        <v>92.7</v>
      </c>
      <c r="L939">
        <v>68.099999999999994</v>
      </c>
      <c r="M939">
        <v>79</v>
      </c>
      <c r="N939">
        <v>66.5</v>
      </c>
      <c r="O939">
        <v>71.2</v>
      </c>
      <c r="S939">
        <f t="shared" si="143"/>
        <v>1</v>
      </c>
      <c r="T939">
        <f t="shared" si="144"/>
        <v>1</v>
      </c>
      <c r="U939">
        <f t="shared" si="145"/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11.4</v>
      </c>
      <c r="AG939">
        <f t="shared" si="146"/>
        <v>1</v>
      </c>
      <c r="AH939">
        <f t="shared" si="147"/>
        <v>0</v>
      </c>
      <c r="AI939">
        <f t="shared" si="148"/>
        <v>1</v>
      </c>
      <c r="AJ939">
        <v>248.4</v>
      </c>
      <c r="AK939">
        <v>1012.7</v>
      </c>
      <c r="AL939">
        <v>30</v>
      </c>
      <c r="AM939">
        <v>6.5</v>
      </c>
      <c r="AN939">
        <v>0</v>
      </c>
      <c r="AO939">
        <v>0</v>
      </c>
      <c r="AP939">
        <v>0</v>
      </c>
      <c r="AQ939">
        <v>0</v>
      </c>
      <c r="AR939" t="s">
        <v>3195</v>
      </c>
      <c r="AS939" t="s">
        <v>3196</v>
      </c>
      <c r="AT939">
        <v>0.33</v>
      </c>
      <c r="AU939" t="s">
        <v>43</v>
      </c>
      <c r="AV939" t="s">
        <v>44</v>
      </c>
      <c r="AW939" t="s">
        <v>45</v>
      </c>
      <c r="AX939" s="1">
        <v>0.69097222222222221</v>
      </c>
      <c r="AY939" t="s">
        <v>3220</v>
      </c>
      <c r="AZ939">
        <v>265.00000000465661</v>
      </c>
      <c r="BA939">
        <v>0</v>
      </c>
      <c r="BB939">
        <v>0.1</v>
      </c>
      <c r="BC939">
        <v>0</v>
      </c>
      <c r="BD939">
        <v>0</v>
      </c>
      <c r="BE939">
        <f t="shared" si="149"/>
        <v>0</v>
      </c>
    </row>
    <row r="940" spans="1:57" x14ac:dyDescent="0.25">
      <c r="A940" t="s">
        <v>39</v>
      </c>
      <c r="B940" t="s">
        <v>3207</v>
      </c>
      <c r="C940">
        <v>87.9</v>
      </c>
      <c r="D940">
        <v>75.3</v>
      </c>
      <c r="G940">
        <f t="shared" si="140"/>
        <v>1</v>
      </c>
      <c r="H940">
        <f t="shared" si="141"/>
        <v>1</v>
      </c>
      <c r="I940">
        <f t="shared" si="142"/>
        <v>0</v>
      </c>
      <c r="J940">
        <v>81.3</v>
      </c>
      <c r="K940">
        <v>87.2</v>
      </c>
      <c r="L940">
        <v>75.3</v>
      </c>
      <c r="M940">
        <v>81.7</v>
      </c>
      <c r="N940">
        <v>61.5</v>
      </c>
      <c r="O940">
        <v>51.6</v>
      </c>
      <c r="S940">
        <f t="shared" si="143"/>
        <v>1</v>
      </c>
      <c r="T940">
        <f t="shared" si="144"/>
        <v>0</v>
      </c>
      <c r="U940">
        <f t="shared" si="145"/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19.5</v>
      </c>
      <c r="AG940">
        <f t="shared" si="146"/>
        <v>1</v>
      </c>
      <c r="AH940">
        <f t="shared" si="147"/>
        <v>1</v>
      </c>
      <c r="AI940">
        <f t="shared" si="148"/>
        <v>0</v>
      </c>
      <c r="AJ940">
        <v>302.39999999999998</v>
      </c>
      <c r="AK940">
        <v>1010.5</v>
      </c>
      <c r="AL940">
        <v>50</v>
      </c>
      <c r="AM940">
        <v>6.2</v>
      </c>
      <c r="AN940">
        <v>0</v>
      </c>
      <c r="AO940">
        <v>0</v>
      </c>
      <c r="AP940">
        <v>0</v>
      </c>
      <c r="AQ940">
        <v>0</v>
      </c>
      <c r="AR940" t="s">
        <v>3208</v>
      </c>
      <c r="AS940" t="s">
        <v>3209</v>
      </c>
      <c r="AT940">
        <v>0.62</v>
      </c>
      <c r="AU940" t="s">
        <v>43</v>
      </c>
      <c r="AV940" t="s">
        <v>44</v>
      </c>
      <c r="AW940" t="s">
        <v>45</v>
      </c>
      <c r="AX940" s="1">
        <v>0.62152777777777779</v>
      </c>
      <c r="AY940" t="s">
        <v>3221</v>
      </c>
      <c r="AZ940">
        <v>454.99999999534339</v>
      </c>
      <c r="BA940">
        <v>1</v>
      </c>
      <c r="BB940">
        <v>2</v>
      </c>
      <c r="BC940">
        <v>0</v>
      </c>
      <c r="BD940">
        <v>0</v>
      </c>
      <c r="BE940">
        <f t="shared" si="149"/>
        <v>1</v>
      </c>
    </row>
    <row r="941" spans="1:57" x14ac:dyDescent="0.25">
      <c r="A941" t="s">
        <v>39</v>
      </c>
      <c r="B941" t="s">
        <v>3222</v>
      </c>
      <c r="C941">
        <v>60.9</v>
      </c>
      <c r="D941">
        <v>44.7</v>
      </c>
      <c r="G941">
        <f t="shared" si="140"/>
        <v>0</v>
      </c>
      <c r="H941">
        <f t="shared" si="141"/>
        <v>0</v>
      </c>
      <c r="I941">
        <f t="shared" si="142"/>
        <v>0</v>
      </c>
      <c r="J941">
        <v>54</v>
      </c>
      <c r="K941">
        <v>60.9</v>
      </c>
      <c r="L941">
        <v>40.799999999999997</v>
      </c>
      <c r="M941">
        <v>53</v>
      </c>
      <c r="N941">
        <v>45.4</v>
      </c>
      <c r="O941">
        <v>73.099999999999994</v>
      </c>
      <c r="S941">
        <f t="shared" si="143"/>
        <v>1</v>
      </c>
      <c r="T941">
        <f t="shared" si="144"/>
        <v>1</v>
      </c>
      <c r="U941">
        <f t="shared" si="145"/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16.100000000000001</v>
      </c>
      <c r="AG941">
        <f t="shared" si="146"/>
        <v>0</v>
      </c>
      <c r="AH941">
        <f t="shared" si="147"/>
        <v>0</v>
      </c>
      <c r="AI941">
        <f t="shared" si="148"/>
        <v>0</v>
      </c>
      <c r="AJ941">
        <v>120.8</v>
      </c>
      <c r="AK941">
        <v>1016.3</v>
      </c>
      <c r="AL941">
        <v>45</v>
      </c>
      <c r="AM941">
        <v>6.8</v>
      </c>
      <c r="AN941">
        <v>0</v>
      </c>
      <c r="AO941">
        <v>0</v>
      </c>
      <c r="AP941">
        <v>0</v>
      </c>
      <c r="AQ941">
        <v>0</v>
      </c>
      <c r="AR941" t="s">
        <v>3223</v>
      </c>
      <c r="AS941" t="s">
        <v>3224</v>
      </c>
      <c r="AT941">
        <v>0.5</v>
      </c>
      <c r="AU941" t="s">
        <v>43</v>
      </c>
      <c r="AV941" t="s">
        <v>44</v>
      </c>
      <c r="AW941" t="s">
        <v>45</v>
      </c>
      <c r="AX941" s="1">
        <v>0.79166666666666663</v>
      </c>
      <c r="AY941" t="s">
        <v>3225</v>
      </c>
      <c r="AZ941">
        <v>60.000000006984919</v>
      </c>
      <c r="BA941">
        <v>0</v>
      </c>
      <c r="BB941">
        <v>0</v>
      </c>
      <c r="BC941">
        <v>0.2</v>
      </c>
      <c r="BD941">
        <v>0</v>
      </c>
      <c r="BE941">
        <f t="shared" si="149"/>
        <v>0</v>
      </c>
    </row>
    <row r="942" spans="1:57" x14ac:dyDescent="0.25">
      <c r="A942" t="s">
        <v>39</v>
      </c>
      <c r="B942" t="s">
        <v>3226</v>
      </c>
      <c r="C942">
        <v>64.5</v>
      </c>
      <c r="D942">
        <v>48.3</v>
      </c>
      <c r="G942">
        <f t="shared" si="140"/>
        <v>1</v>
      </c>
      <c r="H942">
        <f t="shared" si="141"/>
        <v>0</v>
      </c>
      <c r="I942">
        <f t="shared" si="142"/>
        <v>1</v>
      </c>
      <c r="J942">
        <v>57.3</v>
      </c>
      <c r="K942">
        <v>64.5</v>
      </c>
      <c r="L942">
        <v>44.2</v>
      </c>
      <c r="M942">
        <v>56.7</v>
      </c>
      <c r="N942">
        <v>49.8</v>
      </c>
      <c r="O942">
        <v>76.2</v>
      </c>
      <c r="S942">
        <f t="shared" si="143"/>
        <v>1</v>
      </c>
      <c r="T942">
        <f t="shared" si="144"/>
        <v>1</v>
      </c>
      <c r="U942">
        <f t="shared" si="145"/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19.5</v>
      </c>
      <c r="AG942">
        <f t="shared" si="146"/>
        <v>1</v>
      </c>
      <c r="AH942">
        <f t="shared" si="147"/>
        <v>1</v>
      </c>
      <c r="AI942">
        <f t="shared" si="148"/>
        <v>0</v>
      </c>
      <c r="AJ942">
        <v>300.89999999999998</v>
      </c>
      <c r="AK942">
        <v>1015.9</v>
      </c>
      <c r="AL942">
        <v>31.7</v>
      </c>
      <c r="AM942">
        <v>6.8</v>
      </c>
      <c r="AN942">
        <v>0</v>
      </c>
      <c r="AO942">
        <v>0</v>
      </c>
      <c r="AP942">
        <v>0</v>
      </c>
      <c r="AQ942">
        <v>0</v>
      </c>
      <c r="AR942" t="s">
        <v>3227</v>
      </c>
      <c r="AS942" t="s">
        <v>3228</v>
      </c>
      <c r="AT942">
        <v>0.46</v>
      </c>
      <c r="AU942" t="s">
        <v>43</v>
      </c>
      <c r="AV942" t="s">
        <v>44</v>
      </c>
      <c r="AW942" t="s">
        <v>45</v>
      </c>
      <c r="AX942" s="1">
        <v>0.66666666666666663</v>
      </c>
      <c r="AY942" t="s">
        <v>3229</v>
      </c>
      <c r="AZ942">
        <v>240.00000000698489</v>
      </c>
      <c r="BA942">
        <v>0</v>
      </c>
      <c r="BB942">
        <v>0</v>
      </c>
      <c r="BC942">
        <v>0.2</v>
      </c>
      <c r="BD942">
        <v>0</v>
      </c>
      <c r="BE942">
        <f t="shared" si="149"/>
        <v>1</v>
      </c>
    </row>
    <row r="943" spans="1:57" x14ac:dyDescent="0.25">
      <c r="A943" t="s">
        <v>39</v>
      </c>
      <c r="B943" t="s">
        <v>3226</v>
      </c>
      <c r="C943">
        <v>64.5</v>
      </c>
      <c r="D943">
        <v>48.3</v>
      </c>
      <c r="G943">
        <f t="shared" si="140"/>
        <v>1</v>
      </c>
      <c r="H943">
        <f t="shared" si="141"/>
        <v>0</v>
      </c>
      <c r="I943">
        <f t="shared" si="142"/>
        <v>1</v>
      </c>
      <c r="J943">
        <v>57.3</v>
      </c>
      <c r="K943">
        <v>64.5</v>
      </c>
      <c r="L943">
        <v>44.2</v>
      </c>
      <c r="M943">
        <v>56.7</v>
      </c>
      <c r="N943">
        <v>49.8</v>
      </c>
      <c r="O943">
        <v>76.2</v>
      </c>
      <c r="S943">
        <f t="shared" si="143"/>
        <v>1</v>
      </c>
      <c r="T943">
        <f t="shared" si="144"/>
        <v>1</v>
      </c>
      <c r="U943">
        <f t="shared" si="145"/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19.5</v>
      </c>
      <c r="AG943">
        <f t="shared" si="146"/>
        <v>1</v>
      </c>
      <c r="AH943">
        <f t="shared" si="147"/>
        <v>1</v>
      </c>
      <c r="AI943">
        <f t="shared" si="148"/>
        <v>0</v>
      </c>
      <c r="AJ943">
        <v>300.89999999999998</v>
      </c>
      <c r="AK943">
        <v>1015.9</v>
      </c>
      <c r="AL943">
        <v>31.7</v>
      </c>
      <c r="AM943">
        <v>6.8</v>
      </c>
      <c r="AN943">
        <v>0</v>
      </c>
      <c r="AO943">
        <v>0</v>
      </c>
      <c r="AP943">
        <v>0</v>
      </c>
      <c r="AQ943">
        <v>0</v>
      </c>
      <c r="AR943" t="s">
        <v>3227</v>
      </c>
      <c r="AS943" t="s">
        <v>3228</v>
      </c>
      <c r="AT943">
        <v>0.46</v>
      </c>
      <c r="AU943" t="s">
        <v>43</v>
      </c>
      <c r="AV943" t="s">
        <v>44</v>
      </c>
      <c r="AW943" t="s">
        <v>45</v>
      </c>
      <c r="AX943" s="1">
        <v>0.69444444444444442</v>
      </c>
      <c r="AY943" t="s">
        <v>3230</v>
      </c>
      <c r="AZ943">
        <v>259.99999999883579</v>
      </c>
      <c r="BA943">
        <v>0</v>
      </c>
      <c r="BB943">
        <v>0</v>
      </c>
      <c r="BC943">
        <v>0.3</v>
      </c>
      <c r="BD943">
        <v>0</v>
      </c>
      <c r="BE943">
        <f t="shared" si="149"/>
        <v>1</v>
      </c>
    </row>
    <row r="944" spans="1:57" x14ac:dyDescent="0.25">
      <c r="A944" t="s">
        <v>39</v>
      </c>
      <c r="B944" t="s">
        <v>3231</v>
      </c>
      <c r="C944">
        <v>86.1</v>
      </c>
      <c r="D944">
        <v>78.900000000000006</v>
      </c>
      <c r="G944">
        <f t="shared" si="140"/>
        <v>1</v>
      </c>
      <c r="H944">
        <f t="shared" si="141"/>
        <v>1</v>
      </c>
      <c r="I944">
        <f t="shared" si="142"/>
        <v>0</v>
      </c>
      <c r="J944">
        <v>82</v>
      </c>
      <c r="K944">
        <v>92.1</v>
      </c>
      <c r="L944">
        <v>78.900000000000006</v>
      </c>
      <c r="M944">
        <v>84.4</v>
      </c>
      <c r="N944">
        <v>68.7</v>
      </c>
      <c r="O944">
        <v>64.400000000000006</v>
      </c>
      <c r="S944">
        <f t="shared" si="143"/>
        <v>1</v>
      </c>
      <c r="T944">
        <f t="shared" si="144"/>
        <v>1</v>
      </c>
      <c r="U944">
        <f t="shared" si="145"/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21.9</v>
      </c>
      <c r="AG944">
        <f t="shared" si="146"/>
        <v>1</v>
      </c>
      <c r="AH944">
        <f t="shared" si="147"/>
        <v>1</v>
      </c>
      <c r="AI944">
        <f t="shared" si="148"/>
        <v>0</v>
      </c>
      <c r="AJ944">
        <v>308.5</v>
      </c>
      <c r="AK944">
        <v>1009.8</v>
      </c>
      <c r="AL944">
        <v>30</v>
      </c>
      <c r="AM944">
        <v>6.7</v>
      </c>
      <c r="AN944">
        <v>0</v>
      </c>
      <c r="AO944">
        <v>0</v>
      </c>
      <c r="AP944">
        <v>0</v>
      </c>
      <c r="AQ944">
        <v>0</v>
      </c>
      <c r="AR944" t="s">
        <v>3232</v>
      </c>
      <c r="AS944" t="s">
        <v>3233</v>
      </c>
      <c r="AT944">
        <v>0.84</v>
      </c>
      <c r="AU944" t="s">
        <v>43</v>
      </c>
      <c r="AV944" t="s">
        <v>44</v>
      </c>
      <c r="AW944" t="s">
        <v>45</v>
      </c>
      <c r="AX944" s="1">
        <v>0.61111111111111116</v>
      </c>
      <c r="AY944" t="s">
        <v>3234</v>
      </c>
      <c r="AZ944">
        <v>4700.0000000023283</v>
      </c>
      <c r="BA944">
        <v>1</v>
      </c>
      <c r="BB944">
        <v>0</v>
      </c>
      <c r="BC944">
        <v>180</v>
      </c>
      <c r="BD944">
        <v>0</v>
      </c>
      <c r="BE944">
        <f t="shared" si="149"/>
        <v>1</v>
      </c>
    </row>
    <row r="945" spans="1:57" x14ac:dyDescent="0.25">
      <c r="A945" t="s">
        <v>39</v>
      </c>
      <c r="B945" t="s">
        <v>3235</v>
      </c>
      <c r="C945">
        <v>84.3</v>
      </c>
      <c r="D945">
        <v>77.099999999999994</v>
      </c>
      <c r="G945">
        <f t="shared" si="140"/>
        <v>0</v>
      </c>
      <c r="H945">
        <f t="shared" si="141"/>
        <v>0</v>
      </c>
      <c r="I945">
        <f t="shared" si="142"/>
        <v>0</v>
      </c>
      <c r="J945">
        <v>80.599999999999994</v>
      </c>
      <c r="K945">
        <v>89.8</v>
      </c>
      <c r="L945">
        <v>77.099999999999994</v>
      </c>
      <c r="M945">
        <v>82.6</v>
      </c>
      <c r="N945">
        <v>69.3</v>
      </c>
      <c r="O945">
        <v>68.8</v>
      </c>
      <c r="S945">
        <f t="shared" si="143"/>
        <v>1</v>
      </c>
      <c r="T945">
        <f t="shared" si="144"/>
        <v>1</v>
      </c>
      <c r="U945">
        <f t="shared" si="145"/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21.9</v>
      </c>
      <c r="AG945">
        <f t="shared" si="146"/>
        <v>1</v>
      </c>
      <c r="AH945">
        <f t="shared" si="147"/>
        <v>1</v>
      </c>
      <c r="AI945">
        <f t="shared" si="148"/>
        <v>0</v>
      </c>
      <c r="AJ945">
        <v>308.7</v>
      </c>
      <c r="AK945">
        <v>1010.9</v>
      </c>
      <c r="AL945">
        <v>30</v>
      </c>
      <c r="AM945">
        <v>6.7</v>
      </c>
      <c r="AN945">
        <v>0</v>
      </c>
      <c r="AO945">
        <v>0</v>
      </c>
      <c r="AP945">
        <v>0</v>
      </c>
      <c r="AQ945">
        <v>0</v>
      </c>
      <c r="AR945" t="s">
        <v>3236</v>
      </c>
      <c r="AS945" t="s">
        <v>3237</v>
      </c>
      <c r="AT945">
        <v>0.38</v>
      </c>
      <c r="AU945" t="s">
        <v>43</v>
      </c>
      <c r="AV945" t="s">
        <v>44</v>
      </c>
      <c r="AW945" t="s">
        <v>45</v>
      </c>
      <c r="AX945" s="1">
        <v>0.78819444444444442</v>
      </c>
      <c r="AY945" t="s">
        <v>3238</v>
      </c>
      <c r="AZ945">
        <v>1564.9999999988361</v>
      </c>
      <c r="BA945">
        <v>1</v>
      </c>
      <c r="BB945">
        <v>0</v>
      </c>
      <c r="BC945">
        <v>15</v>
      </c>
      <c r="BD945">
        <v>0</v>
      </c>
      <c r="BE945">
        <f t="shared" si="149"/>
        <v>1</v>
      </c>
    </row>
    <row r="946" spans="1:57" x14ac:dyDescent="0.25">
      <c r="A946" t="s">
        <v>39</v>
      </c>
      <c r="B946" t="s">
        <v>3239</v>
      </c>
      <c r="C946">
        <v>80.7</v>
      </c>
      <c r="D946">
        <v>75.3</v>
      </c>
      <c r="G946">
        <f t="shared" si="140"/>
        <v>1</v>
      </c>
      <c r="H946">
        <f t="shared" si="141"/>
        <v>0</v>
      </c>
      <c r="I946">
        <f t="shared" si="142"/>
        <v>1</v>
      </c>
      <c r="J946">
        <v>77.7</v>
      </c>
      <c r="K946">
        <v>82.9</v>
      </c>
      <c r="L946">
        <v>75.3</v>
      </c>
      <c r="M946">
        <v>78.2</v>
      </c>
      <c r="N946">
        <v>63.7</v>
      </c>
      <c r="O946">
        <v>62.3</v>
      </c>
      <c r="S946">
        <f t="shared" si="143"/>
        <v>1</v>
      </c>
      <c r="T946">
        <f t="shared" si="144"/>
        <v>1</v>
      </c>
      <c r="U946">
        <f t="shared" si="145"/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25.3</v>
      </c>
      <c r="AG946">
        <f t="shared" si="146"/>
        <v>1</v>
      </c>
      <c r="AH946">
        <f t="shared" si="147"/>
        <v>1</v>
      </c>
      <c r="AI946">
        <f t="shared" si="148"/>
        <v>0</v>
      </c>
      <c r="AJ946">
        <v>307.8</v>
      </c>
      <c r="AK946">
        <v>1010.7</v>
      </c>
      <c r="AL946">
        <v>30</v>
      </c>
      <c r="AM946">
        <v>6.5</v>
      </c>
      <c r="AN946">
        <v>0</v>
      </c>
      <c r="AO946">
        <v>0</v>
      </c>
      <c r="AP946">
        <v>0</v>
      </c>
      <c r="AQ946">
        <v>0</v>
      </c>
      <c r="AR946" t="s">
        <v>3240</v>
      </c>
      <c r="AS946" t="s">
        <v>3241</v>
      </c>
      <c r="AT946">
        <v>0.06</v>
      </c>
      <c r="AU946" t="s">
        <v>43</v>
      </c>
      <c r="AV946" t="s">
        <v>44</v>
      </c>
      <c r="AW946" t="s">
        <v>45</v>
      </c>
      <c r="AX946" s="1">
        <v>0.47569444444444442</v>
      </c>
      <c r="AY946" t="s">
        <v>3242</v>
      </c>
      <c r="AZ946">
        <v>454.99999999534339</v>
      </c>
      <c r="BA946">
        <v>1</v>
      </c>
      <c r="BB946">
        <v>0</v>
      </c>
      <c r="BC946">
        <v>3</v>
      </c>
      <c r="BD946">
        <v>0</v>
      </c>
      <c r="BE946">
        <f t="shared" si="149"/>
        <v>1</v>
      </c>
    </row>
    <row r="947" spans="1:57" x14ac:dyDescent="0.25">
      <c r="A947" t="s">
        <v>39</v>
      </c>
      <c r="B947" t="s">
        <v>3243</v>
      </c>
      <c r="C947">
        <v>80.7</v>
      </c>
      <c r="D947">
        <v>68.099999999999994</v>
      </c>
      <c r="G947">
        <f t="shared" si="140"/>
        <v>1</v>
      </c>
      <c r="H947">
        <f t="shared" si="141"/>
        <v>0</v>
      </c>
      <c r="I947">
        <f t="shared" si="142"/>
        <v>1</v>
      </c>
      <c r="J947">
        <v>75.599999999999994</v>
      </c>
      <c r="K947">
        <v>82.9</v>
      </c>
      <c r="L947">
        <v>68.099999999999994</v>
      </c>
      <c r="M947">
        <v>75.8</v>
      </c>
      <c r="N947">
        <v>64.400000000000006</v>
      </c>
      <c r="O947">
        <v>68.7</v>
      </c>
      <c r="S947">
        <f t="shared" si="143"/>
        <v>1</v>
      </c>
      <c r="T947">
        <f t="shared" si="144"/>
        <v>1</v>
      </c>
      <c r="U947">
        <f t="shared" si="145"/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19.5</v>
      </c>
      <c r="AG947">
        <f t="shared" si="146"/>
        <v>1</v>
      </c>
      <c r="AH947">
        <f t="shared" si="147"/>
        <v>1</v>
      </c>
      <c r="AI947">
        <f t="shared" si="148"/>
        <v>0</v>
      </c>
      <c r="AJ947">
        <v>320.39999999999998</v>
      </c>
      <c r="AK947">
        <v>1008.1</v>
      </c>
      <c r="AL947">
        <v>30</v>
      </c>
      <c r="AM947">
        <v>6.7</v>
      </c>
      <c r="AN947">
        <v>0</v>
      </c>
      <c r="AO947">
        <v>0</v>
      </c>
      <c r="AP947">
        <v>0</v>
      </c>
      <c r="AQ947">
        <v>0</v>
      </c>
      <c r="AR947" t="s">
        <v>3244</v>
      </c>
      <c r="AS947" t="s">
        <v>3245</v>
      </c>
      <c r="AT947">
        <v>0.13</v>
      </c>
      <c r="AU947" t="s">
        <v>43</v>
      </c>
      <c r="AV947" t="s">
        <v>44</v>
      </c>
      <c r="AW947" t="s">
        <v>45</v>
      </c>
      <c r="AX947" s="1">
        <v>0.54791666666666672</v>
      </c>
      <c r="AY947" t="s">
        <v>3246</v>
      </c>
      <c r="AZ947">
        <v>230.99999999860299</v>
      </c>
      <c r="BA947">
        <v>0</v>
      </c>
      <c r="BB947">
        <v>0</v>
      </c>
      <c r="BC947">
        <v>0.5</v>
      </c>
      <c r="BD947">
        <v>0</v>
      </c>
      <c r="BE947">
        <f t="shared" si="149"/>
        <v>1</v>
      </c>
    </row>
    <row r="948" spans="1:57" x14ac:dyDescent="0.25">
      <c r="A948" t="s">
        <v>39</v>
      </c>
      <c r="B948" t="s">
        <v>3247</v>
      </c>
      <c r="C948">
        <v>89.7</v>
      </c>
      <c r="D948">
        <v>75.3</v>
      </c>
      <c r="G948">
        <f t="shared" si="140"/>
        <v>1</v>
      </c>
      <c r="H948">
        <f t="shared" si="141"/>
        <v>1</v>
      </c>
      <c r="I948">
        <f t="shared" si="142"/>
        <v>0</v>
      </c>
      <c r="J948">
        <v>82.3</v>
      </c>
      <c r="K948">
        <v>95.4</v>
      </c>
      <c r="L948">
        <v>75.3</v>
      </c>
      <c r="M948">
        <v>85.2</v>
      </c>
      <c r="N948">
        <v>67.099999999999994</v>
      </c>
      <c r="O948">
        <v>61.1</v>
      </c>
      <c r="S948">
        <f t="shared" si="143"/>
        <v>0</v>
      </c>
      <c r="T948">
        <f t="shared" si="144"/>
        <v>0</v>
      </c>
      <c r="U948">
        <f t="shared" si="145"/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16.100000000000001</v>
      </c>
      <c r="AG948">
        <f t="shared" si="146"/>
        <v>0</v>
      </c>
      <c r="AH948">
        <f t="shared" si="147"/>
        <v>0</v>
      </c>
      <c r="AI948">
        <f t="shared" si="148"/>
        <v>0</v>
      </c>
      <c r="AJ948">
        <v>5.9</v>
      </c>
      <c r="AK948">
        <v>1008.1</v>
      </c>
      <c r="AL948">
        <v>30</v>
      </c>
      <c r="AM948">
        <v>6.3</v>
      </c>
      <c r="AN948">
        <v>0</v>
      </c>
      <c r="AO948">
        <v>0</v>
      </c>
      <c r="AP948">
        <v>0</v>
      </c>
      <c r="AQ948">
        <v>0</v>
      </c>
      <c r="AR948" t="s">
        <v>3248</v>
      </c>
      <c r="AS948" t="s">
        <v>3249</v>
      </c>
      <c r="AT948">
        <v>0.91</v>
      </c>
      <c r="AU948" t="s">
        <v>43</v>
      </c>
      <c r="AV948" t="s">
        <v>44</v>
      </c>
      <c r="AW948" t="s">
        <v>45</v>
      </c>
      <c r="AX948" s="1">
        <v>0.5444444444444444</v>
      </c>
      <c r="AY948" t="s">
        <v>3250</v>
      </c>
      <c r="AZ948">
        <v>1916.0000000009311</v>
      </c>
      <c r="BA948">
        <v>1</v>
      </c>
      <c r="BB948">
        <v>0</v>
      </c>
      <c r="BC948">
        <v>1</v>
      </c>
      <c r="BD948">
        <v>0</v>
      </c>
      <c r="BE948">
        <f t="shared" si="149"/>
        <v>0</v>
      </c>
    </row>
    <row r="949" spans="1:57" x14ac:dyDescent="0.25">
      <c r="A949" t="s">
        <v>39</v>
      </c>
      <c r="B949" t="s">
        <v>3251</v>
      </c>
      <c r="C949">
        <v>82.5</v>
      </c>
      <c r="D949">
        <v>73.5</v>
      </c>
      <c r="G949">
        <f t="shared" si="140"/>
        <v>0</v>
      </c>
      <c r="H949">
        <f t="shared" si="141"/>
        <v>0</v>
      </c>
      <c r="I949">
        <f t="shared" si="142"/>
        <v>0</v>
      </c>
      <c r="J949">
        <v>78.5</v>
      </c>
      <c r="K949">
        <v>84.8</v>
      </c>
      <c r="L949">
        <v>73.5</v>
      </c>
      <c r="M949">
        <v>79.400000000000006</v>
      </c>
      <c r="N949">
        <v>65</v>
      </c>
      <c r="O949">
        <v>63.6</v>
      </c>
      <c r="S949">
        <f t="shared" si="143"/>
        <v>1</v>
      </c>
      <c r="T949">
        <f t="shared" si="144"/>
        <v>1</v>
      </c>
      <c r="U949">
        <f t="shared" si="145"/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23</v>
      </c>
      <c r="AG949">
        <f t="shared" si="146"/>
        <v>1</v>
      </c>
      <c r="AH949">
        <f t="shared" si="147"/>
        <v>1</v>
      </c>
      <c r="AI949">
        <f t="shared" si="148"/>
        <v>0</v>
      </c>
      <c r="AJ949">
        <v>312.89999999999998</v>
      </c>
      <c r="AK949">
        <v>1012.8</v>
      </c>
      <c r="AL949">
        <v>30</v>
      </c>
      <c r="AM949">
        <v>6.7</v>
      </c>
      <c r="AN949">
        <v>0</v>
      </c>
      <c r="AO949">
        <v>0</v>
      </c>
      <c r="AP949">
        <v>0</v>
      </c>
      <c r="AQ949">
        <v>0</v>
      </c>
      <c r="AR949" t="s">
        <v>3252</v>
      </c>
      <c r="AS949" t="s">
        <v>3253</v>
      </c>
      <c r="AT949">
        <v>0.74</v>
      </c>
      <c r="AU949" t="s">
        <v>43</v>
      </c>
      <c r="AV949" t="s">
        <v>44</v>
      </c>
      <c r="AW949" t="s">
        <v>45</v>
      </c>
      <c r="AX949" s="1">
        <v>0.54166666666666663</v>
      </c>
      <c r="AY949" t="s">
        <v>3254</v>
      </c>
      <c r="AZ949">
        <v>70.000000008149073</v>
      </c>
      <c r="BA949">
        <v>0</v>
      </c>
      <c r="BB949">
        <v>0</v>
      </c>
      <c r="BC949">
        <v>0.1</v>
      </c>
      <c r="BD949">
        <v>0</v>
      </c>
      <c r="BE949">
        <f t="shared" si="149"/>
        <v>0</v>
      </c>
    </row>
    <row r="950" spans="1:57" x14ac:dyDescent="0.25">
      <c r="A950" t="s">
        <v>39</v>
      </c>
      <c r="B950" t="s">
        <v>3251</v>
      </c>
      <c r="C950">
        <v>82.5</v>
      </c>
      <c r="D950">
        <v>73.5</v>
      </c>
      <c r="G950">
        <f t="shared" si="140"/>
        <v>0</v>
      </c>
      <c r="H950">
        <f t="shared" si="141"/>
        <v>0</v>
      </c>
      <c r="I950">
        <f t="shared" si="142"/>
        <v>0</v>
      </c>
      <c r="J950">
        <v>78.5</v>
      </c>
      <c r="K950">
        <v>84.8</v>
      </c>
      <c r="L950">
        <v>73.5</v>
      </c>
      <c r="M950">
        <v>79.400000000000006</v>
      </c>
      <c r="N950">
        <v>65</v>
      </c>
      <c r="O950">
        <v>63.6</v>
      </c>
      <c r="S950">
        <f t="shared" si="143"/>
        <v>1</v>
      </c>
      <c r="T950">
        <f t="shared" si="144"/>
        <v>1</v>
      </c>
      <c r="U950">
        <f t="shared" si="145"/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23</v>
      </c>
      <c r="AG950">
        <f t="shared" si="146"/>
        <v>1</v>
      </c>
      <c r="AH950">
        <f t="shared" si="147"/>
        <v>1</v>
      </c>
      <c r="AI950">
        <f t="shared" si="148"/>
        <v>0</v>
      </c>
      <c r="AJ950">
        <v>312.89999999999998</v>
      </c>
      <c r="AK950">
        <v>1012.8</v>
      </c>
      <c r="AL950">
        <v>30</v>
      </c>
      <c r="AM950">
        <v>6.7</v>
      </c>
      <c r="AN950">
        <v>0</v>
      </c>
      <c r="AO950">
        <v>0</v>
      </c>
      <c r="AP950">
        <v>0</v>
      </c>
      <c r="AQ950">
        <v>0</v>
      </c>
      <c r="AR950" t="s">
        <v>3252</v>
      </c>
      <c r="AS950" t="s">
        <v>3253</v>
      </c>
      <c r="AT950">
        <v>0.74</v>
      </c>
      <c r="AU950" t="s">
        <v>43</v>
      </c>
      <c r="AV950" t="s">
        <v>44</v>
      </c>
      <c r="AW950" t="s">
        <v>45</v>
      </c>
      <c r="AX950" s="1">
        <v>0.54236111111111107</v>
      </c>
      <c r="AY950" t="s">
        <v>3255</v>
      </c>
      <c r="AZ950">
        <v>119.0000000002328</v>
      </c>
      <c r="BA950">
        <v>0</v>
      </c>
      <c r="BB950">
        <v>0</v>
      </c>
      <c r="BC950">
        <v>1</v>
      </c>
      <c r="BD950">
        <v>0</v>
      </c>
      <c r="BE950">
        <f t="shared" si="149"/>
        <v>0</v>
      </c>
    </row>
    <row r="951" spans="1:57" x14ac:dyDescent="0.25">
      <c r="A951" t="s">
        <v>39</v>
      </c>
      <c r="B951" t="s">
        <v>3256</v>
      </c>
      <c r="C951">
        <v>82.5</v>
      </c>
      <c r="D951">
        <v>75.3</v>
      </c>
      <c r="G951">
        <f t="shared" si="140"/>
        <v>0</v>
      </c>
      <c r="H951">
        <f t="shared" si="141"/>
        <v>0</v>
      </c>
      <c r="I951">
        <f t="shared" si="142"/>
        <v>0</v>
      </c>
      <c r="J951">
        <v>78.5</v>
      </c>
      <c r="K951">
        <v>84.8</v>
      </c>
      <c r="L951">
        <v>75.3</v>
      </c>
      <c r="M951">
        <v>79.2</v>
      </c>
      <c r="N951">
        <v>65.599999999999994</v>
      </c>
      <c r="O951">
        <v>64.900000000000006</v>
      </c>
      <c r="S951">
        <f t="shared" si="143"/>
        <v>1</v>
      </c>
      <c r="T951">
        <f t="shared" si="144"/>
        <v>1</v>
      </c>
      <c r="U951">
        <f t="shared" si="145"/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17.2</v>
      </c>
      <c r="AG951">
        <f t="shared" si="146"/>
        <v>0</v>
      </c>
      <c r="AH951">
        <f t="shared" si="147"/>
        <v>0</v>
      </c>
      <c r="AI951">
        <f t="shared" si="148"/>
        <v>0</v>
      </c>
      <c r="AJ951">
        <v>316.89999999999998</v>
      </c>
      <c r="AK951">
        <v>1011.3</v>
      </c>
      <c r="AL951">
        <v>39.5</v>
      </c>
      <c r="AM951">
        <v>6.7</v>
      </c>
      <c r="AN951">
        <v>0</v>
      </c>
      <c r="AO951">
        <v>0</v>
      </c>
      <c r="AP951">
        <v>0</v>
      </c>
      <c r="AQ951">
        <v>0</v>
      </c>
      <c r="AR951" t="s">
        <v>3257</v>
      </c>
      <c r="AS951" t="s">
        <v>3258</v>
      </c>
      <c r="AT951">
        <v>0.7</v>
      </c>
      <c r="AU951" t="s">
        <v>43</v>
      </c>
      <c r="AV951" t="s">
        <v>44</v>
      </c>
      <c r="AW951" t="s">
        <v>45</v>
      </c>
      <c r="AX951" s="1">
        <v>0.57638888888888884</v>
      </c>
      <c r="AY951" t="s">
        <v>3259</v>
      </c>
      <c r="AZ951">
        <v>1270.0000000011639</v>
      </c>
      <c r="BA951">
        <v>1</v>
      </c>
      <c r="BB951">
        <v>0</v>
      </c>
      <c r="BC951">
        <v>10</v>
      </c>
      <c r="BD951">
        <v>0</v>
      </c>
      <c r="BE951">
        <f t="shared" si="149"/>
        <v>0</v>
      </c>
    </row>
    <row r="952" spans="1:57" x14ac:dyDescent="0.25">
      <c r="A952" t="s">
        <v>39</v>
      </c>
      <c r="B952" t="s">
        <v>3260</v>
      </c>
      <c r="C952">
        <v>80.7</v>
      </c>
      <c r="D952">
        <v>73.5</v>
      </c>
      <c r="G952">
        <f t="shared" si="140"/>
        <v>1</v>
      </c>
      <c r="H952">
        <f t="shared" si="141"/>
        <v>0</v>
      </c>
      <c r="I952">
        <f t="shared" si="142"/>
        <v>1</v>
      </c>
      <c r="J952">
        <v>77</v>
      </c>
      <c r="K952">
        <v>83.4</v>
      </c>
      <c r="L952">
        <v>73.5</v>
      </c>
      <c r="M952">
        <v>77.3</v>
      </c>
      <c r="N952">
        <v>64.900000000000006</v>
      </c>
      <c r="O952">
        <v>66.5</v>
      </c>
      <c r="S952">
        <f t="shared" si="143"/>
        <v>1</v>
      </c>
      <c r="T952">
        <f t="shared" si="144"/>
        <v>1</v>
      </c>
      <c r="U952">
        <f t="shared" si="145"/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20.8</v>
      </c>
      <c r="AG952">
        <f t="shared" si="146"/>
        <v>1</v>
      </c>
      <c r="AH952">
        <f t="shared" si="147"/>
        <v>1</v>
      </c>
      <c r="AI952">
        <f t="shared" si="148"/>
        <v>0</v>
      </c>
      <c r="AJ952">
        <v>313.7</v>
      </c>
      <c r="AK952">
        <v>1014</v>
      </c>
      <c r="AL952">
        <v>30</v>
      </c>
      <c r="AM952">
        <v>6.8</v>
      </c>
      <c r="AN952">
        <v>0</v>
      </c>
      <c r="AO952">
        <v>0</v>
      </c>
      <c r="AP952">
        <v>0</v>
      </c>
      <c r="AQ952">
        <v>0</v>
      </c>
      <c r="AR952" t="s">
        <v>3261</v>
      </c>
      <c r="AS952" t="s">
        <v>3262</v>
      </c>
      <c r="AT952">
        <v>0.25</v>
      </c>
      <c r="AU952" t="s">
        <v>43</v>
      </c>
      <c r="AV952" t="s">
        <v>44</v>
      </c>
      <c r="AW952" t="s">
        <v>45</v>
      </c>
      <c r="AX952" s="1">
        <v>0.62430555555555556</v>
      </c>
      <c r="AY952" t="s">
        <v>3263</v>
      </c>
      <c r="AZ952">
        <v>320.99999999860302</v>
      </c>
      <c r="BA952">
        <v>0</v>
      </c>
      <c r="BB952">
        <v>0</v>
      </c>
      <c r="BC952">
        <v>2</v>
      </c>
      <c r="BD952">
        <v>0</v>
      </c>
      <c r="BE952">
        <f t="shared" si="149"/>
        <v>1</v>
      </c>
    </row>
    <row r="953" spans="1:57" x14ac:dyDescent="0.25">
      <c r="A953" t="s">
        <v>39</v>
      </c>
      <c r="B953" t="s">
        <v>3264</v>
      </c>
      <c r="C953">
        <v>84.3</v>
      </c>
      <c r="D953">
        <v>69.900000000000006</v>
      </c>
      <c r="G953">
        <f t="shared" si="140"/>
        <v>0</v>
      </c>
      <c r="H953">
        <f t="shared" si="141"/>
        <v>0</v>
      </c>
      <c r="I953">
        <f t="shared" si="142"/>
        <v>0</v>
      </c>
      <c r="J953">
        <v>78</v>
      </c>
      <c r="K953">
        <v>88.6</v>
      </c>
      <c r="L953">
        <v>69.900000000000006</v>
      </c>
      <c r="M953">
        <v>80</v>
      </c>
      <c r="N953">
        <v>69.5</v>
      </c>
      <c r="O953">
        <v>75.900000000000006</v>
      </c>
      <c r="S953">
        <f t="shared" si="143"/>
        <v>1</v>
      </c>
      <c r="T953">
        <f t="shared" si="144"/>
        <v>1</v>
      </c>
      <c r="U953">
        <f t="shared" si="145"/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16.100000000000001</v>
      </c>
      <c r="AG953">
        <f t="shared" si="146"/>
        <v>0</v>
      </c>
      <c r="AH953">
        <f t="shared" si="147"/>
        <v>0</v>
      </c>
      <c r="AI953">
        <f t="shared" si="148"/>
        <v>0</v>
      </c>
      <c r="AJ953">
        <v>295.2</v>
      </c>
      <c r="AK953">
        <v>1013.8</v>
      </c>
      <c r="AL953">
        <v>30</v>
      </c>
      <c r="AM953">
        <v>6.5</v>
      </c>
      <c r="AN953">
        <v>0</v>
      </c>
      <c r="AO953">
        <v>0</v>
      </c>
      <c r="AP953">
        <v>0</v>
      </c>
      <c r="AQ953">
        <v>0</v>
      </c>
      <c r="AR953" t="s">
        <v>3265</v>
      </c>
      <c r="AS953" t="s">
        <v>3266</v>
      </c>
      <c r="AT953">
        <v>0.36</v>
      </c>
      <c r="AU953" t="s">
        <v>43</v>
      </c>
      <c r="AV953" t="s">
        <v>44</v>
      </c>
      <c r="AW953" t="s">
        <v>45</v>
      </c>
      <c r="AX953" s="1">
        <v>0.57986111111111116</v>
      </c>
      <c r="AY953" t="s">
        <v>3267</v>
      </c>
      <c r="AZ953">
        <v>1024.9999999988361</v>
      </c>
      <c r="BA953">
        <v>1</v>
      </c>
      <c r="BB953">
        <v>0</v>
      </c>
      <c r="BC953">
        <v>1</v>
      </c>
      <c r="BD953">
        <v>0</v>
      </c>
      <c r="BE953">
        <f t="shared" si="149"/>
        <v>0</v>
      </c>
    </row>
    <row r="954" spans="1:57" x14ac:dyDescent="0.25">
      <c r="A954" t="s">
        <v>39</v>
      </c>
      <c r="B954" t="s">
        <v>3243</v>
      </c>
      <c r="C954">
        <v>80.7</v>
      </c>
      <c r="D954">
        <v>68.099999999999994</v>
      </c>
      <c r="G954">
        <f t="shared" si="140"/>
        <v>1</v>
      </c>
      <c r="H954">
        <f t="shared" si="141"/>
        <v>0</v>
      </c>
      <c r="I954">
        <f t="shared" si="142"/>
        <v>1</v>
      </c>
      <c r="J954">
        <v>75.599999999999994</v>
      </c>
      <c r="K954">
        <v>82.9</v>
      </c>
      <c r="L954">
        <v>68.099999999999994</v>
      </c>
      <c r="M954">
        <v>75.8</v>
      </c>
      <c r="N954">
        <v>64.400000000000006</v>
      </c>
      <c r="O954">
        <v>68.7</v>
      </c>
      <c r="S954">
        <f t="shared" si="143"/>
        <v>1</v>
      </c>
      <c r="T954">
        <f t="shared" si="144"/>
        <v>1</v>
      </c>
      <c r="U954">
        <f t="shared" si="145"/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19.5</v>
      </c>
      <c r="AG954">
        <f t="shared" si="146"/>
        <v>1</v>
      </c>
      <c r="AH954">
        <f t="shared" si="147"/>
        <v>1</v>
      </c>
      <c r="AI954">
        <f t="shared" si="148"/>
        <v>0</v>
      </c>
      <c r="AJ954">
        <v>320.39999999999998</v>
      </c>
      <c r="AK954">
        <v>1008.1</v>
      </c>
      <c r="AL954">
        <v>30</v>
      </c>
      <c r="AM954">
        <v>6.7</v>
      </c>
      <c r="AN954">
        <v>0</v>
      </c>
      <c r="AO954">
        <v>0</v>
      </c>
      <c r="AP954">
        <v>0</v>
      </c>
      <c r="AQ954">
        <v>0</v>
      </c>
      <c r="AR954" t="s">
        <v>3244</v>
      </c>
      <c r="AS954" t="s">
        <v>3245</v>
      </c>
      <c r="AT954">
        <v>0.13</v>
      </c>
      <c r="AU954" t="s">
        <v>43</v>
      </c>
      <c r="AV954" t="s">
        <v>44</v>
      </c>
      <c r="AW954" t="s">
        <v>45</v>
      </c>
      <c r="AX954" s="1">
        <v>0.88888888888888884</v>
      </c>
      <c r="AY954" t="s">
        <v>3268</v>
      </c>
      <c r="AZ954">
        <v>69.999999997671694</v>
      </c>
      <c r="BA954">
        <v>0</v>
      </c>
      <c r="BB954">
        <v>0</v>
      </c>
      <c r="BC954">
        <v>0.2</v>
      </c>
      <c r="BD954">
        <v>0</v>
      </c>
      <c r="BE954">
        <f t="shared" si="149"/>
        <v>1</v>
      </c>
    </row>
    <row r="955" spans="1:57" x14ac:dyDescent="0.25">
      <c r="A955" t="s">
        <v>39</v>
      </c>
      <c r="B955" t="s">
        <v>3269</v>
      </c>
      <c r="C955">
        <v>82.5</v>
      </c>
      <c r="D955">
        <v>77.099999999999994</v>
      </c>
      <c r="G955">
        <f t="shared" si="140"/>
        <v>0</v>
      </c>
      <c r="H955">
        <f t="shared" si="141"/>
        <v>0</v>
      </c>
      <c r="I955">
        <f t="shared" si="142"/>
        <v>0</v>
      </c>
      <c r="J955">
        <v>80.599999999999994</v>
      </c>
      <c r="K955">
        <v>88.5</v>
      </c>
      <c r="L955">
        <v>77.099999999999994</v>
      </c>
      <c r="M955">
        <v>84.1</v>
      </c>
      <c r="N955">
        <v>71.900000000000006</v>
      </c>
      <c r="O955">
        <v>74.8</v>
      </c>
      <c r="S955">
        <f t="shared" si="143"/>
        <v>1</v>
      </c>
      <c r="T955">
        <f t="shared" si="144"/>
        <v>1</v>
      </c>
      <c r="U955">
        <f t="shared" si="145"/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18.3</v>
      </c>
      <c r="AG955">
        <f t="shared" si="146"/>
        <v>0</v>
      </c>
      <c r="AH955">
        <f t="shared" si="147"/>
        <v>0</v>
      </c>
      <c r="AI955">
        <f t="shared" si="148"/>
        <v>0</v>
      </c>
      <c r="AJ955">
        <v>318.39999999999998</v>
      </c>
      <c r="AK955">
        <v>1009.8</v>
      </c>
      <c r="AL955">
        <v>35.299999999999997</v>
      </c>
      <c r="AM955">
        <v>6.6</v>
      </c>
      <c r="AN955">
        <v>0</v>
      </c>
      <c r="AO955">
        <v>0</v>
      </c>
      <c r="AP955">
        <v>0</v>
      </c>
      <c r="AQ955">
        <v>0</v>
      </c>
      <c r="AR955" t="s">
        <v>3270</v>
      </c>
      <c r="AS955" t="s">
        <v>3271</v>
      </c>
      <c r="AT955">
        <v>0.18</v>
      </c>
      <c r="AU955" t="s">
        <v>43</v>
      </c>
      <c r="AV955" t="s">
        <v>44</v>
      </c>
      <c r="AW955" t="s">
        <v>45</v>
      </c>
      <c r="AX955" s="1">
        <v>0.59375</v>
      </c>
      <c r="AY955" t="s">
        <v>3272</v>
      </c>
      <c r="AZ955">
        <v>2499.9999999976721</v>
      </c>
      <c r="BA955">
        <v>1</v>
      </c>
      <c r="BB955">
        <v>0</v>
      </c>
      <c r="BC955">
        <v>150</v>
      </c>
      <c r="BD955">
        <v>0</v>
      </c>
      <c r="BE955">
        <f t="shared" si="149"/>
        <v>0</v>
      </c>
    </row>
    <row r="956" spans="1:57" x14ac:dyDescent="0.25">
      <c r="A956" t="s">
        <v>39</v>
      </c>
      <c r="B956" t="s">
        <v>3273</v>
      </c>
      <c r="C956">
        <v>82.5</v>
      </c>
      <c r="D956">
        <v>77.099999999999994</v>
      </c>
      <c r="G956">
        <f t="shared" si="140"/>
        <v>0</v>
      </c>
      <c r="H956">
        <f t="shared" si="141"/>
        <v>0</v>
      </c>
      <c r="I956">
        <f t="shared" si="142"/>
        <v>0</v>
      </c>
      <c r="J956">
        <v>79.400000000000006</v>
      </c>
      <c r="K956">
        <v>86.4</v>
      </c>
      <c r="L956">
        <v>77.099999999999994</v>
      </c>
      <c r="M956">
        <v>80.599999999999994</v>
      </c>
      <c r="N956">
        <v>67.900000000000006</v>
      </c>
      <c r="O956">
        <v>68.3</v>
      </c>
      <c r="S956">
        <f t="shared" si="143"/>
        <v>1</v>
      </c>
      <c r="T956">
        <f t="shared" si="144"/>
        <v>1</v>
      </c>
      <c r="U956">
        <f t="shared" si="145"/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23</v>
      </c>
      <c r="AG956">
        <f t="shared" si="146"/>
        <v>1</v>
      </c>
      <c r="AH956">
        <f t="shared" si="147"/>
        <v>1</v>
      </c>
      <c r="AI956">
        <f t="shared" si="148"/>
        <v>0</v>
      </c>
      <c r="AJ956">
        <v>306.10000000000002</v>
      </c>
      <c r="AK956">
        <v>1010.7</v>
      </c>
      <c r="AL956">
        <v>37</v>
      </c>
      <c r="AM956">
        <v>6.8</v>
      </c>
      <c r="AN956">
        <v>0</v>
      </c>
      <c r="AO956">
        <v>0</v>
      </c>
      <c r="AP956">
        <v>0</v>
      </c>
      <c r="AQ956">
        <v>0</v>
      </c>
      <c r="AR956" t="s">
        <v>3274</v>
      </c>
      <c r="AS956" t="s">
        <v>3275</v>
      </c>
      <c r="AT956">
        <v>0.62</v>
      </c>
      <c r="AU956" t="s">
        <v>43</v>
      </c>
      <c r="AV956" t="s">
        <v>44</v>
      </c>
      <c r="AW956" t="s">
        <v>45</v>
      </c>
      <c r="AX956" s="1">
        <v>0.54166666666666663</v>
      </c>
      <c r="AY956" t="s">
        <v>3276</v>
      </c>
      <c r="AZ956">
        <v>1280.0000000023281</v>
      </c>
      <c r="BA956">
        <v>1</v>
      </c>
      <c r="BB956">
        <v>0</v>
      </c>
      <c r="BC956">
        <v>10</v>
      </c>
      <c r="BD956">
        <v>0</v>
      </c>
      <c r="BE956">
        <f t="shared" si="149"/>
        <v>1</v>
      </c>
    </row>
    <row r="957" spans="1:57" x14ac:dyDescent="0.25">
      <c r="A957" t="s">
        <v>39</v>
      </c>
      <c r="B957" t="s">
        <v>3277</v>
      </c>
      <c r="C957">
        <v>75.3</v>
      </c>
      <c r="D957">
        <v>69.8</v>
      </c>
      <c r="G957">
        <f t="shared" si="140"/>
        <v>0</v>
      </c>
      <c r="H957">
        <f t="shared" si="141"/>
        <v>0</v>
      </c>
      <c r="I957">
        <f t="shared" si="142"/>
        <v>0</v>
      </c>
      <c r="J957">
        <v>72</v>
      </c>
      <c r="K957">
        <v>75.3</v>
      </c>
      <c r="L957">
        <v>69.8</v>
      </c>
      <c r="M957">
        <v>72</v>
      </c>
      <c r="N957">
        <v>62</v>
      </c>
      <c r="O957">
        <v>71.099999999999994</v>
      </c>
      <c r="S957">
        <f t="shared" si="143"/>
        <v>1</v>
      </c>
      <c r="T957">
        <f t="shared" si="144"/>
        <v>1</v>
      </c>
      <c r="U957">
        <f t="shared" si="145"/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18.3</v>
      </c>
      <c r="AG957">
        <f t="shared" si="146"/>
        <v>1</v>
      </c>
      <c r="AH957">
        <f t="shared" si="147"/>
        <v>1</v>
      </c>
      <c r="AI957">
        <f t="shared" si="148"/>
        <v>0</v>
      </c>
      <c r="AJ957">
        <v>316.5</v>
      </c>
      <c r="AK957">
        <v>1015.9</v>
      </c>
      <c r="AL957">
        <v>50.9</v>
      </c>
      <c r="AM957">
        <v>6.8</v>
      </c>
      <c r="AN957">
        <v>0</v>
      </c>
      <c r="AO957">
        <v>0</v>
      </c>
      <c r="AP957">
        <v>0</v>
      </c>
      <c r="AQ957">
        <v>0</v>
      </c>
      <c r="AR957" t="s">
        <v>3278</v>
      </c>
      <c r="AS957" t="s">
        <v>3279</v>
      </c>
      <c r="AT957">
        <v>0.61</v>
      </c>
      <c r="AU957" t="s">
        <v>43</v>
      </c>
      <c r="AV957" t="s">
        <v>44</v>
      </c>
      <c r="AW957" t="s">
        <v>45</v>
      </c>
      <c r="AX957" s="1">
        <v>0.57638888888888884</v>
      </c>
      <c r="AY957" t="s">
        <v>3280</v>
      </c>
      <c r="AZ957">
        <v>59.99999999650754</v>
      </c>
      <c r="BA957">
        <v>0</v>
      </c>
      <c r="BB957">
        <v>0</v>
      </c>
      <c r="BC957">
        <v>0.1</v>
      </c>
      <c r="BD957">
        <v>0</v>
      </c>
      <c r="BE957">
        <f t="shared" si="149"/>
        <v>0</v>
      </c>
    </row>
    <row r="958" spans="1:57" x14ac:dyDescent="0.25">
      <c r="A958" t="s">
        <v>39</v>
      </c>
      <c r="B958" t="s">
        <v>3281</v>
      </c>
      <c r="C958">
        <v>82.5</v>
      </c>
      <c r="D958">
        <v>69.900000000000006</v>
      </c>
      <c r="G958">
        <f t="shared" si="140"/>
        <v>1</v>
      </c>
      <c r="H958">
        <f t="shared" si="141"/>
        <v>1</v>
      </c>
      <c r="I958">
        <f t="shared" si="142"/>
        <v>0</v>
      </c>
      <c r="J958">
        <v>76.7</v>
      </c>
      <c r="K958">
        <v>86.4</v>
      </c>
      <c r="L958">
        <v>69.900000000000006</v>
      </c>
      <c r="M958">
        <v>77.5</v>
      </c>
      <c r="N958">
        <v>66</v>
      </c>
      <c r="O958">
        <v>69.8</v>
      </c>
      <c r="S958">
        <f t="shared" si="143"/>
        <v>1</v>
      </c>
      <c r="T958">
        <f t="shared" si="144"/>
        <v>1</v>
      </c>
      <c r="U958">
        <f t="shared" si="145"/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10.3</v>
      </c>
      <c r="AG958">
        <f t="shared" si="146"/>
        <v>1</v>
      </c>
      <c r="AH958">
        <f t="shared" si="147"/>
        <v>0</v>
      </c>
      <c r="AI958">
        <f t="shared" si="148"/>
        <v>1</v>
      </c>
      <c r="AJ958">
        <v>77.5</v>
      </c>
      <c r="AK958">
        <v>1010.1</v>
      </c>
      <c r="AL958">
        <v>30</v>
      </c>
      <c r="AM958">
        <v>6.3</v>
      </c>
      <c r="AN958">
        <v>0</v>
      </c>
      <c r="AO958">
        <v>0</v>
      </c>
      <c r="AP958">
        <v>0</v>
      </c>
      <c r="AQ958">
        <v>0</v>
      </c>
      <c r="AR958" t="s">
        <v>3282</v>
      </c>
      <c r="AS958" t="s">
        <v>3283</v>
      </c>
      <c r="AT958">
        <v>0</v>
      </c>
      <c r="AU958" t="s">
        <v>43</v>
      </c>
      <c r="AV958" t="s">
        <v>44</v>
      </c>
      <c r="AW958" t="s">
        <v>45</v>
      </c>
      <c r="AX958" s="1">
        <v>0.58333333333333337</v>
      </c>
      <c r="AY958" t="s">
        <v>3284</v>
      </c>
      <c r="AZ958">
        <v>4029.9999999976721</v>
      </c>
      <c r="BA958">
        <v>1</v>
      </c>
      <c r="BB958">
        <v>0</v>
      </c>
      <c r="BC958">
        <v>1400</v>
      </c>
      <c r="BD958">
        <v>0</v>
      </c>
      <c r="BE958">
        <f t="shared" si="149"/>
        <v>1</v>
      </c>
    </row>
    <row r="959" spans="1:57" x14ac:dyDescent="0.25">
      <c r="A959" t="s">
        <v>39</v>
      </c>
      <c r="B959" t="s">
        <v>3285</v>
      </c>
      <c r="C959">
        <v>69.900000000000006</v>
      </c>
      <c r="D959">
        <v>51.9</v>
      </c>
      <c r="G959">
        <f t="shared" si="140"/>
        <v>1</v>
      </c>
      <c r="H959">
        <f t="shared" si="141"/>
        <v>1</v>
      </c>
      <c r="I959">
        <f t="shared" si="142"/>
        <v>0</v>
      </c>
      <c r="J959">
        <v>60.4</v>
      </c>
      <c r="K959">
        <v>69.900000000000006</v>
      </c>
      <c r="L959">
        <v>51.9</v>
      </c>
      <c r="M959">
        <v>60.4</v>
      </c>
      <c r="N959">
        <v>49.4</v>
      </c>
      <c r="O959">
        <v>68.400000000000006</v>
      </c>
      <c r="S959">
        <f t="shared" si="143"/>
        <v>0</v>
      </c>
      <c r="T959">
        <f t="shared" si="144"/>
        <v>0</v>
      </c>
      <c r="U959">
        <f t="shared" si="145"/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20.8</v>
      </c>
      <c r="AG959">
        <f t="shared" si="146"/>
        <v>1</v>
      </c>
      <c r="AH959">
        <f t="shared" si="147"/>
        <v>1</v>
      </c>
      <c r="AI959">
        <f t="shared" si="148"/>
        <v>0</v>
      </c>
      <c r="AJ959">
        <v>172.2</v>
      </c>
      <c r="AK959">
        <v>1011.5</v>
      </c>
      <c r="AL959">
        <v>37.1</v>
      </c>
      <c r="AM959">
        <v>6.4</v>
      </c>
      <c r="AN959">
        <v>0</v>
      </c>
      <c r="AO959">
        <v>0</v>
      </c>
      <c r="AP959">
        <v>0</v>
      </c>
      <c r="AQ959">
        <v>0</v>
      </c>
      <c r="AR959" t="s">
        <v>3286</v>
      </c>
      <c r="AS959" t="s">
        <v>3287</v>
      </c>
      <c r="AT959">
        <v>0.39</v>
      </c>
      <c r="AU959" t="s">
        <v>43</v>
      </c>
      <c r="AV959" t="s">
        <v>44</v>
      </c>
      <c r="AW959" t="s">
        <v>45</v>
      </c>
      <c r="AX959" s="1">
        <v>0.2986111111111111</v>
      </c>
      <c r="AY959" t="s">
        <v>3288</v>
      </c>
      <c r="AZ959">
        <v>150.00000000698489</v>
      </c>
      <c r="BA959">
        <v>0</v>
      </c>
      <c r="BB959">
        <v>10</v>
      </c>
      <c r="BC959">
        <v>0</v>
      </c>
      <c r="BD959">
        <v>0</v>
      </c>
      <c r="BE959">
        <f t="shared" si="149"/>
        <v>0</v>
      </c>
    </row>
    <row r="960" spans="1:57" x14ac:dyDescent="0.25">
      <c r="A960" t="s">
        <v>39</v>
      </c>
      <c r="B960" t="s">
        <v>3289</v>
      </c>
      <c r="C960">
        <v>82.5</v>
      </c>
      <c r="D960">
        <v>62.7</v>
      </c>
      <c r="G960">
        <f t="shared" si="140"/>
        <v>1</v>
      </c>
      <c r="H960">
        <f t="shared" si="141"/>
        <v>1</v>
      </c>
      <c r="I960">
        <f t="shared" si="142"/>
        <v>0</v>
      </c>
      <c r="J960">
        <v>72.900000000000006</v>
      </c>
      <c r="K960">
        <v>82.6</v>
      </c>
      <c r="L960">
        <v>62.7</v>
      </c>
      <c r="M960">
        <v>73</v>
      </c>
      <c r="N960">
        <v>61.1</v>
      </c>
      <c r="O960">
        <v>67.8</v>
      </c>
      <c r="S960">
        <f t="shared" si="143"/>
        <v>1</v>
      </c>
      <c r="T960">
        <f t="shared" si="144"/>
        <v>1</v>
      </c>
      <c r="U960">
        <f t="shared" si="145"/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17.2</v>
      </c>
      <c r="AG960">
        <f t="shared" si="146"/>
        <v>0</v>
      </c>
      <c r="AH960">
        <f t="shared" si="147"/>
        <v>0</v>
      </c>
      <c r="AI960">
        <f t="shared" si="148"/>
        <v>0</v>
      </c>
      <c r="AJ960">
        <v>353.7</v>
      </c>
      <c r="AK960">
        <v>1013.3</v>
      </c>
      <c r="AL960">
        <v>0</v>
      </c>
      <c r="AM960">
        <v>6.2</v>
      </c>
      <c r="AN960">
        <v>0</v>
      </c>
      <c r="AO960">
        <v>0</v>
      </c>
      <c r="AP960">
        <v>0</v>
      </c>
      <c r="AQ960">
        <v>0</v>
      </c>
      <c r="AR960" t="s">
        <v>3290</v>
      </c>
      <c r="AS960" t="s">
        <v>3291</v>
      </c>
      <c r="AT960">
        <v>0.92</v>
      </c>
      <c r="AU960" t="s">
        <v>74</v>
      </c>
      <c r="AV960" t="s">
        <v>44</v>
      </c>
      <c r="AW960" t="s">
        <v>75</v>
      </c>
      <c r="AX960" s="1">
        <v>0.92361111111111116</v>
      </c>
      <c r="AY960" t="s">
        <v>3292</v>
      </c>
      <c r="AZ960">
        <v>619.99999999883585</v>
      </c>
      <c r="BA960">
        <v>1</v>
      </c>
      <c r="BB960">
        <v>0</v>
      </c>
      <c r="BC960">
        <v>0.3</v>
      </c>
      <c r="BD960">
        <v>0</v>
      </c>
      <c r="BE960">
        <f t="shared" si="149"/>
        <v>1</v>
      </c>
    </row>
    <row r="961" spans="1:57" x14ac:dyDescent="0.25">
      <c r="A961" t="s">
        <v>39</v>
      </c>
      <c r="B961" t="s">
        <v>3264</v>
      </c>
      <c r="C961">
        <v>84.3</v>
      </c>
      <c r="D961">
        <v>69.900000000000006</v>
      </c>
      <c r="G961">
        <f t="shared" si="140"/>
        <v>0</v>
      </c>
      <c r="H961">
        <f t="shared" si="141"/>
        <v>0</v>
      </c>
      <c r="I961">
        <f t="shared" si="142"/>
        <v>0</v>
      </c>
      <c r="J961">
        <v>78</v>
      </c>
      <c r="K961">
        <v>88.6</v>
      </c>
      <c r="L961">
        <v>69.900000000000006</v>
      </c>
      <c r="M961">
        <v>80</v>
      </c>
      <c r="N961">
        <v>69.5</v>
      </c>
      <c r="O961">
        <v>75.900000000000006</v>
      </c>
      <c r="S961">
        <f t="shared" si="143"/>
        <v>1</v>
      </c>
      <c r="T961">
        <f t="shared" si="144"/>
        <v>1</v>
      </c>
      <c r="U961">
        <f t="shared" si="145"/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16.100000000000001</v>
      </c>
      <c r="AG961">
        <f t="shared" si="146"/>
        <v>0</v>
      </c>
      <c r="AH961">
        <f t="shared" si="147"/>
        <v>0</v>
      </c>
      <c r="AI961">
        <f t="shared" si="148"/>
        <v>0</v>
      </c>
      <c r="AJ961">
        <v>295.2</v>
      </c>
      <c r="AK961">
        <v>1013.8</v>
      </c>
      <c r="AL961">
        <v>30</v>
      </c>
      <c r="AM961">
        <v>6.5</v>
      </c>
      <c r="AN961">
        <v>0</v>
      </c>
      <c r="AO961">
        <v>0</v>
      </c>
      <c r="AP961">
        <v>0</v>
      </c>
      <c r="AQ961">
        <v>0</v>
      </c>
      <c r="AR961" t="s">
        <v>3265</v>
      </c>
      <c r="AS961" t="s">
        <v>3266</v>
      </c>
      <c r="AT961">
        <v>0.36</v>
      </c>
      <c r="AU961" t="s">
        <v>43</v>
      </c>
      <c r="AV961" t="s">
        <v>44</v>
      </c>
      <c r="AW961" t="s">
        <v>45</v>
      </c>
      <c r="AX961" s="1">
        <v>0.59027777777777779</v>
      </c>
      <c r="AY961" t="s">
        <v>3293</v>
      </c>
      <c r="AZ961">
        <v>529.99999999883585</v>
      </c>
      <c r="BA961">
        <v>1</v>
      </c>
      <c r="BB961">
        <v>0</v>
      </c>
      <c r="BC961">
        <v>0.5</v>
      </c>
      <c r="BD961">
        <v>0</v>
      </c>
      <c r="BE961">
        <f t="shared" si="149"/>
        <v>0</v>
      </c>
    </row>
    <row r="962" spans="1:57" x14ac:dyDescent="0.25">
      <c r="A962" t="s">
        <v>39</v>
      </c>
      <c r="B962" t="s">
        <v>3294</v>
      </c>
      <c r="C962">
        <v>66.3</v>
      </c>
      <c r="D962">
        <v>51.9</v>
      </c>
      <c r="G962">
        <f t="shared" si="140"/>
        <v>0</v>
      </c>
      <c r="H962">
        <f t="shared" si="141"/>
        <v>0</v>
      </c>
      <c r="I962">
        <f t="shared" si="142"/>
        <v>0</v>
      </c>
      <c r="J962">
        <v>58.6</v>
      </c>
      <c r="K962">
        <v>66.3</v>
      </c>
      <c r="L962">
        <v>51.9</v>
      </c>
      <c r="M962">
        <v>58.6</v>
      </c>
      <c r="N962">
        <v>52.4</v>
      </c>
      <c r="O962">
        <v>80.599999999999994</v>
      </c>
      <c r="S962">
        <f t="shared" si="143"/>
        <v>1</v>
      </c>
      <c r="T962">
        <f t="shared" si="144"/>
        <v>1</v>
      </c>
      <c r="U962">
        <f t="shared" si="145"/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12.8</v>
      </c>
      <c r="AG962">
        <f t="shared" si="146"/>
        <v>1</v>
      </c>
      <c r="AH962">
        <f t="shared" si="147"/>
        <v>0</v>
      </c>
      <c r="AI962">
        <f t="shared" si="148"/>
        <v>1</v>
      </c>
      <c r="AJ962">
        <v>195.8</v>
      </c>
      <c r="AK962">
        <v>1020.9</v>
      </c>
      <c r="AL962">
        <v>30</v>
      </c>
      <c r="AM962">
        <v>6.6</v>
      </c>
      <c r="AN962">
        <v>0</v>
      </c>
      <c r="AO962">
        <v>0</v>
      </c>
      <c r="AP962">
        <v>0</v>
      </c>
      <c r="AQ962">
        <v>0</v>
      </c>
      <c r="AR962" t="s">
        <v>3295</v>
      </c>
      <c r="AS962" t="s">
        <v>3296</v>
      </c>
      <c r="AT962">
        <v>0.34</v>
      </c>
      <c r="AU962" t="s">
        <v>43</v>
      </c>
      <c r="AV962" t="s">
        <v>44</v>
      </c>
      <c r="AW962" t="s">
        <v>45</v>
      </c>
      <c r="AX962" s="1">
        <v>0.63541666666666663</v>
      </c>
      <c r="AY962" t="s">
        <v>3297</v>
      </c>
      <c r="AZ962">
        <v>385.00000000814907</v>
      </c>
      <c r="BA962">
        <v>1</v>
      </c>
      <c r="BB962">
        <v>0</v>
      </c>
      <c r="BC962">
        <v>2.5</v>
      </c>
      <c r="BD962">
        <v>0</v>
      </c>
      <c r="BE962">
        <f t="shared" si="149"/>
        <v>0</v>
      </c>
    </row>
    <row r="963" spans="1:57" x14ac:dyDescent="0.25">
      <c r="A963" t="s">
        <v>39</v>
      </c>
      <c r="B963" t="s">
        <v>3298</v>
      </c>
      <c r="C963">
        <v>77.099999999999994</v>
      </c>
      <c r="D963">
        <v>64.5</v>
      </c>
      <c r="G963">
        <f t="shared" ref="G963:G1026" si="150">IF(ABS(C963-INDEX($F$2:$F$13,MONTH(B963)))&gt;1.8,1,0)</f>
        <v>1</v>
      </c>
      <c r="H963">
        <f t="shared" ref="H963:H1026" si="151">IF(C963&gt;=INDEX($F$2:$F$13,MONTH(B963))+1.8,1,0)</f>
        <v>0</v>
      </c>
      <c r="I963">
        <f t="shared" ref="I963:I1026" si="152">IF(C963&lt;=INDEX($F$2:$F$13,MONTH(B963))-1.8,1,0)</f>
        <v>1</v>
      </c>
      <c r="J963">
        <v>70.5</v>
      </c>
      <c r="K963">
        <v>77.099999999999994</v>
      </c>
      <c r="L963">
        <v>64.5</v>
      </c>
      <c r="M963">
        <v>70.5</v>
      </c>
      <c r="N963">
        <v>63.6</v>
      </c>
      <c r="O963">
        <v>79.2</v>
      </c>
      <c r="S963">
        <f t="shared" ref="S963:S1026" si="153">IF(OR(O963&lt;INDEX($Q$2:$Q$13,MONTH(B963)),O963&gt;INDEX($R$2:$R$13,MONTH(B963))),1,0)</f>
        <v>1</v>
      </c>
      <c r="T963">
        <f t="shared" ref="T963:T1026" si="154">IF(O963&gt;INDEX($R$2:$R$13,MONTH(B963)),1,0)</f>
        <v>1</v>
      </c>
      <c r="U963">
        <f t="shared" ref="U963:U1026" si="155">IF(O963&lt;INDEX($Q$2:$Q$13,MONTH(B963)),1,0)</f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11.7</v>
      </c>
      <c r="AG963">
        <f t="shared" ref="AG963:AG1026" si="156">IF(OR(AC963&lt;INDEX($AE$2:$AE$13,MONTH(B963)),AC963&gt;INDEX($AF$2:$AF$13,MONTH(B963))),1,0)</f>
        <v>1</v>
      </c>
      <c r="AH963">
        <f t="shared" ref="AH963:AH1026" si="157">IF(AC963&gt;INDEX($AF$2:$AF$13,MONTH(B963)),1,0)</f>
        <v>0</v>
      </c>
      <c r="AI963">
        <f t="shared" ref="AI963:AI1026" si="158">IF(AC963&lt;INDEX($AE$2:$AE$13,MONTH(B963)),1,0)</f>
        <v>1</v>
      </c>
      <c r="AJ963">
        <v>325.60000000000002</v>
      </c>
      <c r="AK963">
        <v>1018.6</v>
      </c>
      <c r="AL963">
        <v>38.799999999999997</v>
      </c>
      <c r="AM963">
        <v>6.7</v>
      </c>
      <c r="AN963">
        <v>0</v>
      </c>
      <c r="AO963">
        <v>0</v>
      </c>
      <c r="AP963">
        <v>0</v>
      </c>
      <c r="AQ963">
        <v>0</v>
      </c>
      <c r="AR963" t="s">
        <v>3299</v>
      </c>
      <c r="AS963" t="s">
        <v>3300</v>
      </c>
      <c r="AT963">
        <v>0.18</v>
      </c>
      <c r="AU963" t="s">
        <v>43</v>
      </c>
      <c r="AV963" t="s">
        <v>44</v>
      </c>
      <c r="AW963" t="s">
        <v>45</v>
      </c>
      <c r="AX963" s="1">
        <v>8.3333333333333332E-3</v>
      </c>
      <c r="AY963" t="s">
        <v>3301</v>
      </c>
      <c r="AZ963">
        <v>442.99999999813741</v>
      </c>
      <c r="BA963">
        <v>1</v>
      </c>
      <c r="BB963">
        <v>0</v>
      </c>
      <c r="BC963">
        <v>0.6</v>
      </c>
      <c r="BD963">
        <v>0</v>
      </c>
      <c r="BE963">
        <f t="shared" ref="BE963:BE1026" si="159">IF((3*AH963+3*H963+2*U963+2*BA963-(2*(1-T963)+2*(1-I963)+2*(1-AI963)))&gt;=1,1,0)</f>
        <v>1</v>
      </c>
    </row>
    <row r="964" spans="1:57" x14ac:dyDescent="0.25">
      <c r="A964" t="s">
        <v>39</v>
      </c>
      <c r="B964" t="s">
        <v>3302</v>
      </c>
      <c r="C964">
        <v>73.5</v>
      </c>
      <c r="D964">
        <v>60.9</v>
      </c>
      <c r="G964">
        <f t="shared" si="150"/>
        <v>0</v>
      </c>
      <c r="H964">
        <f t="shared" si="151"/>
        <v>0</v>
      </c>
      <c r="I964">
        <f t="shared" si="152"/>
        <v>0</v>
      </c>
      <c r="J964">
        <v>68.5</v>
      </c>
      <c r="K964">
        <v>73.5</v>
      </c>
      <c r="L964">
        <v>60.9</v>
      </c>
      <c r="M964">
        <v>68.5</v>
      </c>
      <c r="N964">
        <v>61.3</v>
      </c>
      <c r="O964">
        <v>78.099999999999994</v>
      </c>
      <c r="S964">
        <f t="shared" si="153"/>
        <v>1</v>
      </c>
      <c r="T964">
        <f t="shared" si="154"/>
        <v>1</v>
      </c>
      <c r="U964">
        <f t="shared" si="155"/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23</v>
      </c>
      <c r="AG964">
        <f t="shared" si="156"/>
        <v>1</v>
      </c>
      <c r="AH964">
        <f t="shared" si="157"/>
        <v>1</v>
      </c>
      <c r="AI964">
        <f t="shared" si="158"/>
        <v>0</v>
      </c>
      <c r="AJ964">
        <v>297.60000000000002</v>
      </c>
      <c r="AK964">
        <v>1009.6</v>
      </c>
      <c r="AL964">
        <v>52.5</v>
      </c>
      <c r="AM964">
        <v>6.8</v>
      </c>
      <c r="AN964">
        <v>0</v>
      </c>
      <c r="AO964">
        <v>0</v>
      </c>
      <c r="AP964">
        <v>0</v>
      </c>
      <c r="AQ964">
        <v>0</v>
      </c>
      <c r="AR964" t="s">
        <v>3303</v>
      </c>
      <c r="AS964" t="s">
        <v>3304</v>
      </c>
      <c r="AT964">
        <v>0.83</v>
      </c>
      <c r="AU964" t="s">
        <v>43</v>
      </c>
      <c r="AV964" t="s">
        <v>44</v>
      </c>
      <c r="AW964" t="s">
        <v>45</v>
      </c>
      <c r="AX964" s="1">
        <v>0.97916666666666663</v>
      </c>
      <c r="AY964" t="s">
        <v>3305</v>
      </c>
      <c r="AZ964">
        <v>1440</v>
      </c>
      <c r="BA964">
        <v>1</v>
      </c>
      <c r="BB964">
        <v>0</v>
      </c>
      <c r="BC964">
        <v>4</v>
      </c>
      <c r="BD964">
        <v>0</v>
      </c>
      <c r="BE964">
        <f t="shared" si="159"/>
        <v>1</v>
      </c>
    </row>
    <row r="965" spans="1:57" x14ac:dyDescent="0.25">
      <c r="A965" t="s">
        <v>39</v>
      </c>
      <c r="B965" t="s">
        <v>3306</v>
      </c>
      <c r="C965">
        <v>57.3</v>
      </c>
      <c r="D965">
        <v>42.9</v>
      </c>
      <c r="G965">
        <f t="shared" si="150"/>
        <v>1</v>
      </c>
      <c r="H965">
        <f t="shared" si="151"/>
        <v>0</v>
      </c>
      <c r="I965">
        <f t="shared" si="152"/>
        <v>1</v>
      </c>
      <c r="J965">
        <v>51.2</v>
      </c>
      <c r="K965">
        <v>57.3</v>
      </c>
      <c r="L965">
        <v>41.3</v>
      </c>
      <c r="M965">
        <v>50.6</v>
      </c>
      <c r="N965">
        <v>34.799999999999997</v>
      </c>
      <c r="O965">
        <v>54.3</v>
      </c>
      <c r="S965">
        <f t="shared" si="153"/>
        <v>1</v>
      </c>
      <c r="T965">
        <f t="shared" si="154"/>
        <v>0</v>
      </c>
      <c r="U965">
        <f t="shared" si="155"/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13.9</v>
      </c>
      <c r="AG965">
        <f t="shared" si="156"/>
        <v>1</v>
      </c>
      <c r="AH965">
        <f t="shared" si="157"/>
        <v>0</v>
      </c>
      <c r="AI965">
        <f t="shared" si="158"/>
        <v>1</v>
      </c>
      <c r="AJ965">
        <v>91.9</v>
      </c>
      <c r="AK965">
        <v>1017.9</v>
      </c>
      <c r="AL965">
        <v>38.299999999999997</v>
      </c>
      <c r="AM965">
        <v>6.5</v>
      </c>
      <c r="AN965">
        <v>0</v>
      </c>
      <c r="AO965">
        <v>0</v>
      </c>
      <c r="AP965">
        <v>0</v>
      </c>
      <c r="AQ965">
        <v>0</v>
      </c>
      <c r="AR965" t="s">
        <v>3307</v>
      </c>
      <c r="AS965" t="s">
        <v>3308</v>
      </c>
      <c r="AT965">
        <v>0.8</v>
      </c>
      <c r="AU965" t="s">
        <v>43</v>
      </c>
      <c r="AV965" t="s">
        <v>44</v>
      </c>
      <c r="AW965" t="s">
        <v>45</v>
      </c>
      <c r="AX965" s="1">
        <v>0.73611111111111116</v>
      </c>
      <c r="AY965" t="s">
        <v>3309</v>
      </c>
      <c r="AZ965">
        <v>979.99999999883585</v>
      </c>
      <c r="BA965">
        <v>1</v>
      </c>
      <c r="BB965">
        <v>0</v>
      </c>
      <c r="BC965">
        <v>25</v>
      </c>
      <c r="BD965">
        <v>0</v>
      </c>
      <c r="BE965">
        <f t="shared" si="159"/>
        <v>1</v>
      </c>
    </row>
    <row r="966" spans="1:57" x14ac:dyDescent="0.25">
      <c r="A966" t="s">
        <v>39</v>
      </c>
      <c r="B966" t="s">
        <v>3310</v>
      </c>
      <c r="C966">
        <v>82.5</v>
      </c>
      <c r="D966">
        <v>71.7</v>
      </c>
      <c r="G966">
        <f t="shared" si="150"/>
        <v>1</v>
      </c>
      <c r="H966">
        <f t="shared" si="151"/>
        <v>1</v>
      </c>
      <c r="I966">
        <f t="shared" si="152"/>
        <v>0</v>
      </c>
      <c r="J966">
        <v>77.599999999999994</v>
      </c>
      <c r="K966">
        <v>86.4</v>
      </c>
      <c r="L966">
        <v>71.7</v>
      </c>
      <c r="M966">
        <v>78.599999999999994</v>
      </c>
      <c r="N966">
        <v>64.099999999999994</v>
      </c>
      <c r="O966">
        <v>64.400000000000006</v>
      </c>
      <c r="S966">
        <f t="shared" si="153"/>
        <v>1</v>
      </c>
      <c r="T966">
        <f t="shared" si="154"/>
        <v>1</v>
      </c>
      <c r="U966">
        <f t="shared" si="155"/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9.1999999999999993</v>
      </c>
      <c r="AG966">
        <f t="shared" si="156"/>
        <v>1</v>
      </c>
      <c r="AH966">
        <f t="shared" si="157"/>
        <v>0</v>
      </c>
      <c r="AI966">
        <f t="shared" si="158"/>
        <v>1</v>
      </c>
      <c r="AJ966">
        <v>31</v>
      </c>
      <c r="AK966">
        <v>1007.1</v>
      </c>
      <c r="AL966">
        <v>30</v>
      </c>
      <c r="AM966">
        <v>6.5</v>
      </c>
      <c r="AN966">
        <v>0</v>
      </c>
      <c r="AO966">
        <v>0</v>
      </c>
      <c r="AP966">
        <v>0</v>
      </c>
      <c r="AQ966">
        <v>0</v>
      </c>
      <c r="AR966" t="s">
        <v>3311</v>
      </c>
      <c r="AS966" t="s">
        <v>3312</v>
      </c>
      <c r="AT966">
        <v>0.65</v>
      </c>
      <c r="AU966" t="s">
        <v>43</v>
      </c>
      <c r="AV966" t="s">
        <v>44</v>
      </c>
      <c r="AW966" t="s">
        <v>45</v>
      </c>
      <c r="AX966" s="1">
        <v>0.45833333333333331</v>
      </c>
      <c r="AY966" t="s">
        <v>3313</v>
      </c>
      <c r="AZ966">
        <v>589.99999999534339</v>
      </c>
      <c r="BA966">
        <v>1</v>
      </c>
      <c r="BB966">
        <v>0</v>
      </c>
      <c r="BC966">
        <v>2</v>
      </c>
      <c r="BD966">
        <v>0</v>
      </c>
      <c r="BE966">
        <f t="shared" si="159"/>
        <v>1</v>
      </c>
    </row>
    <row r="967" spans="1:57" x14ac:dyDescent="0.25">
      <c r="A967" t="s">
        <v>39</v>
      </c>
      <c r="B967" t="s">
        <v>3314</v>
      </c>
      <c r="C967">
        <v>75.3</v>
      </c>
      <c r="D967">
        <v>69.8</v>
      </c>
      <c r="G967">
        <f t="shared" si="150"/>
        <v>1</v>
      </c>
      <c r="H967">
        <f t="shared" si="151"/>
        <v>0</v>
      </c>
      <c r="I967">
        <f t="shared" si="152"/>
        <v>1</v>
      </c>
      <c r="J967">
        <v>72</v>
      </c>
      <c r="K967">
        <v>75.3</v>
      </c>
      <c r="L967">
        <v>69.8</v>
      </c>
      <c r="M967">
        <v>72</v>
      </c>
      <c r="N967">
        <v>61.5</v>
      </c>
      <c r="O967">
        <v>69.7</v>
      </c>
      <c r="S967">
        <f t="shared" si="153"/>
        <v>1</v>
      </c>
      <c r="T967">
        <f t="shared" si="154"/>
        <v>1</v>
      </c>
      <c r="U967">
        <f t="shared" si="155"/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15</v>
      </c>
      <c r="AG967">
        <f t="shared" si="156"/>
        <v>1</v>
      </c>
      <c r="AH967">
        <f t="shared" si="157"/>
        <v>0</v>
      </c>
      <c r="AI967">
        <f t="shared" si="158"/>
        <v>1</v>
      </c>
      <c r="AJ967">
        <v>329</v>
      </c>
      <c r="AK967">
        <v>1020.9</v>
      </c>
      <c r="AL967">
        <v>50</v>
      </c>
      <c r="AM967">
        <v>6.8</v>
      </c>
      <c r="AN967">
        <v>0</v>
      </c>
      <c r="AO967">
        <v>0</v>
      </c>
      <c r="AP967">
        <v>0</v>
      </c>
      <c r="AQ967">
        <v>0</v>
      </c>
      <c r="AR967" t="s">
        <v>3315</v>
      </c>
      <c r="AS967" t="s">
        <v>3316</v>
      </c>
      <c r="AT967">
        <v>0.15</v>
      </c>
      <c r="AU967" t="s">
        <v>43</v>
      </c>
      <c r="AV967" t="s">
        <v>44</v>
      </c>
      <c r="AW967" t="s">
        <v>45</v>
      </c>
      <c r="AX967" s="1">
        <v>0.57291666666666663</v>
      </c>
      <c r="AY967" t="s">
        <v>3317</v>
      </c>
      <c r="AZ967">
        <v>1815.0000000069849</v>
      </c>
      <c r="BA967">
        <v>1</v>
      </c>
      <c r="BB967">
        <v>0</v>
      </c>
      <c r="BC967">
        <v>50</v>
      </c>
      <c r="BD967">
        <v>0</v>
      </c>
      <c r="BE967">
        <f t="shared" si="159"/>
        <v>1</v>
      </c>
    </row>
    <row r="968" spans="1:57" x14ac:dyDescent="0.25">
      <c r="A968" t="s">
        <v>39</v>
      </c>
      <c r="B968" t="s">
        <v>3318</v>
      </c>
      <c r="C968">
        <v>68.099999999999994</v>
      </c>
      <c r="D968">
        <v>55.5</v>
      </c>
      <c r="G968">
        <f t="shared" si="150"/>
        <v>0</v>
      </c>
      <c r="H968">
        <f t="shared" si="151"/>
        <v>0</v>
      </c>
      <c r="I968">
        <f t="shared" si="152"/>
        <v>0</v>
      </c>
      <c r="J968">
        <v>60.9</v>
      </c>
      <c r="K968">
        <v>68.099999999999994</v>
      </c>
      <c r="L968">
        <v>55.5</v>
      </c>
      <c r="M968">
        <v>60.9</v>
      </c>
      <c r="N968">
        <v>55.6</v>
      </c>
      <c r="O968">
        <v>83</v>
      </c>
      <c r="S968">
        <f t="shared" si="153"/>
        <v>1</v>
      </c>
      <c r="T968">
        <f t="shared" si="154"/>
        <v>1</v>
      </c>
      <c r="U968">
        <f t="shared" si="155"/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7</v>
      </c>
      <c r="AG968">
        <f t="shared" si="156"/>
        <v>1</v>
      </c>
      <c r="AH968">
        <f t="shared" si="157"/>
        <v>0</v>
      </c>
      <c r="AI968">
        <f t="shared" si="158"/>
        <v>1</v>
      </c>
      <c r="AJ968">
        <v>184.4</v>
      </c>
      <c r="AK968">
        <v>1019.9</v>
      </c>
      <c r="AL968">
        <v>30</v>
      </c>
      <c r="AM968">
        <v>6.8</v>
      </c>
      <c r="AN968">
        <v>0</v>
      </c>
      <c r="AO968">
        <v>0</v>
      </c>
      <c r="AP968">
        <v>0</v>
      </c>
      <c r="AQ968">
        <v>0</v>
      </c>
      <c r="AR968" t="s">
        <v>3319</v>
      </c>
      <c r="AS968" t="s">
        <v>3320</v>
      </c>
      <c r="AT968">
        <v>0.02</v>
      </c>
      <c r="AU968" t="s">
        <v>43</v>
      </c>
      <c r="AV968" t="s">
        <v>44</v>
      </c>
      <c r="AW968" t="s">
        <v>45</v>
      </c>
      <c r="AX968" s="1">
        <v>0.5</v>
      </c>
      <c r="AY968" t="s">
        <v>3321</v>
      </c>
      <c r="AZ968">
        <v>59.99999999650754</v>
      </c>
      <c r="BA968">
        <v>0</v>
      </c>
      <c r="BB968">
        <v>0</v>
      </c>
      <c r="BC968">
        <v>1</v>
      </c>
      <c r="BD968">
        <v>0</v>
      </c>
      <c r="BE968">
        <f t="shared" si="159"/>
        <v>0</v>
      </c>
    </row>
    <row r="969" spans="1:57" x14ac:dyDescent="0.25">
      <c r="A969" t="s">
        <v>39</v>
      </c>
      <c r="B969" t="s">
        <v>3260</v>
      </c>
      <c r="C969">
        <v>80.7</v>
      </c>
      <c r="D969">
        <v>73.5</v>
      </c>
      <c r="G969">
        <f t="shared" si="150"/>
        <v>1</v>
      </c>
      <c r="H969">
        <f t="shared" si="151"/>
        <v>0</v>
      </c>
      <c r="I969">
        <f t="shared" si="152"/>
        <v>1</v>
      </c>
      <c r="J969">
        <v>77</v>
      </c>
      <c r="K969">
        <v>83.4</v>
      </c>
      <c r="L969">
        <v>73.5</v>
      </c>
      <c r="M969">
        <v>77.3</v>
      </c>
      <c r="N969">
        <v>64.900000000000006</v>
      </c>
      <c r="O969">
        <v>66.5</v>
      </c>
      <c r="S969">
        <f t="shared" si="153"/>
        <v>1</v>
      </c>
      <c r="T969">
        <f t="shared" si="154"/>
        <v>1</v>
      </c>
      <c r="U969">
        <f t="shared" si="155"/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20.8</v>
      </c>
      <c r="AG969">
        <f t="shared" si="156"/>
        <v>1</v>
      </c>
      <c r="AH969">
        <f t="shared" si="157"/>
        <v>1</v>
      </c>
      <c r="AI969">
        <f t="shared" si="158"/>
        <v>0</v>
      </c>
      <c r="AJ969">
        <v>313.7</v>
      </c>
      <c r="AK969">
        <v>1014</v>
      </c>
      <c r="AL969">
        <v>30</v>
      </c>
      <c r="AM969">
        <v>6.8</v>
      </c>
      <c r="AN969">
        <v>0</v>
      </c>
      <c r="AO969">
        <v>0</v>
      </c>
      <c r="AP969">
        <v>0</v>
      </c>
      <c r="AQ969">
        <v>0</v>
      </c>
      <c r="AR969" t="s">
        <v>3261</v>
      </c>
      <c r="AS969" t="s">
        <v>3262</v>
      </c>
      <c r="AT969">
        <v>0.25</v>
      </c>
      <c r="AU969" t="s">
        <v>43</v>
      </c>
      <c r="AV969" t="s">
        <v>44</v>
      </c>
      <c r="AW969" t="s">
        <v>45</v>
      </c>
      <c r="AX969" s="1">
        <v>0.58680555555555558</v>
      </c>
      <c r="AY969" t="s">
        <v>3322</v>
      </c>
      <c r="AZ969">
        <v>130.00000000465661</v>
      </c>
      <c r="BA969">
        <v>0</v>
      </c>
      <c r="BB969">
        <v>0</v>
      </c>
      <c r="BC969">
        <v>1</v>
      </c>
      <c r="BD969">
        <v>0</v>
      </c>
      <c r="BE969">
        <f t="shared" si="159"/>
        <v>1</v>
      </c>
    </row>
    <row r="970" spans="1:57" x14ac:dyDescent="0.25">
      <c r="A970" t="s">
        <v>39</v>
      </c>
      <c r="B970" t="s">
        <v>3323</v>
      </c>
      <c r="C970">
        <v>75.3</v>
      </c>
      <c r="D970">
        <v>71.599999999999994</v>
      </c>
      <c r="G970">
        <f t="shared" si="150"/>
        <v>1</v>
      </c>
      <c r="H970">
        <f t="shared" si="151"/>
        <v>0</v>
      </c>
      <c r="I970">
        <f t="shared" si="152"/>
        <v>1</v>
      </c>
      <c r="J970">
        <v>73.7</v>
      </c>
      <c r="K970">
        <v>75.3</v>
      </c>
      <c r="L970">
        <v>71.599999999999994</v>
      </c>
      <c r="M970">
        <v>73.7</v>
      </c>
      <c r="N970">
        <v>62.7</v>
      </c>
      <c r="O970">
        <v>68.599999999999994</v>
      </c>
      <c r="S970">
        <f t="shared" si="153"/>
        <v>0</v>
      </c>
      <c r="T970">
        <f t="shared" si="154"/>
        <v>0</v>
      </c>
      <c r="U970">
        <f t="shared" si="155"/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19.5</v>
      </c>
      <c r="AG970">
        <f t="shared" si="156"/>
        <v>1</v>
      </c>
      <c r="AH970">
        <f t="shared" si="157"/>
        <v>1</v>
      </c>
      <c r="AI970">
        <f t="shared" si="158"/>
        <v>0</v>
      </c>
      <c r="AJ970">
        <v>321.5</v>
      </c>
      <c r="AK970">
        <v>1012.6</v>
      </c>
      <c r="AL970">
        <v>50</v>
      </c>
      <c r="AM970">
        <v>6.8</v>
      </c>
      <c r="AN970">
        <v>0</v>
      </c>
      <c r="AO970">
        <v>0</v>
      </c>
      <c r="AP970">
        <v>0</v>
      </c>
      <c r="AQ970">
        <v>0</v>
      </c>
      <c r="AR970" t="s">
        <v>3324</v>
      </c>
      <c r="AS970" t="s">
        <v>3325</v>
      </c>
      <c r="AT970">
        <v>0.05</v>
      </c>
      <c r="AU970" t="s">
        <v>43</v>
      </c>
      <c r="AV970" t="s">
        <v>44</v>
      </c>
      <c r="AW970" t="s">
        <v>45</v>
      </c>
      <c r="AX970" s="1">
        <v>0.4861111111111111</v>
      </c>
      <c r="AY970" t="s">
        <v>3326</v>
      </c>
      <c r="AZ970">
        <v>335.00000000232831</v>
      </c>
      <c r="BA970">
        <v>0</v>
      </c>
      <c r="BB970">
        <v>0</v>
      </c>
      <c r="BC970">
        <v>1</v>
      </c>
      <c r="BD970">
        <v>0</v>
      </c>
      <c r="BE970">
        <f t="shared" si="159"/>
        <v>0</v>
      </c>
    </row>
    <row r="971" spans="1:57" x14ac:dyDescent="0.25">
      <c r="A971" t="s">
        <v>39</v>
      </c>
      <c r="B971" t="s">
        <v>3327</v>
      </c>
      <c r="C971">
        <v>84.2</v>
      </c>
      <c r="D971">
        <v>64.5</v>
      </c>
      <c r="G971">
        <f t="shared" si="150"/>
        <v>1</v>
      </c>
      <c r="H971">
        <f t="shared" si="151"/>
        <v>1</v>
      </c>
      <c r="I971">
        <f t="shared" si="152"/>
        <v>0</v>
      </c>
      <c r="J971">
        <v>72.8</v>
      </c>
      <c r="K971">
        <v>84.4</v>
      </c>
      <c r="L971">
        <v>64.5</v>
      </c>
      <c r="M971">
        <v>72.900000000000006</v>
      </c>
      <c r="N971">
        <v>59.2</v>
      </c>
      <c r="O971">
        <v>63.1</v>
      </c>
      <c r="S971">
        <f t="shared" si="153"/>
        <v>1</v>
      </c>
      <c r="T971">
        <f t="shared" si="154"/>
        <v>0</v>
      </c>
      <c r="U971">
        <f t="shared" si="155"/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19.5</v>
      </c>
      <c r="AG971">
        <f t="shared" si="156"/>
        <v>1</v>
      </c>
      <c r="AH971">
        <f t="shared" si="157"/>
        <v>1</v>
      </c>
      <c r="AI971">
        <f t="shared" si="158"/>
        <v>0</v>
      </c>
      <c r="AJ971">
        <v>157.30000000000001</v>
      </c>
      <c r="AK971">
        <v>1014.6</v>
      </c>
      <c r="AL971">
        <v>16.100000000000001</v>
      </c>
      <c r="AM971">
        <v>6.3</v>
      </c>
      <c r="AN971">
        <v>0</v>
      </c>
      <c r="AO971">
        <v>0</v>
      </c>
      <c r="AP971">
        <v>0</v>
      </c>
      <c r="AQ971">
        <v>0</v>
      </c>
      <c r="AR971" t="s">
        <v>3328</v>
      </c>
      <c r="AS971" t="s">
        <v>3329</v>
      </c>
      <c r="AT971">
        <v>0.44</v>
      </c>
      <c r="AU971" t="s">
        <v>74</v>
      </c>
      <c r="AV971" t="s">
        <v>2955</v>
      </c>
      <c r="AW971" t="s">
        <v>75</v>
      </c>
      <c r="AX971" s="1">
        <v>0.55555555555555558</v>
      </c>
      <c r="AY971" t="s">
        <v>3330</v>
      </c>
      <c r="AZ971">
        <v>265.00000000465661</v>
      </c>
      <c r="BA971">
        <v>0</v>
      </c>
      <c r="BB971">
        <v>0</v>
      </c>
      <c r="BC971">
        <v>6</v>
      </c>
      <c r="BD971">
        <v>0</v>
      </c>
      <c r="BE971">
        <f t="shared" si="159"/>
        <v>1</v>
      </c>
    </row>
    <row r="972" spans="1:57" x14ac:dyDescent="0.25">
      <c r="A972" t="s">
        <v>39</v>
      </c>
      <c r="B972" t="s">
        <v>3331</v>
      </c>
      <c r="C972">
        <v>68.099999999999994</v>
      </c>
      <c r="D972">
        <v>50.1</v>
      </c>
      <c r="G972">
        <f t="shared" si="150"/>
        <v>0</v>
      </c>
      <c r="H972">
        <f t="shared" si="151"/>
        <v>0</v>
      </c>
      <c r="I972">
        <f t="shared" si="152"/>
        <v>0</v>
      </c>
      <c r="J972">
        <v>59.3</v>
      </c>
      <c r="K972">
        <v>68.099999999999994</v>
      </c>
      <c r="L972">
        <v>50.1</v>
      </c>
      <c r="M972">
        <v>59.3</v>
      </c>
      <c r="N972">
        <v>46.7</v>
      </c>
      <c r="O972">
        <v>63.6</v>
      </c>
      <c r="S972">
        <f t="shared" si="153"/>
        <v>0</v>
      </c>
      <c r="T972">
        <f t="shared" si="154"/>
        <v>0</v>
      </c>
      <c r="U972">
        <f t="shared" si="155"/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8.1</v>
      </c>
      <c r="AG972">
        <f t="shared" si="156"/>
        <v>1</v>
      </c>
      <c r="AH972">
        <f t="shared" si="157"/>
        <v>0</v>
      </c>
      <c r="AI972">
        <f t="shared" si="158"/>
        <v>1</v>
      </c>
      <c r="AJ972">
        <v>187.7</v>
      </c>
      <c r="AK972">
        <v>1014.7</v>
      </c>
      <c r="AL972">
        <v>30</v>
      </c>
      <c r="AM972">
        <v>6.5</v>
      </c>
      <c r="AN972">
        <v>0</v>
      </c>
      <c r="AO972">
        <v>0</v>
      </c>
      <c r="AP972">
        <v>0</v>
      </c>
      <c r="AQ972">
        <v>0</v>
      </c>
      <c r="AR972" t="s">
        <v>3332</v>
      </c>
      <c r="AS972" t="s">
        <v>3333</v>
      </c>
      <c r="AT972">
        <v>0.75</v>
      </c>
      <c r="AU972" t="s">
        <v>43</v>
      </c>
      <c r="AV972" t="s">
        <v>44</v>
      </c>
      <c r="AW972" t="s">
        <v>45</v>
      </c>
      <c r="AX972" s="1">
        <v>0.65972222222222221</v>
      </c>
      <c r="AY972" t="s">
        <v>3334</v>
      </c>
      <c r="AZ972">
        <v>80.000000009313226</v>
      </c>
      <c r="BA972">
        <v>0</v>
      </c>
      <c r="BB972">
        <v>0</v>
      </c>
      <c r="BC972">
        <v>1</v>
      </c>
      <c r="BD972">
        <v>0</v>
      </c>
      <c r="BE972">
        <f t="shared" si="159"/>
        <v>0</v>
      </c>
    </row>
    <row r="973" spans="1:57" x14ac:dyDescent="0.25">
      <c r="A973" t="s">
        <v>39</v>
      </c>
      <c r="B973" t="s">
        <v>3335</v>
      </c>
      <c r="C973">
        <v>82.5</v>
      </c>
      <c r="D973">
        <v>71.7</v>
      </c>
      <c r="G973">
        <f t="shared" si="150"/>
        <v>0</v>
      </c>
      <c r="H973">
        <f t="shared" si="151"/>
        <v>0</v>
      </c>
      <c r="I973">
        <f t="shared" si="152"/>
        <v>0</v>
      </c>
      <c r="J973">
        <v>78.400000000000006</v>
      </c>
      <c r="K973">
        <v>87.4</v>
      </c>
      <c r="L973">
        <v>71.7</v>
      </c>
      <c r="M973">
        <v>80.3</v>
      </c>
      <c r="N973">
        <v>68.8</v>
      </c>
      <c r="O973">
        <v>72.5</v>
      </c>
      <c r="S973">
        <f t="shared" si="153"/>
        <v>1</v>
      </c>
      <c r="T973">
        <f t="shared" si="154"/>
        <v>1</v>
      </c>
      <c r="U973">
        <f t="shared" si="155"/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23</v>
      </c>
      <c r="AG973">
        <f t="shared" si="156"/>
        <v>1</v>
      </c>
      <c r="AH973">
        <f t="shared" si="157"/>
        <v>1</v>
      </c>
      <c r="AI973">
        <f t="shared" si="158"/>
        <v>0</v>
      </c>
      <c r="AJ973">
        <v>309.89999999999998</v>
      </c>
      <c r="AK973">
        <v>1012.5</v>
      </c>
      <c r="AL973">
        <v>30</v>
      </c>
      <c r="AM973">
        <v>6.3</v>
      </c>
      <c r="AN973">
        <v>0</v>
      </c>
      <c r="AO973">
        <v>0</v>
      </c>
      <c r="AP973">
        <v>0</v>
      </c>
      <c r="AQ973">
        <v>0</v>
      </c>
      <c r="AR973" t="s">
        <v>3336</v>
      </c>
      <c r="AS973" t="s">
        <v>3337</v>
      </c>
      <c r="AT973">
        <v>0.03</v>
      </c>
      <c r="AU973" t="s">
        <v>43</v>
      </c>
      <c r="AV973" t="s">
        <v>44</v>
      </c>
      <c r="AW973" t="s">
        <v>45</v>
      </c>
      <c r="AX973" s="1">
        <v>0.8520833333333333</v>
      </c>
      <c r="AY973" t="s">
        <v>3338</v>
      </c>
      <c r="AZ973">
        <v>573.00000000279397</v>
      </c>
      <c r="BA973">
        <v>1</v>
      </c>
      <c r="BB973">
        <v>5</v>
      </c>
      <c r="BC973">
        <v>0</v>
      </c>
      <c r="BD973">
        <v>0</v>
      </c>
      <c r="BE973">
        <f t="shared" si="159"/>
        <v>1</v>
      </c>
    </row>
    <row r="974" spans="1:57" x14ac:dyDescent="0.25">
      <c r="A974" t="s">
        <v>39</v>
      </c>
      <c r="B974" t="s">
        <v>3339</v>
      </c>
      <c r="C974">
        <v>66.3</v>
      </c>
      <c r="D974">
        <v>50.1</v>
      </c>
      <c r="G974">
        <f t="shared" si="150"/>
        <v>1</v>
      </c>
      <c r="H974">
        <f t="shared" si="151"/>
        <v>1</v>
      </c>
      <c r="I974">
        <f t="shared" si="152"/>
        <v>0</v>
      </c>
      <c r="J974">
        <v>58.9</v>
      </c>
      <c r="K974">
        <v>66.3</v>
      </c>
      <c r="L974">
        <v>50.1</v>
      </c>
      <c r="M974">
        <v>58.9</v>
      </c>
      <c r="N974">
        <v>48</v>
      </c>
      <c r="O974">
        <v>67.5</v>
      </c>
      <c r="S974">
        <f t="shared" si="153"/>
        <v>0</v>
      </c>
      <c r="T974">
        <f t="shared" si="154"/>
        <v>0</v>
      </c>
      <c r="U974">
        <f t="shared" si="155"/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25.3</v>
      </c>
      <c r="AG974">
        <f t="shared" si="156"/>
        <v>1</v>
      </c>
      <c r="AH974">
        <f t="shared" si="157"/>
        <v>1</v>
      </c>
      <c r="AI974">
        <f t="shared" si="158"/>
        <v>0</v>
      </c>
      <c r="AJ974">
        <v>189.8</v>
      </c>
      <c r="AK974">
        <v>1010.4</v>
      </c>
      <c r="AL974">
        <v>83.3</v>
      </c>
      <c r="AM974">
        <v>6.8</v>
      </c>
      <c r="AN974">
        <v>0</v>
      </c>
      <c r="AO974">
        <v>0</v>
      </c>
      <c r="AP974">
        <v>0</v>
      </c>
      <c r="AQ974">
        <v>0</v>
      </c>
      <c r="AR974" t="s">
        <v>3340</v>
      </c>
      <c r="AS974" t="s">
        <v>3341</v>
      </c>
      <c r="AT974">
        <v>0.56000000000000005</v>
      </c>
      <c r="AU974" t="s">
        <v>43</v>
      </c>
      <c r="AV974" t="s">
        <v>44</v>
      </c>
      <c r="AW974" t="s">
        <v>45</v>
      </c>
      <c r="AX974" s="1">
        <v>0.76736111111111116</v>
      </c>
      <c r="AY974" t="s">
        <v>3342</v>
      </c>
      <c r="AZ974">
        <v>150.00000000698489</v>
      </c>
      <c r="BA974">
        <v>0</v>
      </c>
      <c r="BB974">
        <v>0</v>
      </c>
      <c r="BC974">
        <v>0.5</v>
      </c>
      <c r="BD974">
        <v>0</v>
      </c>
      <c r="BE974">
        <f t="shared" si="159"/>
        <v>0</v>
      </c>
    </row>
    <row r="975" spans="1:57" x14ac:dyDescent="0.25">
      <c r="A975" t="s">
        <v>39</v>
      </c>
      <c r="B975" t="s">
        <v>3343</v>
      </c>
      <c r="C975">
        <v>66.3</v>
      </c>
      <c r="D975">
        <v>55.5</v>
      </c>
      <c r="G975">
        <f t="shared" si="150"/>
        <v>0</v>
      </c>
      <c r="H975">
        <f t="shared" si="151"/>
        <v>0</v>
      </c>
      <c r="I975">
        <f t="shared" si="152"/>
        <v>0</v>
      </c>
      <c r="J975">
        <v>60.8</v>
      </c>
      <c r="K975">
        <v>66.3</v>
      </c>
      <c r="L975">
        <v>55.5</v>
      </c>
      <c r="M975">
        <v>60.8</v>
      </c>
      <c r="N975">
        <v>56.8</v>
      </c>
      <c r="O975">
        <v>86.7</v>
      </c>
      <c r="S975">
        <f t="shared" si="153"/>
        <v>1</v>
      </c>
      <c r="T975">
        <f t="shared" si="154"/>
        <v>1</v>
      </c>
      <c r="U975">
        <f t="shared" si="155"/>
        <v>0</v>
      </c>
      <c r="V975">
        <v>0.311</v>
      </c>
      <c r="W975">
        <v>100</v>
      </c>
      <c r="X975">
        <v>8.33</v>
      </c>
      <c r="Y975" t="s">
        <v>103</v>
      </c>
      <c r="Z975">
        <v>0</v>
      </c>
      <c r="AA975">
        <v>0</v>
      </c>
      <c r="AB975">
        <v>0</v>
      </c>
      <c r="AC975">
        <v>11.4</v>
      </c>
      <c r="AG975">
        <f t="shared" si="156"/>
        <v>1</v>
      </c>
      <c r="AH975">
        <f t="shared" si="157"/>
        <v>0</v>
      </c>
      <c r="AI975">
        <f t="shared" si="158"/>
        <v>1</v>
      </c>
      <c r="AJ975">
        <v>60.7</v>
      </c>
      <c r="AK975">
        <v>1011.4</v>
      </c>
      <c r="AL975">
        <v>60</v>
      </c>
      <c r="AM975">
        <v>6.8</v>
      </c>
      <c r="AN975">
        <v>0</v>
      </c>
      <c r="AO975">
        <v>0</v>
      </c>
      <c r="AP975">
        <v>0</v>
      </c>
      <c r="AQ975">
        <v>0</v>
      </c>
      <c r="AR975" t="s">
        <v>3344</v>
      </c>
      <c r="AS975" t="s">
        <v>3345</v>
      </c>
      <c r="AT975">
        <v>0.59</v>
      </c>
      <c r="AU975" t="s">
        <v>106</v>
      </c>
      <c r="AV975" t="s">
        <v>1098</v>
      </c>
      <c r="AW975" t="s">
        <v>103</v>
      </c>
      <c r="AX975" s="1">
        <v>0.69861111111111107</v>
      </c>
      <c r="AY975" t="s">
        <v>3346</v>
      </c>
      <c r="AZ975">
        <v>254.0000000002328</v>
      </c>
      <c r="BA975">
        <v>0</v>
      </c>
      <c r="BB975">
        <v>0</v>
      </c>
      <c r="BC975">
        <v>3</v>
      </c>
      <c r="BD975">
        <v>0</v>
      </c>
      <c r="BE975">
        <f t="shared" si="159"/>
        <v>0</v>
      </c>
    </row>
    <row r="976" spans="1:57" x14ac:dyDescent="0.25">
      <c r="A976" t="s">
        <v>39</v>
      </c>
      <c r="B976" t="s">
        <v>3347</v>
      </c>
      <c r="C976">
        <v>68.099999999999994</v>
      </c>
      <c r="D976">
        <v>53.7</v>
      </c>
      <c r="G976">
        <f t="shared" si="150"/>
        <v>1</v>
      </c>
      <c r="H976">
        <f t="shared" si="151"/>
        <v>1</v>
      </c>
      <c r="I976">
        <f t="shared" si="152"/>
        <v>0</v>
      </c>
      <c r="J976">
        <v>61.9</v>
      </c>
      <c r="K976">
        <v>68.099999999999994</v>
      </c>
      <c r="L976">
        <v>53.7</v>
      </c>
      <c r="M976">
        <v>61.9</v>
      </c>
      <c r="N976">
        <v>52.5</v>
      </c>
      <c r="O976">
        <v>72.099999999999994</v>
      </c>
      <c r="S976">
        <f t="shared" si="153"/>
        <v>1</v>
      </c>
      <c r="T976">
        <f t="shared" si="154"/>
        <v>1</v>
      </c>
      <c r="U976">
        <f t="shared" si="155"/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20.8</v>
      </c>
      <c r="AG976">
        <f t="shared" si="156"/>
        <v>1</v>
      </c>
      <c r="AH976">
        <f t="shared" si="157"/>
        <v>1</v>
      </c>
      <c r="AI976">
        <f t="shared" si="158"/>
        <v>0</v>
      </c>
      <c r="AJ976">
        <v>177.3</v>
      </c>
      <c r="AK976">
        <v>1018.7</v>
      </c>
      <c r="AL976">
        <v>90</v>
      </c>
      <c r="AM976">
        <v>6.3</v>
      </c>
      <c r="AN976">
        <v>0</v>
      </c>
      <c r="AO976">
        <v>0</v>
      </c>
      <c r="AP976">
        <v>0</v>
      </c>
      <c r="AQ976">
        <v>0</v>
      </c>
      <c r="AR976" t="s">
        <v>3348</v>
      </c>
      <c r="AS976" t="s">
        <v>3349</v>
      </c>
      <c r="AT976">
        <v>0.13</v>
      </c>
      <c r="AU976" t="s">
        <v>43</v>
      </c>
      <c r="AV976" t="s">
        <v>44</v>
      </c>
      <c r="AW976" t="s">
        <v>45</v>
      </c>
      <c r="AX976" s="1">
        <v>0.65277777777777779</v>
      </c>
      <c r="AY976" t="s">
        <v>3350</v>
      </c>
      <c r="AZ976">
        <v>169.99999999883579</v>
      </c>
      <c r="BA976">
        <v>0</v>
      </c>
      <c r="BB976">
        <v>0</v>
      </c>
      <c r="BC976">
        <v>3</v>
      </c>
      <c r="BD976">
        <v>0</v>
      </c>
      <c r="BE976">
        <f t="shared" si="159"/>
        <v>1</v>
      </c>
    </row>
    <row r="977" spans="1:57" x14ac:dyDescent="0.25">
      <c r="A977" t="s">
        <v>39</v>
      </c>
      <c r="B977" t="s">
        <v>3351</v>
      </c>
      <c r="C977">
        <v>68.099999999999994</v>
      </c>
      <c r="D977">
        <v>55.5</v>
      </c>
      <c r="G977">
        <f t="shared" si="150"/>
        <v>1</v>
      </c>
      <c r="H977">
        <f t="shared" si="151"/>
        <v>1</v>
      </c>
      <c r="I977">
        <f t="shared" si="152"/>
        <v>0</v>
      </c>
      <c r="J977">
        <v>60.1</v>
      </c>
      <c r="K977">
        <v>68.099999999999994</v>
      </c>
      <c r="L977">
        <v>55.5</v>
      </c>
      <c r="M977">
        <v>60.1</v>
      </c>
      <c r="N977">
        <v>52</v>
      </c>
      <c r="O977">
        <v>75</v>
      </c>
      <c r="S977">
        <f t="shared" si="153"/>
        <v>1</v>
      </c>
      <c r="T977">
        <f t="shared" si="154"/>
        <v>1</v>
      </c>
      <c r="U977">
        <f t="shared" si="155"/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18.3</v>
      </c>
      <c r="AG977">
        <f t="shared" si="156"/>
        <v>1</v>
      </c>
      <c r="AH977">
        <f t="shared" si="157"/>
        <v>0</v>
      </c>
      <c r="AI977">
        <f t="shared" si="158"/>
        <v>1</v>
      </c>
      <c r="AJ977">
        <v>179.7</v>
      </c>
      <c r="AK977">
        <v>1020</v>
      </c>
      <c r="AL977">
        <v>70</v>
      </c>
      <c r="AM977">
        <v>6.3</v>
      </c>
      <c r="AN977">
        <v>0</v>
      </c>
      <c r="AO977">
        <v>0</v>
      </c>
      <c r="AP977">
        <v>0</v>
      </c>
      <c r="AQ977">
        <v>0</v>
      </c>
      <c r="AR977" t="s">
        <v>3352</v>
      </c>
      <c r="AS977" t="s">
        <v>3353</v>
      </c>
      <c r="AT977">
        <v>0.25</v>
      </c>
      <c r="AU977" t="s">
        <v>43</v>
      </c>
      <c r="AV977" t="s">
        <v>44</v>
      </c>
      <c r="AW977" t="s">
        <v>45</v>
      </c>
      <c r="AX977" s="1">
        <v>0.74583333333333335</v>
      </c>
      <c r="AY977" t="s">
        <v>3354</v>
      </c>
      <c r="AZ977">
        <v>120.9999999962747</v>
      </c>
      <c r="BA977">
        <v>0</v>
      </c>
      <c r="BB977">
        <v>0</v>
      </c>
      <c r="BC977">
        <v>1</v>
      </c>
      <c r="BD977">
        <v>0</v>
      </c>
      <c r="BE977">
        <f t="shared" si="159"/>
        <v>1</v>
      </c>
    </row>
    <row r="978" spans="1:57" x14ac:dyDescent="0.25">
      <c r="A978" t="s">
        <v>39</v>
      </c>
      <c r="B978" t="s">
        <v>3355</v>
      </c>
      <c r="C978">
        <v>82.5</v>
      </c>
      <c r="D978">
        <v>75.3</v>
      </c>
      <c r="G978">
        <f t="shared" si="150"/>
        <v>0</v>
      </c>
      <c r="H978">
        <f t="shared" si="151"/>
        <v>0</v>
      </c>
      <c r="I978">
        <f t="shared" si="152"/>
        <v>0</v>
      </c>
      <c r="J978">
        <v>78.7</v>
      </c>
      <c r="K978">
        <v>84.1</v>
      </c>
      <c r="L978">
        <v>75.3</v>
      </c>
      <c r="M978">
        <v>79.2</v>
      </c>
      <c r="N978">
        <v>64.099999999999994</v>
      </c>
      <c r="O978">
        <v>61.5</v>
      </c>
      <c r="S978">
        <f t="shared" si="153"/>
        <v>0</v>
      </c>
      <c r="T978">
        <f t="shared" si="154"/>
        <v>0</v>
      </c>
      <c r="U978">
        <f t="shared" si="155"/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23</v>
      </c>
      <c r="AG978">
        <f t="shared" si="156"/>
        <v>1</v>
      </c>
      <c r="AH978">
        <f t="shared" si="157"/>
        <v>1</v>
      </c>
      <c r="AI978">
        <f t="shared" si="158"/>
        <v>0</v>
      </c>
      <c r="AJ978">
        <v>314.8</v>
      </c>
      <c r="AK978">
        <v>1012.9</v>
      </c>
      <c r="AL978">
        <v>30</v>
      </c>
      <c r="AM978">
        <v>6.7</v>
      </c>
      <c r="AN978">
        <v>0</v>
      </c>
      <c r="AO978">
        <v>0</v>
      </c>
      <c r="AP978">
        <v>0</v>
      </c>
      <c r="AQ978">
        <v>0</v>
      </c>
      <c r="AR978" t="s">
        <v>3356</v>
      </c>
      <c r="AS978" t="s">
        <v>3357</v>
      </c>
      <c r="AT978">
        <v>0.69</v>
      </c>
      <c r="AU978" t="s">
        <v>43</v>
      </c>
      <c r="AV978" t="s">
        <v>44</v>
      </c>
      <c r="AW978" t="s">
        <v>45</v>
      </c>
      <c r="AX978" s="1">
        <v>0.52777777777777779</v>
      </c>
      <c r="AY978" t="s">
        <v>3358</v>
      </c>
      <c r="AZ978">
        <v>409.99999999534339</v>
      </c>
      <c r="BA978">
        <v>1</v>
      </c>
      <c r="BB978">
        <v>0</v>
      </c>
      <c r="BC978">
        <v>4</v>
      </c>
      <c r="BD978">
        <v>0</v>
      </c>
      <c r="BE978">
        <f t="shared" si="159"/>
        <v>0</v>
      </c>
    </row>
    <row r="979" spans="1:57" x14ac:dyDescent="0.25">
      <c r="A979" t="s">
        <v>39</v>
      </c>
      <c r="B979" t="s">
        <v>3359</v>
      </c>
      <c r="C979">
        <v>71.7</v>
      </c>
      <c r="D979">
        <v>62.7</v>
      </c>
      <c r="G979">
        <f t="shared" si="150"/>
        <v>1</v>
      </c>
      <c r="H979">
        <f t="shared" si="151"/>
        <v>0</v>
      </c>
      <c r="I979">
        <f t="shared" si="152"/>
        <v>1</v>
      </c>
      <c r="J979">
        <v>68.2</v>
      </c>
      <c r="K979">
        <v>71.7</v>
      </c>
      <c r="L979">
        <v>62.7</v>
      </c>
      <c r="M979">
        <v>68.2</v>
      </c>
      <c r="N979">
        <v>52.9</v>
      </c>
      <c r="O979">
        <v>58.6</v>
      </c>
      <c r="S979">
        <f t="shared" si="153"/>
        <v>1</v>
      </c>
      <c r="T979">
        <f t="shared" si="154"/>
        <v>0</v>
      </c>
      <c r="U979">
        <f t="shared" si="155"/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18.3</v>
      </c>
      <c r="AG979">
        <f t="shared" si="156"/>
        <v>1</v>
      </c>
      <c r="AH979">
        <f t="shared" si="157"/>
        <v>1</v>
      </c>
      <c r="AI979">
        <f t="shared" si="158"/>
        <v>0</v>
      </c>
      <c r="AJ979">
        <v>296</v>
      </c>
      <c r="AK979">
        <v>1018.2</v>
      </c>
      <c r="AL979">
        <v>37.5</v>
      </c>
      <c r="AM979">
        <v>6.8</v>
      </c>
      <c r="AN979">
        <v>0</v>
      </c>
      <c r="AO979">
        <v>0</v>
      </c>
      <c r="AP979">
        <v>0</v>
      </c>
      <c r="AQ979">
        <v>0</v>
      </c>
      <c r="AR979" t="s">
        <v>3360</v>
      </c>
      <c r="AS979" t="s">
        <v>3361</v>
      </c>
      <c r="AT979">
        <v>0.1</v>
      </c>
      <c r="AU979" t="s">
        <v>43</v>
      </c>
      <c r="AV979" t="s">
        <v>44</v>
      </c>
      <c r="AW979" t="s">
        <v>45</v>
      </c>
      <c r="AX979" s="1">
        <v>0.70486111111111116</v>
      </c>
      <c r="AY979" t="s">
        <v>3362</v>
      </c>
      <c r="AZ979">
        <v>79.999999998835847</v>
      </c>
      <c r="BA979">
        <v>0</v>
      </c>
      <c r="BB979">
        <v>0</v>
      </c>
      <c r="BC979">
        <v>5</v>
      </c>
      <c r="BD979">
        <v>0</v>
      </c>
      <c r="BE979">
        <f t="shared" si="159"/>
        <v>1</v>
      </c>
    </row>
    <row r="980" spans="1:57" x14ac:dyDescent="0.25">
      <c r="A980" t="s">
        <v>39</v>
      </c>
      <c r="B980" t="s">
        <v>3363</v>
      </c>
      <c r="C980">
        <v>86.1</v>
      </c>
      <c r="D980">
        <v>68.099999999999994</v>
      </c>
      <c r="G980">
        <f t="shared" si="150"/>
        <v>1</v>
      </c>
      <c r="H980">
        <f t="shared" si="151"/>
        <v>1</v>
      </c>
      <c r="I980">
        <f t="shared" si="152"/>
        <v>0</v>
      </c>
      <c r="J980">
        <v>76.900000000000006</v>
      </c>
      <c r="K980">
        <v>87.6</v>
      </c>
      <c r="L980">
        <v>68.099999999999994</v>
      </c>
      <c r="M980">
        <v>77.3</v>
      </c>
      <c r="N980">
        <v>63.7</v>
      </c>
      <c r="O980">
        <v>64.900000000000006</v>
      </c>
      <c r="S980">
        <f t="shared" si="153"/>
        <v>0</v>
      </c>
      <c r="T980">
        <f t="shared" si="154"/>
        <v>0</v>
      </c>
      <c r="U980">
        <f t="shared" si="155"/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28.9</v>
      </c>
      <c r="AG980">
        <f t="shared" si="156"/>
        <v>1</v>
      </c>
      <c r="AH980">
        <f t="shared" si="157"/>
        <v>1</v>
      </c>
      <c r="AI980">
        <f t="shared" si="158"/>
        <v>0</v>
      </c>
      <c r="AJ980">
        <v>181.5</v>
      </c>
      <c r="AK980">
        <v>1011.7</v>
      </c>
      <c r="AL980">
        <v>26.8</v>
      </c>
      <c r="AM980">
        <v>6.6</v>
      </c>
      <c r="AN980">
        <v>0</v>
      </c>
      <c r="AO980">
        <v>0</v>
      </c>
      <c r="AP980">
        <v>0</v>
      </c>
      <c r="AQ980">
        <v>0</v>
      </c>
      <c r="AR980" t="s">
        <v>3364</v>
      </c>
      <c r="AS980" t="s">
        <v>3365</v>
      </c>
      <c r="AT980">
        <v>0.47</v>
      </c>
      <c r="AU980" t="s">
        <v>43</v>
      </c>
      <c r="AV980" t="s">
        <v>44</v>
      </c>
      <c r="AW980" t="s">
        <v>45</v>
      </c>
      <c r="AX980" s="1">
        <v>3.472222222222222E-3</v>
      </c>
      <c r="AY980" t="s">
        <v>3366</v>
      </c>
      <c r="AZ980">
        <v>75.00000000349246</v>
      </c>
      <c r="BA980">
        <v>0</v>
      </c>
      <c r="BB980">
        <v>0</v>
      </c>
      <c r="BC980">
        <v>1</v>
      </c>
      <c r="BD980">
        <v>0</v>
      </c>
      <c r="BE980">
        <f t="shared" si="159"/>
        <v>0</v>
      </c>
    </row>
    <row r="981" spans="1:57" x14ac:dyDescent="0.25">
      <c r="A981" t="s">
        <v>39</v>
      </c>
      <c r="B981" t="s">
        <v>3367</v>
      </c>
      <c r="C981">
        <v>84.3</v>
      </c>
      <c r="D981">
        <v>68</v>
      </c>
      <c r="G981">
        <f t="shared" si="150"/>
        <v>1</v>
      </c>
      <c r="H981">
        <f t="shared" si="151"/>
        <v>1</v>
      </c>
      <c r="I981">
        <f t="shared" si="152"/>
        <v>0</v>
      </c>
      <c r="J981">
        <v>74.599999999999994</v>
      </c>
      <c r="K981">
        <v>85</v>
      </c>
      <c r="L981">
        <v>68</v>
      </c>
      <c r="M981">
        <v>74.8</v>
      </c>
      <c r="N981">
        <v>60.9</v>
      </c>
      <c r="O981">
        <v>63.8</v>
      </c>
      <c r="S981">
        <f t="shared" si="153"/>
        <v>1</v>
      </c>
      <c r="T981">
        <f t="shared" si="154"/>
        <v>0</v>
      </c>
      <c r="U981">
        <f t="shared" si="155"/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25.3</v>
      </c>
      <c r="AG981">
        <f t="shared" si="156"/>
        <v>1</v>
      </c>
      <c r="AH981">
        <f t="shared" si="157"/>
        <v>1</v>
      </c>
      <c r="AI981">
        <f t="shared" si="158"/>
        <v>0</v>
      </c>
      <c r="AJ981">
        <v>195.1</v>
      </c>
      <c r="AK981">
        <v>1009.2</v>
      </c>
      <c r="AL981">
        <v>42.5</v>
      </c>
      <c r="AM981">
        <v>6.8</v>
      </c>
      <c r="AN981">
        <v>0</v>
      </c>
      <c r="AO981">
        <v>0</v>
      </c>
      <c r="AP981">
        <v>0</v>
      </c>
      <c r="AQ981">
        <v>0</v>
      </c>
      <c r="AR981" t="s">
        <v>3368</v>
      </c>
      <c r="AS981" t="s">
        <v>3369</v>
      </c>
      <c r="AT981">
        <v>0.83</v>
      </c>
      <c r="AU981" t="s">
        <v>43</v>
      </c>
      <c r="AV981" t="s">
        <v>44</v>
      </c>
      <c r="AW981" t="s">
        <v>45</v>
      </c>
      <c r="AX981" s="1">
        <v>0.4513888888888889</v>
      </c>
      <c r="AY981" t="s">
        <v>3370</v>
      </c>
      <c r="AZ981">
        <v>380.00000000232831</v>
      </c>
      <c r="BA981">
        <v>1</v>
      </c>
      <c r="BB981">
        <v>0</v>
      </c>
      <c r="BC981">
        <v>5</v>
      </c>
      <c r="BD981">
        <v>0</v>
      </c>
      <c r="BE981">
        <f t="shared" si="159"/>
        <v>1</v>
      </c>
    </row>
    <row r="982" spans="1:57" x14ac:dyDescent="0.25">
      <c r="A982" t="s">
        <v>39</v>
      </c>
      <c r="B982" t="s">
        <v>3363</v>
      </c>
      <c r="C982">
        <v>86.1</v>
      </c>
      <c r="D982">
        <v>68.099999999999994</v>
      </c>
      <c r="G982">
        <f t="shared" si="150"/>
        <v>1</v>
      </c>
      <c r="H982">
        <f t="shared" si="151"/>
        <v>1</v>
      </c>
      <c r="I982">
        <f t="shared" si="152"/>
        <v>0</v>
      </c>
      <c r="J982">
        <v>76.900000000000006</v>
      </c>
      <c r="K982">
        <v>87.6</v>
      </c>
      <c r="L982">
        <v>68.099999999999994</v>
      </c>
      <c r="M982">
        <v>77.3</v>
      </c>
      <c r="N982">
        <v>63.7</v>
      </c>
      <c r="O982">
        <v>64.900000000000006</v>
      </c>
      <c r="S982">
        <f t="shared" si="153"/>
        <v>0</v>
      </c>
      <c r="T982">
        <f t="shared" si="154"/>
        <v>0</v>
      </c>
      <c r="U982">
        <f t="shared" si="155"/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28.9</v>
      </c>
      <c r="AG982">
        <f t="shared" si="156"/>
        <v>1</v>
      </c>
      <c r="AH982">
        <f t="shared" si="157"/>
        <v>1</v>
      </c>
      <c r="AI982">
        <f t="shared" si="158"/>
        <v>0</v>
      </c>
      <c r="AJ982">
        <v>181.5</v>
      </c>
      <c r="AK982">
        <v>1011.7</v>
      </c>
      <c r="AL982">
        <v>26.8</v>
      </c>
      <c r="AM982">
        <v>6.6</v>
      </c>
      <c r="AN982">
        <v>0</v>
      </c>
      <c r="AO982">
        <v>0</v>
      </c>
      <c r="AP982">
        <v>0</v>
      </c>
      <c r="AQ982">
        <v>0</v>
      </c>
      <c r="AR982" t="s">
        <v>3364</v>
      </c>
      <c r="AS982" t="s">
        <v>3365</v>
      </c>
      <c r="AT982">
        <v>0.47</v>
      </c>
      <c r="AU982" t="s">
        <v>43</v>
      </c>
      <c r="AV982" t="s">
        <v>44</v>
      </c>
      <c r="AW982" t="s">
        <v>45</v>
      </c>
      <c r="AX982" s="1">
        <v>0.84375</v>
      </c>
      <c r="AY982" t="s">
        <v>3371</v>
      </c>
      <c r="AZ982">
        <v>194.99999999650751</v>
      </c>
      <c r="BA982">
        <v>0</v>
      </c>
      <c r="BB982">
        <v>0</v>
      </c>
      <c r="BC982">
        <v>1</v>
      </c>
      <c r="BD982">
        <v>0</v>
      </c>
      <c r="BE982">
        <f t="shared" si="159"/>
        <v>0</v>
      </c>
    </row>
    <row r="983" spans="1:57" x14ac:dyDescent="0.25">
      <c r="A983" t="s">
        <v>39</v>
      </c>
      <c r="B983" t="s">
        <v>3372</v>
      </c>
      <c r="C983">
        <v>84.3</v>
      </c>
      <c r="D983">
        <v>68.099999999999994</v>
      </c>
      <c r="G983">
        <f t="shared" si="150"/>
        <v>1</v>
      </c>
      <c r="H983">
        <f t="shared" si="151"/>
        <v>1</v>
      </c>
      <c r="I983">
        <f t="shared" si="152"/>
        <v>0</v>
      </c>
      <c r="J983">
        <v>76.599999999999994</v>
      </c>
      <c r="K983">
        <v>94.4</v>
      </c>
      <c r="L983">
        <v>68.099999999999994</v>
      </c>
      <c r="M983">
        <v>79.5</v>
      </c>
      <c r="N983">
        <v>67.400000000000006</v>
      </c>
      <c r="O983">
        <v>73.7</v>
      </c>
      <c r="S983">
        <f t="shared" si="153"/>
        <v>1</v>
      </c>
      <c r="T983">
        <f t="shared" si="154"/>
        <v>1</v>
      </c>
      <c r="U983">
        <f t="shared" si="155"/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8.1</v>
      </c>
      <c r="AG983">
        <f t="shared" si="156"/>
        <v>1</v>
      </c>
      <c r="AH983">
        <f t="shared" si="157"/>
        <v>0</v>
      </c>
      <c r="AI983">
        <f t="shared" si="158"/>
        <v>1</v>
      </c>
      <c r="AJ983">
        <v>161.6</v>
      </c>
      <c r="AK983">
        <v>1011.8</v>
      </c>
      <c r="AL983">
        <v>40</v>
      </c>
      <c r="AM983">
        <v>6.5</v>
      </c>
      <c r="AN983">
        <v>0</v>
      </c>
      <c r="AO983">
        <v>0</v>
      </c>
      <c r="AP983">
        <v>0</v>
      </c>
      <c r="AQ983">
        <v>0</v>
      </c>
      <c r="AR983" t="s">
        <v>3373</v>
      </c>
      <c r="AS983" t="s">
        <v>3374</v>
      </c>
      <c r="AT983">
        <v>0.5</v>
      </c>
      <c r="AU983" t="s">
        <v>43</v>
      </c>
      <c r="AV983" t="s">
        <v>44</v>
      </c>
      <c r="AW983" t="s">
        <v>45</v>
      </c>
      <c r="AX983" s="1">
        <v>0.51041666666666663</v>
      </c>
      <c r="AY983" t="s">
        <v>3375</v>
      </c>
      <c r="AZ983">
        <v>185.00000000582079</v>
      </c>
      <c r="BA983">
        <v>0</v>
      </c>
      <c r="BB983">
        <v>0</v>
      </c>
      <c r="BC983">
        <v>6</v>
      </c>
      <c r="BD983">
        <v>0</v>
      </c>
      <c r="BE983">
        <f t="shared" si="159"/>
        <v>1</v>
      </c>
    </row>
    <row r="984" spans="1:57" x14ac:dyDescent="0.25">
      <c r="A984" t="s">
        <v>39</v>
      </c>
      <c r="B984" t="s">
        <v>3359</v>
      </c>
      <c r="C984">
        <v>71.7</v>
      </c>
      <c r="D984">
        <v>62.7</v>
      </c>
      <c r="G984">
        <f t="shared" si="150"/>
        <v>1</v>
      </c>
      <c r="H984">
        <f t="shared" si="151"/>
        <v>0</v>
      </c>
      <c r="I984">
        <f t="shared" si="152"/>
        <v>1</v>
      </c>
      <c r="J984">
        <v>68.2</v>
      </c>
      <c r="K984">
        <v>71.7</v>
      </c>
      <c r="L984">
        <v>62.7</v>
      </c>
      <c r="M984">
        <v>68.2</v>
      </c>
      <c r="N984">
        <v>52.9</v>
      </c>
      <c r="O984">
        <v>58.6</v>
      </c>
      <c r="S984">
        <f t="shared" si="153"/>
        <v>1</v>
      </c>
      <c r="T984">
        <f t="shared" si="154"/>
        <v>0</v>
      </c>
      <c r="U984">
        <f t="shared" si="155"/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18.3</v>
      </c>
      <c r="AG984">
        <f t="shared" si="156"/>
        <v>1</v>
      </c>
      <c r="AH984">
        <f t="shared" si="157"/>
        <v>1</v>
      </c>
      <c r="AI984">
        <f t="shared" si="158"/>
        <v>0</v>
      </c>
      <c r="AJ984">
        <v>296</v>
      </c>
      <c r="AK984">
        <v>1018.2</v>
      </c>
      <c r="AL984">
        <v>37.5</v>
      </c>
      <c r="AM984">
        <v>6.8</v>
      </c>
      <c r="AN984">
        <v>0</v>
      </c>
      <c r="AO984">
        <v>0</v>
      </c>
      <c r="AP984">
        <v>0</v>
      </c>
      <c r="AQ984">
        <v>0</v>
      </c>
      <c r="AR984" t="s">
        <v>3360</v>
      </c>
      <c r="AS984" t="s">
        <v>3361</v>
      </c>
      <c r="AT984">
        <v>0.1</v>
      </c>
      <c r="AU984" t="s">
        <v>43</v>
      </c>
      <c r="AV984" t="s">
        <v>44</v>
      </c>
      <c r="AW984" t="s">
        <v>45</v>
      </c>
      <c r="AX984" s="1">
        <v>0.70833333333333337</v>
      </c>
      <c r="AY984" t="s">
        <v>3376</v>
      </c>
      <c r="AZ984">
        <v>139.99999999534339</v>
      </c>
      <c r="BA984">
        <v>0</v>
      </c>
      <c r="BB984">
        <v>0</v>
      </c>
      <c r="BC984">
        <v>3</v>
      </c>
      <c r="BD984">
        <v>0</v>
      </c>
      <c r="BE984">
        <f t="shared" si="159"/>
        <v>1</v>
      </c>
    </row>
    <row r="985" spans="1:57" x14ac:dyDescent="0.25">
      <c r="A985" t="s">
        <v>39</v>
      </c>
      <c r="B985" t="s">
        <v>3377</v>
      </c>
      <c r="C985">
        <v>82.5</v>
      </c>
      <c r="D985">
        <v>59</v>
      </c>
      <c r="G985">
        <f t="shared" si="150"/>
        <v>1</v>
      </c>
      <c r="H985">
        <f t="shared" si="151"/>
        <v>1</v>
      </c>
      <c r="I985">
        <f t="shared" si="152"/>
        <v>0</v>
      </c>
      <c r="J985">
        <v>70.7</v>
      </c>
      <c r="K985">
        <v>83.5</v>
      </c>
      <c r="L985">
        <v>59</v>
      </c>
      <c r="M985">
        <v>70.900000000000006</v>
      </c>
      <c r="N985">
        <v>59.3</v>
      </c>
      <c r="O985">
        <v>68.3</v>
      </c>
      <c r="S985">
        <f t="shared" si="153"/>
        <v>0</v>
      </c>
      <c r="T985">
        <f t="shared" si="154"/>
        <v>0</v>
      </c>
      <c r="U985">
        <f t="shared" si="155"/>
        <v>0</v>
      </c>
      <c r="V985">
        <v>1.2E-2</v>
      </c>
      <c r="W985">
        <v>100</v>
      </c>
      <c r="X985">
        <v>4.17</v>
      </c>
      <c r="Y985" t="s">
        <v>103</v>
      </c>
      <c r="Z985">
        <v>0</v>
      </c>
      <c r="AA985">
        <v>0</v>
      </c>
      <c r="AB985">
        <v>0</v>
      </c>
      <c r="AC985">
        <v>15</v>
      </c>
      <c r="AG985">
        <f t="shared" si="156"/>
        <v>1</v>
      </c>
      <c r="AH985">
        <f t="shared" si="157"/>
        <v>0</v>
      </c>
      <c r="AI985">
        <f t="shared" si="158"/>
        <v>1</v>
      </c>
      <c r="AJ985">
        <v>174</v>
      </c>
      <c r="AK985">
        <v>1013.9</v>
      </c>
      <c r="AL985">
        <v>48.3</v>
      </c>
      <c r="AM985">
        <v>6.8</v>
      </c>
      <c r="AN985">
        <v>0</v>
      </c>
      <c r="AO985">
        <v>0</v>
      </c>
      <c r="AP985">
        <v>0</v>
      </c>
      <c r="AQ985">
        <v>0</v>
      </c>
      <c r="AR985" t="s">
        <v>3378</v>
      </c>
      <c r="AS985" t="s">
        <v>3379</v>
      </c>
      <c r="AT985">
        <v>0.9</v>
      </c>
      <c r="AU985" t="s">
        <v>106</v>
      </c>
      <c r="AV985" t="s">
        <v>438</v>
      </c>
      <c r="AW985" t="s">
        <v>103</v>
      </c>
      <c r="AX985" s="1">
        <v>0.57986111111111116</v>
      </c>
      <c r="AY985" t="s">
        <v>3380</v>
      </c>
      <c r="AZ985">
        <v>225</v>
      </c>
      <c r="BA985">
        <v>0</v>
      </c>
      <c r="BB985">
        <v>0</v>
      </c>
      <c r="BC985">
        <v>0.5</v>
      </c>
      <c r="BD985">
        <v>0</v>
      </c>
      <c r="BE985">
        <f t="shared" si="159"/>
        <v>0</v>
      </c>
    </row>
    <row r="986" spans="1:57" x14ac:dyDescent="0.25">
      <c r="A986" t="s">
        <v>39</v>
      </c>
      <c r="B986" t="s">
        <v>3381</v>
      </c>
      <c r="C986">
        <v>82.5</v>
      </c>
      <c r="D986">
        <v>77.099999999999994</v>
      </c>
      <c r="G986">
        <f t="shared" si="150"/>
        <v>0</v>
      </c>
      <c r="H986">
        <f t="shared" si="151"/>
        <v>0</v>
      </c>
      <c r="I986">
        <f t="shared" si="152"/>
        <v>0</v>
      </c>
      <c r="J986">
        <v>79.599999999999994</v>
      </c>
      <c r="K986">
        <v>84.8</v>
      </c>
      <c r="L986">
        <v>77.099999999999994</v>
      </c>
      <c r="M986">
        <v>80.3</v>
      </c>
      <c r="N986">
        <v>66.099999999999994</v>
      </c>
      <c r="O986">
        <v>64</v>
      </c>
      <c r="S986">
        <f t="shared" si="153"/>
        <v>1</v>
      </c>
      <c r="T986">
        <f t="shared" si="154"/>
        <v>1</v>
      </c>
      <c r="U986">
        <f t="shared" si="155"/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25.3</v>
      </c>
      <c r="AG986">
        <f t="shared" si="156"/>
        <v>1</v>
      </c>
      <c r="AH986">
        <f t="shared" si="157"/>
        <v>1</v>
      </c>
      <c r="AI986">
        <f t="shared" si="158"/>
        <v>0</v>
      </c>
      <c r="AJ986">
        <v>316.3</v>
      </c>
      <c r="AK986">
        <v>1011.5</v>
      </c>
      <c r="AL986">
        <v>30</v>
      </c>
      <c r="AM986">
        <v>6.8</v>
      </c>
      <c r="AN986">
        <v>0</v>
      </c>
      <c r="AO986">
        <v>0</v>
      </c>
      <c r="AP986">
        <v>0</v>
      </c>
      <c r="AQ986">
        <v>0</v>
      </c>
      <c r="AR986" t="s">
        <v>3382</v>
      </c>
      <c r="AS986" t="s">
        <v>3383</v>
      </c>
      <c r="AT986">
        <v>0.21</v>
      </c>
      <c r="AU986" t="s">
        <v>43</v>
      </c>
      <c r="AV986" t="s">
        <v>44</v>
      </c>
      <c r="AW986" t="s">
        <v>45</v>
      </c>
      <c r="AX986" s="1">
        <v>0.56597222222222221</v>
      </c>
      <c r="AY986" t="s">
        <v>3384</v>
      </c>
      <c r="AZ986">
        <v>315</v>
      </c>
      <c r="BA986">
        <v>0</v>
      </c>
      <c r="BB986">
        <v>0</v>
      </c>
      <c r="BC986">
        <v>3</v>
      </c>
      <c r="BD986">
        <v>0</v>
      </c>
      <c r="BE986">
        <f t="shared" si="159"/>
        <v>0</v>
      </c>
    </row>
    <row r="987" spans="1:57" x14ac:dyDescent="0.25">
      <c r="A987" t="s">
        <v>39</v>
      </c>
      <c r="B987" t="s">
        <v>3385</v>
      </c>
      <c r="C987">
        <v>73.5</v>
      </c>
      <c r="D987">
        <v>57.3</v>
      </c>
      <c r="G987">
        <f t="shared" si="150"/>
        <v>0</v>
      </c>
      <c r="H987">
        <f t="shared" si="151"/>
        <v>0</v>
      </c>
      <c r="I987">
        <f t="shared" si="152"/>
        <v>0</v>
      </c>
      <c r="J987">
        <v>65.7</v>
      </c>
      <c r="K987">
        <v>73.5</v>
      </c>
      <c r="L987">
        <v>57.3</v>
      </c>
      <c r="M987">
        <v>65.7</v>
      </c>
      <c r="N987">
        <v>54.2</v>
      </c>
      <c r="O987">
        <v>67</v>
      </c>
      <c r="S987">
        <f t="shared" si="153"/>
        <v>0</v>
      </c>
      <c r="T987">
        <f t="shared" si="154"/>
        <v>0</v>
      </c>
      <c r="U987">
        <f t="shared" si="155"/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19.5</v>
      </c>
      <c r="AG987">
        <f t="shared" si="156"/>
        <v>1</v>
      </c>
      <c r="AH987">
        <f t="shared" si="157"/>
        <v>1</v>
      </c>
      <c r="AI987">
        <f t="shared" si="158"/>
        <v>0</v>
      </c>
      <c r="AJ987">
        <v>152.5</v>
      </c>
      <c r="AK987">
        <v>1015.3</v>
      </c>
      <c r="AL987">
        <v>0</v>
      </c>
      <c r="AM987">
        <v>6.2</v>
      </c>
      <c r="AN987">
        <v>0</v>
      </c>
      <c r="AO987">
        <v>0</v>
      </c>
      <c r="AP987">
        <v>0</v>
      </c>
      <c r="AQ987">
        <v>0</v>
      </c>
      <c r="AR987" t="s">
        <v>3386</v>
      </c>
      <c r="AS987" t="s">
        <v>3387</v>
      </c>
      <c r="AT987">
        <v>0.17</v>
      </c>
      <c r="AU987" t="s">
        <v>74</v>
      </c>
      <c r="AV987" t="s">
        <v>44</v>
      </c>
      <c r="AW987" t="s">
        <v>75</v>
      </c>
      <c r="AX987" s="1">
        <v>0.60069444444444442</v>
      </c>
      <c r="AY987" t="s">
        <v>3388</v>
      </c>
      <c r="AZ987">
        <v>155.00000000232831</v>
      </c>
      <c r="BA987">
        <v>0</v>
      </c>
      <c r="BB987">
        <v>0</v>
      </c>
      <c r="BC987">
        <v>20</v>
      </c>
      <c r="BD987">
        <v>0</v>
      </c>
      <c r="BE987">
        <f t="shared" si="159"/>
        <v>0</v>
      </c>
    </row>
    <row r="988" spans="1:57" x14ac:dyDescent="0.25">
      <c r="A988" t="s">
        <v>39</v>
      </c>
      <c r="B988" t="s">
        <v>3198</v>
      </c>
      <c r="C988">
        <v>77.099999999999994</v>
      </c>
      <c r="D988">
        <v>60.8</v>
      </c>
      <c r="G988">
        <f t="shared" si="150"/>
        <v>1</v>
      </c>
      <c r="H988">
        <f t="shared" si="151"/>
        <v>1</v>
      </c>
      <c r="I988">
        <f t="shared" si="152"/>
        <v>0</v>
      </c>
      <c r="J988">
        <v>68.5</v>
      </c>
      <c r="K988">
        <v>77.099999999999994</v>
      </c>
      <c r="L988">
        <v>60.8</v>
      </c>
      <c r="M988">
        <v>68.5</v>
      </c>
      <c r="N988">
        <v>62.1</v>
      </c>
      <c r="O988">
        <v>80.599999999999994</v>
      </c>
      <c r="S988">
        <f t="shared" si="153"/>
        <v>1</v>
      </c>
      <c r="T988">
        <f t="shared" si="154"/>
        <v>1</v>
      </c>
      <c r="U988">
        <f t="shared" si="155"/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10.3</v>
      </c>
      <c r="AG988">
        <f t="shared" si="156"/>
        <v>1</v>
      </c>
      <c r="AH988">
        <f t="shared" si="157"/>
        <v>0</v>
      </c>
      <c r="AI988">
        <f t="shared" si="158"/>
        <v>1</v>
      </c>
      <c r="AJ988">
        <v>180.1</v>
      </c>
      <c r="AK988">
        <v>1014.2</v>
      </c>
      <c r="AL988">
        <v>6</v>
      </c>
      <c r="AM988">
        <v>6.3</v>
      </c>
      <c r="AN988">
        <v>0</v>
      </c>
      <c r="AO988">
        <v>0</v>
      </c>
      <c r="AP988">
        <v>0</v>
      </c>
      <c r="AQ988">
        <v>0</v>
      </c>
      <c r="AR988" t="s">
        <v>3199</v>
      </c>
      <c r="AS988" t="s">
        <v>3200</v>
      </c>
      <c r="AT988">
        <v>0.72</v>
      </c>
      <c r="AU988" t="s">
        <v>74</v>
      </c>
      <c r="AV988" t="s">
        <v>2955</v>
      </c>
      <c r="AW988" t="s">
        <v>75</v>
      </c>
      <c r="AX988" s="1">
        <v>0.57638888888888884</v>
      </c>
      <c r="AY988" t="s">
        <v>3389</v>
      </c>
      <c r="AZ988">
        <v>129.99999999417921</v>
      </c>
      <c r="BA988">
        <v>0</v>
      </c>
      <c r="BB988">
        <v>0</v>
      </c>
      <c r="BC988">
        <v>2</v>
      </c>
      <c r="BD988">
        <v>0</v>
      </c>
      <c r="BE988">
        <f t="shared" si="159"/>
        <v>1</v>
      </c>
    </row>
    <row r="989" spans="1:57" x14ac:dyDescent="0.25">
      <c r="A989" t="s">
        <v>39</v>
      </c>
      <c r="B989" t="s">
        <v>3390</v>
      </c>
      <c r="C989">
        <v>66.3</v>
      </c>
      <c r="D989">
        <v>55.5</v>
      </c>
      <c r="G989">
        <f t="shared" si="150"/>
        <v>0</v>
      </c>
      <c r="H989">
        <f t="shared" si="151"/>
        <v>0</v>
      </c>
      <c r="I989">
        <f t="shared" si="152"/>
        <v>0</v>
      </c>
      <c r="J989">
        <v>60.7</v>
      </c>
      <c r="K989">
        <v>66.3</v>
      </c>
      <c r="L989">
        <v>55.5</v>
      </c>
      <c r="M989">
        <v>60.7</v>
      </c>
      <c r="N989">
        <v>53.4</v>
      </c>
      <c r="O989">
        <v>77.2</v>
      </c>
      <c r="S989">
        <f t="shared" si="153"/>
        <v>1</v>
      </c>
      <c r="T989">
        <f t="shared" si="154"/>
        <v>1</v>
      </c>
      <c r="U989">
        <f t="shared" si="155"/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10.3</v>
      </c>
      <c r="AG989">
        <f t="shared" si="156"/>
        <v>1</v>
      </c>
      <c r="AH989">
        <f t="shared" si="157"/>
        <v>0</v>
      </c>
      <c r="AI989">
        <f t="shared" si="158"/>
        <v>1</v>
      </c>
      <c r="AJ989">
        <v>125.2</v>
      </c>
      <c r="AK989">
        <v>1011</v>
      </c>
      <c r="AL989">
        <v>86.3</v>
      </c>
      <c r="AM989">
        <v>6.8</v>
      </c>
      <c r="AN989">
        <v>0</v>
      </c>
      <c r="AO989">
        <v>0</v>
      </c>
      <c r="AP989">
        <v>0</v>
      </c>
      <c r="AQ989">
        <v>0</v>
      </c>
      <c r="AR989" t="s">
        <v>3391</v>
      </c>
      <c r="AS989" t="s">
        <v>3392</v>
      </c>
      <c r="AT989">
        <v>0.56000000000000005</v>
      </c>
      <c r="AU989" t="s">
        <v>43</v>
      </c>
      <c r="AV989" t="s">
        <v>44</v>
      </c>
      <c r="AW989" t="s">
        <v>45</v>
      </c>
      <c r="AX989" s="1">
        <v>0.61805555555555558</v>
      </c>
      <c r="AY989" t="s">
        <v>3393</v>
      </c>
      <c r="AZ989">
        <v>310.00000000465661</v>
      </c>
      <c r="BA989">
        <v>0</v>
      </c>
      <c r="BB989">
        <v>0</v>
      </c>
      <c r="BC989">
        <v>30</v>
      </c>
      <c r="BD989">
        <v>0</v>
      </c>
      <c r="BE989">
        <f t="shared" si="159"/>
        <v>0</v>
      </c>
    </row>
    <row r="990" spans="1:57" x14ac:dyDescent="0.25">
      <c r="A990" t="s">
        <v>39</v>
      </c>
      <c r="B990" t="s">
        <v>3394</v>
      </c>
      <c r="C990">
        <v>75.3</v>
      </c>
      <c r="D990">
        <v>60.9</v>
      </c>
      <c r="G990">
        <f t="shared" si="150"/>
        <v>0</v>
      </c>
      <c r="H990">
        <f t="shared" si="151"/>
        <v>0</v>
      </c>
      <c r="I990">
        <f t="shared" si="152"/>
        <v>0</v>
      </c>
      <c r="J990">
        <v>68.2</v>
      </c>
      <c r="K990">
        <v>75.3</v>
      </c>
      <c r="L990">
        <v>60.9</v>
      </c>
      <c r="M990">
        <v>68.2</v>
      </c>
      <c r="N990">
        <v>59.2</v>
      </c>
      <c r="O990">
        <v>73.5</v>
      </c>
      <c r="S990">
        <f t="shared" si="153"/>
        <v>1</v>
      </c>
      <c r="T990">
        <f t="shared" si="154"/>
        <v>1</v>
      </c>
      <c r="U990">
        <f t="shared" si="155"/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9.1999999999999993</v>
      </c>
      <c r="AG990">
        <f t="shared" si="156"/>
        <v>1</v>
      </c>
      <c r="AH990">
        <f t="shared" si="157"/>
        <v>0</v>
      </c>
      <c r="AI990">
        <f t="shared" si="158"/>
        <v>1</v>
      </c>
      <c r="AJ990">
        <v>153.30000000000001</v>
      </c>
      <c r="AK990">
        <v>1013.4</v>
      </c>
      <c r="AL990">
        <v>20.6</v>
      </c>
      <c r="AM990">
        <v>6.5</v>
      </c>
      <c r="AN990">
        <v>0</v>
      </c>
      <c r="AO990">
        <v>0</v>
      </c>
      <c r="AP990">
        <v>0</v>
      </c>
      <c r="AQ990">
        <v>0</v>
      </c>
      <c r="AR990" t="s">
        <v>3395</v>
      </c>
      <c r="AS990" t="s">
        <v>3396</v>
      </c>
      <c r="AT990">
        <v>0.75</v>
      </c>
      <c r="AU990" t="s">
        <v>43</v>
      </c>
      <c r="AV990" t="s">
        <v>44</v>
      </c>
      <c r="AW990" t="s">
        <v>45</v>
      </c>
      <c r="AX990" s="1">
        <v>0.62152777777777779</v>
      </c>
      <c r="AY990" t="s">
        <v>3397</v>
      </c>
      <c r="AZ990">
        <v>154.9999999918509</v>
      </c>
      <c r="BA990">
        <v>0</v>
      </c>
      <c r="BB990">
        <v>0</v>
      </c>
      <c r="BC990">
        <v>1</v>
      </c>
      <c r="BD990">
        <v>0</v>
      </c>
      <c r="BE990">
        <f t="shared" si="159"/>
        <v>0</v>
      </c>
    </row>
    <row r="991" spans="1:57" x14ac:dyDescent="0.25">
      <c r="A991" t="s">
        <v>39</v>
      </c>
      <c r="B991" t="s">
        <v>3256</v>
      </c>
      <c r="C991">
        <v>82.5</v>
      </c>
      <c r="D991">
        <v>75.3</v>
      </c>
      <c r="G991">
        <f t="shared" si="150"/>
        <v>0</v>
      </c>
      <c r="H991">
        <f t="shared" si="151"/>
        <v>0</v>
      </c>
      <c r="I991">
        <f t="shared" si="152"/>
        <v>0</v>
      </c>
      <c r="J991">
        <v>78.5</v>
      </c>
      <c r="K991">
        <v>84.8</v>
      </c>
      <c r="L991">
        <v>75.3</v>
      </c>
      <c r="M991">
        <v>79.2</v>
      </c>
      <c r="N991">
        <v>65.599999999999994</v>
      </c>
      <c r="O991">
        <v>64.900000000000006</v>
      </c>
      <c r="S991">
        <f t="shared" si="153"/>
        <v>1</v>
      </c>
      <c r="T991">
        <f t="shared" si="154"/>
        <v>1</v>
      </c>
      <c r="U991">
        <f t="shared" si="155"/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17.2</v>
      </c>
      <c r="AG991">
        <f t="shared" si="156"/>
        <v>0</v>
      </c>
      <c r="AH991">
        <f t="shared" si="157"/>
        <v>0</v>
      </c>
      <c r="AI991">
        <f t="shared" si="158"/>
        <v>0</v>
      </c>
      <c r="AJ991">
        <v>316.89999999999998</v>
      </c>
      <c r="AK991">
        <v>1011.3</v>
      </c>
      <c r="AL991">
        <v>39.5</v>
      </c>
      <c r="AM991">
        <v>6.7</v>
      </c>
      <c r="AN991">
        <v>0</v>
      </c>
      <c r="AO991">
        <v>0</v>
      </c>
      <c r="AP991">
        <v>0</v>
      </c>
      <c r="AQ991">
        <v>0</v>
      </c>
      <c r="AR991" t="s">
        <v>3257</v>
      </c>
      <c r="AS991" t="s">
        <v>3258</v>
      </c>
      <c r="AT991">
        <v>0.7</v>
      </c>
      <c r="AU991" t="s">
        <v>43</v>
      </c>
      <c r="AV991" t="s">
        <v>44</v>
      </c>
      <c r="AW991" t="s">
        <v>45</v>
      </c>
      <c r="AX991" s="1">
        <v>0.97222222222222221</v>
      </c>
      <c r="AY991" t="s">
        <v>3398</v>
      </c>
      <c r="AZ991">
        <v>55.000000001164153</v>
      </c>
      <c r="BA991">
        <v>0</v>
      </c>
      <c r="BB991">
        <v>0</v>
      </c>
      <c r="BC991">
        <v>0</v>
      </c>
      <c r="BD991">
        <v>0.1</v>
      </c>
      <c r="BE991">
        <f t="shared" si="159"/>
        <v>0</v>
      </c>
    </row>
    <row r="992" spans="1:57" x14ac:dyDescent="0.25">
      <c r="A992" t="s">
        <v>39</v>
      </c>
      <c r="B992" t="s">
        <v>3399</v>
      </c>
      <c r="C992">
        <v>80.7</v>
      </c>
      <c r="D992">
        <v>77.099999999999994</v>
      </c>
      <c r="G992">
        <f t="shared" si="150"/>
        <v>1</v>
      </c>
      <c r="H992">
        <f t="shared" si="151"/>
        <v>0</v>
      </c>
      <c r="I992">
        <f t="shared" si="152"/>
        <v>1</v>
      </c>
      <c r="J992">
        <v>78.900000000000006</v>
      </c>
      <c r="K992">
        <v>84.1</v>
      </c>
      <c r="L992">
        <v>77.099999999999994</v>
      </c>
      <c r="M992">
        <v>79.900000000000006</v>
      </c>
      <c r="N992">
        <v>67.5</v>
      </c>
      <c r="O992">
        <v>68.400000000000006</v>
      </c>
      <c r="S992">
        <f t="shared" si="153"/>
        <v>1</v>
      </c>
      <c r="T992">
        <f t="shared" si="154"/>
        <v>1</v>
      </c>
      <c r="U992">
        <f t="shared" si="155"/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20.8</v>
      </c>
      <c r="AG992">
        <f t="shared" si="156"/>
        <v>1</v>
      </c>
      <c r="AH992">
        <f t="shared" si="157"/>
        <v>1</v>
      </c>
      <c r="AI992">
        <f t="shared" si="158"/>
        <v>0</v>
      </c>
      <c r="AJ992">
        <v>307.39999999999998</v>
      </c>
      <c r="AK992">
        <v>1011</v>
      </c>
      <c r="AL992">
        <v>34</v>
      </c>
      <c r="AM992">
        <v>6.6</v>
      </c>
      <c r="AN992">
        <v>0</v>
      </c>
      <c r="AO992">
        <v>0</v>
      </c>
      <c r="AP992">
        <v>0</v>
      </c>
      <c r="AQ992">
        <v>0</v>
      </c>
      <c r="AR992" t="s">
        <v>3400</v>
      </c>
      <c r="AS992" t="s">
        <v>3401</v>
      </c>
      <c r="AT992">
        <v>0.86</v>
      </c>
      <c r="AU992" t="s">
        <v>43</v>
      </c>
      <c r="AV992" t="s">
        <v>44</v>
      </c>
      <c r="AW992" t="s">
        <v>45</v>
      </c>
      <c r="AX992" s="1">
        <v>0.21875</v>
      </c>
      <c r="AY992" t="s">
        <v>3402</v>
      </c>
      <c r="AZ992">
        <v>149.99999999650751</v>
      </c>
      <c r="BA992">
        <v>0</v>
      </c>
      <c r="BB992">
        <v>0</v>
      </c>
      <c r="BC992">
        <v>0.1</v>
      </c>
      <c r="BD992">
        <v>0</v>
      </c>
      <c r="BE992">
        <f t="shared" si="159"/>
        <v>1</v>
      </c>
    </row>
    <row r="993" spans="1:57" x14ac:dyDescent="0.25">
      <c r="A993" t="s">
        <v>39</v>
      </c>
      <c r="B993" t="s">
        <v>3403</v>
      </c>
      <c r="C993">
        <v>82.5</v>
      </c>
      <c r="D993">
        <v>73.5</v>
      </c>
      <c r="G993">
        <f t="shared" si="150"/>
        <v>0</v>
      </c>
      <c r="H993">
        <f t="shared" si="151"/>
        <v>0</v>
      </c>
      <c r="I993">
        <f t="shared" si="152"/>
        <v>0</v>
      </c>
      <c r="J993">
        <v>78</v>
      </c>
      <c r="K993">
        <v>83</v>
      </c>
      <c r="L993">
        <v>73.5</v>
      </c>
      <c r="M993">
        <v>78.3</v>
      </c>
      <c r="N993">
        <v>61.8</v>
      </c>
      <c r="O993">
        <v>58</v>
      </c>
      <c r="S993">
        <f t="shared" si="153"/>
        <v>1</v>
      </c>
      <c r="T993">
        <f t="shared" si="154"/>
        <v>0</v>
      </c>
      <c r="U993">
        <f t="shared" si="155"/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18.3</v>
      </c>
      <c r="AG993">
        <f t="shared" si="156"/>
        <v>0</v>
      </c>
      <c r="AH993">
        <f t="shared" si="157"/>
        <v>0</v>
      </c>
      <c r="AI993">
        <f t="shared" si="158"/>
        <v>0</v>
      </c>
      <c r="AJ993">
        <v>310.60000000000002</v>
      </c>
      <c r="AK993">
        <v>1008.4</v>
      </c>
      <c r="AL993">
        <v>30</v>
      </c>
      <c r="AM993">
        <v>6.5</v>
      </c>
      <c r="AN993">
        <v>0</v>
      </c>
      <c r="AO993">
        <v>0</v>
      </c>
      <c r="AP993">
        <v>0</v>
      </c>
      <c r="AQ993">
        <v>0</v>
      </c>
      <c r="AR993" t="s">
        <v>3404</v>
      </c>
      <c r="AS993" t="s">
        <v>3405</v>
      </c>
      <c r="AT993">
        <v>0.1</v>
      </c>
      <c r="AU993" t="s">
        <v>43</v>
      </c>
      <c r="AV993" t="s">
        <v>44</v>
      </c>
      <c r="AW993" t="s">
        <v>45</v>
      </c>
      <c r="AX993" s="1">
        <v>0.2097222222222222</v>
      </c>
      <c r="AY993" t="s">
        <v>3406</v>
      </c>
      <c r="AZ993">
        <v>1003.000000000466</v>
      </c>
      <c r="BA993">
        <v>1</v>
      </c>
      <c r="BB993">
        <v>0</v>
      </c>
      <c r="BC993">
        <v>25</v>
      </c>
      <c r="BD993">
        <v>0</v>
      </c>
      <c r="BE993">
        <f t="shared" si="159"/>
        <v>0</v>
      </c>
    </row>
    <row r="994" spans="1:57" x14ac:dyDescent="0.25">
      <c r="A994" t="s">
        <v>39</v>
      </c>
      <c r="B994" t="s">
        <v>3407</v>
      </c>
      <c r="C994">
        <v>87.9</v>
      </c>
      <c r="D994">
        <v>71.599999999999994</v>
      </c>
      <c r="G994">
        <f t="shared" si="150"/>
        <v>1</v>
      </c>
      <c r="H994">
        <f t="shared" si="151"/>
        <v>1</v>
      </c>
      <c r="I994">
        <f t="shared" si="152"/>
        <v>0</v>
      </c>
      <c r="J994">
        <v>79.3</v>
      </c>
      <c r="K994">
        <v>87.6</v>
      </c>
      <c r="L994">
        <v>71.599999999999994</v>
      </c>
      <c r="M994">
        <v>79.3</v>
      </c>
      <c r="N994">
        <v>61</v>
      </c>
      <c r="O994">
        <v>55.5</v>
      </c>
      <c r="S994">
        <f t="shared" si="153"/>
        <v>1</v>
      </c>
      <c r="T994">
        <f t="shared" si="154"/>
        <v>0</v>
      </c>
      <c r="U994">
        <f t="shared" si="155"/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27.5</v>
      </c>
      <c r="AG994">
        <f t="shared" si="156"/>
        <v>1</v>
      </c>
      <c r="AH994">
        <f t="shared" si="157"/>
        <v>1</v>
      </c>
      <c r="AI994">
        <f t="shared" si="158"/>
        <v>0</v>
      </c>
      <c r="AJ994">
        <v>183.4</v>
      </c>
      <c r="AK994">
        <v>1011.2</v>
      </c>
      <c r="AL994">
        <v>67.099999999999994</v>
      </c>
      <c r="AM994">
        <v>6.7</v>
      </c>
      <c r="AN994">
        <v>0</v>
      </c>
      <c r="AO994">
        <v>0</v>
      </c>
      <c r="AP994">
        <v>0</v>
      </c>
      <c r="AQ994">
        <v>0</v>
      </c>
      <c r="AR994" t="s">
        <v>3408</v>
      </c>
      <c r="AS994" t="s">
        <v>3409</v>
      </c>
      <c r="AT994">
        <v>0.93</v>
      </c>
      <c r="AU994" t="s">
        <v>43</v>
      </c>
      <c r="AV994" t="s">
        <v>44</v>
      </c>
      <c r="AW994" t="s">
        <v>45</v>
      </c>
      <c r="AX994" s="1">
        <v>0.41319444444444442</v>
      </c>
      <c r="AY994" t="s">
        <v>3410</v>
      </c>
      <c r="AZ994">
        <v>699.99999999767169</v>
      </c>
      <c r="BA994">
        <v>1</v>
      </c>
      <c r="BB994">
        <v>0</v>
      </c>
      <c r="BC994">
        <v>7</v>
      </c>
      <c r="BD994">
        <v>0</v>
      </c>
      <c r="BE994">
        <f t="shared" si="159"/>
        <v>1</v>
      </c>
    </row>
    <row r="995" spans="1:57" x14ac:dyDescent="0.25">
      <c r="A995" t="s">
        <v>39</v>
      </c>
      <c r="B995" t="s">
        <v>3411</v>
      </c>
      <c r="C995">
        <v>68.099999999999994</v>
      </c>
      <c r="D995">
        <v>55.5</v>
      </c>
      <c r="G995">
        <f t="shared" si="150"/>
        <v>0</v>
      </c>
      <c r="H995">
        <f t="shared" si="151"/>
        <v>0</v>
      </c>
      <c r="I995">
        <f t="shared" si="152"/>
        <v>0</v>
      </c>
      <c r="J995">
        <v>61.3</v>
      </c>
      <c r="K995">
        <v>68.099999999999994</v>
      </c>
      <c r="L995">
        <v>55.5</v>
      </c>
      <c r="M995">
        <v>61.3</v>
      </c>
      <c r="N995">
        <v>56.5</v>
      </c>
      <c r="O995">
        <v>84.8</v>
      </c>
      <c r="S995">
        <f t="shared" si="153"/>
        <v>1</v>
      </c>
      <c r="T995">
        <f t="shared" si="154"/>
        <v>1</v>
      </c>
      <c r="U995">
        <f t="shared" si="155"/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16.100000000000001</v>
      </c>
      <c r="AG995">
        <f t="shared" si="156"/>
        <v>0</v>
      </c>
      <c r="AH995">
        <f t="shared" si="157"/>
        <v>0</v>
      </c>
      <c r="AI995">
        <f t="shared" si="158"/>
        <v>0</v>
      </c>
      <c r="AJ995">
        <v>288.3</v>
      </c>
      <c r="AK995">
        <v>1026.4000000000001</v>
      </c>
      <c r="AL995">
        <v>51</v>
      </c>
      <c r="AM995">
        <v>6.8</v>
      </c>
      <c r="AN995">
        <v>0</v>
      </c>
      <c r="AO995">
        <v>0</v>
      </c>
      <c r="AP995">
        <v>0</v>
      </c>
      <c r="AQ995">
        <v>0</v>
      </c>
      <c r="AR995" t="s">
        <v>3412</v>
      </c>
      <c r="AS995" t="s">
        <v>3413</v>
      </c>
      <c r="AT995">
        <v>0.15</v>
      </c>
      <c r="AU995" t="s">
        <v>43</v>
      </c>
      <c r="AV995" t="s">
        <v>2026</v>
      </c>
      <c r="AW995" t="s">
        <v>45</v>
      </c>
      <c r="AX995" s="1">
        <v>0.58333333333333337</v>
      </c>
      <c r="AY995" t="s">
        <v>3414</v>
      </c>
      <c r="AZ995">
        <v>100.0000000011642</v>
      </c>
      <c r="BA995">
        <v>0</v>
      </c>
      <c r="BB995">
        <v>0</v>
      </c>
      <c r="BC995">
        <v>0.1</v>
      </c>
      <c r="BD995">
        <v>0</v>
      </c>
      <c r="BE995">
        <f t="shared" si="159"/>
        <v>0</v>
      </c>
    </row>
    <row r="996" spans="1:57" x14ac:dyDescent="0.25">
      <c r="A996" t="s">
        <v>39</v>
      </c>
      <c r="B996" t="s">
        <v>3415</v>
      </c>
      <c r="C996">
        <v>64.5</v>
      </c>
      <c r="D996">
        <v>48.3</v>
      </c>
      <c r="G996">
        <f t="shared" si="150"/>
        <v>1</v>
      </c>
      <c r="H996">
        <f t="shared" si="151"/>
        <v>1</v>
      </c>
      <c r="I996">
        <f t="shared" si="152"/>
        <v>0</v>
      </c>
      <c r="J996">
        <v>58.2</v>
      </c>
      <c r="K996">
        <v>64.5</v>
      </c>
      <c r="L996">
        <v>44.7</v>
      </c>
      <c r="M996">
        <v>58.1</v>
      </c>
      <c r="N996">
        <v>42.8</v>
      </c>
      <c r="O996">
        <v>56.7</v>
      </c>
      <c r="S996">
        <f t="shared" si="153"/>
        <v>1</v>
      </c>
      <c r="T996">
        <f t="shared" si="154"/>
        <v>0</v>
      </c>
      <c r="U996">
        <f t="shared" si="155"/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25.3</v>
      </c>
      <c r="AG996">
        <f t="shared" si="156"/>
        <v>1</v>
      </c>
      <c r="AH996">
        <f t="shared" si="157"/>
        <v>1</v>
      </c>
      <c r="AI996">
        <f t="shared" si="158"/>
        <v>0</v>
      </c>
      <c r="AJ996">
        <v>175.7</v>
      </c>
      <c r="AK996">
        <v>1011.2</v>
      </c>
      <c r="AL996">
        <v>44.3</v>
      </c>
      <c r="AM996">
        <v>6.7</v>
      </c>
      <c r="AN996">
        <v>0</v>
      </c>
      <c r="AO996">
        <v>0</v>
      </c>
      <c r="AP996">
        <v>0</v>
      </c>
      <c r="AQ996">
        <v>0</v>
      </c>
      <c r="AR996" t="s">
        <v>3416</v>
      </c>
      <c r="AS996" t="s">
        <v>3417</v>
      </c>
      <c r="AT996">
        <v>0.83</v>
      </c>
      <c r="AU996" t="s">
        <v>43</v>
      </c>
      <c r="AV996" t="s">
        <v>44</v>
      </c>
      <c r="AW996" t="s">
        <v>45</v>
      </c>
      <c r="AX996" s="1">
        <v>0.63680555555555551</v>
      </c>
      <c r="AY996" t="s">
        <v>3418</v>
      </c>
      <c r="AZ996">
        <v>262.99999999813741</v>
      </c>
      <c r="BA996">
        <v>0</v>
      </c>
      <c r="BB996">
        <v>0</v>
      </c>
      <c r="BC996">
        <v>2</v>
      </c>
      <c r="BD996">
        <v>0</v>
      </c>
      <c r="BE996">
        <f t="shared" si="159"/>
        <v>1</v>
      </c>
    </row>
    <row r="997" spans="1:57" x14ac:dyDescent="0.25">
      <c r="A997" t="s">
        <v>39</v>
      </c>
      <c r="B997" t="s">
        <v>3419</v>
      </c>
      <c r="C997">
        <v>71.7</v>
      </c>
      <c r="D997">
        <v>62.7</v>
      </c>
      <c r="G997">
        <f t="shared" si="150"/>
        <v>1</v>
      </c>
      <c r="H997">
        <f t="shared" si="151"/>
        <v>1</v>
      </c>
      <c r="I997">
        <f t="shared" si="152"/>
        <v>0</v>
      </c>
      <c r="J997">
        <v>67.099999999999994</v>
      </c>
      <c r="K997">
        <v>71.7</v>
      </c>
      <c r="L997">
        <v>62.7</v>
      </c>
      <c r="M997">
        <v>67.099999999999994</v>
      </c>
      <c r="N997">
        <v>51.6</v>
      </c>
      <c r="O997">
        <v>57.8</v>
      </c>
      <c r="S997">
        <f t="shared" si="153"/>
        <v>1</v>
      </c>
      <c r="T997">
        <f t="shared" si="154"/>
        <v>0</v>
      </c>
      <c r="U997">
        <f t="shared" si="155"/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27.5</v>
      </c>
      <c r="AG997">
        <f t="shared" si="156"/>
        <v>1</v>
      </c>
      <c r="AH997">
        <f t="shared" si="157"/>
        <v>1</v>
      </c>
      <c r="AI997">
        <f t="shared" si="158"/>
        <v>0</v>
      </c>
      <c r="AJ997">
        <v>174.5</v>
      </c>
      <c r="AK997">
        <v>1004.1</v>
      </c>
      <c r="AL997">
        <v>53.3</v>
      </c>
      <c r="AM997">
        <v>6.8</v>
      </c>
      <c r="AN997">
        <v>0</v>
      </c>
      <c r="AO997">
        <v>0</v>
      </c>
      <c r="AP997">
        <v>0</v>
      </c>
      <c r="AQ997">
        <v>0</v>
      </c>
      <c r="AR997" t="s">
        <v>3420</v>
      </c>
      <c r="AS997" t="s">
        <v>3421</v>
      </c>
      <c r="AT997">
        <v>0.13</v>
      </c>
      <c r="AU997" t="s">
        <v>43</v>
      </c>
      <c r="AV997" t="s">
        <v>44</v>
      </c>
      <c r="AW997" t="s">
        <v>45</v>
      </c>
      <c r="AX997" s="1">
        <v>0.67222222222222228</v>
      </c>
      <c r="AY997" t="s">
        <v>3422</v>
      </c>
      <c r="AZ997">
        <v>242.0000000030268</v>
      </c>
      <c r="BA997">
        <v>0</v>
      </c>
      <c r="BB997">
        <v>0</v>
      </c>
      <c r="BC997">
        <v>2</v>
      </c>
      <c r="BD997">
        <v>0</v>
      </c>
      <c r="BE997">
        <f t="shared" si="159"/>
        <v>1</v>
      </c>
    </row>
    <row r="998" spans="1:57" x14ac:dyDescent="0.25">
      <c r="A998" t="s">
        <v>39</v>
      </c>
      <c r="B998" t="s">
        <v>3407</v>
      </c>
      <c r="C998">
        <v>87.9</v>
      </c>
      <c r="D998">
        <v>71.599999999999994</v>
      </c>
      <c r="G998">
        <f t="shared" si="150"/>
        <v>1</v>
      </c>
      <c r="H998">
        <f t="shared" si="151"/>
        <v>1</v>
      </c>
      <c r="I998">
        <f t="shared" si="152"/>
        <v>0</v>
      </c>
      <c r="J998">
        <v>79.3</v>
      </c>
      <c r="K998">
        <v>87.6</v>
      </c>
      <c r="L998">
        <v>71.599999999999994</v>
      </c>
      <c r="M998">
        <v>79.3</v>
      </c>
      <c r="N998">
        <v>61</v>
      </c>
      <c r="O998">
        <v>55.5</v>
      </c>
      <c r="S998">
        <f t="shared" si="153"/>
        <v>1</v>
      </c>
      <c r="T998">
        <f t="shared" si="154"/>
        <v>0</v>
      </c>
      <c r="U998">
        <f t="shared" si="155"/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27.5</v>
      </c>
      <c r="AG998">
        <f t="shared" si="156"/>
        <v>1</v>
      </c>
      <c r="AH998">
        <f t="shared" si="157"/>
        <v>1</v>
      </c>
      <c r="AI998">
        <f t="shared" si="158"/>
        <v>0</v>
      </c>
      <c r="AJ998">
        <v>183.4</v>
      </c>
      <c r="AK998">
        <v>1011.2</v>
      </c>
      <c r="AL998">
        <v>67.099999999999994</v>
      </c>
      <c r="AM998">
        <v>6.7</v>
      </c>
      <c r="AN998">
        <v>0</v>
      </c>
      <c r="AO998">
        <v>0</v>
      </c>
      <c r="AP998">
        <v>0</v>
      </c>
      <c r="AQ998">
        <v>0</v>
      </c>
      <c r="AR998" t="s">
        <v>3408</v>
      </c>
      <c r="AS998" t="s">
        <v>3409</v>
      </c>
      <c r="AT998">
        <v>0.93</v>
      </c>
      <c r="AU998" t="s">
        <v>43</v>
      </c>
      <c r="AV998" t="s">
        <v>44</v>
      </c>
      <c r="AW998" t="s">
        <v>45</v>
      </c>
      <c r="AX998" s="1">
        <v>0.70833333333333337</v>
      </c>
      <c r="AY998" t="s">
        <v>3423</v>
      </c>
      <c r="AZ998">
        <v>180</v>
      </c>
      <c r="BA998">
        <v>0</v>
      </c>
      <c r="BB998">
        <v>0</v>
      </c>
      <c r="BC998">
        <v>2</v>
      </c>
      <c r="BD998">
        <v>0</v>
      </c>
      <c r="BE998">
        <f t="shared" si="159"/>
        <v>1</v>
      </c>
    </row>
    <row r="999" spans="1:57" x14ac:dyDescent="0.25">
      <c r="A999" t="s">
        <v>39</v>
      </c>
      <c r="B999" t="s">
        <v>3198</v>
      </c>
      <c r="C999">
        <v>77.099999999999994</v>
      </c>
      <c r="D999">
        <v>60.8</v>
      </c>
      <c r="G999">
        <f t="shared" si="150"/>
        <v>1</v>
      </c>
      <c r="H999">
        <f t="shared" si="151"/>
        <v>1</v>
      </c>
      <c r="I999">
        <f t="shared" si="152"/>
        <v>0</v>
      </c>
      <c r="J999">
        <v>68.5</v>
      </c>
      <c r="K999">
        <v>77.099999999999994</v>
      </c>
      <c r="L999">
        <v>60.8</v>
      </c>
      <c r="M999">
        <v>68.5</v>
      </c>
      <c r="N999">
        <v>62.1</v>
      </c>
      <c r="O999">
        <v>80.599999999999994</v>
      </c>
      <c r="S999">
        <f t="shared" si="153"/>
        <v>1</v>
      </c>
      <c r="T999">
        <f t="shared" si="154"/>
        <v>1</v>
      </c>
      <c r="U999">
        <f t="shared" si="155"/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10.3</v>
      </c>
      <c r="AG999">
        <f t="shared" si="156"/>
        <v>1</v>
      </c>
      <c r="AH999">
        <f t="shared" si="157"/>
        <v>0</v>
      </c>
      <c r="AI999">
        <f t="shared" si="158"/>
        <v>1</v>
      </c>
      <c r="AJ999">
        <v>180.1</v>
      </c>
      <c r="AK999">
        <v>1014.2</v>
      </c>
      <c r="AL999">
        <v>6</v>
      </c>
      <c r="AM999">
        <v>6.3</v>
      </c>
      <c r="AN999">
        <v>0</v>
      </c>
      <c r="AO999">
        <v>0</v>
      </c>
      <c r="AP999">
        <v>0</v>
      </c>
      <c r="AQ999">
        <v>0</v>
      </c>
      <c r="AR999" t="s">
        <v>3199</v>
      </c>
      <c r="AS999" t="s">
        <v>3200</v>
      </c>
      <c r="AT999">
        <v>0.72</v>
      </c>
      <c r="AU999" t="s">
        <v>74</v>
      </c>
      <c r="AV999" t="s">
        <v>2955</v>
      </c>
      <c r="AW999" t="s">
        <v>75</v>
      </c>
      <c r="AX999" s="1">
        <v>0.55902777777777779</v>
      </c>
      <c r="AY999" t="s">
        <v>3424</v>
      </c>
      <c r="AZ999">
        <v>1759.9999999953429</v>
      </c>
      <c r="BA999">
        <v>1</v>
      </c>
      <c r="BB999">
        <v>0</v>
      </c>
      <c r="BC999">
        <v>14.5</v>
      </c>
      <c r="BD999">
        <v>0</v>
      </c>
      <c r="BE999">
        <f t="shared" si="159"/>
        <v>1</v>
      </c>
    </row>
    <row r="1000" spans="1:57" x14ac:dyDescent="0.25">
      <c r="A1000" t="s">
        <v>39</v>
      </c>
      <c r="B1000" t="s">
        <v>3425</v>
      </c>
      <c r="C1000">
        <v>68.099999999999994</v>
      </c>
      <c r="D1000">
        <v>55.5</v>
      </c>
      <c r="G1000">
        <f t="shared" si="150"/>
        <v>0</v>
      </c>
      <c r="H1000">
        <f t="shared" si="151"/>
        <v>0</v>
      </c>
      <c r="I1000">
        <f t="shared" si="152"/>
        <v>0</v>
      </c>
      <c r="J1000">
        <v>61.5</v>
      </c>
      <c r="K1000">
        <v>68.099999999999994</v>
      </c>
      <c r="L1000">
        <v>55.5</v>
      </c>
      <c r="M1000">
        <v>61.5</v>
      </c>
      <c r="N1000">
        <v>56.6</v>
      </c>
      <c r="O1000">
        <v>84.4</v>
      </c>
      <c r="S1000">
        <f t="shared" si="153"/>
        <v>1</v>
      </c>
      <c r="T1000">
        <f t="shared" si="154"/>
        <v>1</v>
      </c>
      <c r="U1000">
        <f t="shared" si="155"/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13.9</v>
      </c>
      <c r="AG1000">
        <f t="shared" si="156"/>
        <v>1</v>
      </c>
      <c r="AH1000">
        <f t="shared" si="157"/>
        <v>0</v>
      </c>
      <c r="AI1000">
        <f t="shared" si="158"/>
        <v>1</v>
      </c>
      <c r="AJ1000">
        <v>300.5</v>
      </c>
      <c r="AK1000">
        <v>1021.8</v>
      </c>
      <c r="AL1000">
        <v>30.8</v>
      </c>
      <c r="AM1000">
        <v>6.8</v>
      </c>
      <c r="AN1000">
        <v>0</v>
      </c>
      <c r="AO1000">
        <v>0</v>
      </c>
      <c r="AP1000">
        <v>0</v>
      </c>
      <c r="AQ1000">
        <v>0</v>
      </c>
      <c r="AR1000" t="s">
        <v>3426</v>
      </c>
      <c r="AS1000" t="s">
        <v>3427</v>
      </c>
      <c r="AT1000">
        <v>0.05</v>
      </c>
      <c r="AU1000" t="s">
        <v>43</v>
      </c>
      <c r="AV1000" t="s">
        <v>44</v>
      </c>
      <c r="AW1000" t="s">
        <v>45</v>
      </c>
      <c r="AX1000" s="1">
        <v>0.33333333333333331</v>
      </c>
      <c r="AY1000" t="s">
        <v>3428</v>
      </c>
      <c r="AZ1000">
        <v>720</v>
      </c>
      <c r="BA1000">
        <v>1</v>
      </c>
      <c r="BB1000">
        <v>0</v>
      </c>
      <c r="BC1000">
        <v>20</v>
      </c>
      <c r="BD1000">
        <v>0</v>
      </c>
      <c r="BE1000">
        <f t="shared" si="159"/>
        <v>0</v>
      </c>
    </row>
    <row r="1001" spans="1:57" x14ac:dyDescent="0.25">
      <c r="A1001" t="s">
        <v>39</v>
      </c>
      <c r="B1001" t="s">
        <v>3367</v>
      </c>
      <c r="C1001">
        <v>84.3</v>
      </c>
      <c r="D1001">
        <v>68</v>
      </c>
      <c r="G1001">
        <f t="shared" si="150"/>
        <v>1</v>
      </c>
      <c r="H1001">
        <f t="shared" si="151"/>
        <v>1</v>
      </c>
      <c r="I1001">
        <f t="shared" si="152"/>
        <v>0</v>
      </c>
      <c r="J1001">
        <v>74.599999999999994</v>
      </c>
      <c r="K1001">
        <v>85</v>
      </c>
      <c r="L1001">
        <v>68</v>
      </c>
      <c r="M1001">
        <v>74.8</v>
      </c>
      <c r="N1001">
        <v>60.9</v>
      </c>
      <c r="O1001">
        <v>63.8</v>
      </c>
      <c r="S1001">
        <f t="shared" si="153"/>
        <v>1</v>
      </c>
      <c r="T1001">
        <f t="shared" si="154"/>
        <v>0</v>
      </c>
      <c r="U1001">
        <f t="shared" si="155"/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25.3</v>
      </c>
      <c r="AG1001">
        <f t="shared" si="156"/>
        <v>1</v>
      </c>
      <c r="AH1001">
        <f t="shared" si="157"/>
        <v>1</v>
      </c>
      <c r="AI1001">
        <f t="shared" si="158"/>
        <v>0</v>
      </c>
      <c r="AJ1001">
        <v>195.1</v>
      </c>
      <c r="AK1001">
        <v>1009.2</v>
      </c>
      <c r="AL1001">
        <v>42.5</v>
      </c>
      <c r="AM1001">
        <v>6.8</v>
      </c>
      <c r="AN1001">
        <v>0</v>
      </c>
      <c r="AO1001">
        <v>0</v>
      </c>
      <c r="AP1001">
        <v>0</v>
      </c>
      <c r="AQ1001">
        <v>0</v>
      </c>
      <c r="AR1001" t="s">
        <v>3368</v>
      </c>
      <c r="AS1001" t="s">
        <v>3369</v>
      </c>
      <c r="AT1001">
        <v>0.83</v>
      </c>
      <c r="AU1001" t="s">
        <v>43</v>
      </c>
      <c r="AV1001" t="s">
        <v>44</v>
      </c>
      <c r="AW1001" t="s">
        <v>45</v>
      </c>
      <c r="AX1001" s="1">
        <v>0.76041666666666663</v>
      </c>
      <c r="AY1001" t="s">
        <v>3429</v>
      </c>
      <c r="AZ1001">
        <v>435.00000000349252</v>
      </c>
      <c r="BA1001">
        <v>1</v>
      </c>
      <c r="BB1001">
        <v>0.8</v>
      </c>
      <c r="BC1001">
        <v>0</v>
      </c>
      <c r="BD1001">
        <v>0</v>
      </c>
      <c r="BE1001">
        <f t="shared" si="159"/>
        <v>1</v>
      </c>
    </row>
    <row r="1002" spans="1:57" x14ac:dyDescent="0.25">
      <c r="A1002" t="s">
        <v>39</v>
      </c>
      <c r="B1002" t="s">
        <v>3430</v>
      </c>
      <c r="C1002">
        <v>64.5</v>
      </c>
      <c r="D1002">
        <v>57.3</v>
      </c>
      <c r="G1002">
        <f t="shared" si="150"/>
        <v>1</v>
      </c>
      <c r="H1002">
        <f t="shared" si="151"/>
        <v>1</v>
      </c>
      <c r="I1002">
        <f t="shared" si="152"/>
        <v>0</v>
      </c>
      <c r="J1002">
        <v>60</v>
      </c>
      <c r="K1002">
        <v>64.5</v>
      </c>
      <c r="L1002">
        <v>57.3</v>
      </c>
      <c r="M1002">
        <v>60</v>
      </c>
      <c r="N1002">
        <v>50.2</v>
      </c>
      <c r="O1002">
        <v>70.2</v>
      </c>
      <c r="S1002">
        <f t="shared" si="153"/>
        <v>1</v>
      </c>
      <c r="T1002">
        <f t="shared" si="154"/>
        <v>1</v>
      </c>
      <c r="U1002">
        <f t="shared" si="155"/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19.5</v>
      </c>
      <c r="AG1002">
        <f t="shared" si="156"/>
        <v>0</v>
      </c>
      <c r="AH1002">
        <f t="shared" si="157"/>
        <v>0</v>
      </c>
      <c r="AI1002">
        <f t="shared" si="158"/>
        <v>0</v>
      </c>
      <c r="AJ1002">
        <v>186.3</v>
      </c>
      <c r="AK1002">
        <v>1011.7</v>
      </c>
      <c r="AL1002">
        <v>50.9</v>
      </c>
      <c r="AM1002">
        <v>6.8</v>
      </c>
      <c r="AN1002">
        <v>0</v>
      </c>
      <c r="AO1002">
        <v>0</v>
      </c>
      <c r="AP1002">
        <v>0</v>
      </c>
      <c r="AQ1002">
        <v>0</v>
      </c>
      <c r="AR1002" t="s">
        <v>3431</v>
      </c>
      <c r="AS1002" t="s">
        <v>3432</v>
      </c>
      <c r="AT1002">
        <v>0.3</v>
      </c>
      <c r="AU1002" t="s">
        <v>43</v>
      </c>
      <c r="AV1002" t="s">
        <v>44</v>
      </c>
      <c r="AW1002" t="s">
        <v>45</v>
      </c>
      <c r="AX1002" s="1">
        <v>0.61458333333333337</v>
      </c>
      <c r="AY1002" t="s">
        <v>3433</v>
      </c>
      <c r="AZ1002">
        <v>194.99999999650751</v>
      </c>
      <c r="BA1002">
        <v>0</v>
      </c>
      <c r="BB1002">
        <v>0</v>
      </c>
      <c r="BC1002">
        <v>2</v>
      </c>
      <c r="BD1002">
        <v>0</v>
      </c>
      <c r="BE1002">
        <f t="shared" si="159"/>
        <v>0</v>
      </c>
    </row>
    <row r="1003" spans="1:57" x14ac:dyDescent="0.25">
      <c r="A1003" t="s">
        <v>39</v>
      </c>
      <c r="B1003" t="s">
        <v>3434</v>
      </c>
      <c r="C1003">
        <v>66.3</v>
      </c>
      <c r="D1003">
        <v>55.5</v>
      </c>
      <c r="G1003">
        <f t="shared" si="150"/>
        <v>0</v>
      </c>
      <c r="H1003">
        <f t="shared" si="151"/>
        <v>0</v>
      </c>
      <c r="I1003">
        <f t="shared" si="152"/>
        <v>0</v>
      </c>
      <c r="J1003">
        <v>61.4</v>
      </c>
      <c r="K1003">
        <v>66.3</v>
      </c>
      <c r="L1003">
        <v>55.5</v>
      </c>
      <c r="M1003">
        <v>61.4</v>
      </c>
      <c r="N1003">
        <v>55</v>
      </c>
      <c r="O1003">
        <v>79.7</v>
      </c>
      <c r="S1003">
        <f t="shared" si="153"/>
        <v>1</v>
      </c>
      <c r="T1003">
        <f t="shared" si="154"/>
        <v>1</v>
      </c>
      <c r="U1003">
        <f t="shared" si="155"/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10.3</v>
      </c>
      <c r="AG1003">
        <f t="shared" si="156"/>
        <v>1</v>
      </c>
      <c r="AH1003">
        <f t="shared" si="157"/>
        <v>0</v>
      </c>
      <c r="AI1003">
        <f t="shared" si="158"/>
        <v>1</v>
      </c>
      <c r="AJ1003">
        <v>337.8</v>
      </c>
      <c r="AK1003">
        <v>1020.4</v>
      </c>
      <c r="AL1003">
        <v>39.1</v>
      </c>
      <c r="AM1003">
        <v>6.8</v>
      </c>
      <c r="AN1003">
        <v>0</v>
      </c>
      <c r="AO1003">
        <v>0</v>
      </c>
      <c r="AP1003">
        <v>0</v>
      </c>
      <c r="AQ1003">
        <v>0</v>
      </c>
      <c r="AR1003" t="s">
        <v>3435</v>
      </c>
      <c r="AS1003" t="s">
        <v>3436</v>
      </c>
      <c r="AT1003">
        <v>0.31</v>
      </c>
      <c r="AU1003" t="s">
        <v>43</v>
      </c>
      <c r="AV1003" t="s">
        <v>44</v>
      </c>
      <c r="AW1003" t="s">
        <v>45</v>
      </c>
      <c r="AX1003" s="1">
        <v>0.74305555555555558</v>
      </c>
      <c r="AY1003" t="s">
        <v>3437</v>
      </c>
      <c r="AZ1003">
        <v>1509.9999999976719</v>
      </c>
      <c r="BA1003">
        <v>1</v>
      </c>
      <c r="BB1003">
        <v>0</v>
      </c>
      <c r="BC1003">
        <v>29</v>
      </c>
      <c r="BD1003">
        <v>0</v>
      </c>
      <c r="BE1003">
        <f t="shared" si="159"/>
        <v>0</v>
      </c>
    </row>
    <row r="1004" spans="1:57" x14ac:dyDescent="0.25">
      <c r="A1004" t="s">
        <v>39</v>
      </c>
      <c r="B1004" t="s">
        <v>3438</v>
      </c>
      <c r="C1004">
        <v>73.5</v>
      </c>
      <c r="D1004">
        <v>69.8</v>
      </c>
      <c r="G1004">
        <f t="shared" si="150"/>
        <v>1</v>
      </c>
      <c r="H1004">
        <f t="shared" si="151"/>
        <v>0</v>
      </c>
      <c r="I1004">
        <f t="shared" si="152"/>
        <v>1</v>
      </c>
      <c r="J1004">
        <v>71.5</v>
      </c>
      <c r="K1004">
        <v>73.5</v>
      </c>
      <c r="L1004">
        <v>69.8</v>
      </c>
      <c r="M1004">
        <v>71.5</v>
      </c>
      <c r="N1004">
        <v>57.6</v>
      </c>
      <c r="O1004">
        <v>61.6</v>
      </c>
      <c r="S1004">
        <f t="shared" si="153"/>
        <v>1</v>
      </c>
      <c r="T1004">
        <f t="shared" si="154"/>
        <v>0</v>
      </c>
      <c r="U1004">
        <f t="shared" si="155"/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18.3</v>
      </c>
      <c r="AG1004">
        <f t="shared" si="156"/>
        <v>1</v>
      </c>
      <c r="AH1004">
        <f t="shared" si="157"/>
        <v>1</v>
      </c>
      <c r="AI1004">
        <f t="shared" si="158"/>
        <v>0</v>
      </c>
      <c r="AJ1004">
        <v>331.2</v>
      </c>
      <c r="AK1004">
        <v>1015.3</v>
      </c>
      <c r="AL1004">
        <v>45</v>
      </c>
      <c r="AM1004">
        <v>6.8</v>
      </c>
      <c r="AN1004">
        <v>0</v>
      </c>
      <c r="AO1004">
        <v>0</v>
      </c>
      <c r="AP1004">
        <v>0</v>
      </c>
      <c r="AQ1004">
        <v>0</v>
      </c>
      <c r="AR1004" t="s">
        <v>3439</v>
      </c>
      <c r="AS1004" t="s">
        <v>3440</v>
      </c>
      <c r="AT1004">
        <v>0.08</v>
      </c>
      <c r="AU1004" t="s">
        <v>43</v>
      </c>
      <c r="AV1004" t="s">
        <v>44</v>
      </c>
      <c r="AW1004" t="s">
        <v>45</v>
      </c>
      <c r="AX1004" s="1">
        <v>0.90972222222222221</v>
      </c>
      <c r="AY1004" t="s">
        <v>3441</v>
      </c>
      <c r="AZ1004">
        <v>1410.0000000069849</v>
      </c>
      <c r="BA1004">
        <v>1</v>
      </c>
      <c r="BB1004">
        <v>10</v>
      </c>
      <c r="BC1004">
        <v>0</v>
      </c>
      <c r="BD1004">
        <v>0</v>
      </c>
      <c r="BE1004">
        <f t="shared" si="159"/>
        <v>1</v>
      </c>
    </row>
    <row r="1005" spans="1:57" x14ac:dyDescent="0.25">
      <c r="A1005" t="s">
        <v>39</v>
      </c>
      <c r="B1005" t="s">
        <v>3442</v>
      </c>
      <c r="C1005">
        <v>84.3</v>
      </c>
      <c r="D1005">
        <v>77.099999999999994</v>
      </c>
      <c r="G1005">
        <f t="shared" si="150"/>
        <v>0</v>
      </c>
      <c r="H1005">
        <f t="shared" si="151"/>
        <v>0</v>
      </c>
      <c r="I1005">
        <f t="shared" si="152"/>
        <v>0</v>
      </c>
      <c r="J1005">
        <v>81.8</v>
      </c>
      <c r="K1005">
        <v>88.6</v>
      </c>
      <c r="L1005">
        <v>77.099999999999994</v>
      </c>
      <c r="M1005">
        <v>83.5</v>
      </c>
      <c r="N1005">
        <v>65.900000000000006</v>
      </c>
      <c r="O1005">
        <v>58.8</v>
      </c>
      <c r="S1005">
        <f t="shared" si="153"/>
        <v>0</v>
      </c>
      <c r="T1005">
        <f t="shared" si="154"/>
        <v>0</v>
      </c>
      <c r="U1005">
        <f t="shared" si="155"/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23</v>
      </c>
      <c r="AG1005">
        <f t="shared" si="156"/>
        <v>1</v>
      </c>
      <c r="AH1005">
        <f t="shared" si="157"/>
        <v>1</v>
      </c>
      <c r="AI1005">
        <f t="shared" si="158"/>
        <v>0</v>
      </c>
      <c r="AJ1005">
        <v>306.39999999999998</v>
      </c>
      <c r="AK1005">
        <v>1010.8</v>
      </c>
      <c r="AL1005">
        <v>30</v>
      </c>
      <c r="AM1005">
        <v>6.5</v>
      </c>
      <c r="AN1005">
        <v>0</v>
      </c>
      <c r="AO1005">
        <v>0</v>
      </c>
      <c r="AP1005">
        <v>0</v>
      </c>
      <c r="AQ1005">
        <v>0</v>
      </c>
      <c r="AR1005" t="s">
        <v>3443</v>
      </c>
      <c r="AS1005" t="s">
        <v>3444</v>
      </c>
      <c r="AT1005">
        <v>0.08</v>
      </c>
      <c r="AU1005" t="s">
        <v>43</v>
      </c>
      <c r="AV1005" t="s">
        <v>44</v>
      </c>
      <c r="AW1005" t="s">
        <v>45</v>
      </c>
      <c r="AX1005" s="1">
        <v>0.59027777777777779</v>
      </c>
      <c r="AY1005" t="s">
        <v>3445</v>
      </c>
      <c r="AZ1005">
        <v>14629.99999999534</v>
      </c>
      <c r="BA1005">
        <v>1</v>
      </c>
      <c r="BB1005">
        <v>800</v>
      </c>
      <c r="BC1005">
        <v>1000</v>
      </c>
      <c r="BD1005">
        <v>0</v>
      </c>
      <c r="BE1005">
        <f t="shared" si="159"/>
        <v>0</v>
      </c>
    </row>
    <row r="1006" spans="1:57" x14ac:dyDescent="0.25">
      <c r="A1006" t="s">
        <v>39</v>
      </c>
      <c r="B1006" t="s">
        <v>3446</v>
      </c>
      <c r="C1006">
        <v>73.5</v>
      </c>
      <c r="D1006">
        <v>55.5</v>
      </c>
      <c r="G1006">
        <f t="shared" si="150"/>
        <v>0</v>
      </c>
      <c r="H1006">
        <f t="shared" si="151"/>
        <v>0</v>
      </c>
      <c r="I1006">
        <f t="shared" si="152"/>
        <v>0</v>
      </c>
      <c r="J1006">
        <v>64.8</v>
      </c>
      <c r="K1006">
        <v>73.5</v>
      </c>
      <c r="L1006">
        <v>55.5</v>
      </c>
      <c r="M1006">
        <v>64.8</v>
      </c>
      <c r="N1006">
        <v>51.7</v>
      </c>
      <c r="O1006">
        <v>63.5</v>
      </c>
      <c r="S1006">
        <f t="shared" si="153"/>
        <v>1</v>
      </c>
      <c r="T1006">
        <f t="shared" si="154"/>
        <v>0</v>
      </c>
      <c r="U1006">
        <f t="shared" si="155"/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9.1999999999999993</v>
      </c>
      <c r="AG1006">
        <f t="shared" si="156"/>
        <v>1</v>
      </c>
      <c r="AH1006">
        <f t="shared" si="157"/>
        <v>0</v>
      </c>
      <c r="AI1006">
        <f t="shared" si="158"/>
        <v>1</v>
      </c>
      <c r="AJ1006">
        <v>291.39999999999998</v>
      </c>
      <c r="AK1006">
        <v>1019</v>
      </c>
      <c r="AL1006">
        <v>30</v>
      </c>
      <c r="AM1006">
        <v>6.4</v>
      </c>
      <c r="AN1006">
        <v>0</v>
      </c>
      <c r="AO1006">
        <v>0</v>
      </c>
      <c r="AP1006">
        <v>0</v>
      </c>
      <c r="AQ1006">
        <v>0</v>
      </c>
      <c r="AR1006" t="s">
        <v>3447</v>
      </c>
      <c r="AS1006" t="s">
        <v>3448</v>
      </c>
      <c r="AT1006">
        <v>0.13</v>
      </c>
      <c r="AU1006" t="s">
        <v>43</v>
      </c>
      <c r="AV1006" t="s">
        <v>44</v>
      </c>
      <c r="AW1006" t="s">
        <v>45</v>
      </c>
      <c r="AX1006" s="1">
        <v>0.43055555555555558</v>
      </c>
      <c r="AY1006" t="s">
        <v>3449</v>
      </c>
      <c r="AZ1006">
        <v>1480.0000000046571</v>
      </c>
      <c r="BA1006">
        <v>1</v>
      </c>
      <c r="BB1006">
        <v>0</v>
      </c>
      <c r="BC1006">
        <v>300</v>
      </c>
      <c r="BD1006">
        <v>0</v>
      </c>
      <c r="BE1006">
        <f t="shared" si="159"/>
        <v>0</v>
      </c>
    </row>
    <row r="1007" spans="1:57" x14ac:dyDescent="0.25">
      <c r="A1007" t="s">
        <v>39</v>
      </c>
      <c r="B1007" t="s">
        <v>3450</v>
      </c>
      <c r="C1007">
        <v>55.4</v>
      </c>
      <c r="D1007">
        <v>41</v>
      </c>
      <c r="G1007">
        <f t="shared" si="150"/>
        <v>1</v>
      </c>
      <c r="H1007">
        <f t="shared" si="151"/>
        <v>0</v>
      </c>
      <c r="I1007">
        <f t="shared" si="152"/>
        <v>1</v>
      </c>
      <c r="J1007">
        <v>47.7</v>
      </c>
      <c r="K1007">
        <v>55.4</v>
      </c>
      <c r="L1007">
        <v>36.4</v>
      </c>
      <c r="M1007">
        <v>45.7</v>
      </c>
      <c r="N1007">
        <v>35.4</v>
      </c>
      <c r="O1007">
        <v>62.8</v>
      </c>
      <c r="S1007">
        <f t="shared" si="153"/>
        <v>1</v>
      </c>
      <c r="T1007">
        <f t="shared" si="154"/>
        <v>0</v>
      </c>
      <c r="U1007">
        <f t="shared" si="155"/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16.100000000000001</v>
      </c>
      <c r="AG1007">
        <f t="shared" si="156"/>
        <v>1</v>
      </c>
      <c r="AH1007">
        <f t="shared" si="157"/>
        <v>0</v>
      </c>
      <c r="AI1007">
        <f t="shared" si="158"/>
        <v>1</v>
      </c>
      <c r="AJ1007">
        <v>279.10000000000002</v>
      </c>
      <c r="AK1007">
        <v>1022.5</v>
      </c>
      <c r="AL1007">
        <v>27.8</v>
      </c>
      <c r="AM1007">
        <v>6.6</v>
      </c>
      <c r="AN1007">
        <v>183.2</v>
      </c>
      <c r="AO1007">
        <v>16</v>
      </c>
      <c r="AP1007">
        <v>7</v>
      </c>
      <c r="AQ1007">
        <v>0</v>
      </c>
      <c r="AR1007" t="s">
        <v>3451</v>
      </c>
      <c r="AS1007" t="s">
        <v>3452</v>
      </c>
      <c r="AT1007">
        <v>0.67</v>
      </c>
      <c r="AU1007" t="s">
        <v>43</v>
      </c>
      <c r="AV1007" t="s">
        <v>44</v>
      </c>
      <c r="AW1007" t="s">
        <v>45</v>
      </c>
      <c r="AX1007" s="1">
        <v>0.5</v>
      </c>
      <c r="AY1007" t="s">
        <v>3453</v>
      </c>
      <c r="AZ1007">
        <v>120.0000000034925</v>
      </c>
      <c r="BA1007">
        <v>0</v>
      </c>
      <c r="BB1007">
        <v>0</v>
      </c>
      <c r="BC1007">
        <v>4</v>
      </c>
      <c r="BD1007">
        <v>0</v>
      </c>
      <c r="BE1007">
        <f t="shared" si="159"/>
        <v>0</v>
      </c>
    </row>
    <row r="1008" spans="1:57" x14ac:dyDescent="0.25">
      <c r="A1008" t="s">
        <v>39</v>
      </c>
      <c r="B1008" t="s">
        <v>3454</v>
      </c>
      <c r="C1008">
        <v>68</v>
      </c>
      <c r="D1008">
        <v>51.8</v>
      </c>
      <c r="G1008">
        <f t="shared" si="150"/>
        <v>1</v>
      </c>
      <c r="H1008">
        <f t="shared" si="151"/>
        <v>1</v>
      </c>
      <c r="I1008">
        <f t="shared" si="152"/>
        <v>0</v>
      </c>
      <c r="J1008">
        <v>58.9</v>
      </c>
      <c r="K1008">
        <v>68</v>
      </c>
      <c r="L1008">
        <v>51.8</v>
      </c>
      <c r="M1008">
        <v>58.9</v>
      </c>
      <c r="N1008">
        <v>49.8</v>
      </c>
      <c r="O1008">
        <v>72.8</v>
      </c>
      <c r="S1008">
        <f t="shared" si="153"/>
        <v>1</v>
      </c>
      <c r="T1008">
        <f t="shared" si="154"/>
        <v>1</v>
      </c>
      <c r="U1008">
        <f t="shared" si="155"/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18.3</v>
      </c>
      <c r="AG1008">
        <f t="shared" si="156"/>
        <v>0</v>
      </c>
      <c r="AH1008">
        <f t="shared" si="157"/>
        <v>0</v>
      </c>
      <c r="AI1008">
        <f t="shared" si="158"/>
        <v>0</v>
      </c>
      <c r="AJ1008">
        <v>224.6</v>
      </c>
      <c r="AK1008">
        <v>1012.2</v>
      </c>
      <c r="AL1008">
        <v>53.8</v>
      </c>
      <c r="AM1008">
        <v>6.5</v>
      </c>
      <c r="AN1008">
        <v>196.3</v>
      </c>
      <c r="AO1008">
        <v>16.899999999999999</v>
      </c>
      <c r="AP1008">
        <v>8</v>
      </c>
      <c r="AQ1008">
        <v>0</v>
      </c>
      <c r="AR1008" t="s">
        <v>3455</v>
      </c>
      <c r="AS1008" t="s">
        <v>3456</v>
      </c>
      <c r="AT1008">
        <v>0.69</v>
      </c>
      <c r="AU1008" t="s">
        <v>43</v>
      </c>
      <c r="AV1008" t="s">
        <v>44</v>
      </c>
      <c r="AW1008" t="s">
        <v>45</v>
      </c>
      <c r="AX1008" s="1">
        <v>0.62083333333333335</v>
      </c>
      <c r="AY1008" t="s">
        <v>3457</v>
      </c>
      <c r="AZ1008">
        <v>105.9999999997672</v>
      </c>
      <c r="BA1008">
        <v>0</v>
      </c>
      <c r="BB1008">
        <v>0</v>
      </c>
      <c r="BC1008">
        <v>2</v>
      </c>
      <c r="BD1008">
        <v>0</v>
      </c>
      <c r="BE1008">
        <f t="shared" si="159"/>
        <v>0</v>
      </c>
    </row>
    <row r="1009" spans="1:57" x14ac:dyDescent="0.25">
      <c r="A1009" t="s">
        <v>39</v>
      </c>
      <c r="B1009" t="s">
        <v>3458</v>
      </c>
      <c r="C1009">
        <v>64.400000000000006</v>
      </c>
      <c r="D1009">
        <v>53.6</v>
      </c>
      <c r="G1009">
        <f t="shared" si="150"/>
        <v>1</v>
      </c>
      <c r="H1009">
        <f t="shared" si="151"/>
        <v>1</v>
      </c>
      <c r="I1009">
        <f t="shared" si="152"/>
        <v>0</v>
      </c>
      <c r="J1009">
        <v>60.3</v>
      </c>
      <c r="K1009">
        <v>64.400000000000006</v>
      </c>
      <c r="L1009">
        <v>53.6</v>
      </c>
      <c r="M1009">
        <v>60.3</v>
      </c>
      <c r="N1009">
        <v>47.8</v>
      </c>
      <c r="O1009">
        <v>63.6</v>
      </c>
      <c r="S1009">
        <f t="shared" si="153"/>
        <v>0</v>
      </c>
      <c r="T1009">
        <f t="shared" si="154"/>
        <v>0</v>
      </c>
      <c r="U1009">
        <f t="shared" si="155"/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18.3</v>
      </c>
      <c r="AG1009">
        <f t="shared" si="156"/>
        <v>0</v>
      </c>
      <c r="AH1009">
        <f t="shared" si="157"/>
        <v>0</v>
      </c>
      <c r="AI1009">
        <f t="shared" si="158"/>
        <v>0</v>
      </c>
      <c r="AJ1009">
        <v>296.3</v>
      </c>
      <c r="AK1009">
        <v>1014.9</v>
      </c>
      <c r="AL1009">
        <v>12.2</v>
      </c>
      <c r="AM1009">
        <v>6.4</v>
      </c>
      <c r="AN1009">
        <v>289.2</v>
      </c>
      <c r="AO1009">
        <v>25</v>
      </c>
      <c r="AP1009">
        <v>9</v>
      </c>
      <c r="AQ1009">
        <v>0</v>
      </c>
      <c r="AR1009" t="s">
        <v>3459</v>
      </c>
      <c r="AS1009" t="s">
        <v>3460</v>
      </c>
      <c r="AT1009">
        <v>0.47</v>
      </c>
      <c r="AU1009" t="s">
        <v>74</v>
      </c>
      <c r="AV1009" t="s">
        <v>2955</v>
      </c>
      <c r="AW1009" t="s">
        <v>75</v>
      </c>
      <c r="AX1009" s="1">
        <v>0.64930555555555558</v>
      </c>
      <c r="AY1009" t="s">
        <v>3461</v>
      </c>
      <c r="AZ1009">
        <v>145.00000000116421</v>
      </c>
      <c r="BA1009">
        <v>0</v>
      </c>
      <c r="BB1009">
        <v>0</v>
      </c>
      <c r="BC1009">
        <v>5</v>
      </c>
      <c r="BD1009">
        <v>0</v>
      </c>
      <c r="BE1009">
        <f t="shared" si="159"/>
        <v>0</v>
      </c>
    </row>
    <row r="1010" spans="1:57" x14ac:dyDescent="0.25">
      <c r="A1010" t="s">
        <v>39</v>
      </c>
      <c r="B1010" t="s">
        <v>3462</v>
      </c>
      <c r="C1010">
        <v>73.8</v>
      </c>
      <c r="D1010">
        <v>59</v>
      </c>
      <c r="G1010">
        <f t="shared" si="150"/>
        <v>1</v>
      </c>
      <c r="H1010">
        <f t="shared" si="151"/>
        <v>1</v>
      </c>
      <c r="I1010">
        <f t="shared" si="152"/>
        <v>0</v>
      </c>
      <c r="J1010">
        <v>67.099999999999994</v>
      </c>
      <c r="K1010">
        <v>73.8</v>
      </c>
      <c r="L1010">
        <v>59</v>
      </c>
      <c r="M1010">
        <v>67.099999999999994</v>
      </c>
      <c r="N1010">
        <v>47.9</v>
      </c>
      <c r="O1010">
        <v>52.5</v>
      </c>
      <c r="S1010">
        <f t="shared" si="153"/>
        <v>1</v>
      </c>
      <c r="T1010">
        <f t="shared" si="154"/>
        <v>0</v>
      </c>
      <c r="U1010">
        <f t="shared" si="155"/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16.100000000000001</v>
      </c>
      <c r="AG1010">
        <f t="shared" si="156"/>
        <v>0</v>
      </c>
      <c r="AH1010">
        <f t="shared" si="157"/>
        <v>0</v>
      </c>
      <c r="AI1010">
        <f t="shared" si="158"/>
        <v>0</v>
      </c>
      <c r="AJ1010">
        <v>183.6</v>
      </c>
      <c r="AK1010">
        <v>1013</v>
      </c>
      <c r="AL1010">
        <v>71.900000000000006</v>
      </c>
      <c r="AM1010">
        <v>6.5</v>
      </c>
      <c r="AN1010">
        <v>167.8</v>
      </c>
      <c r="AO1010">
        <v>14.6</v>
      </c>
      <c r="AP1010">
        <v>5</v>
      </c>
      <c r="AQ1010">
        <v>0</v>
      </c>
      <c r="AR1010" t="s">
        <v>3463</v>
      </c>
      <c r="AS1010" t="s">
        <v>3464</v>
      </c>
      <c r="AT1010">
        <v>0.39</v>
      </c>
      <c r="AU1010" t="s">
        <v>43</v>
      </c>
      <c r="AV1010" t="s">
        <v>44</v>
      </c>
      <c r="AW1010" t="s">
        <v>45</v>
      </c>
      <c r="AX1010" s="1">
        <v>0.63888888888888884</v>
      </c>
      <c r="AY1010" t="s">
        <v>3465</v>
      </c>
      <c r="AZ1010">
        <v>74.999999993015081</v>
      </c>
      <c r="BA1010">
        <v>0</v>
      </c>
      <c r="BB1010">
        <v>0</v>
      </c>
      <c r="BC1010">
        <v>1</v>
      </c>
      <c r="BD1010">
        <v>0</v>
      </c>
      <c r="BE1010">
        <f t="shared" si="159"/>
        <v>0</v>
      </c>
    </row>
    <row r="1011" spans="1:57" x14ac:dyDescent="0.25">
      <c r="A1011" t="s">
        <v>39</v>
      </c>
      <c r="B1011" t="s">
        <v>3466</v>
      </c>
      <c r="C1011">
        <v>68</v>
      </c>
      <c r="D1011">
        <v>53.6</v>
      </c>
      <c r="G1011">
        <f t="shared" si="150"/>
        <v>0</v>
      </c>
      <c r="H1011">
        <f t="shared" si="151"/>
        <v>0</v>
      </c>
      <c r="I1011">
        <f t="shared" si="152"/>
        <v>0</v>
      </c>
      <c r="J1011">
        <v>62.5</v>
      </c>
      <c r="K1011">
        <v>68</v>
      </c>
      <c r="L1011">
        <v>53.6</v>
      </c>
      <c r="M1011">
        <v>62.5</v>
      </c>
      <c r="N1011">
        <v>55.1</v>
      </c>
      <c r="O1011">
        <v>77</v>
      </c>
      <c r="S1011">
        <f t="shared" si="153"/>
        <v>1</v>
      </c>
      <c r="T1011">
        <f t="shared" si="154"/>
        <v>1</v>
      </c>
      <c r="U1011">
        <f t="shared" si="155"/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18.3</v>
      </c>
      <c r="AG1011">
        <f t="shared" si="156"/>
        <v>0</v>
      </c>
      <c r="AH1011">
        <f t="shared" si="157"/>
        <v>0</v>
      </c>
      <c r="AI1011">
        <f t="shared" si="158"/>
        <v>0</v>
      </c>
      <c r="AJ1011">
        <v>304.2</v>
      </c>
      <c r="AK1011">
        <v>1012.2</v>
      </c>
      <c r="AL1011">
        <v>23.5</v>
      </c>
      <c r="AM1011">
        <v>6.5</v>
      </c>
      <c r="AN1011">
        <v>306.60000000000002</v>
      </c>
      <c r="AO1011">
        <v>26.4</v>
      </c>
      <c r="AP1011">
        <v>10</v>
      </c>
      <c r="AQ1011">
        <v>0</v>
      </c>
      <c r="AR1011" t="s">
        <v>3467</v>
      </c>
      <c r="AS1011" t="s">
        <v>3468</v>
      </c>
      <c r="AT1011">
        <v>0.42</v>
      </c>
      <c r="AU1011" t="s">
        <v>43</v>
      </c>
      <c r="AV1011" t="s">
        <v>44</v>
      </c>
      <c r="AW1011" t="s">
        <v>45</v>
      </c>
      <c r="AX1011" s="1">
        <v>0.88194444444444442</v>
      </c>
      <c r="AY1011" t="s">
        <v>3469</v>
      </c>
      <c r="AZ1011">
        <v>1380.000000003492</v>
      </c>
      <c r="BA1011">
        <v>1</v>
      </c>
      <c r="BB1011">
        <v>0</v>
      </c>
      <c r="BC1011">
        <v>2</v>
      </c>
      <c r="BD1011">
        <v>0</v>
      </c>
      <c r="BE1011">
        <f t="shared" si="159"/>
        <v>0</v>
      </c>
    </row>
    <row r="1012" spans="1:57" x14ac:dyDescent="0.25">
      <c r="A1012" t="s">
        <v>39</v>
      </c>
      <c r="B1012" t="s">
        <v>3470</v>
      </c>
      <c r="C1012">
        <v>77</v>
      </c>
      <c r="D1012">
        <v>62.6</v>
      </c>
      <c r="G1012">
        <f t="shared" si="150"/>
        <v>1</v>
      </c>
      <c r="H1012">
        <f t="shared" si="151"/>
        <v>1</v>
      </c>
      <c r="I1012">
        <f t="shared" si="152"/>
        <v>0</v>
      </c>
      <c r="J1012">
        <v>70.900000000000006</v>
      </c>
      <c r="K1012">
        <v>77</v>
      </c>
      <c r="L1012">
        <v>62.6</v>
      </c>
      <c r="M1012">
        <v>70.900000000000006</v>
      </c>
      <c r="N1012">
        <v>56.8</v>
      </c>
      <c r="O1012">
        <v>61.2</v>
      </c>
      <c r="S1012">
        <f t="shared" si="153"/>
        <v>1</v>
      </c>
      <c r="T1012">
        <f t="shared" si="154"/>
        <v>0</v>
      </c>
      <c r="U1012">
        <f t="shared" si="155"/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12.8</v>
      </c>
      <c r="AG1012">
        <f t="shared" si="156"/>
        <v>1</v>
      </c>
      <c r="AH1012">
        <f t="shared" si="157"/>
        <v>0</v>
      </c>
      <c r="AI1012">
        <f t="shared" si="158"/>
        <v>1</v>
      </c>
      <c r="AJ1012">
        <v>172</v>
      </c>
      <c r="AK1012">
        <v>1012.7</v>
      </c>
      <c r="AL1012">
        <v>36</v>
      </c>
      <c r="AM1012">
        <v>6.2</v>
      </c>
      <c r="AN1012">
        <v>348.6</v>
      </c>
      <c r="AO1012">
        <v>30</v>
      </c>
      <c r="AP1012">
        <v>10</v>
      </c>
      <c r="AQ1012">
        <v>0</v>
      </c>
      <c r="AR1012" t="s">
        <v>3471</v>
      </c>
      <c r="AS1012" t="s">
        <v>3472</v>
      </c>
      <c r="AT1012">
        <v>0.5</v>
      </c>
      <c r="AU1012" t="s">
        <v>43</v>
      </c>
      <c r="AV1012" t="s">
        <v>44</v>
      </c>
      <c r="AW1012" t="s">
        <v>45</v>
      </c>
      <c r="AX1012" s="1">
        <v>0.3923611111111111</v>
      </c>
      <c r="AY1012" t="s">
        <v>3473</v>
      </c>
      <c r="AZ1012">
        <v>105.00000000698491</v>
      </c>
      <c r="BA1012">
        <v>0</v>
      </c>
      <c r="BB1012">
        <v>0</v>
      </c>
      <c r="BC1012">
        <v>0.1</v>
      </c>
      <c r="BD1012">
        <v>0</v>
      </c>
      <c r="BE1012">
        <f t="shared" si="159"/>
        <v>1</v>
      </c>
    </row>
    <row r="1013" spans="1:57" x14ac:dyDescent="0.25">
      <c r="A1013" t="s">
        <v>39</v>
      </c>
      <c r="B1013" t="s">
        <v>3470</v>
      </c>
      <c r="C1013">
        <v>77</v>
      </c>
      <c r="D1013">
        <v>62.6</v>
      </c>
      <c r="G1013">
        <f t="shared" si="150"/>
        <v>1</v>
      </c>
      <c r="H1013">
        <f t="shared" si="151"/>
        <v>1</v>
      </c>
      <c r="I1013">
        <f t="shared" si="152"/>
        <v>0</v>
      </c>
      <c r="J1013">
        <v>70.900000000000006</v>
      </c>
      <c r="K1013">
        <v>77</v>
      </c>
      <c r="L1013">
        <v>62.6</v>
      </c>
      <c r="M1013">
        <v>70.900000000000006</v>
      </c>
      <c r="N1013">
        <v>56.8</v>
      </c>
      <c r="O1013">
        <v>61.2</v>
      </c>
      <c r="S1013">
        <f t="shared" si="153"/>
        <v>1</v>
      </c>
      <c r="T1013">
        <f t="shared" si="154"/>
        <v>0</v>
      </c>
      <c r="U1013">
        <f t="shared" si="155"/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12.8</v>
      </c>
      <c r="AG1013">
        <f t="shared" si="156"/>
        <v>1</v>
      </c>
      <c r="AH1013">
        <f t="shared" si="157"/>
        <v>0</v>
      </c>
      <c r="AI1013">
        <f t="shared" si="158"/>
        <v>1</v>
      </c>
      <c r="AJ1013">
        <v>172</v>
      </c>
      <c r="AK1013">
        <v>1012.7</v>
      </c>
      <c r="AL1013">
        <v>36</v>
      </c>
      <c r="AM1013">
        <v>6.2</v>
      </c>
      <c r="AN1013">
        <v>348.6</v>
      </c>
      <c r="AO1013">
        <v>30</v>
      </c>
      <c r="AP1013">
        <v>10</v>
      </c>
      <c r="AQ1013">
        <v>0</v>
      </c>
      <c r="AR1013" t="s">
        <v>3471</v>
      </c>
      <c r="AS1013" t="s">
        <v>3472</v>
      </c>
      <c r="AT1013">
        <v>0.5</v>
      </c>
      <c r="AU1013" t="s">
        <v>43</v>
      </c>
      <c r="AV1013" t="s">
        <v>44</v>
      </c>
      <c r="AW1013" t="s">
        <v>45</v>
      </c>
      <c r="AX1013" s="1">
        <v>0.3923611111111111</v>
      </c>
      <c r="AY1013" t="s">
        <v>3473</v>
      </c>
      <c r="AZ1013">
        <v>105.00000000698491</v>
      </c>
      <c r="BA1013">
        <v>0</v>
      </c>
      <c r="BB1013">
        <v>0</v>
      </c>
      <c r="BC1013">
        <v>0.2</v>
      </c>
      <c r="BD1013">
        <v>0</v>
      </c>
      <c r="BE1013">
        <f t="shared" si="159"/>
        <v>1</v>
      </c>
    </row>
    <row r="1014" spans="1:57" x14ac:dyDescent="0.25">
      <c r="A1014" t="s">
        <v>39</v>
      </c>
      <c r="B1014" t="s">
        <v>3474</v>
      </c>
      <c r="C1014">
        <v>86</v>
      </c>
      <c r="D1014">
        <v>69.8</v>
      </c>
      <c r="G1014">
        <f t="shared" si="150"/>
        <v>1</v>
      </c>
      <c r="H1014">
        <f t="shared" si="151"/>
        <v>1</v>
      </c>
      <c r="I1014">
        <f t="shared" si="152"/>
        <v>0</v>
      </c>
      <c r="J1014">
        <v>79.599999999999994</v>
      </c>
      <c r="K1014">
        <v>88.4</v>
      </c>
      <c r="L1014">
        <v>69.8</v>
      </c>
      <c r="M1014">
        <v>80.900000000000006</v>
      </c>
      <c r="N1014">
        <v>64.2</v>
      </c>
      <c r="O1014">
        <v>60</v>
      </c>
      <c r="S1014">
        <f t="shared" si="153"/>
        <v>0</v>
      </c>
      <c r="T1014">
        <f t="shared" si="154"/>
        <v>0</v>
      </c>
      <c r="U1014">
        <f t="shared" si="155"/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18.3</v>
      </c>
      <c r="AG1014">
        <f t="shared" si="156"/>
        <v>0</v>
      </c>
      <c r="AH1014">
        <f t="shared" si="157"/>
        <v>0</v>
      </c>
      <c r="AI1014">
        <f t="shared" si="158"/>
        <v>0</v>
      </c>
      <c r="AJ1014">
        <v>302.10000000000002</v>
      </c>
      <c r="AK1014">
        <v>1010.6</v>
      </c>
      <c r="AL1014">
        <v>0</v>
      </c>
      <c r="AM1014">
        <v>6.2</v>
      </c>
      <c r="AN1014">
        <v>354.7</v>
      </c>
      <c r="AO1014">
        <v>30.6</v>
      </c>
      <c r="AP1014">
        <v>10</v>
      </c>
      <c r="AQ1014">
        <v>0</v>
      </c>
      <c r="AR1014" t="s">
        <v>3475</v>
      </c>
      <c r="AS1014" t="s">
        <v>3476</v>
      </c>
      <c r="AT1014">
        <v>0.86</v>
      </c>
      <c r="AU1014" t="s">
        <v>74</v>
      </c>
      <c r="AV1014" t="s">
        <v>2955</v>
      </c>
      <c r="AW1014" t="s">
        <v>75</v>
      </c>
      <c r="AX1014" s="1">
        <v>0.77083333333333337</v>
      </c>
      <c r="AY1014" t="s">
        <v>3477</v>
      </c>
      <c r="AZ1014">
        <v>1360.0000000011639</v>
      </c>
      <c r="BA1014">
        <v>1</v>
      </c>
      <c r="BB1014">
        <v>0</v>
      </c>
      <c r="BC1014">
        <v>8</v>
      </c>
      <c r="BD1014">
        <v>0</v>
      </c>
      <c r="BE1014">
        <f t="shared" si="159"/>
        <v>0</v>
      </c>
    </row>
    <row r="1015" spans="1:57" x14ac:dyDescent="0.25">
      <c r="A1015" t="s">
        <v>39</v>
      </c>
      <c r="B1015" t="s">
        <v>3478</v>
      </c>
      <c r="C1015">
        <v>86</v>
      </c>
      <c r="D1015">
        <v>80.599999999999994</v>
      </c>
      <c r="G1015">
        <f t="shared" si="150"/>
        <v>1</v>
      </c>
      <c r="H1015">
        <f t="shared" si="151"/>
        <v>1</v>
      </c>
      <c r="I1015">
        <f t="shared" si="152"/>
        <v>0</v>
      </c>
      <c r="J1015">
        <v>82.6</v>
      </c>
      <c r="K1015">
        <v>92</v>
      </c>
      <c r="L1015">
        <v>83.3</v>
      </c>
      <c r="M1015">
        <v>87</v>
      </c>
      <c r="N1015">
        <v>70.7</v>
      </c>
      <c r="O1015">
        <v>67.400000000000006</v>
      </c>
      <c r="S1015">
        <f t="shared" si="153"/>
        <v>1</v>
      </c>
      <c r="T1015">
        <f t="shared" si="154"/>
        <v>1</v>
      </c>
      <c r="U1015">
        <f t="shared" si="155"/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21.9</v>
      </c>
      <c r="AG1015">
        <f t="shared" si="156"/>
        <v>1</v>
      </c>
      <c r="AH1015">
        <f t="shared" si="157"/>
        <v>1</v>
      </c>
      <c r="AI1015">
        <f t="shared" si="158"/>
        <v>0</v>
      </c>
      <c r="AJ1015">
        <v>305.10000000000002</v>
      </c>
      <c r="AK1015">
        <v>1008.8</v>
      </c>
      <c r="AL1015">
        <v>20.9</v>
      </c>
      <c r="AM1015">
        <v>6.5</v>
      </c>
      <c r="AN1015">
        <v>345.1</v>
      </c>
      <c r="AO1015">
        <v>29.8</v>
      </c>
      <c r="AP1015">
        <v>10</v>
      </c>
      <c r="AQ1015">
        <v>0</v>
      </c>
      <c r="AR1015" t="s">
        <v>3479</v>
      </c>
      <c r="AS1015" t="s">
        <v>3480</v>
      </c>
      <c r="AT1015">
        <v>0.16</v>
      </c>
      <c r="AU1015" t="s">
        <v>43</v>
      </c>
      <c r="AV1015" t="s">
        <v>44</v>
      </c>
      <c r="AW1015" t="s">
        <v>45</v>
      </c>
      <c r="AX1015" s="1">
        <v>0.85416666666666663</v>
      </c>
      <c r="AY1015" t="s">
        <v>3481</v>
      </c>
      <c r="AZ1015">
        <v>130.00000000465661</v>
      </c>
      <c r="BA1015">
        <v>0</v>
      </c>
      <c r="BB1015">
        <v>0.1</v>
      </c>
      <c r="BC1015">
        <v>0</v>
      </c>
      <c r="BD1015">
        <v>0</v>
      </c>
      <c r="BE1015">
        <f t="shared" si="159"/>
        <v>1</v>
      </c>
    </row>
    <row r="1016" spans="1:57" x14ac:dyDescent="0.25">
      <c r="A1016" t="s">
        <v>39</v>
      </c>
      <c r="B1016" t="s">
        <v>3482</v>
      </c>
      <c r="C1016">
        <v>84.2</v>
      </c>
      <c r="D1016">
        <v>80.599999999999994</v>
      </c>
      <c r="G1016">
        <f t="shared" si="150"/>
        <v>0</v>
      </c>
      <c r="H1016">
        <f t="shared" si="151"/>
        <v>0</v>
      </c>
      <c r="I1016">
        <f t="shared" si="152"/>
        <v>0</v>
      </c>
      <c r="J1016">
        <v>81.7</v>
      </c>
      <c r="K1016">
        <v>89.6</v>
      </c>
      <c r="L1016">
        <v>82.8</v>
      </c>
      <c r="M1016">
        <v>85.6</v>
      </c>
      <c r="N1016">
        <v>70.099999999999994</v>
      </c>
      <c r="O1016">
        <v>68</v>
      </c>
      <c r="S1016">
        <f t="shared" si="153"/>
        <v>1</v>
      </c>
      <c r="T1016">
        <f t="shared" si="154"/>
        <v>1</v>
      </c>
      <c r="U1016">
        <f t="shared" si="155"/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20.8</v>
      </c>
      <c r="AG1016">
        <f t="shared" si="156"/>
        <v>1</v>
      </c>
      <c r="AH1016">
        <f t="shared" si="157"/>
        <v>1</v>
      </c>
      <c r="AI1016">
        <f t="shared" si="158"/>
        <v>0</v>
      </c>
      <c r="AJ1016">
        <v>306.89999999999998</v>
      </c>
      <c r="AK1016">
        <v>1009.9</v>
      </c>
      <c r="AL1016">
        <v>27.8</v>
      </c>
      <c r="AM1016">
        <v>6.6</v>
      </c>
      <c r="AN1016">
        <v>333.6</v>
      </c>
      <c r="AO1016">
        <v>28.7</v>
      </c>
      <c r="AP1016">
        <v>10</v>
      </c>
      <c r="AQ1016">
        <v>0</v>
      </c>
      <c r="AR1016" t="s">
        <v>3483</v>
      </c>
      <c r="AS1016" t="s">
        <v>3484</v>
      </c>
      <c r="AT1016">
        <v>0.19</v>
      </c>
      <c r="AU1016" t="s">
        <v>43</v>
      </c>
      <c r="AV1016" t="s">
        <v>44</v>
      </c>
      <c r="AW1016" t="s">
        <v>45</v>
      </c>
      <c r="AX1016" s="1">
        <v>0.70833333333333337</v>
      </c>
      <c r="AY1016" t="s">
        <v>3485</v>
      </c>
      <c r="AZ1016">
        <v>4545</v>
      </c>
      <c r="BA1016">
        <v>1</v>
      </c>
      <c r="BB1016">
        <v>12</v>
      </c>
      <c r="BC1016">
        <v>1</v>
      </c>
      <c r="BD1016">
        <v>0</v>
      </c>
      <c r="BE1016">
        <f t="shared" si="159"/>
        <v>1</v>
      </c>
    </row>
    <row r="1017" spans="1:57" x14ac:dyDescent="0.25">
      <c r="A1017" t="s">
        <v>39</v>
      </c>
      <c r="B1017" t="s">
        <v>3486</v>
      </c>
      <c r="C1017">
        <v>86</v>
      </c>
      <c r="D1017">
        <v>77</v>
      </c>
      <c r="G1017">
        <f t="shared" si="150"/>
        <v>1</v>
      </c>
      <c r="H1017">
        <f t="shared" si="151"/>
        <v>1</v>
      </c>
      <c r="I1017">
        <f t="shared" si="152"/>
        <v>0</v>
      </c>
      <c r="J1017">
        <v>82</v>
      </c>
      <c r="K1017">
        <v>90.6</v>
      </c>
      <c r="L1017">
        <v>77</v>
      </c>
      <c r="M1017">
        <v>84.8</v>
      </c>
      <c r="N1017">
        <v>68.3</v>
      </c>
      <c r="O1017">
        <v>63.5</v>
      </c>
      <c r="S1017">
        <f t="shared" si="153"/>
        <v>1</v>
      </c>
      <c r="T1017">
        <f t="shared" si="154"/>
        <v>1</v>
      </c>
      <c r="U1017">
        <f t="shared" si="155"/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19.5</v>
      </c>
      <c r="AG1017">
        <f t="shared" si="156"/>
        <v>1</v>
      </c>
      <c r="AH1017">
        <f t="shared" si="157"/>
        <v>1</v>
      </c>
      <c r="AI1017">
        <f t="shared" si="158"/>
        <v>0</v>
      </c>
      <c r="AJ1017">
        <v>301.60000000000002</v>
      </c>
      <c r="AK1017">
        <v>1009.7</v>
      </c>
      <c r="AL1017">
        <v>10.6</v>
      </c>
      <c r="AM1017">
        <v>6.4</v>
      </c>
      <c r="AN1017">
        <v>341.5</v>
      </c>
      <c r="AO1017">
        <v>29.5</v>
      </c>
      <c r="AP1017">
        <v>10</v>
      </c>
      <c r="AQ1017">
        <v>0</v>
      </c>
      <c r="AR1017" t="s">
        <v>3487</v>
      </c>
      <c r="AS1017" t="s">
        <v>3488</v>
      </c>
      <c r="AT1017">
        <v>0.27</v>
      </c>
      <c r="AU1017" t="s">
        <v>74</v>
      </c>
      <c r="AV1017" t="s">
        <v>2955</v>
      </c>
      <c r="AW1017" t="s">
        <v>75</v>
      </c>
      <c r="AX1017" s="1">
        <v>0.73611111111111116</v>
      </c>
      <c r="AY1017" t="s">
        <v>3489</v>
      </c>
      <c r="AZ1017">
        <v>200.00000000232831</v>
      </c>
      <c r="BA1017">
        <v>0</v>
      </c>
      <c r="BB1017">
        <v>0</v>
      </c>
      <c r="BC1017">
        <v>0.1</v>
      </c>
      <c r="BD1017">
        <v>0</v>
      </c>
      <c r="BE1017">
        <f t="shared" si="159"/>
        <v>1</v>
      </c>
    </row>
    <row r="1018" spans="1:57" x14ac:dyDescent="0.25">
      <c r="A1018" t="s">
        <v>39</v>
      </c>
      <c r="B1018" t="s">
        <v>3486</v>
      </c>
      <c r="C1018">
        <v>86</v>
      </c>
      <c r="D1018">
        <v>77</v>
      </c>
      <c r="G1018">
        <f t="shared" si="150"/>
        <v>1</v>
      </c>
      <c r="H1018">
        <f t="shared" si="151"/>
        <v>1</v>
      </c>
      <c r="I1018">
        <f t="shared" si="152"/>
        <v>0</v>
      </c>
      <c r="J1018">
        <v>82</v>
      </c>
      <c r="K1018">
        <v>90.6</v>
      </c>
      <c r="L1018">
        <v>77</v>
      </c>
      <c r="M1018">
        <v>84.8</v>
      </c>
      <c r="N1018">
        <v>68.3</v>
      </c>
      <c r="O1018">
        <v>63.5</v>
      </c>
      <c r="S1018">
        <f t="shared" si="153"/>
        <v>1</v>
      </c>
      <c r="T1018">
        <f t="shared" si="154"/>
        <v>1</v>
      </c>
      <c r="U1018">
        <f t="shared" si="155"/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19.5</v>
      </c>
      <c r="AG1018">
        <f t="shared" si="156"/>
        <v>1</v>
      </c>
      <c r="AH1018">
        <f t="shared" si="157"/>
        <v>1</v>
      </c>
      <c r="AI1018">
        <f t="shared" si="158"/>
        <v>0</v>
      </c>
      <c r="AJ1018">
        <v>301.60000000000002</v>
      </c>
      <c r="AK1018">
        <v>1009.7</v>
      </c>
      <c r="AL1018">
        <v>10.6</v>
      </c>
      <c r="AM1018">
        <v>6.4</v>
      </c>
      <c r="AN1018">
        <v>341.5</v>
      </c>
      <c r="AO1018">
        <v>29.5</v>
      </c>
      <c r="AP1018">
        <v>10</v>
      </c>
      <c r="AQ1018">
        <v>0</v>
      </c>
      <c r="AR1018" t="s">
        <v>3487</v>
      </c>
      <c r="AS1018" t="s">
        <v>3488</v>
      </c>
      <c r="AT1018">
        <v>0.27</v>
      </c>
      <c r="AU1018" t="s">
        <v>74</v>
      </c>
      <c r="AV1018" t="s">
        <v>2955</v>
      </c>
      <c r="AW1018" t="s">
        <v>75</v>
      </c>
      <c r="AX1018" s="1">
        <v>0.75</v>
      </c>
      <c r="AY1018" t="s">
        <v>3490</v>
      </c>
      <c r="AZ1018">
        <v>180</v>
      </c>
      <c r="BA1018">
        <v>0</v>
      </c>
      <c r="BB1018">
        <v>0</v>
      </c>
      <c r="BC1018">
        <v>0.1</v>
      </c>
      <c r="BD1018">
        <v>0</v>
      </c>
      <c r="BE1018">
        <f t="shared" si="159"/>
        <v>1</v>
      </c>
    </row>
    <row r="1019" spans="1:57" x14ac:dyDescent="0.25">
      <c r="A1019" t="s">
        <v>39</v>
      </c>
      <c r="B1019" t="s">
        <v>3491</v>
      </c>
      <c r="C1019">
        <v>91.4</v>
      </c>
      <c r="D1019">
        <v>84.2</v>
      </c>
      <c r="G1019">
        <f t="shared" si="150"/>
        <v>1</v>
      </c>
      <c r="H1019">
        <f t="shared" si="151"/>
        <v>1</v>
      </c>
      <c r="I1019">
        <f t="shared" si="152"/>
        <v>0</v>
      </c>
      <c r="J1019">
        <v>87.1</v>
      </c>
      <c r="K1019">
        <v>100.6</v>
      </c>
      <c r="L1019">
        <v>89.6</v>
      </c>
      <c r="M1019">
        <v>94.2</v>
      </c>
      <c r="N1019">
        <v>72.599999999999994</v>
      </c>
      <c r="O1019">
        <v>62.4</v>
      </c>
      <c r="S1019">
        <f t="shared" si="153"/>
        <v>1</v>
      </c>
      <c r="T1019">
        <f t="shared" si="154"/>
        <v>1</v>
      </c>
      <c r="U1019">
        <f t="shared" si="155"/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23</v>
      </c>
      <c r="AG1019">
        <f t="shared" si="156"/>
        <v>1</v>
      </c>
      <c r="AH1019">
        <f t="shared" si="157"/>
        <v>1</v>
      </c>
      <c r="AI1019">
        <f t="shared" si="158"/>
        <v>0</v>
      </c>
      <c r="AJ1019">
        <v>302.8</v>
      </c>
      <c r="AK1019">
        <v>1010.1</v>
      </c>
      <c r="AL1019">
        <v>0.2</v>
      </c>
      <c r="AM1019">
        <v>6.2</v>
      </c>
      <c r="AN1019">
        <v>323.8</v>
      </c>
      <c r="AO1019">
        <v>27.8</v>
      </c>
      <c r="AP1019">
        <v>10</v>
      </c>
      <c r="AQ1019">
        <v>0</v>
      </c>
      <c r="AR1019" t="s">
        <v>3492</v>
      </c>
      <c r="AS1019" t="s">
        <v>3493</v>
      </c>
      <c r="AT1019">
        <v>0.25</v>
      </c>
      <c r="AU1019" t="s">
        <v>74</v>
      </c>
      <c r="AV1019" t="s">
        <v>2955</v>
      </c>
      <c r="AW1019" t="s">
        <v>75</v>
      </c>
      <c r="AX1019" s="1">
        <v>0.91597222222222219</v>
      </c>
      <c r="AY1019" t="s">
        <v>3494</v>
      </c>
      <c r="AZ1019">
        <v>650.99999999511056</v>
      </c>
      <c r="BA1019">
        <v>1</v>
      </c>
      <c r="BB1019">
        <v>0</v>
      </c>
      <c r="BC1019">
        <v>2</v>
      </c>
      <c r="BD1019">
        <v>0</v>
      </c>
      <c r="BE1019">
        <f t="shared" si="159"/>
        <v>1</v>
      </c>
    </row>
    <row r="1020" spans="1:57" x14ac:dyDescent="0.25">
      <c r="A1020" t="s">
        <v>39</v>
      </c>
      <c r="B1020" t="s">
        <v>3495</v>
      </c>
      <c r="C1020">
        <v>82.4</v>
      </c>
      <c r="D1020">
        <v>69.8</v>
      </c>
      <c r="G1020">
        <f t="shared" si="150"/>
        <v>1</v>
      </c>
      <c r="H1020">
        <f t="shared" si="151"/>
        <v>1</v>
      </c>
      <c r="I1020">
        <f t="shared" si="152"/>
        <v>0</v>
      </c>
      <c r="J1020">
        <v>77.7</v>
      </c>
      <c r="K1020">
        <v>84.7</v>
      </c>
      <c r="L1020">
        <v>69.8</v>
      </c>
      <c r="M1020">
        <v>78.2</v>
      </c>
      <c r="N1020">
        <v>66.900000000000006</v>
      </c>
      <c r="O1020">
        <v>70.2</v>
      </c>
      <c r="S1020">
        <f t="shared" si="153"/>
        <v>1</v>
      </c>
      <c r="T1020">
        <f t="shared" si="154"/>
        <v>1</v>
      </c>
      <c r="U1020">
        <f t="shared" si="155"/>
        <v>0</v>
      </c>
      <c r="V1020">
        <v>3.9E-2</v>
      </c>
      <c r="W1020">
        <v>100</v>
      </c>
      <c r="X1020">
        <v>4.17</v>
      </c>
      <c r="Y1020" t="s">
        <v>103</v>
      </c>
      <c r="Z1020">
        <v>0</v>
      </c>
      <c r="AA1020">
        <v>0</v>
      </c>
      <c r="AB1020">
        <v>0</v>
      </c>
      <c r="AC1020">
        <v>19.5</v>
      </c>
      <c r="AG1020">
        <f t="shared" si="156"/>
        <v>1</v>
      </c>
      <c r="AH1020">
        <f t="shared" si="157"/>
        <v>1</v>
      </c>
      <c r="AI1020">
        <f t="shared" si="158"/>
        <v>0</v>
      </c>
      <c r="AJ1020">
        <v>300</v>
      </c>
      <c r="AK1020">
        <v>1011.9</v>
      </c>
      <c r="AL1020">
        <v>55.8</v>
      </c>
      <c r="AM1020">
        <v>6.5</v>
      </c>
      <c r="AN1020">
        <v>178.3</v>
      </c>
      <c r="AO1020">
        <v>15.2</v>
      </c>
      <c r="AP1020">
        <v>6</v>
      </c>
      <c r="AQ1020">
        <v>0</v>
      </c>
      <c r="AR1020" t="s">
        <v>3496</v>
      </c>
      <c r="AS1020" t="s">
        <v>3497</v>
      </c>
      <c r="AT1020">
        <v>0.74</v>
      </c>
      <c r="AU1020" t="s">
        <v>106</v>
      </c>
      <c r="AV1020" t="s">
        <v>438</v>
      </c>
      <c r="AW1020" t="s">
        <v>103</v>
      </c>
      <c r="AX1020" s="1">
        <v>0.61388888888888893</v>
      </c>
      <c r="AY1020" t="s">
        <v>3498</v>
      </c>
      <c r="AZ1020">
        <v>1365.9999999997669</v>
      </c>
      <c r="BA1020">
        <v>1</v>
      </c>
      <c r="BB1020">
        <v>0</v>
      </c>
      <c r="BC1020">
        <v>2</v>
      </c>
      <c r="BD1020">
        <v>0</v>
      </c>
      <c r="BE1020">
        <f t="shared" si="159"/>
        <v>1</v>
      </c>
    </row>
    <row r="1021" spans="1:57" x14ac:dyDescent="0.25">
      <c r="A1021" t="s">
        <v>39</v>
      </c>
      <c r="B1021" t="s">
        <v>3499</v>
      </c>
      <c r="C1021">
        <v>62.6</v>
      </c>
      <c r="D1021">
        <v>59</v>
      </c>
      <c r="G1021">
        <f t="shared" si="150"/>
        <v>1</v>
      </c>
      <c r="H1021">
        <f t="shared" si="151"/>
        <v>0</v>
      </c>
      <c r="I1021">
        <f t="shared" si="152"/>
        <v>1</v>
      </c>
      <c r="J1021">
        <v>60.9</v>
      </c>
      <c r="K1021">
        <v>62.6</v>
      </c>
      <c r="L1021">
        <v>59</v>
      </c>
      <c r="M1021">
        <v>60.9</v>
      </c>
      <c r="N1021">
        <v>51.7</v>
      </c>
      <c r="O1021">
        <v>71.8</v>
      </c>
      <c r="S1021">
        <f t="shared" si="153"/>
        <v>1</v>
      </c>
      <c r="T1021">
        <f t="shared" si="154"/>
        <v>1</v>
      </c>
      <c r="U1021">
        <f t="shared" si="155"/>
        <v>0</v>
      </c>
      <c r="V1021">
        <v>0.11799999999999999</v>
      </c>
      <c r="W1021">
        <v>100</v>
      </c>
      <c r="X1021">
        <v>4.17</v>
      </c>
      <c r="Y1021" t="s">
        <v>103</v>
      </c>
      <c r="Z1021">
        <v>0</v>
      </c>
      <c r="AA1021">
        <v>0</v>
      </c>
      <c r="AB1021">
        <v>36.9</v>
      </c>
      <c r="AC1021">
        <v>26.4</v>
      </c>
      <c r="AG1021">
        <f t="shared" si="156"/>
        <v>1</v>
      </c>
      <c r="AH1021">
        <f t="shared" si="157"/>
        <v>1</v>
      </c>
      <c r="AI1021">
        <f t="shared" si="158"/>
        <v>0</v>
      </c>
      <c r="AJ1021">
        <v>341.5</v>
      </c>
      <c r="AK1021">
        <v>1015.2</v>
      </c>
      <c r="AL1021">
        <v>89.6</v>
      </c>
      <c r="AM1021">
        <v>6.6</v>
      </c>
      <c r="AN1021">
        <v>134.5</v>
      </c>
      <c r="AO1021">
        <v>11.7</v>
      </c>
      <c r="AP1021">
        <v>5</v>
      </c>
      <c r="AQ1021">
        <v>0</v>
      </c>
      <c r="AR1021" t="s">
        <v>3500</v>
      </c>
      <c r="AS1021" t="s">
        <v>3501</v>
      </c>
      <c r="AT1021">
        <v>0.72</v>
      </c>
      <c r="AU1021" t="s">
        <v>106</v>
      </c>
      <c r="AV1021" t="s">
        <v>433</v>
      </c>
      <c r="AW1021" t="s">
        <v>103</v>
      </c>
      <c r="AX1021" s="1">
        <v>0.73611111111111116</v>
      </c>
      <c r="AY1021" t="s">
        <v>3502</v>
      </c>
      <c r="AZ1021">
        <v>120.0000000034925</v>
      </c>
      <c r="BA1021">
        <v>0</v>
      </c>
      <c r="BB1021">
        <v>0</v>
      </c>
      <c r="BC1021">
        <v>0.1</v>
      </c>
      <c r="BD1021">
        <v>0</v>
      </c>
      <c r="BE1021">
        <f t="shared" si="159"/>
        <v>1</v>
      </c>
    </row>
    <row r="1022" spans="1:57" x14ac:dyDescent="0.25">
      <c r="A1022" t="s">
        <v>39</v>
      </c>
      <c r="B1022" t="s">
        <v>3503</v>
      </c>
      <c r="C1022">
        <v>80.599999999999994</v>
      </c>
      <c r="D1022">
        <v>59</v>
      </c>
      <c r="G1022">
        <f t="shared" si="150"/>
        <v>1</v>
      </c>
      <c r="H1022">
        <f t="shared" si="151"/>
        <v>1</v>
      </c>
      <c r="I1022">
        <f t="shared" si="152"/>
        <v>0</v>
      </c>
      <c r="J1022">
        <v>68.3</v>
      </c>
      <c r="K1022">
        <v>80.3</v>
      </c>
      <c r="L1022">
        <v>59</v>
      </c>
      <c r="M1022">
        <v>68.3</v>
      </c>
      <c r="N1022">
        <v>56</v>
      </c>
      <c r="O1022">
        <v>67.2</v>
      </c>
      <c r="S1022">
        <f t="shared" si="153"/>
        <v>0</v>
      </c>
      <c r="T1022">
        <f t="shared" si="154"/>
        <v>0</v>
      </c>
      <c r="U1022">
        <f t="shared" si="155"/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42.5</v>
      </c>
      <c r="AC1022">
        <v>31.1</v>
      </c>
      <c r="AG1022">
        <f t="shared" si="156"/>
        <v>1</v>
      </c>
      <c r="AH1022">
        <f t="shared" si="157"/>
        <v>1</v>
      </c>
      <c r="AI1022">
        <f t="shared" si="158"/>
        <v>0</v>
      </c>
      <c r="AJ1022">
        <v>170.1</v>
      </c>
      <c r="AK1022">
        <v>1010.9</v>
      </c>
      <c r="AL1022">
        <v>54</v>
      </c>
      <c r="AM1022">
        <v>6.3</v>
      </c>
      <c r="AN1022">
        <v>153.1</v>
      </c>
      <c r="AO1022">
        <v>13.1</v>
      </c>
      <c r="AP1022">
        <v>6</v>
      </c>
      <c r="AQ1022">
        <v>0</v>
      </c>
      <c r="AR1022" t="s">
        <v>3504</v>
      </c>
      <c r="AS1022" t="s">
        <v>3505</v>
      </c>
      <c r="AT1022">
        <v>7.0000000000000007E-2</v>
      </c>
      <c r="AU1022" t="s">
        <v>43</v>
      </c>
      <c r="AV1022" t="s">
        <v>44</v>
      </c>
      <c r="AW1022" t="s">
        <v>419</v>
      </c>
      <c r="AX1022" s="1">
        <v>0.62013888888888891</v>
      </c>
      <c r="AY1022" t="s">
        <v>3506</v>
      </c>
      <c r="AZ1022">
        <v>97.000000001862645</v>
      </c>
      <c r="BA1022">
        <v>0</v>
      </c>
      <c r="BB1022">
        <v>0</v>
      </c>
      <c r="BC1022">
        <v>1.5</v>
      </c>
      <c r="BD1022">
        <v>0</v>
      </c>
      <c r="BE1022">
        <f t="shared" si="159"/>
        <v>0</v>
      </c>
    </row>
    <row r="1023" spans="1:57" x14ac:dyDescent="0.25">
      <c r="A1023" t="s">
        <v>39</v>
      </c>
      <c r="B1023" t="s">
        <v>3507</v>
      </c>
      <c r="C1023">
        <v>82.4</v>
      </c>
      <c r="D1023">
        <v>66.2</v>
      </c>
      <c r="G1023">
        <f t="shared" si="150"/>
        <v>1</v>
      </c>
      <c r="H1023">
        <f t="shared" si="151"/>
        <v>1</v>
      </c>
      <c r="I1023">
        <f t="shared" si="152"/>
        <v>0</v>
      </c>
      <c r="J1023">
        <v>73.2</v>
      </c>
      <c r="K1023">
        <v>81.5</v>
      </c>
      <c r="L1023">
        <v>66.2</v>
      </c>
      <c r="M1023">
        <v>73.099999999999994</v>
      </c>
      <c r="N1023">
        <v>57.1</v>
      </c>
      <c r="O1023">
        <v>58.9</v>
      </c>
      <c r="S1023">
        <f t="shared" si="153"/>
        <v>1</v>
      </c>
      <c r="T1023">
        <f t="shared" si="154"/>
        <v>0</v>
      </c>
      <c r="U1023">
        <f t="shared" si="155"/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20.8</v>
      </c>
      <c r="AG1023">
        <f t="shared" si="156"/>
        <v>1</v>
      </c>
      <c r="AH1023">
        <f t="shared" si="157"/>
        <v>1</v>
      </c>
      <c r="AI1023">
        <f t="shared" si="158"/>
        <v>0</v>
      </c>
      <c r="AJ1023">
        <v>175.8</v>
      </c>
      <c r="AK1023">
        <v>1014.1</v>
      </c>
      <c r="AL1023">
        <v>15.3</v>
      </c>
      <c r="AM1023">
        <v>6.4</v>
      </c>
      <c r="AN1023">
        <v>166.2</v>
      </c>
      <c r="AO1023">
        <v>14.4</v>
      </c>
      <c r="AP1023">
        <v>6</v>
      </c>
      <c r="AQ1023">
        <v>0</v>
      </c>
      <c r="AR1023" t="s">
        <v>3508</v>
      </c>
      <c r="AS1023" t="s">
        <v>3509</v>
      </c>
      <c r="AT1023">
        <v>0.14000000000000001</v>
      </c>
      <c r="AU1023" t="s">
        <v>74</v>
      </c>
      <c r="AV1023" t="s">
        <v>2955</v>
      </c>
      <c r="AW1023" t="s">
        <v>75</v>
      </c>
      <c r="AX1023" s="1">
        <v>0.80138888888888893</v>
      </c>
      <c r="AY1023" t="s">
        <v>3510</v>
      </c>
      <c r="AZ1023">
        <v>91.000000003259629</v>
      </c>
      <c r="BA1023">
        <v>0</v>
      </c>
      <c r="BB1023">
        <v>0</v>
      </c>
      <c r="BC1023">
        <v>0.3</v>
      </c>
      <c r="BD1023">
        <v>0</v>
      </c>
      <c r="BE1023">
        <f t="shared" si="159"/>
        <v>1</v>
      </c>
    </row>
    <row r="1024" spans="1:57" x14ac:dyDescent="0.25">
      <c r="A1024" t="s">
        <v>39</v>
      </c>
      <c r="B1024" t="s">
        <v>3511</v>
      </c>
      <c r="C1024">
        <v>80.599999999999994</v>
      </c>
      <c r="D1024">
        <v>68</v>
      </c>
      <c r="G1024">
        <f t="shared" si="150"/>
        <v>1</v>
      </c>
      <c r="H1024">
        <f t="shared" si="151"/>
        <v>1</v>
      </c>
      <c r="I1024">
        <f t="shared" si="152"/>
        <v>0</v>
      </c>
      <c r="J1024">
        <v>73.2</v>
      </c>
      <c r="K1024">
        <v>79.900000000000006</v>
      </c>
      <c r="L1024">
        <v>68</v>
      </c>
      <c r="M1024">
        <v>73.099999999999994</v>
      </c>
      <c r="N1024">
        <v>53.3</v>
      </c>
      <c r="O1024">
        <v>50.5</v>
      </c>
      <c r="S1024">
        <f t="shared" si="153"/>
        <v>1</v>
      </c>
      <c r="T1024">
        <f t="shared" si="154"/>
        <v>0</v>
      </c>
      <c r="U1024">
        <f t="shared" si="155"/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26.4</v>
      </c>
      <c r="AG1024">
        <f t="shared" si="156"/>
        <v>1</v>
      </c>
      <c r="AH1024">
        <f t="shared" si="157"/>
        <v>1</v>
      </c>
      <c r="AI1024">
        <f t="shared" si="158"/>
        <v>0</v>
      </c>
      <c r="AJ1024">
        <v>165</v>
      </c>
      <c r="AK1024">
        <v>1014.2</v>
      </c>
      <c r="AL1024">
        <v>75.7</v>
      </c>
      <c r="AM1024">
        <v>6.4</v>
      </c>
      <c r="AN1024">
        <v>140.6</v>
      </c>
      <c r="AO1024">
        <v>12.3</v>
      </c>
      <c r="AP1024">
        <v>6</v>
      </c>
      <c r="AQ1024">
        <v>0</v>
      </c>
      <c r="AR1024" t="s">
        <v>3512</v>
      </c>
      <c r="AS1024" t="s">
        <v>3513</v>
      </c>
      <c r="AT1024">
        <v>0.77</v>
      </c>
      <c r="AU1024" t="s">
        <v>43</v>
      </c>
      <c r="AV1024" t="s">
        <v>44</v>
      </c>
      <c r="AW1024" t="s">
        <v>45</v>
      </c>
      <c r="AX1024" s="1">
        <v>0.72499999999999998</v>
      </c>
      <c r="AY1024" t="s">
        <v>3514</v>
      </c>
      <c r="AZ1024">
        <v>95.999999998603016</v>
      </c>
      <c r="BA1024">
        <v>0</v>
      </c>
      <c r="BB1024">
        <v>0</v>
      </c>
      <c r="BC1024">
        <v>0.5</v>
      </c>
      <c r="BD1024">
        <v>0</v>
      </c>
      <c r="BE1024">
        <f t="shared" si="159"/>
        <v>1</v>
      </c>
    </row>
    <row r="1025" spans="1:57" x14ac:dyDescent="0.25">
      <c r="A1025" t="s">
        <v>39</v>
      </c>
      <c r="B1025" t="s">
        <v>3515</v>
      </c>
      <c r="C1025">
        <v>69.900000000000006</v>
      </c>
      <c r="D1025">
        <v>57.2</v>
      </c>
      <c r="G1025">
        <f t="shared" si="150"/>
        <v>1</v>
      </c>
      <c r="H1025">
        <f t="shared" si="151"/>
        <v>1</v>
      </c>
      <c r="I1025">
        <f t="shared" si="152"/>
        <v>0</v>
      </c>
      <c r="J1025">
        <v>62.4</v>
      </c>
      <c r="K1025">
        <v>69.900000000000006</v>
      </c>
      <c r="L1025">
        <v>57.2</v>
      </c>
      <c r="M1025">
        <v>62.4</v>
      </c>
      <c r="N1025">
        <v>56</v>
      </c>
      <c r="O1025">
        <v>80.099999999999994</v>
      </c>
      <c r="S1025">
        <f t="shared" si="153"/>
        <v>1</v>
      </c>
      <c r="T1025">
        <f t="shared" si="154"/>
        <v>1</v>
      </c>
      <c r="U1025">
        <f t="shared" si="155"/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10.3</v>
      </c>
      <c r="AG1025">
        <f t="shared" si="156"/>
        <v>1</v>
      </c>
      <c r="AH1025">
        <f t="shared" si="157"/>
        <v>0</v>
      </c>
      <c r="AI1025">
        <f t="shared" si="158"/>
        <v>1</v>
      </c>
      <c r="AJ1025">
        <v>168.1</v>
      </c>
      <c r="AK1025">
        <v>1018.1</v>
      </c>
      <c r="AL1025">
        <v>48.6</v>
      </c>
      <c r="AM1025">
        <v>6.6</v>
      </c>
      <c r="AN1025">
        <v>133.19999999999999</v>
      </c>
      <c r="AO1025">
        <v>11.4</v>
      </c>
      <c r="AP1025">
        <v>5</v>
      </c>
      <c r="AQ1025">
        <v>0</v>
      </c>
      <c r="AR1025" t="s">
        <v>3516</v>
      </c>
      <c r="AS1025" t="s">
        <v>3517</v>
      </c>
      <c r="AT1025">
        <v>0.09</v>
      </c>
      <c r="AU1025" t="s">
        <v>43</v>
      </c>
      <c r="AV1025" t="s">
        <v>44</v>
      </c>
      <c r="AW1025" t="s">
        <v>45</v>
      </c>
      <c r="AX1025" s="1">
        <v>0.50972222222222219</v>
      </c>
      <c r="AY1025" t="s">
        <v>3518</v>
      </c>
      <c r="AZ1025">
        <v>155.99999999511061</v>
      </c>
      <c r="BA1025">
        <v>0</v>
      </c>
      <c r="BB1025">
        <v>0</v>
      </c>
      <c r="BC1025">
        <v>2</v>
      </c>
      <c r="BD1025">
        <v>0</v>
      </c>
      <c r="BE1025">
        <f t="shared" si="159"/>
        <v>1</v>
      </c>
    </row>
    <row r="1026" spans="1:57" x14ac:dyDescent="0.25">
      <c r="A1026" t="s">
        <v>39</v>
      </c>
      <c r="B1026" t="s">
        <v>3519</v>
      </c>
      <c r="C1026">
        <v>82.4</v>
      </c>
      <c r="D1026">
        <v>62.6</v>
      </c>
      <c r="G1026">
        <f t="shared" si="150"/>
        <v>1</v>
      </c>
      <c r="H1026">
        <f t="shared" si="151"/>
        <v>1</v>
      </c>
      <c r="I1026">
        <f t="shared" si="152"/>
        <v>0</v>
      </c>
      <c r="J1026">
        <v>71.8</v>
      </c>
      <c r="K1026">
        <v>80.8</v>
      </c>
      <c r="L1026">
        <v>62.6</v>
      </c>
      <c r="M1026">
        <v>71.7</v>
      </c>
      <c r="N1026">
        <v>43.9</v>
      </c>
      <c r="O1026">
        <v>39</v>
      </c>
      <c r="S1026">
        <f t="shared" si="153"/>
        <v>1</v>
      </c>
      <c r="T1026">
        <f t="shared" si="154"/>
        <v>0</v>
      </c>
      <c r="U1026">
        <f t="shared" si="155"/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25.3</v>
      </c>
      <c r="AC1026">
        <v>27.5</v>
      </c>
      <c r="AG1026">
        <f t="shared" si="156"/>
        <v>1</v>
      </c>
      <c r="AH1026">
        <f t="shared" si="157"/>
        <v>1</v>
      </c>
      <c r="AI1026">
        <f t="shared" si="158"/>
        <v>0</v>
      </c>
      <c r="AJ1026">
        <v>182.9</v>
      </c>
      <c r="AK1026">
        <v>1007.6</v>
      </c>
      <c r="AL1026">
        <v>67.900000000000006</v>
      </c>
      <c r="AM1026">
        <v>6.4</v>
      </c>
      <c r="AN1026">
        <v>129.5</v>
      </c>
      <c r="AO1026">
        <v>11.2</v>
      </c>
      <c r="AP1026">
        <v>5</v>
      </c>
      <c r="AQ1026">
        <v>0</v>
      </c>
      <c r="AR1026" t="s">
        <v>3520</v>
      </c>
      <c r="AS1026" t="s">
        <v>3521</v>
      </c>
      <c r="AT1026">
        <v>0.52</v>
      </c>
      <c r="AU1026" t="s">
        <v>43</v>
      </c>
      <c r="AV1026" t="s">
        <v>44</v>
      </c>
      <c r="AW1026" t="s">
        <v>45</v>
      </c>
      <c r="AX1026" s="1">
        <v>0.69722222222222219</v>
      </c>
      <c r="AY1026" t="s">
        <v>3522</v>
      </c>
      <c r="AZ1026">
        <v>1215.999999992782</v>
      </c>
      <c r="BA1026">
        <v>1</v>
      </c>
      <c r="BB1026">
        <v>0</v>
      </c>
      <c r="BC1026">
        <v>7</v>
      </c>
      <c r="BD1026">
        <v>0</v>
      </c>
      <c r="BE1026">
        <f t="shared" si="159"/>
        <v>1</v>
      </c>
    </row>
    <row r="1027" spans="1:57" x14ac:dyDescent="0.25">
      <c r="A1027" t="s">
        <v>39</v>
      </c>
      <c r="B1027" t="s">
        <v>3523</v>
      </c>
      <c r="C1027">
        <v>69.8</v>
      </c>
      <c r="D1027">
        <v>50</v>
      </c>
      <c r="G1027">
        <f t="shared" ref="G1027:G1090" si="160">IF(ABS(C1027-INDEX($F$2:$F$13,MONTH(B1027)))&gt;1.8,1,0)</f>
        <v>1</v>
      </c>
      <c r="H1027">
        <f t="shared" ref="H1027:H1090" si="161">IF(C1027&gt;=INDEX($F$2:$F$13,MONTH(B1027))+1.8,1,0)</f>
        <v>1</v>
      </c>
      <c r="I1027">
        <f t="shared" ref="I1027:I1090" si="162">IF(C1027&lt;=INDEX($F$2:$F$13,MONTH(B1027))-1.8,1,0)</f>
        <v>0</v>
      </c>
      <c r="J1027">
        <v>60</v>
      </c>
      <c r="K1027">
        <v>69.8</v>
      </c>
      <c r="L1027">
        <v>50</v>
      </c>
      <c r="M1027">
        <v>60</v>
      </c>
      <c r="N1027">
        <v>46.6</v>
      </c>
      <c r="O1027">
        <v>62.8</v>
      </c>
      <c r="S1027">
        <f t="shared" ref="S1027:S1090" si="163">IF(OR(O1027&lt;INDEX($Q$2:$Q$13,MONTH(B1027)),O1027&gt;INDEX($R$2:$R$13,MONTH(B1027))),1,0)</f>
        <v>1</v>
      </c>
      <c r="T1027">
        <f t="shared" ref="T1027:T1090" si="164">IF(O1027&gt;INDEX($R$2:$R$13,MONTH(B1027)),1,0)</f>
        <v>0</v>
      </c>
      <c r="U1027">
        <f t="shared" ref="U1027:U1090" si="165">IF(O1027&lt;INDEX($Q$2:$Q$13,MONTH(B1027)),1,0)</f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42.5</v>
      </c>
      <c r="AC1027">
        <v>31.1</v>
      </c>
      <c r="AG1027">
        <f t="shared" ref="AG1027:AG1090" si="166">IF(OR(AC1027&lt;INDEX($AE$2:$AE$13,MONTH(B1027)),AC1027&gt;INDEX($AF$2:$AF$13,MONTH(B1027))),1,0)</f>
        <v>1</v>
      </c>
      <c r="AH1027">
        <f t="shared" ref="AH1027:AH1090" si="167">IF(AC1027&gt;INDEX($AF$2:$AF$13,MONTH(B1027)),1,0)</f>
        <v>1</v>
      </c>
      <c r="AI1027">
        <f t="shared" ref="AI1027:AI1090" si="168">IF(AC1027&lt;INDEX($AE$2:$AE$13,MONTH(B1027)),1,0)</f>
        <v>0</v>
      </c>
      <c r="AJ1027">
        <v>252.8</v>
      </c>
      <c r="AK1027">
        <v>1006.2</v>
      </c>
      <c r="AL1027">
        <v>66.3</v>
      </c>
      <c r="AM1027">
        <v>6.6</v>
      </c>
      <c r="AN1027">
        <v>204.4</v>
      </c>
      <c r="AO1027">
        <v>17.5</v>
      </c>
      <c r="AP1027">
        <v>7</v>
      </c>
      <c r="AQ1027">
        <v>0</v>
      </c>
      <c r="AR1027" t="s">
        <v>3524</v>
      </c>
      <c r="AS1027" t="s">
        <v>3525</v>
      </c>
      <c r="AT1027">
        <v>0.46</v>
      </c>
      <c r="AU1027" t="s">
        <v>43</v>
      </c>
      <c r="AV1027" t="s">
        <v>44</v>
      </c>
      <c r="AW1027" t="s">
        <v>419</v>
      </c>
      <c r="AX1027" s="1">
        <v>0.51736111111111116</v>
      </c>
      <c r="AY1027" t="s">
        <v>3526</v>
      </c>
      <c r="AZ1027">
        <v>415.00000000116421</v>
      </c>
      <c r="BA1027">
        <v>1</v>
      </c>
      <c r="BB1027">
        <v>0</v>
      </c>
      <c r="BC1027">
        <v>2</v>
      </c>
      <c r="BD1027">
        <v>0</v>
      </c>
      <c r="BE1027">
        <f t="shared" ref="BE1027:BE1090" si="169">IF((3*AH1027+3*H1027+2*U1027+2*BA1027-(2*(1-T1027)+2*(1-I1027)+2*(1-AI1027)))&gt;=1,1,0)</f>
        <v>1</v>
      </c>
    </row>
    <row r="1028" spans="1:57" x14ac:dyDescent="0.25">
      <c r="A1028" t="s">
        <v>39</v>
      </c>
      <c r="B1028" t="s">
        <v>3523</v>
      </c>
      <c r="C1028">
        <v>69.8</v>
      </c>
      <c r="D1028">
        <v>50</v>
      </c>
      <c r="G1028">
        <f t="shared" si="160"/>
        <v>1</v>
      </c>
      <c r="H1028">
        <f t="shared" si="161"/>
        <v>1</v>
      </c>
      <c r="I1028">
        <f t="shared" si="162"/>
        <v>0</v>
      </c>
      <c r="J1028">
        <v>60</v>
      </c>
      <c r="K1028">
        <v>69.8</v>
      </c>
      <c r="L1028">
        <v>50</v>
      </c>
      <c r="M1028">
        <v>60</v>
      </c>
      <c r="N1028">
        <v>46.6</v>
      </c>
      <c r="O1028">
        <v>62.8</v>
      </c>
      <c r="S1028">
        <f t="shared" si="163"/>
        <v>1</v>
      </c>
      <c r="T1028">
        <f t="shared" si="164"/>
        <v>0</v>
      </c>
      <c r="U1028">
        <f t="shared" si="165"/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42.5</v>
      </c>
      <c r="AC1028">
        <v>31.1</v>
      </c>
      <c r="AG1028">
        <f t="shared" si="166"/>
        <v>1</v>
      </c>
      <c r="AH1028">
        <f t="shared" si="167"/>
        <v>1</v>
      </c>
      <c r="AI1028">
        <f t="shared" si="168"/>
        <v>0</v>
      </c>
      <c r="AJ1028">
        <v>252.8</v>
      </c>
      <c r="AK1028">
        <v>1006.2</v>
      </c>
      <c r="AL1028">
        <v>66.3</v>
      </c>
      <c r="AM1028">
        <v>6.6</v>
      </c>
      <c r="AN1028">
        <v>204.4</v>
      </c>
      <c r="AO1028">
        <v>17.5</v>
      </c>
      <c r="AP1028">
        <v>7</v>
      </c>
      <c r="AQ1028">
        <v>0</v>
      </c>
      <c r="AR1028" t="s">
        <v>3524</v>
      </c>
      <c r="AS1028" t="s">
        <v>3525</v>
      </c>
      <c r="AT1028">
        <v>0.46</v>
      </c>
      <c r="AU1028" t="s">
        <v>43</v>
      </c>
      <c r="AV1028" t="s">
        <v>44</v>
      </c>
      <c r="AW1028" t="s">
        <v>419</v>
      </c>
      <c r="AX1028" s="1">
        <v>0.79861111111111116</v>
      </c>
      <c r="AY1028" t="s">
        <v>3527</v>
      </c>
      <c r="AZ1028">
        <v>1120.0000000046571</v>
      </c>
      <c r="BA1028">
        <v>1</v>
      </c>
      <c r="BB1028">
        <v>0</v>
      </c>
      <c r="BC1028">
        <v>20</v>
      </c>
      <c r="BD1028">
        <v>0</v>
      </c>
      <c r="BE1028">
        <f t="shared" si="169"/>
        <v>1</v>
      </c>
    </row>
    <row r="1029" spans="1:57" x14ac:dyDescent="0.25">
      <c r="A1029" t="s">
        <v>39</v>
      </c>
      <c r="B1029" t="s">
        <v>3528</v>
      </c>
      <c r="C1029">
        <v>64.400000000000006</v>
      </c>
      <c r="D1029">
        <v>57.2</v>
      </c>
      <c r="G1029">
        <f t="shared" si="160"/>
        <v>1</v>
      </c>
      <c r="H1029">
        <f t="shared" si="161"/>
        <v>0</v>
      </c>
      <c r="I1029">
        <f t="shared" si="162"/>
        <v>1</v>
      </c>
      <c r="J1029">
        <v>60.7</v>
      </c>
      <c r="K1029">
        <v>64.400000000000006</v>
      </c>
      <c r="L1029">
        <v>57.2</v>
      </c>
      <c r="M1029">
        <v>60.7</v>
      </c>
      <c r="N1029">
        <v>47.8</v>
      </c>
      <c r="O1029">
        <v>63</v>
      </c>
      <c r="S1029">
        <f t="shared" si="163"/>
        <v>0</v>
      </c>
      <c r="T1029">
        <f t="shared" si="164"/>
        <v>0</v>
      </c>
      <c r="U1029">
        <f t="shared" si="165"/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12.8</v>
      </c>
      <c r="AG1029">
        <f t="shared" si="166"/>
        <v>1</v>
      </c>
      <c r="AH1029">
        <f t="shared" si="167"/>
        <v>0</v>
      </c>
      <c r="AI1029">
        <f t="shared" si="168"/>
        <v>1</v>
      </c>
      <c r="AJ1029">
        <v>347.4</v>
      </c>
      <c r="AK1029">
        <v>1018.7</v>
      </c>
      <c r="AL1029">
        <v>36.200000000000003</v>
      </c>
      <c r="AM1029">
        <v>6.6</v>
      </c>
      <c r="AN1029">
        <v>222</v>
      </c>
      <c r="AO1029">
        <v>19.100000000000001</v>
      </c>
      <c r="AP1029">
        <v>7</v>
      </c>
      <c r="AQ1029">
        <v>0</v>
      </c>
      <c r="AR1029" t="s">
        <v>3529</v>
      </c>
      <c r="AS1029" t="s">
        <v>3530</v>
      </c>
      <c r="AT1029">
        <v>0.83</v>
      </c>
      <c r="AU1029" t="s">
        <v>43</v>
      </c>
      <c r="AV1029" t="s">
        <v>44</v>
      </c>
      <c r="AW1029" t="s">
        <v>45</v>
      </c>
      <c r="AX1029" s="1">
        <v>0.5625</v>
      </c>
      <c r="AY1029" t="s">
        <v>3531</v>
      </c>
      <c r="AZ1029">
        <v>1309.9999999953429</v>
      </c>
      <c r="BA1029">
        <v>1</v>
      </c>
      <c r="BB1029">
        <v>0</v>
      </c>
      <c r="BC1029">
        <v>7</v>
      </c>
      <c r="BD1029">
        <v>0</v>
      </c>
      <c r="BE1029">
        <f t="shared" si="169"/>
        <v>0</v>
      </c>
    </row>
    <row r="1030" spans="1:57" x14ac:dyDescent="0.25">
      <c r="A1030" t="s">
        <v>39</v>
      </c>
      <c r="B1030" t="s">
        <v>3528</v>
      </c>
      <c r="C1030">
        <v>64.400000000000006</v>
      </c>
      <c r="D1030">
        <v>57.2</v>
      </c>
      <c r="G1030">
        <f t="shared" si="160"/>
        <v>1</v>
      </c>
      <c r="H1030">
        <f t="shared" si="161"/>
        <v>0</v>
      </c>
      <c r="I1030">
        <f t="shared" si="162"/>
        <v>1</v>
      </c>
      <c r="J1030">
        <v>60.7</v>
      </c>
      <c r="K1030">
        <v>64.400000000000006</v>
      </c>
      <c r="L1030">
        <v>57.2</v>
      </c>
      <c r="M1030">
        <v>60.7</v>
      </c>
      <c r="N1030">
        <v>47.8</v>
      </c>
      <c r="O1030">
        <v>63</v>
      </c>
      <c r="S1030">
        <f t="shared" si="163"/>
        <v>0</v>
      </c>
      <c r="T1030">
        <f t="shared" si="164"/>
        <v>0</v>
      </c>
      <c r="U1030">
        <f t="shared" si="165"/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12.8</v>
      </c>
      <c r="AG1030">
        <f t="shared" si="166"/>
        <v>1</v>
      </c>
      <c r="AH1030">
        <f t="shared" si="167"/>
        <v>0</v>
      </c>
      <c r="AI1030">
        <f t="shared" si="168"/>
        <v>1</v>
      </c>
      <c r="AJ1030">
        <v>347.4</v>
      </c>
      <c r="AK1030">
        <v>1018.7</v>
      </c>
      <c r="AL1030">
        <v>36.200000000000003</v>
      </c>
      <c r="AM1030">
        <v>6.6</v>
      </c>
      <c r="AN1030">
        <v>222</v>
      </c>
      <c r="AO1030">
        <v>19.100000000000001</v>
      </c>
      <c r="AP1030">
        <v>7</v>
      </c>
      <c r="AQ1030">
        <v>0</v>
      </c>
      <c r="AR1030" t="s">
        <v>3529</v>
      </c>
      <c r="AS1030" t="s">
        <v>3530</v>
      </c>
      <c r="AT1030">
        <v>0.83</v>
      </c>
      <c r="AU1030" t="s">
        <v>43</v>
      </c>
      <c r="AV1030" t="s">
        <v>44</v>
      </c>
      <c r="AW1030" t="s">
        <v>45</v>
      </c>
      <c r="AX1030" s="1">
        <v>0.56944444444444442</v>
      </c>
      <c r="AY1030" t="s">
        <v>3532</v>
      </c>
      <c r="AZ1030">
        <v>108.99999999906871</v>
      </c>
      <c r="BA1030">
        <v>0</v>
      </c>
      <c r="BB1030">
        <v>0</v>
      </c>
      <c r="BC1030">
        <v>0.5</v>
      </c>
      <c r="BD1030">
        <v>0</v>
      </c>
      <c r="BE1030">
        <f t="shared" si="169"/>
        <v>0</v>
      </c>
    </row>
    <row r="1031" spans="1:57" x14ac:dyDescent="0.25">
      <c r="A1031" t="s">
        <v>39</v>
      </c>
      <c r="B1031" t="s">
        <v>3528</v>
      </c>
      <c r="C1031">
        <v>64.400000000000006</v>
      </c>
      <c r="D1031">
        <v>57.2</v>
      </c>
      <c r="G1031">
        <f t="shared" si="160"/>
        <v>1</v>
      </c>
      <c r="H1031">
        <f t="shared" si="161"/>
        <v>0</v>
      </c>
      <c r="I1031">
        <f t="shared" si="162"/>
        <v>1</v>
      </c>
      <c r="J1031">
        <v>60.7</v>
      </c>
      <c r="K1031">
        <v>64.400000000000006</v>
      </c>
      <c r="L1031">
        <v>57.2</v>
      </c>
      <c r="M1031">
        <v>60.7</v>
      </c>
      <c r="N1031">
        <v>47.8</v>
      </c>
      <c r="O1031">
        <v>63</v>
      </c>
      <c r="S1031">
        <f t="shared" si="163"/>
        <v>0</v>
      </c>
      <c r="T1031">
        <f t="shared" si="164"/>
        <v>0</v>
      </c>
      <c r="U1031">
        <f t="shared" si="165"/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12.8</v>
      </c>
      <c r="AG1031">
        <f t="shared" si="166"/>
        <v>1</v>
      </c>
      <c r="AH1031">
        <f t="shared" si="167"/>
        <v>0</v>
      </c>
      <c r="AI1031">
        <f t="shared" si="168"/>
        <v>1</v>
      </c>
      <c r="AJ1031">
        <v>347.4</v>
      </c>
      <c r="AK1031">
        <v>1018.7</v>
      </c>
      <c r="AL1031">
        <v>36.200000000000003</v>
      </c>
      <c r="AM1031">
        <v>6.6</v>
      </c>
      <c r="AN1031">
        <v>222</v>
      </c>
      <c r="AO1031">
        <v>19.100000000000001</v>
      </c>
      <c r="AP1031">
        <v>7</v>
      </c>
      <c r="AQ1031">
        <v>0</v>
      </c>
      <c r="AR1031" t="s">
        <v>3529</v>
      </c>
      <c r="AS1031" t="s">
        <v>3530</v>
      </c>
      <c r="AT1031">
        <v>0.83</v>
      </c>
      <c r="AU1031" t="s">
        <v>43</v>
      </c>
      <c r="AV1031" t="s">
        <v>44</v>
      </c>
      <c r="AW1031" t="s">
        <v>45</v>
      </c>
      <c r="AX1031" s="1">
        <v>0.58333333333333337</v>
      </c>
      <c r="AY1031" t="s">
        <v>3533</v>
      </c>
      <c r="AZ1031">
        <v>129.99999999417921</v>
      </c>
      <c r="BA1031">
        <v>0</v>
      </c>
      <c r="BB1031">
        <v>0</v>
      </c>
      <c r="BC1031">
        <v>2</v>
      </c>
      <c r="BD1031">
        <v>0</v>
      </c>
      <c r="BE1031">
        <f t="shared" si="169"/>
        <v>0</v>
      </c>
    </row>
    <row r="1032" spans="1:57" x14ac:dyDescent="0.25">
      <c r="A1032" t="s">
        <v>39</v>
      </c>
      <c r="B1032" t="s">
        <v>3534</v>
      </c>
      <c r="C1032">
        <v>77</v>
      </c>
      <c r="D1032">
        <v>55.4</v>
      </c>
      <c r="G1032">
        <f t="shared" si="160"/>
        <v>1</v>
      </c>
      <c r="H1032">
        <f t="shared" si="161"/>
        <v>1</v>
      </c>
      <c r="I1032">
        <f t="shared" si="162"/>
        <v>0</v>
      </c>
      <c r="J1032">
        <v>66.5</v>
      </c>
      <c r="K1032">
        <v>77</v>
      </c>
      <c r="L1032">
        <v>55.4</v>
      </c>
      <c r="M1032">
        <v>66.5</v>
      </c>
      <c r="N1032">
        <v>42.7</v>
      </c>
      <c r="O1032">
        <v>43.4</v>
      </c>
      <c r="S1032">
        <f t="shared" si="163"/>
        <v>1</v>
      </c>
      <c r="T1032">
        <f t="shared" si="164"/>
        <v>0</v>
      </c>
      <c r="U1032">
        <f t="shared" si="165"/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18.3</v>
      </c>
      <c r="AG1032">
        <f t="shared" si="166"/>
        <v>0</v>
      </c>
      <c r="AH1032">
        <f t="shared" si="167"/>
        <v>0</v>
      </c>
      <c r="AI1032">
        <f t="shared" si="168"/>
        <v>0</v>
      </c>
      <c r="AJ1032">
        <v>166.4</v>
      </c>
      <c r="AK1032">
        <v>1016.1</v>
      </c>
      <c r="AL1032">
        <v>86.2</v>
      </c>
      <c r="AM1032">
        <v>6.5</v>
      </c>
      <c r="AN1032">
        <v>164.3</v>
      </c>
      <c r="AO1032">
        <v>14.3</v>
      </c>
      <c r="AP1032">
        <v>5</v>
      </c>
      <c r="AQ1032">
        <v>0</v>
      </c>
      <c r="AR1032" t="s">
        <v>3535</v>
      </c>
      <c r="AS1032" t="s">
        <v>3536</v>
      </c>
      <c r="AT1032">
        <v>0.35</v>
      </c>
      <c r="AU1032" t="s">
        <v>43</v>
      </c>
      <c r="AV1032" t="s">
        <v>44</v>
      </c>
      <c r="AW1032" t="s">
        <v>45</v>
      </c>
      <c r="AX1032" s="1">
        <v>0.63194444444444442</v>
      </c>
      <c r="AY1032" t="s">
        <v>3537</v>
      </c>
      <c r="AZ1032">
        <v>319.99999999534339</v>
      </c>
      <c r="BA1032">
        <v>0</v>
      </c>
      <c r="BB1032">
        <v>0</v>
      </c>
      <c r="BC1032">
        <v>2</v>
      </c>
      <c r="BD1032">
        <v>0</v>
      </c>
      <c r="BE1032">
        <f t="shared" si="169"/>
        <v>0</v>
      </c>
    </row>
    <row r="1033" spans="1:57" x14ac:dyDescent="0.25">
      <c r="A1033" t="s">
        <v>39</v>
      </c>
      <c r="B1033" t="s">
        <v>3538</v>
      </c>
      <c r="C1033">
        <v>64.5</v>
      </c>
      <c r="D1033">
        <v>60.8</v>
      </c>
      <c r="G1033">
        <f t="shared" si="160"/>
        <v>1</v>
      </c>
      <c r="H1033">
        <f t="shared" si="161"/>
        <v>0</v>
      </c>
      <c r="I1033">
        <f t="shared" si="162"/>
        <v>1</v>
      </c>
      <c r="J1033">
        <v>62.8</v>
      </c>
      <c r="K1033">
        <v>64.5</v>
      </c>
      <c r="L1033">
        <v>60.8</v>
      </c>
      <c r="M1033">
        <v>62.8</v>
      </c>
      <c r="N1033">
        <v>54.2</v>
      </c>
      <c r="O1033">
        <v>73.7</v>
      </c>
      <c r="S1033">
        <f t="shared" si="163"/>
        <v>1</v>
      </c>
      <c r="T1033">
        <f t="shared" si="164"/>
        <v>1</v>
      </c>
      <c r="U1033">
        <f t="shared" si="165"/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27.5</v>
      </c>
      <c r="AC1033">
        <v>20.8</v>
      </c>
      <c r="AG1033">
        <f t="shared" si="166"/>
        <v>1</v>
      </c>
      <c r="AH1033">
        <f t="shared" si="167"/>
        <v>1</v>
      </c>
      <c r="AI1033">
        <f t="shared" si="168"/>
        <v>0</v>
      </c>
      <c r="AJ1033">
        <v>323.10000000000002</v>
      </c>
      <c r="AK1033">
        <v>1015</v>
      </c>
      <c r="AL1033">
        <v>86.7</v>
      </c>
      <c r="AM1033">
        <v>6.6</v>
      </c>
      <c r="AN1033">
        <v>296.39999999999998</v>
      </c>
      <c r="AO1033">
        <v>25.7</v>
      </c>
      <c r="AP1033">
        <v>9</v>
      </c>
      <c r="AQ1033">
        <v>0</v>
      </c>
      <c r="AR1033" t="s">
        <v>3539</v>
      </c>
      <c r="AS1033" t="s">
        <v>3540</v>
      </c>
      <c r="AT1033">
        <v>0.46</v>
      </c>
      <c r="AU1033" t="s">
        <v>43</v>
      </c>
      <c r="AV1033" t="s">
        <v>44</v>
      </c>
      <c r="AW1033" t="s">
        <v>45</v>
      </c>
      <c r="AX1033" s="1">
        <v>4.1666666666666657E-2</v>
      </c>
      <c r="AY1033" t="s">
        <v>3541</v>
      </c>
      <c r="AZ1033">
        <v>1130.000000005821</v>
      </c>
      <c r="BA1033">
        <v>1</v>
      </c>
      <c r="BB1033">
        <v>0</v>
      </c>
      <c r="BC1033">
        <v>7</v>
      </c>
      <c r="BD1033">
        <v>0</v>
      </c>
      <c r="BE1033">
        <f t="shared" si="169"/>
        <v>1</v>
      </c>
    </row>
    <row r="1034" spans="1:57" x14ac:dyDescent="0.25">
      <c r="A1034" t="s">
        <v>39</v>
      </c>
      <c r="B1034" t="s">
        <v>3542</v>
      </c>
      <c r="C1034">
        <v>64.5</v>
      </c>
      <c r="D1034">
        <v>59</v>
      </c>
      <c r="G1034">
        <f t="shared" si="160"/>
        <v>1</v>
      </c>
      <c r="H1034">
        <f t="shared" si="161"/>
        <v>0</v>
      </c>
      <c r="I1034">
        <f t="shared" si="162"/>
        <v>1</v>
      </c>
      <c r="J1034">
        <v>61.3</v>
      </c>
      <c r="K1034">
        <v>64.5</v>
      </c>
      <c r="L1034">
        <v>59</v>
      </c>
      <c r="M1034">
        <v>61.3</v>
      </c>
      <c r="N1034">
        <v>47.5</v>
      </c>
      <c r="O1034">
        <v>60.7</v>
      </c>
      <c r="S1034">
        <f t="shared" si="163"/>
        <v>1</v>
      </c>
      <c r="T1034">
        <f t="shared" si="164"/>
        <v>0</v>
      </c>
      <c r="U1034">
        <f t="shared" si="165"/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23</v>
      </c>
      <c r="AG1034">
        <f t="shared" si="166"/>
        <v>1</v>
      </c>
      <c r="AH1034">
        <f t="shared" si="167"/>
        <v>1</v>
      </c>
      <c r="AI1034">
        <f t="shared" si="168"/>
        <v>0</v>
      </c>
      <c r="AJ1034">
        <v>312.60000000000002</v>
      </c>
      <c r="AK1034">
        <v>1014.8</v>
      </c>
      <c r="AL1034">
        <v>36.200000000000003</v>
      </c>
      <c r="AM1034">
        <v>6.6</v>
      </c>
      <c r="AN1034">
        <v>331.9</v>
      </c>
      <c r="AO1034">
        <v>28.7</v>
      </c>
      <c r="AP1034">
        <v>10</v>
      </c>
      <c r="AQ1034">
        <v>0</v>
      </c>
      <c r="AR1034" t="s">
        <v>3543</v>
      </c>
      <c r="AS1034" t="s">
        <v>3544</v>
      </c>
      <c r="AT1034">
        <v>0.53</v>
      </c>
      <c r="AU1034" t="s">
        <v>43</v>
      </c>
      <c r="AV1034" t="s">
        <v>44</v>
      </c>
      <c r="AW1034" t="s">
        <v>45</v>
      </c>
      <c r="AX1034" s="1">
        <v>0.60069444444444442</v>
      </c>
      <c r="AY1034" t="s">
        <v>3545</v>
      </c>
      <c r="AZ1034">
        <v>1654.9999999988361</v>
      </c>
      <c r="BA1034">
        <v>1</v>
      </c>
      <c r="BB1034">
        <v>0</v>
      </c>
      <c r="BC1034">
        <v>1</v>
      </c>
      <c r="BD1034">
        <v>0</v>
      </c>
      <c r="BE1034">
        <f t="shared" si="169"/>
        <v>1</v>
      </c>
    </row>
    <row r="1035" spans="1:57" x14ac:dyDescent="0.25">
      <c r="A1035" t="s">
        <v>39</v>
      </c>
      <c r="B1035" t="s">
        <v>3546</v>
      </c>
      <c r="C1035">
        <v>73.5</v>
      </c>
      <c r="D1035">
        <v>66.2</v>
      </c>
      <c r="G1035">
        <f t="shared" si="160"/>
        <v>0</v>
      </c>
      <c r="H1035">
        <f t="shared" si="161"/>
        <v>0</v>
      </c>
      <c r="I1035">
        <f t="shared" si="162"/>
        <v>0</v>
      </c>
      <c r="J1035">
        <v>69.7</v>
      </c>
      <c r="K1035">
        <v>73.5</v>
      </c>
      <c r="L1035">
        <v>66.2</v>
      </c>
      <c r="M1035">
        <v>69.7</v>
      </c>
      <c r="N1035">
        <v>55.6</v>
      </c>
      <c r="O1035">
        <v>61.6</v>
      </c>
      <c r="S1035">
        <f t="shared" si="163"/>
        <v>1</v>
      </c>
      <c r="T1035">
        <f t="shared" si="164"/>
        <v>0</v>
      </c>
      <c r="U1035">
        <f t="shared" si="165"/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27.5</v>
      </c>
      <c r="AG1035">
        <f t="shared" si="166"/>
        <v>1</v>
      </c>
      <c r="AH1035">
        <f t="shared" si="167"/>
        <v>1</v>
      </c>
      <c r="AI1035">
        <f t="shared" si="168"/>
        <v>0</v>
      </c>
      <c r="AJ1035">
        <v>303.3</v>
      </c>
      <c r="AK1035">
        <v>1011.9</v>
      </c>
      <c r="AL1035">
        <v>60.1</v>
      </c>
      <c r="AM1035">
        <v>6.4</v>
      </c>
      <c r="AN1035">
        <v>314.10000000000002</v>
      </c>
      <c r="AO1035">
        <v>27.2</v>
      </c>
      <c r="AP1035">
        <v>10</v>
      </c>
      <c r="AQ1035">
        <v>0</v>
      </c>
      <c r="AR1035" t="s">
        <v>3547</v>
      </c>
      <c r="AS1035" t="s">
        <v>3548</v>
      </c>
      <c r="AT1035">
        <v>0.08</v>
      </c>
      <c r="AU1035" t="s">
        <v>43</v>
      </c>
      <c r="AV1035" t="s">
        <v>44</v>
      </c>
      <c r="AW1035" t="s">
        <v>45</v>
      </c>
      <c r="AX1035" s="1">
        <v>0.86458333333333337</v>
      </c>
      <c r="AY1035" t="s">
        <v>3549</v>
      </c>
      <c r="AZ1035">
        <v>34.999999998835847</v>
      </c>
      <c r="BA1035">
        <v>0</v>
      </c>
      <c r="BB1035">
        <v>0.5</v>
      </c>
      <c r="BC1035">
        <v>0</v>
      </c>
      <c r="BD1035">
        <v>0</v>
      </c>
      <c r="BE1035">
        <f t="shared" si="169"/>
        <v>0</v>
      </c>
    </row>
    <row r="1036" spans="1:57" x14ac:dyDescent="0.25">
      <c r="A1036" t="s">
        <v>39</v>
      </c>
      <c r="B1036" t="s">
        <v>3550</v>
      </c>
      <c r="C1036">
        <v>80.599999999999994</v>
      </c>
      <c r="D1036">
        <v>68</v>
      </c>
      <c r="G1036">
        <f t="shared" si="160"/>
        <v>0</v>
      </c>
      <c r="H1036">
        <f t="shared" si="161"/>
        <v>0</v>
      </c>
      <c r="I1036">
        <f t="shared" si="162"/>
        <v>0</v>
      </c>
      <c r="J1036">
        <v>75.099999999999994</v>
      </c>
      <c r="K1036">
        <v>81.5</v>
      </c>
      <c r="L1036">
        <v>68</v>
      </c>
      <c r="M1036">
        <v>75.099999999999994</v>
      </c>
      <c r="N1036">
        <v>59.8</v>
      </c>
      <c r="O1036">
        <v>59.6</v>
      </c>
      <c r="S1036">
        <f t="shared" si="163"/>
        <v>0</v>
      </c>
      <c r="T1036">
        <f t="shared" si="164"/>
        <v>0</v>
      </c>
      <c r="U1036">
        <f t="shared" si="165"/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30</v>
      </c>
      <c r="AG1036">
        <f t="shared" si="166"/>
        <v>1</v>
      </c>
      <c r="AH1036">
        <f t="shared" si="167"/>
        <v>1</v>
      </c>
      <c r="AI1036">
        <f t="shared" si="168"/>
        <v>0</v>
      </c>
      <c r="AJ1036">
        <v>295.10000000000002</v>
      </c>
      <c r="AK1036">
        <v>1006.3</v>
      </c>
      <c r="AL1036">
        <v>29.7</v>
      </c>
      <c r="AM1036">
        <v>6.6</v>
      </c>
      <c r="AN1036">
        <v>360.1</v>
      </c>
      <c r="AO1036">
        <v>31.2</v>
      </c>
      <c r="AP1036">
        <v>10</v>
      </c>
      <c r="AQ1036">
        <v>0</v>
      </c>
      <c r="AR1036" t="s">
        <v>3551</v>
      </c>
      <c r="AS1036" t="s">
        <v>3552</v>
      </c>
      <c r="AT1036">
        <v>0.39</v>
      </c>
      <c r="AU1036" t="s">
        <v>43</v>
      </c>
      <c r="AV1036" t="s">
        <v>44</v>
      </c>
      <c r="AW1036" t="s">
        <v>45</v>
      </c>
      <c r="AX1036" s="1">
        <v>0.66666666666666663</v>
      </c>
      <c r="AY1036" t="s">
        <v>3553</v>
      </c>
      <c r="AZ1036">
        <v>1695.000000003492</v>
      </c>
      <c r="BA1036">
        <v>1</v>
      </c>
      <c r="BB1036">
        <v>0</v>
      </c>
      <c r="BC1036">
        <v>0.2</v>
      </c>
      <c r="BD1036">
        <v>0</v>
      </c>
      <c r="BE1036">
        <f t="shared" si="169"/>
        <v>0</v>
      </c>
    </row>
    <row r="1037" spans="1:57" x14ac:dyDescent="0.25">
      <c r="A1037" t="s">
        <v>39</v>
      </c>
      <c r="B1037" t="s">
        <v>3474</v>
      </c>
      <c r="C1037">
        <v>86</v>
      </c>
      <c r="D1037">
        <v>69.8</v>
      </c>
      <c r="G1037">
        <f t="shared" si="160"/>
        <v>1</v>
      </c>
      <c r="H1037">
        <f t="shared" si="161"/>
        <v>1</v>
      </c>
      <c r="I1037">
        <f t="shared" si="162"/>
        <v>0</v>
      </c>
      <c r="J1037">
        <v>79.599999999999994</v>
      </c>
      <c r="K1037">
        <v>88.4</v>
      </c>
      <c r="L1037">
        <v>69.8</v>
      </c>
      <c r="M1037">
        <v>80.900000000000006</v>
      </c>
      <c r="N1037">
        <v>64.2</v>
      </c>
      <c r="O1037">
        <v>60</v>
      </c>
      <c r="S1037">
        <f t="shared" si="163"/>
        <v>0</v>
      </c>
      <c r="T1037">
        <f t="shared" si="164"/>
        <v>0</v>
      </c>
      <c r="U1037">
        <f t="shared" si="165"/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18.3</v>
      </c>
      <c r="AG1037">
        <f t="shared" si="166"/>
        <v>0</v>
      </c>
      <c r="AH1037">
        <f t="shared" si="167"/>
        <v>0</v>
      </c>
      <c r="AI1037">
        <f t="shared" si="168"/>
        <v>0</v>
      </c>
      <c r="AJ1037">
        <v>302.10000000000002</v>
      </c>
      <c r="AK1037">
        <v>1010.6</v>
      </c>
      <c r="AL1037">
        <v>0</v>
      </c>
      <c r="AM1037">
        <v>6.2</v>
      </c>
      <c r="AN1037">
        <v>354.7</v>
      </c>
      <c r="AO1037">
        <v>30.6</v>
      </c>
      <c r="AP1037">
        <v>10</v>
      </c>
      <c r="AQ1037">
        <v>0</v>
      </c>
      <c r="AR1037" t="s">
        <v>3475</v>
      </c>
      <c r="AS1037" t="s">
        <v>3476</v>
      </c>
      <c r="AT1037">
        <v>0.86</v>
      </c>
      <c r="AU1037" t="s">
        <v>74</v>
      </c>
      <c r="AV1037" t="s">
        <v>2955</v>
      </c>
      <c r="AW1037" t="s">
        <v>75</v>
      </c>
      <c r="AX1037" s="1">
        <v>0.78055555555555556</v>
      </c>
      <c r="AY1037" t="s">
        <v>3554</v>
      </c>
      <c r="AZ1037">
        <v>2836.0000000032601</v>
      </c>
      <c r="BA1037">
        <v>1</v>
      </c>
      <c r="BB1037">
        <v>0</v>
      </c>
      <c r="BC1037">
        <v>15</v>
      </c>
      <c r="BD1037">
        <v>0</v>
      </c>
      <c r="BE1037">
        <f t="shared" si="169"/>
        <v>0</v>
      </c>
    </row>
    <row r="1038" spans="1:57" x14ac:dyDescent="0.25">
      <c r="A1038" t="s">
        <v>39</v>
      </c>
      <c r="B1038" t="s">
        <v>3482</v>
      </c>
      <c r="C1038">
        <v>84.2</v>
      </c>
      <c r="D1038">
        <v>80.599999999999994</v>
      </c>
      <c r="G1038">
        <f t="shared" si="160"/>
        <v>0</v>
      </c>
      <c r="H1038">
        <f t="shared" si="161"/>
        <v>0</v>
      </c>
      <c r="I1038">
        <f t="shared" si="162"/>
        <v>0</v>
      </c>
      <c r="J1038">
        <v>81.7</v>
      </c>
      <c r="K1038">
        <v>89.6</v>
      </c>
      <c r="L1038">
        <v>82.8</v>
      </c>
      <c r="M1038">
        <v>85.6</v>
      </c>
      <c r="N1038">
        <v>70.099999999999994</v>
      </c>
      <c r="O1038">
        <v>68</v>
      </c>
      <c r="S1038">
        <f t="shared" si="163"/>
        <v>1</v>
      </c>
      <c r="T1038">
        <f t="shared" si="164"/>
        <v>1</v>
      </c>
      <c r="U1038">
        <f t="shared" si="165"/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20.8</v>
      </c>
      <c r="AG1038">
        <f t="shared" si="166"/>
        <v>1</v>
      </c>
      <c r="AH1038">
        <f t="shared" si="167"/>
        <v>1</v>
      </c>
      <c r="AI1038">
        <f t="shared" si="168"/>
        <v>0</v>
      </c>
      <c r="AJ1038">
        <v>306.89999999999998</v>
      </c>
      <c r="AK1038">
        <v>1009.9</v>
      </c>
      <c r="AL1038">
        <v>27.8</v>
      </c>
      <c r="AM1038">
        <v>6.6</v>
      </c>
      <c r="AN1038">
        <v>333.6</v>
      </c>
      <c r="AO1038">
        <v>28.7</v>
      </c>
      <c r="AP1038">
        <v>10</v>
      </c>
      <c r="AQ1038">
        <v>0</v>
      </c>
      <c r="AR1038" t="s">
        <v>3483</v>
      </c>
      <c r="AS1038" t="s">
        <v>3484</v>
      </c>
      <c r="AT1038">
        <v>0.19</v>
      </c>
      <c r="AU1038" t="s">
        <v>43</v>
      </c>
      <c r="AV1038" t="s">
        <v>44</v>
      </c>
      <c r="AW1038" t="s">
        <v>45</v>
      </c>
      <c r="AX1038" s="1">
        <v>0.44722222222222219</v>
      </c>
      <c r="AY1038" t="s">
        <v>3555</v>
      </c>
      <c r="AZ1038">
        <v>515.99999999511056</v>
      </c>
      <c r="BA1038">
        <v>1</v>
      </c>
      <c r="BB1038">
        <v>1</v>
      </c>
      <c r="BC1038">
        <v>0</v>
      </c>
      <c r="BD1038">
        <v>0</v>
      </c>
      <c r="BE1038">
        <f t="shared" si="169"/>
        <v>1</v>
      </c>
    </row>
    <row r="1039" spans="1:57" x14ac:dyDescent="0.25">
      <c r="A1039" t="s">
        <v>39</v>
      </c>
      <c r="B1039" t="s">
        <v>3486</v>
      </c>
      <c r="C1039">
        <v>86</v>
      </c>
      <c r="D1039">
        <v>77</v>
      </c>
      <c r="G1039">
        <f t="shared" si="160"/>
        <v>1</v>
      </c>
      <c r="H1039">
        <f t="shared" si="161"/>
        <v>1</v>
      </c>
      <c r="I1039">
        <f t="shared" si="162"/>
        <v>0</v>
      </c>
      <c r="J1039">
        <v>82</v>
      </c>
      <c r="K1039">
        <v>90.6</v>
      </c>
      <c r="L1039">
        <v>77</v>
      </c>
      <c r="M1039">
        <v>84.8</v>
      </c>
      <c r="N1039">
        <v>68.3</v>
      </c>
      <c r="O1039">
        <v>63.5</v>
      </c>
      <c r="S1039">
        <f t="shared" si="163"/>
        <v>1</v>
      </c>
      <c r="T1039">
        <f t="shared" si="164"/>
        <v>1</v>
      </c>
      <c r="U1039">
        <f t="shared" si="165"/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19.5</v>
      </c>
      <c r="AG1039">
        <f t="shared" si="166"/>
        <v>1</v>
      </c>
      <c r="AH1039">
        <f t="shared" si="167"/>
        <v>1</v>
      </c>
      <c r="AI1039">
        <f t="shared" si="168"/>
        <v>0</v>
      </c>
      <c r="AJ1039">
        <v>301.60000000000002</v>
      </c>
      <c r="AK1039">
        <v>1009.7</v>
      </c>
      <c r="AL1039">
        <v>10.6</v>
      </c>
      <c r="AM1039">
        <v>6.4</v>
      </c>
      <c r="AN1039">
        <v>341.5</v>
      </c>
      <c r="AO1039">
        <v>29.5</v>
      </c>
      <c r="AP1039">
        <v>10</v>
      </c>
      <c r="AQ1039">
        <v>0</v>
      </c>
      <c r="AR1039" t="s">
        <v>3487</v>
      </c>
      <c r="AS1039" t="s">
        <v>3488</v>
      </c>
      <c r="AT1039">
        <v>0.27</v>
      </c>
      <c r="AU1039" t="s">
        <v>74</v>
      </c>
      <c r="AV1039" t="s">
        <v>2955</v>
      </c>
      <c r="AW1039" t="s">
        <v>75</v>
      </c>
      <c r="AX1039" s="1">
        <v>0.71180555555555558</v>
      </c>
      <c r="AY1039" t="s">
        <v>3556</v>
      </c>
      <c r="AZ1039">
        <v>145.00000000116421</v>
      </c>
      <c r="BA1039">
        <v>0</v>
      </c>
      <c r="BB1039">
        <v>0.5</v>
      </c>
      <c r="BC1039">
        <v>0</v>
      </c>
      <c r="BD1039">
        <v>0</v>
      </c>
      <c r="BE1039">
        <f t="shared" si="169"/>
        <v>1</v>
      </c>
    </row>
    <row r="1040" spans="1:57" x14ac:dyDescent="0.25">
      <c r="A1040" t="s">
        <v>39</v>
      </c>
      <c r="B1040" t="s">
        <v>3486</v>
      </c>
      <c r="C1040">
        <v>86</v>
      </c>
      <c r="D1040">
        <v>77</v>
      </c>
      <c r="G1040">
        <f t="shared" si="160"/>
        <v>1</v>
      </c>
      <c r="H1040">
        <f t="shared" si="161"/>
        <v>1</v>
      </c>
      <c r="I1040">
        <f t="shared" si="162"/>
        <v>0</v>
      </c>
      <c r="J1040">
        <v>82</v>
      </c>
      <c r="K1040">
        <v>90.6</v>
      </c>
      <c r="L1040">
        <v>77</v>
      </c>
      <c r="M1040">
        <v>84.8</v>
      </c>
      <c r="N1040">
        <v>68.3</v>
      </c>
      <c r="O1040">
        <v>63.5</v>
      </c>
      <c r="S1040">
        <f t="shared" si="163"/>
        <v>1</v>
      </c>
      <c r="T1040">
        <f t="shared" si="164"/>
        <v>1</v>
      </c>
      <c r="U1040">
        <f t="shared" si="165"/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19.5</v>
      </c>
      <c r="AG1040">
        <f t="shared" si="166"/>
        <v>1</v>
      </c>
      <c r="AH1040">
        <f t="shared" si="167"/>
        <v>1</v>
      </c>
      <c r="AI1040">
        <f t="shared" si="168"/>
        <v>0</v>
      </c>
      <c r="AJ1040">
        <v>301.60000000000002</v>
      </c>
      <c r="AK1040">
        <v>1009.7</v>
      </c>
      <c r="AL1040">
        <v>10.6</v>
      </c>
      <c r="AM1040">
        <v>6.4</v>
      </c>
      <c r="AN1040">
        <v>341.5</v>
      </c>
      <c r="AO1040">
        <v>29.5</v>
      </c>
      <c r="AP1040">
        <v>10</v>
      </c>
      <c r="AQ1040">
        <v>0</v>
      </c>
      <c r="AR1040" t="s">
        <v>3487</v>
      </c>
      <c r="AS1040" t="s">
        <v>3488</v>
      </c>
      <c r="AT1040">
        <v>0.27</v>
      </c>
      <c r="AU1040" t="s">
        <v>74</v>
      </c>
      <c r="AV1040" t="s">
        <v>2955</v>
      </c>
      <c r="AW1040" t="s">
        <v>75</v>
      </c>
      <c r="AX1040" s="1">
        <v>0.69791666666666663</v>
      </c>
      <c r="AY1040" t="s">
        <v>3557</v>
      </c>
      <c r="AZ1040">
        <v>2955.000000003492</v>
      </c>
      <c r="BA1040">
        <v>1</v>
      </c>
      <c r="BB1040">
        <v>0</v>
      </c>
      <c r="BC1040">
        <v>10</v>
      </c>
      <c r="BD1040">
        <v>0</v>
      </c>
      <c r="BE1040">
        <f t="shared" si="169"/>
        <v>1</v>
      </c>
    </row>
    <row r="1041" spans="1:57" x14ac:dyDescent="0.25">
      <c r="A1041" t="s">
        <v>39</v>
      </c>
      <c r="B1041" t="s">
        <v>3558</v>
      </c>
      <c r="C1041">
        <v>86</v>
      </c>
      <c r="D1041">
        <v>73.400000000000006</v>
      </c>
      <c r="G1041">
        <f t="shared" si="160"/>
        <v>1</v>
      </c>
      <c r="H1041">
        <f t="shared" si="161"/>
        <v>1</v>
      </c>
      <c r="I1041">
        <f t="shared" si="162"/>
        <v>0</v>
      </c>
      <c r="J1041">
        <v>80.400000000000006</v>
      </c>
      <c r="K1041">
        <v>90.6</v>
      </c>
      <c r="L1041">
        <v>73.400000000000006</v>
      </c>
      <c r="M1041">
        <v>82.6</v>
      </c>
      <c r="N1041">
        <v>68.7</v>
      </c>
      <c r="O1041">
        <v>68.3</v>
      </c>
      <c r="S1041">
        <f t="shared" si="163"/>
        <v>1</v>
      </c>
      <c r="T1041">
        <f t="shared" si="164"/>
        <v>1</v>
      </c>
      <c r="U1041">
        <f t="shared" si="165"/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21.9</v>
      </c>
      <c r="AG1041">
        <f t="shared" si="166"/>
        <v>1</v>
      </c>
      <c r="AH1041">
        <f t="shared" si="167"/>
        <v>1</v>
      </c>
      <c r="AI1041">
        <f t="shared" si="168"/>
        <v>0</v>
      </c>
      <c r="AJ1041">
        <v>286.2</v>
      </c>
      <c r="AK1041">
        <v>1002.9</v>
      </c>
      <c r="AL1041">
        <v>19.7</v>
      </c>
      <c r="AM1041">
        <v>6.4</v>
      </c>
      <c r="AN1041">
        <v>347.6</v>
      </c>
      <c r="AO1041">
        <v>30</v>
      </c>
      <c r="AP1041">
        <v>10</v>
      </c>
      <c r="AQ1041">
        <v>0</v>
      </c>
      <c r="AR1041" t="s">
        <v>3559</v>
      </c>
      <c r="AS1041" t="s">
        <v>3560</v>
      </c>
      <c r="AT1041">
        <v>0.5</v>
      </c>
      <c r="AU1041" t="s">
        <v>74</v>
      </c>
      <c r="AV1041" t="s">
        <v>2955</v>
      </c>
      <c r="AW1041" t="s">
        <v>75</v>
      </c>
      <c r="AX1041" s="1">
        <v>3.472222222222222E-3</v>
      </c>
      <c r="AY1041" t="s">
        <v>3561</v>
      </c>
      <c r="AZ1041">
        <v>205.0000000081491</v>
      </c>
      <c r="BA1041">
        <v>0</v>
      </c>
      <c r="BB1041">
        <v>0</v>
      </c>
      <c r="BC1041">
        <v>2</v>
      </c>
      <c r="BD1041">
        <v>0</v>
      </c>
      <c r="BE1041">
        <f t="shared" si="169"/>
        <v>1</v>
      </c>
    </row>
    <row r="1042" spans="1:57" x14ac:dyDescent="0.25">
      <c r="A1042" t="s">
        <v>39</v>
      </c>
      <c r="B1042" t="s">
        <v>3562</v>
      </c>
      <c r="C1042">
        <v>84.2</v>
      </c>
      <c r="D1042">
        <v>75.2</v>
      </c>
      <c r="G1042">
        <f t="shared" si="160"/>
        <v>0</v>
      </c>
      <c r="H1042">
        <f t="shared" si="161"/>
        <v>0</v>
      </c>
      <c r="I1042">
        <f t="shared" si="162"/>
        <v>0</v>
      </c>
      <c r="J1042">
        <v>81.3</v>
      </c>
      <c r="K1042">
        <v>94.2</v>
      </c>
      <c r="L1042">
        <v>75.2</v>
      </c>
      <c r="M1042">
        <v>86.9</v>
      </c>
      <c r="N1042">
        <v>75.7</v>
      </c>
      <c r="O1042">
        <v>83.3</v>
      </c>
      <c r="S1042">
        <f t="shared" si="163"/>
        <v>1</v>
      </c>
      <c r="T1042">
        <f t="shared" si="164"/>
        <v>1</v>
      </c>
      <c r="U1042">
        <f t="shared" si="165"/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13.9</v>
      </c>
      <c r="AG1042">
        <f t="shared" si="166"/>
        <v>1</v>
      </c>
      <c r="AH1042">
        <f t="shared" si="167"/>
        <v>0</v>
      </c>
      <c r="AI1042">
        <f t="shared" si="168"/>
        <v>1</v>
      </c>
      <c r="AJ1042">
        <v>327.8</v>
      </c>
      <c r="AK1042">
        <v>1003.6</v>
      </c>
      <c r="AL1042">
        <v>10.5</v>
      </c>
      <c r="AM1042">
        <v>6.4</v>
      </c>
      <c r="AN1042">
        <v>321.3</v>
      </c>
      <c r="AO1042">
        <v>27.8</v>
      </c>
      <c r="AP1042">
        <v>10</v>
      </c>
      <c r="AQ1042">
        <v>0</v>
      </c>
      <c r="AR1042" t="s">
        <v>3563</v>
      </c>
      <c r="AS1042" t="s">
        <v>3564</v>
      </c>
      <c r="AT1042">
        <v>0.84</v>
      </c>
      <c r="AU1042" t="s">
        <v>74</v>
      </c>
      <c r="AV1042" t="s">
        <v>2955</v>
      </c>
      <c r="AW1042" t="s">
        <v>75</v>
      </c>
      <c r="AX1042" s="1">
        <v>0.62152777777777779</v>
      </c>
      <c r="AY1042" t="s">
        <v>3565</v>
      </c>
      <c r="AZ1042">
        <v>2754.9999999906868</v>
      </c>
      <c r="BA1042">
        <v>1</v>
      </c>
      <c r="BB1042">
        <v>50</v>
      </c>
      <c r="BC1042">
        <v>0</v>
      </c>
      <c r="BD1042">
        <v>0</v>
      </c>
      <c r="BE1042">
        <f t="shared" si="169"/>
        <v>0</v>
      </c>
    </row>
    <row r="1043" spans="1:57" x14ac:dyDescent="0.25">
      <c r="A1043" t="s">
        <v>39</v>
      </c>
      <c r="B1043" t="s">
        <v>3566</v>
      </c>
      <c r="C1043">
        <v>87.9</v>
      </c>
      <c r="D1043">
        <v>77</v>
      </c>
      <c r="G1043">
        <f t="shared" si="160"/>
        <v>1</v>
      </c>
      <c r="H1043">
        <f t="shared" si="161"/>
        <v>1</v>
      </c>
      <c r="I1043">
        <f t="shared" si="162"/>
        <v>0</v>
      </c>
      <c r="J1043">
        <v>83.3</v>
      </c>
      <c r="K1043">
        <v>98</v>
      </c>
      <c r="L1043">
        <v>77</v>
      </c>
      <c r="M1043">
        <v>90.3</v>
      </c>
      <c r="N1043">
        <v>74.900000000000006</v>
      </c>
      <c r="O1043">
        <v>76.3</v>
      </c>
      <c r="S1043">
        <f t="shared" si="163"/>
        <v>1</v>
      </c>
      <c r="T1043">
        <f t="shared" si="164"/>
        <v>1</v>
      </c>
      <c r="U1043">
        <f t="shared" si="165"/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18.3</v>
      </c>
      <c r="AG1043">
        <f t="shared" si="166"/>
        <v>0</v>
      </c>
      <c r="AH1043">
        <f t="shared" si="167"/>
        <v>0</v>
      </c>
      <c r="AI1043">
        <f t="shared" si="168"/>
        <v>0</v>
      </c>
      <c r="AJ1043">
        <v>305</v>
      </c>
      <c r="AK1043">
        <v>1008.1</v>
      </c>
      <c r="AL1043">
        <v>33.9</v>
      </c>
      <c r="AM1043">
        <v>6.5</v>
      </c>
      <c r="AN1043">
        <v>322.89999999999998</v>
      </c>
      <c r="AO1043">
        <v>28</v>
      </c>
      <c r="AP1043">
        <v>10</v>
      </c>
      <c r="AQ1043">
        <v>0</v>
      </c>
      <c r="AR1043" t="s">
        <v>3567</v>
      </c>
      <c r="AS1043" t="s">
        <v>3568</v>
      </c>
      <c r="AT1043">
        <v>0</v>
      </c>
      <c r="AU1043" t="s">
        <v>43</v>
      </c>
      <c r="AV1043" t="s">
        <v>44</v>
      </c>
      <c r="AW1043" t="s">
        <v>45</v>
      </c>
      <c r="AX1043" s="1">
        <v>0.1423611111111111</v>
      </c>
      <c r="AY1043" t="s">
        <v>3569</v>
      </c>
      <c r="AZ1043">
        <v>2554.9999999988358</v>
      </c>
      <c r="BA1043">
        <v>1</v>
      </c>
      <c r="BB1043">
        <v>0</v>
      </c>
      <c r="BC1043">
        <v>7</v>
      </c>
      <c r="BD1043">
        <v>0</v>
      </c>
      <c r="BE1043">
        <f t="shared" si="169"/>
        <v>1</v>
      </c>
    </row>
    <row r="1044" spans="1:57" x14ac:dyDescent="0.25">
      <c r="A1044" t="s">
        <v>39</v>
      </c>
      <c r="B1044" t="s">
        <v>3570</v>
      </c>
      <c r="C1044">
        <v>80.599999999999994</v>
      </c>
      <c r="D1044">
        <v>74.400000000000006</v>
      </c>
      <c r="G1044">
        <f t="shared" si="160"/>
        <v>1</v>
      </c>
      <c r="H1044">
        <f t="shared" si="161"/>
        <v>0</v>
      </c>
      <c r="I1044">
        <f t="shared" si="162"/>
        <v>1</v>
      </c>
      <c r="J1044">
        <v>79.099999999999994</v>
      </c>
      <c r="K1044">
        <v>83.9</v>
      </c>
      <c r="L1044">
        <v>74.400000000000006</v>
      </c>
      <c r="M1044">
        <v>80.3</v>
      </c>
      <c r="N1044">
        <v>68.5</v>
      </c>
      <c r="O1044">
        <v>70.3</v>
      </c>
      <c r="S1044">
        <f t="shared" si="163"/>
        <v>1</v>
      </c>
      <c r="T1044">
        <f t="shared" si="164"/>
        <v>1</v>
      </c>
      <c r="U1044">
        <f t="shared" si="165"/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30</v>
      </c>
      <c r="AC1044">
        <v>25.3</v>
      </c>
      <c r="AG1044">
        <f t="shared" si="166"/>
        <v>1</v>
      </c>
      <c r="AH1044">
        <f t="shared" si="167"/>
        <v>1</v>
      </c>
      <c r="AI1044">
        <f t="shared" si="168"/>
        <v>0</v>
      </c>
      <c r="AJ1044">
        <v>308.2</v>
      </c>
      <c r="AK1044">
        <v>1008.7</v>
      </c>
      <c r="AL1044">
        <v>44.6</v>
      </c>
      <c r="AM1044">
        <v>6.6</v>
      </c>
      <c r="AN1044">
        <v>306.60000000000002</v>
      </c>
      <c r="AO1044">
        <v>26.4</v>
      </c>
      <c r="AP1044">
        <v>9</v>
      </c>
      <c r="AQ1044">
        <v>0</v>
      </c>
      <c r="AR1044" t="s">
        <v>3571</v>
      </c>
      <c r="AS1044" t="s">
        <v>3572</v>
      </c>
      <c r="AT1044">
        <v>0.45</v>
      </c>
      <c r="AU1044" t="s">
        <v>43</v>
      </c>
      <c r="AV1044" t="s">
        <v>44</v>
      </c>
      <c r="AW1044" t="s">
        <v>45</v>
      </c>
      <c r="AX1044" s="1">
        <v>0.37847222222222221</v>
      </c>
      <c r="AY1044" t="s">
        <v>3573</v>
      </c>
      <c r="AZ1044">
        <v>45</v>
      </c>
      <c r="BA1044">
        <v>0</v>
      </c>
      <c r="BB1044">
        <v>0</v>
      </c>
      <c r="BC1044">
        <v>0.1</v>
      </c>
      <c r="BD1044">
        <v>0</v>
      </c>
      <c r="BE1044">
        <f t="shared" si="169"/>
        <v>1</v>
      </c>
    </row>
    <row r="1045" spans="1:57" x14ac:dyDescent="0.25">
      <c r="A1045" t="s">
        <v>39</v>
      </c>
      <c r="B1045" t="s">
        <v>3570</v>
      </c>
      <c r="C1045">
        <v>80.599999999999994</v>
      </c>
      <c r="D1045">
        <v>74.400000000000006</v>
      </c>
      <c r="G1045">
        <f t="shared" si="160"/>
        <v>1</v>
      </c>
      <c r="H1045">
        <f t="shared" si="161"/>
        <v>0</v>
      </c>
      <c r="I1045">
        <f t="shared" si="162"/>
        <v>1</v>
      </c>
      <c r="J1045">
        <v>79.099999999999994</v>
      </c>
      <c r="K1045">
        <v>83.9</v>
      </c>
      <c r="L1045">
        <v>74.400000000000006</v>
      </c>
      <c r="M1045">
        <v>80.3</v>
      </c>
      <c r="N1045">
        <v>68.5</v>
      </c>
      <c r="O1045">
        <v>70.3</v>
      </c>
      <c r="S1045">
        <f t="shared" si="163"/>
        <v>1</v>
      </c>
      <c r="T1045">
        <f t="shared" si="164"/>
        <v>1</v>
      </c>
      <c r="U1045">
        <f t="shared" si="165"/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30</v>
      </c>
      <c r="AC1045">
        <v>25.3</v>
      </c>
      <c r="AG1045">
        <f t="shared" si="166"/>
        <v>1</v>
      </c>
      <c r="AH1045">
        <f t="shared" si="167"/>
        <v>1</v>
      </c>
      <c r="AI1045">
        <f t="shared" si="168"/>
        <v>0</v>
      </c>
      <c r="AJ1045">
        <v>308.2</v>
      </c>
      <c r="AK1045">
        <v>1008.7</v>
      </c>
      <c r="AL1045">
        <v>44.6</v>
      </c>
      <c r="AM1045">
        <v>6.6</v>
      </c>
      <c r="AN1045">
        <v>306.60000000000002</v>
      </c>
      <c r="AO1045">
        <v>26.4</v>
      </c>
      <c r="AP1045">
        <v>9</v>
      </c>
      <c r="AQ1045">
        <v>0</v>
      </c>
      <c r="AR1045" t="s">
        <v>3571</v>
      </c>
      <c r="AS1045" t="s">
        <v>3572</v>
      </c>
      <c r="AT1045">
        <v>0.45</v>
      </c>
      <c r="AU1045" t="s">
        <v>43</v>
      </c>
      <c r="AV1045" t="s">
        <v>44</v>
      </c>
      <c r="AW1045" t="s">
        <v>45</v>
      </c>
      <c r="AX1045" s="1">
        <v>2.013888888888889E-2</v>
      </c>
      <c r="AY1045" t="s">
        <v>3574</v>
      </c>
      <c r="AZ1045">
        <v>1950.9999999997669</v>
      </c>
      <c r="BA1045">
        <v>1</v>
      </c>
      <c r="BB1045">
        <v>0</v>
      </c>
      <c r="BC1045">
        <v>12</v>
      </c>
      <c r="BD1045">
        <v>0</v>
      </c>
      <c r="BE1045">
        <f t="shared" si="169"/>
        <v>1</v>
      </c>
    </row>
    <row r="1046" spans="1:57" x14ac:dyDescent="0.25">
      <c r="A1046" t="s">
        <v>39</v>
      </c>
      <c r="B1046" t="s">
        <v>3575</v>
      </c>
      <c r="C1046">
        <v>86</v>
      </c>
      <c r="D1046">
        <v>69.8</v>
      </c>
      <c r="G1046">
        <f t="shared" si="160"/>
        <v>1</v>
      </c>
      <c r="H1046">
        <f t="shared" si="161"/>
        <v>1</v>
      </c>
      <c r="I1046">
        <f t="shared" si="162"/>
        <v>0</v>
      </c>
      <c r="J1046">
        <v>79.7</v>
      </c>
      <c r="K1046">
        <v>89.4</v>
      </c>
      <c r="L1046">
        <v>69.8</v>
      </c>
      <c r="M1046">
        <v>81.599999999999994</v>
      </c>
      <c r="N1046">
        <v>67.2</v>
      </c>
      <c r="O1046">
        <v>66.2</v>
      </c>
      <c r="S1046">
        <f t="shared" si="163"/>
        <v>1</v>
      </c>
      <c r="T1046">
        <f t="shared" si="164"/>
        <v>1</v>
      </c>
      <c r="U1046">
        <f t="shared" si="165"/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18.3</v>
      </c>
      <c r="AG1046">
        <f t="shared" si="166"/>
        <v>0</v>
      </c>
      <c r="AH1046">
        <f t="shared" si="167"/>
        <v>0</v>
      </c>
      <c r="AI1046">
        <f t="shared" si="168"/>
        <v>0</v>
      </c>
      <c r="AJ1046">
        <v>302.89999999999998</v>
      </c>
      <c r="AK1046">
        <v>1009.9</v>
      </c>
      <c r="AL1046">
        <v>19.8</v>
      </c>
      <c r="AM1046">
        <v>6.5</v>
      </c>
      <c r="AN1046">
        <v>315.89999999999998</v>
      </c>
      <c r="AO1046">
        <v>27.4</v>
      </c>
      <c r="AP1046">
        <v>10</v>
      </c>
      <c r="AQ1046">
        <v>0</v>
      </c>
      <c r="AR1046" t="s">
        <v>3576</v>
      </c>
      <c r="AS1046" t="s">
        <v>3577</v>
      </c>
      <c r="AT1046">
        <v>0.52</v>
      </c>
      <c r="AU1046" t="s">
        <v>74</v>
      </c>
      <c r="AV1046" t="s">
        <v>2955</v>
      </c>
      <c r="AW1046" t="s">
        <v>75</v>
      </c>
      <c r="AX1046" s="1">
        <v>0.70833333333333337</v>
      </c>
      <c r="AY1046" t="s">
        <v>3578</v>
      </c>
      <c r="AZ1046">
        <v>2499.9999999976721</v>
      </c>
      <c r="BA1046">
        <v>1</v>
      </c>
      <c r="BB1046">
        <v>0</v>
      </c>
      <c r="BC1046">
        <v>5</v>
      </c>
      <c r="BD1046">
        <v>0</v>
      </c>
      <c r="BE1046">
        <f t="shared" si="169"/>
        <v>1</v>
      </c>
    </row>
    <row r="1047" spans="1:57" x14ac:dyDescent="0.25">
      <c r="A1047" t="s">
        <v>39</v>
      </c>
      <c r="B1047" t="s">
        <v>3579</v>
      </c>
      <c r="C1047">
        <v>87.8</v>
      </c>
      <c r="D1047">
        <v>71.599999999999994</v>
      </c>
      <c r="G1047">
        <f t="shared" si="160"/>
        <v>1</v>
      </c>
      <c r="H1047">
        <f t="shared" si="161"/>
        <v>1</v>
      </c>
      <c r="I1047">
        <f t="shared" si="162"/>
        <v>0</v>
      </c>
      <c r="J1047">
        <v>81</v>
      </c>
      <c r="K1047">
        <v>91.5</v>
      </c>
      <c r="L1047">
        <v>71.599999999999994</v>
      </c>
      <c r="M1047">
        <v>83</v>
      </c>
      <c r="N1047">
        <v>66</v>
      </c>
      <c r="O1047">
        <v>60.8</v>
      </c>
      <c r="S1047">
        <f t="shared" si="163"/>
        <v>0</v>
      </c>
      <c r="T1047">
        <f t="shared" si="164"/>
        <v>0</v>
      </c>
      <c r="U1047">
        <f t="shared" si="165"/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20.8</v>
      </c>
      <c r="AG1047">
        <f t="shared" si="166"/>
        <v>1</v>
      </c>
      <c r="AH1047">
        <f t="shared" si="167"/>
        <v>1</v>
      </c>
      <c r="AI1047">
        <f t="shared" si="168"/>
        <v>0</v>
      </c>
      <c r="AJ1047">
        <v>303.2</v>
      </c>
      <c r="AK1047">
        <v>1009.3</v>
      </c>
      <c r="AL1047">
        <v>0</v>
      </c>
      <c r="AM1047">
        <v>6.2</v>
      </c>
      <c r="AN1047">
        <v>317.60000000000002</v>
      </c>
      <c r="AO1047">
        <v>27.5</v>
      </c>
      <c r="AP1047">
        <v>10</v>
      </c>
      <c r="AQ1047">
        <v>0</v>
      </c>
      <c r="AR1047" t="s">
        <v>3580</v>
      </c>
      <c r="AS1047" t="s">
        <v>3581</v>
      </c>
      <c r="AT1047">
        <v>0.56000000000000005</v>
      </c>
      <c r="AU1047" t="s">
        <v>74</v>
      </c>
      <c r="AV1047" t="s">
        <v>2955</v>
      </c>
      <c r="AW1047" t="s">
        <v>75</v>
      </c>
      <c r="AX1047" s="1">
        <v>0.44791666666666669</v>
      </c>
      <c r="AY1047" t="s">
        <v>3582</v>
      </c>
      <c r="AZ1047">
        <v>4815</v>
      </c>
      <c r="BA1047">
        <v>1</v>
      </c>
      <c r="BB1047">
        <v>0</v>
      </c>
      <c r="BC1047">
        <v>400</v>
      </c>
      <c r="BD1047">
        <v>0</v>
      </c>
      <c r="BE1047">
        <f t="shared" si="169"/>
        <v>1</v>
      </c>
    </row>
    <row r="1048" spans="1:57" x14ac:dyDescent="0.25">
      <c r="A1048" t="s">
        <v>39</v>
      </c>
      <c r="B1048" t="s">
        <v>3583</v>
      </c>
      <c r="C1048">
        <v>66.2</v>
      </c>
      <c r="D1048">
        <v>57.2</v>
      </c>
      <c r="G1048">
        <f t="shared" si="160"/>
        <v>1</v>
      </c>
      <c r="H1048">
        <f t="shared" si="161"/>
        <v>1</v>
      </c>
      <c r="I1048">
        <f t="shared" si="162"/>
        <v>0</v>
      </c>
      <c r="J1048">
        <v>60.1</v>
      </c>
      <c r="K1048">
        <v>66.2</v>
      </c>
      <c r="L1048">
        <v>57.2</v>
      </c>
      <c r="M1048">
        <v>60.1</v>
      </c>
      <c r="N1048">
        <v>50.2</v>
      </c>
      <c r="O1048">
        <v>70.400000000000006</v>
      </c>
      <c r="S1048">
        <f t="shared" si="163"/>
        <v>1</v>
      </c>
      <c r="T1048">
        <f t="shared" si="164"/>
        <v>1</v>
      </c>
      <c r="U1048">
        <f t="shared" si="165"/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27.5</v>
      </c>
      <c r="AG1048">
        <f t="shared" si="166"/>
        <v>1</v>
      </c>
      <c r="AH1048">
        <f t="shared" si="167"/>
        <v>1</v>
      </c>
      <c r="AI1048">
        <f t="shared" si="168"/>
        <v>0</v>
      </c>
      <c r="AJ1048">
        <v>276.5</v>
      </c>
      <c r="AK1048">
        <v>1003.6</v>
      </c>
      <c r="AL1048">
        <v>40.5</v>
      </c>
      <c r="AM1048">
        <v>6.5</v>
      </c>
      <c r="AN1048">
        <v>154.5</v>
      </c>
      <c r="AO1048">
        <v>13.3</v>
      </c>
      <c r="AP1048">
        <v>5</v>
      </c>
      <c r="AQ1048">
        <v>0</v>
      </c>
      <c r="AR1048" t="s">
        <v>3584</v>
      </c>
      <c r="AS1048" t="s">
        <v>3585</v>
      </c>
      <c r="AT1048">
        <v>0.39</v>
      </c>
      <c r="AU1048" t="s">
        <v>43</v>
      </c>
      <c r="AV1048" t="s">
        <v>44</v>
      </c>
      <c r="AW1048" t="s">
        <v>45</v>
      </c>
      <c r="AX1048" s="1">
        <v>0.625</v>
      </c>
      <c r="AY1048" t="s">
        <v>3586</v>
      </c>
      <c r="AZ1048">
        <v>280.00000000116421</v>
      </c>
      <c r="BA1048">
        <v>0</v>
      </c>
      <c r="BB1048">
        <v>0</v>
      </c>
      <c r="BC1048">
        <v>2</v>
      </c>
      <c r="BD1048">
        <v>0</v>
      </c>
      <c r="BE1048">
        <f t="shared" si="169"/>
        <v>1</v>
      </c>
    </row>
    <row r="1049" spans="1:57" x14ac:dyDescent="0.25">
      <c r="A1049" t="s">
        <v>39</v>
      </c>
      <c r="B1049" t="s">
        <v>3587</v>
      </c>
      <c r="C1049">
        <v>84.2</v>
      </c>
      <c r="D1049">
        <v>68</v>
      </c>
      <c r="G1049">
        <f t="shared" si="160"/>
        <v>1</v>
      </c>
      <c r="H1049">
        <f t="shared" si="161"/>
        <v>1</v>
      </c>
      <c r="I1049">
        <f t="shared" si="162"/>
        <v>0</v>
      </c>
      <c r="J1049">
        <v>76.599999999999994</v>
      </c>
      <c r="K1049">
        <v>85.7</v>
      </c>
      <c r="L1049">
        <v>68</v>
      </c>
      <c r="M1049">
        <v>77.599999999999994</v>
      </c>
      <c r="N1049">
        <v>63.4</v>
      </c>
      <c r="O1049">
        <v>64.599999999999994</v>
      </c>
      <c r="S1049">
        <f t="shared" si="163"/>
        <v>1</v>
      </c>
      <c r="T1049">
        <f t="shared" si="164"/>
        <v>1</v>
      </c>
      <c r="U1049">
        <f t="shared" si="165"/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13.9</v>
      </c>
      <c r="AG1049">
        <f t="shared" si="166"/>
        <v>1</v>
      </c>
      <c r="AH1049">
        <f t="shared" si="167"/>
        <v>0</v>
      </c>
      <c r="AI1049">
        <f t="shared" si="168"/>
        <v>1</v>
      </c>
      <c r="AJ1049">
        <v>294.60000000000002</v>
      </c>
      <c r="AK1049">
        <v>1010.3</v>
      </c>
      <c r="AL1049">
        <v>6.3</v>
      </c>
      <c r="AM1049">
        <v>6.3</v>
      </c>
      <c r="AN1049">
        <v>354.6</v>
      </c>
      <c r="AO1049">
        <v>30.3</v>
      </c>
      <c r="AP1049">
        <v>10</v>
      </c>
      <c r="AQ1049">
        <v>0</v>
      </c>
      <c r="AR1049" t="s">
        <v>3588</v>
      </c>
      <c r="AS1049" t="s">
        <v>3589</v>
      </c>
      <c r="AT1049">
        <v>0.03</v>
      </c>
      <c r="AU1049" t="s">
        <v>74</v>
      </c>
      <c r="AV1049" t="s">
        <v>2955</v>
      </c>
      <c r="AW1049" t="s">
        <v>75</v>
      </c>
      <c r="AX1049" s="1">
        <v>0.77083333333333337</v>
      </c>
      <c r="AY1049" t="s">
        <v>3590</v>
      </c>
      <c r="AZ1049">
        <v>29.999999993015081</v>
      </c>
      <c r="BA1049">
        <v>0</v>
      </c>
      <c r="BB1049">
        <v>0</v>
      </c>
      <c r="BC1049">
        <v>0.1</v>
      </c>
      <c r="BD1049">
        <v>0</v>
      </c>
      <c r="BE1049">
        <f t="shared" si="169"/>
        <v>1</v>
      </c>
    </row>
    <row r="1050" spans="1:57" x14ac:dyDescent="0.25">
      <c r="A1050" t="s">
        <v>39</v>
      </c>
      <c r="B1050" t="s">
        <v>3591</v>
      </c>
      <c r="C1050">
        <v>80.599999999999994</v>
      </c>
      <c r="D1050">
        <v>75.2</v>
      </c>
      <c r="G1050">
        <f t="shared" si="160"/>
        <v>1</v>
      </c>
      <c r="H1050">
        <f t="shared" si="161"/>
        <v>0</v>
      </c>
      <c r="I1050">
        <f t="shared" si="162"/>
        <v>1</v>
      </c>
      <c r="J1050">
        <v>77.7</v>
      </c>
      <c r="K1050">
        <v>83.3</v>
      </c>
      <c r="L1050">
        <v>75.2</v>
      </c>
      <c r="M1050">
        <v>78.5</v>
      </c>
      <c r="N1050">
        <v>67.599999999999994</v>
      </c>
      <c r="O1050">
        <v>71.400000000000006</v>
      </c>
      <c r="S1050">
        <f t="shared" si="163"/>
        <v>1</v>
      </c>
      <c r="T1050">
        <f t="shared" si="164"/>
        <v>1</v>
      </c>
      <c r="U1050">
        <f t="shared" si="165"/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17.2</v>
      </c>
      <c r="AG1050">
        <f t="shared" si="166"/>
        <v>0</v>
      </c>
      <c r="AH1050">
        <f t="shared" si="167"/>
        <v>0</v>
      </c>
      <c r="AI1050">
        <f t="shared" si="168"/>
        <v>0</v>
      </c>
      <c r="AJ1050">
        <v>311.3</v>
      </c>
      <c r="AK1050">
        <v>1013.5</v>
      </c>
      <c r="AL1050">
        <v>34.1</v>
      </c>
      <c r="AM1050">
        <v>6.6</v>
      </c>
      <c r="AN1050">
        <v>353.4</v>
      </c>
      <c r="AO1050">
        <v>30.5</v>
      </c>
      <c r="AP1050">
        <v>10</v>
      </c>
      <c r="AQ1050">
        <v>0</v>
      </c>
      <c r="AR1050" t="s">
        <v>3592</v>
      </c>
      <c r="AS1050" t="s">
        <v>3593</v>
      </c>
      <c r="AT1050">
        <v>0</v>
      </c>
      <c r="AU1050" t="s">
        <v>43</v>
      </c>
      <c r="AV1050" t="s">
        <v>80</v>
      </c>
      <c r="AW1050" t="s">
        <v>45</v>
      </c>
      <c r="AX1050" s="1">
        <v>0.56944444444444442</v>
      </c>
      <c r="AY1050" t="s">
        <v>3594</v>
      </c>
      <c r="AZ1050">
        <v>380.00000000232831</v>
      </c>
      <c r="BA1050">
        <v>1</v>
      </c>
      <c r="BB1050">
        <v>0</v>
      </c>
      <c r="BC1050">
        <v>10</v>
      </c>
      <c r="BD1050">
        <v>0</v>
      </c>
      <c r="BE1050">
        <f t="shared" si="169"/>
        <v>0</v>
      </c>
    </row>
    <row r="1051" spans="1:57" x14ac:dyDescent="0.25">
      <c r="A1051" t="s">
        <v>39</v>
      </c>
      <c r="B1051" t="s">
        <v>3595</v>
      </c>
      <c r="C1051">
        <v>86</v>
      </c>
      <c r="D1051">
        <v>80.599999999999994</v>
      </c>
      <c r="G1051">
        <f t="shared" si="160"/>
        <v>1</v>
      </c>
      <c r="H1051">
        <f t="shared" si="161"/>
        <v>1</v>
      </c>
      <c r="I1051">
        <f t="shared" si="162"/>
        <v>0</v>
      </c>
      <c r="J1051">
        <v>84</v>
      </c>
      <c r="K1051">
        <v>95.2</v>
      </c>
      <c r="L1051">
        <v>83.9</v>
      </c>
      <c r="M1051">
        <v>89.4</v>
      </c>
      <c r="N1051">
        <v>70.900000000000006</v>
      </c>
      <c r="O1051">
        <v>65.2</v>
      </c>
      <c r="S1051">
        <f t="shared" si="163"/>
        <v>1</v>
      </c>
      <c r="T1051">
        <f t="shared" si="164"/>
        <v>1</v>
      </c>
      <c r="U1051">
        <f t="shared" si="165"/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24.2</v>
      </c>
      <c r="AG1051">
        <f t="shared" si="166"/>
        <v>1</v>
      </c>
      <c r="AH1051">
        <f t="shared" si="167"/>
        <v>1</v>
      </c>
      <c r="AI1051">
        <f t="shared" si="168"/>
        <v>0</v>
      </c>
      <c r="AJ1051">
        <v>301.7</v>
      </c>
      <c r="AK1051">
        <v>1007.4</v>
      </c>
      <c r="AL1051">
        <v>23.3</v>
      </c>
      <c r="AM1051">
        <v>6.5</v>
      </c>
      <c r="AN1051">
        <v>338.4</v>
      </c>
      <c r="AO1051">
        <v>29.3</v>
      </c>
      <c r="AP1051">
        <v>10</v>
      </c>
      <c r="AQ1051">
        <v>0</v>
      </c>
      <c r="AR1051" t="s">
        <v>3596</v>
      </c>
      <c r="AS1051" t="s">
        <v>3597</v>
      </c>
      <c r="AT1051">
        <v>0.41</v>
      </c>
      <c r="AU1051" t="s">
        <v>43</v>
      </c>
      <c r="AV1051" t="s">
        <v>44</v>
      </c>
      <c r="AW1051" t="s">
        <v>45</v>
      </c>
      <c r="AX1051" s="1">
        <v>0.51388888888888884</v>
      </c>
      <c r="AY1051" t="s">
        <v>3598</v>
      </c>
      <c r="AZ1051">
        <v>1569.999999994179</v>
      </c>
      <c r="BA1051">
        <v>1</v>
      </c>
      <c r="BB1051">
        <v>0</v>
      </c>
      <c r="BC1051">
        <v>3</v>
      </c>
      <c r="BD1051">
        <v>0</v>
      </c>
      <c r="BE1051">
        <f t="shared" si="169"/>
        <v>1</v>
      </c>
    </row>
    <row r="1052" spans="1:57" x14ac:dyDescent="0.25">
      <c r="A1052" t="s">
        <v>39</v>
      </c>
      <c r="B1052" t="s">
        <v>3599</v>
      </c>
      <c r="C1052">
        <v>87.9</v>
      </c>
      <c r="D1052">
        <v>80.599999999999994</v>
      </c>
      <c r="G1052">
        <f t="shared" si="160"/>
        <v>1</v>
      </c>
      <c r="H1052">
        <f t="shared" si="161"/>
        <v>1</v>
      </c>
      <c r="I1052">
        <f t="shared" si="162"/>
        <v>0</v>
      </c>
      <c r="J1052">
        <v>83.4</v>
      </c>
      <c r="K1052">
        <v>99.4</v>
      </c>
      <c r="L1052">
        <v>83.9</v>
      </c>
      <c r="M1052">
        <v>88.6</v>
      </c>
      <c r="N1052">
        <v>71.599999999999994</v>
      </c>
      <c r="O1052">
        <v>68</v>
      </c>
      <c r="S1052">
        <f t="shared" si="163"/>
        <v>1</v>
      </c>
      <c r="T1052">
        <f t="shared" si="164"/>
        <v>1</v>
      </c>
      <c r="U1052">
        <f t="shared" si="165"/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25.3</v>
      </c>
      <c r="AG1052">
        <f t="shared" si="166"/>
        <v>1</v>
      </c>
      <c r="AH1052">
        <f t="shared" si="167"/>
        <v>1</v>
      </c>
      <c r="AI1052">
        <f t="shared" si="168"/>
        <v>0</v>
      </c>
      <c r="AJ1052">
        <v>309.3</v>
      </c>
      <c r="AK1052">
        <v>1012.6</v>
      </c>
      <c r="AL1052">
        <v>18</v>
      </c>
      <c r="AM1052">
        <v>6.5</v>
      </c>
      <c r="AN1052">
        <v>314.5</v>
      </c>
      <c r="AO1052">
        <v>27.3</v>
      </c>
      <c r="AP1052">
        <v>10</v>
      </c>
      <c r="AQ1052">
        <v>0</v>
      </c>
      <c r="AR1052" t="s">
        <v>3600</v>
      </c>
      <c r="AS1052" t="s">
        <v>3601</v>
      </c>
      <c r="AT1052">
        <v>0.39</v>
      </c>
      <c r="AU1052" t="s">
        <v>74</v>
      </c>
      <c r="AV1052" t="s">
        <v>2955</v>
      </c>
      <c r="AW1052" t="s">
        <v>75</v>
      </c>
      <c r="AX1052" s="1">
        <v>0.79513888888888884</v>
      </c>
      <c r="AY1052" t="s">
        <v>3602</v>
      </c>
      <c r="AZ1052">
        <v>904.99999999534339</v>
      </c>
      <c r="BA1052">
        <v>1</v>
      </c>
      <c r="BB1052">
        <v>0</v>
      </c>
      <c r="BC1052">
        <v>6</v>
      </c>
      <c r="BD1052">
        <v>0</v>
      </c>
      <c r="BE1052">
        <f t="shared" si="169"/>
        <v>1</v>
      </c>
    </row>
    <row r="1053" spans="1:57" x14ac:dyDescent="0.25">
      <c r="A1053" t="s">
        <v>39</v>
      </c>
      <c r="B1053" t="s">
        <v>3603</v>
      </c>
      <c r="C1053">
        <v>64.400000000000006</v>
      </c>
      <c r="D1053">
        <v>60.8</v>
      </c>
      <c r="G1053">
        <f t="shared" si="160"/>
        <v>1</v>
      </c>
      <c r="H1053">
        <f t="shared" si="161"/>
        <v>1</v>
      </c>
      <c r="I1053">
        <f t="shared" si="162"/>
        <v>0</v>
      </c>
      <c r="J1053">
        <v>62.9</v>
      </c>
      <c r="K1053">
        <v>64.400000000000006</v>
      </c>
      <c r="L1053">
        <v>60.8</v>
      </c>
      <c r="M1053">
        <v>62.9</v>
      </c>
      <c r="N1053">
        <v>48.4</v>
      </c>
      <c r="O1053">
        <v>59.8</v>
      </c>
      <c r="S1053">
        <f t="shared" si="163"/>
        <v>1</v>
      </c>
      <c r="T1053">
        <f t="shared" si="164"/>
        <v>0</v>
      </c>
      <c r="U1053">
        <f t="shared" si="165"/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26.4</v>
      </c>
      <c r="AG1053">
        <f t="shared" si="166"/>
        <v>1</v>
      </c>
      <c r="AH1053">
        <f t="shared" si="167"/>
        <v>1</v>
      </c>
      <c r="AI1053">
        <f t="shared" si="168"/>
        <v>0</v>
      </c>
      <c r="AJ1053">
        <v>297.8</v>
      </c>
      <c r="AK1053">
        <v>1016</v>
      </c>
      <c r="AL1053">
        <v>47.5</v>
      </c>
      <c r="AM1053">
        <v>6.6</v>
      </c>
      <c r="AN1053">
        <v>133.6</v>
      </c>
      <c r="AO1053">
        <v>11.5</v>
      </c>
      <c r="AP1053">
        <v>5</v>
      </c>
      <c r="AQ1053">
        <v>0</v>
      </c>
      <c r="AR1053" t="s">
        <v>3604</v>
      </c>
      <c r="AS1053" t="s">
        <v>3605</v>
      </c>
      <c r="AT1053">
        <v>0</v>
      </c>
      <c r="AU1053" t="s">
        <v>43</v>
      </c>
      <c r="AV1053" t="s">
        <v>44</v>
      </c>
      <c r="AW1053" t="s">
        <v>45</v>
      </c>
      <c r="AX1053" s="1">
        <v>0.24652777777777779</v>
      </c>
      <c r="AY1053" t="s">
        <v>3606</v>
      </c>
      <c r="AZ1053">
        <v>34.999999998835847</v>
      </c>
      <c r="BA1053">
        <v>0</v>
      </c>
      <c r="BB1053">
        <v>0</v>
      </c>
      <c r="BC1053">
        <v>0.1</v>
      </c>
      <c r="BD1053">
        <v>0</v>
      </c>
      <c r="BE1053">
        <f t="shared" si="169"/>
        <v>1</v>
      </c>
    </row>
    <row r="1054" spans="1:57" x14ac:dyDescent="0.25">
      <c r="A1054" t="s">
        <v>39</v>
      </c>
      <c r="B1054" t="s">
        <v>3607</v>
      </c>
      <c r="C1054">
        <v>69.8</v>
      </c>
      <c r="D1054">
        <v>57.2</v>
      </c>
      <c r="G1054">
        <f t="shared" si="160"/>
        <v>1</v>
      </c>
      <c r="H1054">
        <f t="shared" si="161"/>
        <v>1</v>
      </c>
      <c r="I1054">
        <f t="shared" si="162"/>
        <v>0</v>
      </c>
      <c r="J1054">
        <v>65.599999999999994</v>
      </c>
      <c r="K1054">
        <v>69.8</v>
      </c>
      <c r="L1054">
        <v>57.2</v>
      </c>
      <c r="M1054">
        <v>65.599999999999994</v>
      </c>
      <c r="N1054">
        <v>50.5</v>
      </c>
      <c r="O1054">
        <v>59.6</v>
      </c>
      <c r="S1054">
        <f t="shared" si="163"/>
        <v>1</v>
      </c>
      <c r="T1054">
        <f t="shared" si="164"/>
        <v>0</v>
      </c>
      <c r="U1054">
        <f t="shared" si="165"/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27.5</v>
      </c>
      <c r="AG1054">
        <f t="shared" si="166"/>
        <v>1</v>
      </c>
      <c r="AH1054">
        <f t="shared" si="167"/>
        <v>1</v>
      </c>
      <c r="AI1054">
        <f t="shared" si="168"/>
        <v>0</v>
      </c>
      <c r="AJ1054">
        <v>218.9</v>
      </c>
      <c r="AK1054">
        <v>1010.6</v>
      </c>
      <c r="AL1054">
        <v>16</v>
      </c>
      <c r="AM1054">
        <v>6.2</v>
      </c>
      <c r="AN1054">
        <v>228.9</v>
      </c>
      <c r="AO1054">
        <v>19.899999999999999</v>
      </c>
      <c r="AP1054">
        <v>8</v>
      </c>
      <c r="AQ1054">
        <v>0</v>
      </c>
      <c r="AR1054" t="s">
        <v>3608</v>
      </c>
      <c r="AS1054" t="s">
        <v>3609</v>
      </c>
      <c r="AT1054">
        <v>0.56000000000000005</v>
      </c>
      <c r="AU1054" t="s">
        <v>74</v>
      </c>
      <c r="AV1054" t="s">
        <v>2955</v>
      </c>
      <c r="AW1054" t="s">
        <v>75</v>
      </c>
      <c r="AX1054" s="1">
        <v>0.80902777777777779</v>
      </c>
      <c r="AY1054" t="s">
        <v>3610</v>
      </c>
      <c r="AZ1054">
        <v>994.99999999534339</v>
      </c>
      <c r="BA1054">
        <v>1</v>
      </c>
      <c r="BB1054">
        <v>0</v>
      </c>
      <c r="BC1054">
        <v>13</v>
      </c>
      <c r="BD1054">
        <v>0</v>
      </c>
      <c r="BE1054">
        <f t="shared" si="169"/>
        <v>1</v>
      </c>
    </row>
    <row r="1055" spans="1:57" x14ac:dyDescent="0.25">
      <c r="A1055" t="s">
        <v>39</v>
      </c>
      <c r="B1055" t="s">
        <v>3611</v>
      </c>
      <c r="C1055">
        <v>64.400000000000006</v>
      </c>
      <c r="D1055">
        <v>51.8</v>
      </c>
      <c r="G1055">
        <f t="shared" si="160"/>
        <v>1</v>
      </c>
      <c r="H1055">
        <f t="shared" si="161"/>
        <v>1</v>
      </c>
      <c r="I1055">
        <f t="shared" si="162"/>
        <v>0</v>
      </c>
      <c r="J1055">
        <v>59.1</v>
      </c>
      <c r="K1055">
        <v>64.400000000000006</v>
      </c>
      <c r="L1055">
        <v>51.8</v>
      </c>
      <c r="M1055">
        <v>59.1</v>
      </c>
      <c r="N1055">
        <v>46.2</v>
      </c>
      <c r="O1055">
        <v>62.8</v>
      </c>
      <c r="S1055">
        <f t="shared" si="163"/>
        <v>0</v>
      </c>
      <c r="T1055">
        <f t="shared" si="164"/>
        <v>0</v>
      </c>
      <c r="U1055">
        <f t="shared" si="165"/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20.8</v>
      </c>
      <c r="AG1055">
        <f t="shared" si="166"/>
        <v>1</v>
      </c>
      <c r="AH1055">
        <f t="shared" si="167"/>
        <v>1</v>
      </c>
      <c r="AI1055">
        <f t="shared" si="168"/>
        <v>0</v>
      </c>
      <c r="AJ1055">
        <v>299.5</v>
      </c>
      <c r="AK1055">
        <v>1015.4</v>
      </c>
      <c r="AL1055">
        <v>82.2</v>
      </c>
      <c r="AM1055">
        <v>6.6</v>
      </c>
      <c r="AN1055">
        <v>217.9</v>
      </c>
      <c r="AO1055">
        <v>18.7</v>
      </c>
      <c r="AP1055">
        <v>8</v>
      </c>
      <c r="AQ1055">
        <v>0</v>
      </c>
      <c r="AR1055" t="s">
        <v>3612</v>
      </c>
      <c r="AS1055" t="s">
        <v>3613</v>
      </c>
      <c r="AT1055">
        <v>0.89</v>
      </c>
      <c r="AU1055" t="s">
        <v>43</v>
      </c>
      <c r="AV1055" t="s">
        <v>44</v>
      </c>
      <c r="AW1055" t="s">
        <v>45</v>
      </c>
      <c r="AX1055" s="1">
        <v>0.5</v>
      </c>
      <c r="AY1055" t="s">
        <v>3614</v>
      </c>
      <c r="AZ1055">
        <v>435.00000000349252</v>
      </c>
      <c r="BA1055">
        <v>1</v>
      </c>
      <c r="BB1055">
        <v>0</v>
      </c>
      <c r="BC1055">
        <v>2</v>
      </c>
      <c r="BD1055">
        <v>0</v>
      </c>
      <c r="BE1055">
        <f t="shared" si="169"/>
        <v>1</v>
      </c>
    </row>
    <row r="1056" spans="1:57" x14ac:dyDescent="0.25">
      <c r="A1056" t="s">
        <v>39</v>
      </c>
      <c r="B1056" t="s">
        <v>3615</v>
      </c>
      <c r="C1056">
        <v>64.400000000000006</v>
      </c>
      <c r="D1056">
        <v>53.6</v>
      </c>
      <c r="G1056">
        <f t="shared" si="160"/>
        <v>1</v>
      </c>
      <c r="H1056">
        <f t="shared" si="161"/>
        <v>0</v>
      </c>
      <c r="I1056">
        <f t="shared" si="162"/>
        <v>1</v>
      </c>
      <c r="J1056">
        <v>59.6</v>
      </c>
      <c r="K1056">
        <v>64.400000000000006</v>
      </c>
      <c r="L1056">
        <v>53.6</v>
      </c>
      <c r="M1056">
        <v>59.6</v>
      </c>
      <c r="N1056">
        <v>48.6</v>
      </c>
      <c r="O1056">
        <v>67.400000000000006</v>
      </c>
      <c r="S1056">
        <f t="shared" si="163"/>
        <v>1</v>
      </c>
      <c r="T1056">
        <f t="shared" si="164"/>
        <v>1</v>
      </c>
      <c r="U1056">
        <f t="shared" si="165"/>
        <v>0</v>
      </c>
      <c r="V1056">
        <v>0.02</v>
      </c>
      <c r="W1056">
        <v>100</v>
      </c>
      <c r="X1056">
        <v>4.17</v>
      </c>
      <c r="Y1056" t="s">
        <v>103</v>
      </c>
      <c r="Z1056">
        <v>0</v>
      </c>
      <c r="AA1056">
        <v>0</v>
      </c>
      <c r="AB1056">
        <v>0</v>
      </c>
      <c r="AC1056">
        <v>23</v>
      </c>
      <c r="AG1056">
        <f t="shared" si="166"/>
        <v>1</v>
      </c>
      <c r="AH1056">
        <f t="shared" si="167"/>
        <v>1</v>
      </c>
      <c r="AI1056">
        <f t="shared" si="168"/>
        <v>0</v>
      </c>
      <c r="AJ1056">
        <v>317.89999999999998</v>
      </c>
      <c r="AK1056">
        <v>1008.4</v>
      </c>
      <c r="AL1056">
        <v>65.599999999999994</v>
      </c>
      <c r="AM1056">
        <v>6.6</v>
      </c>
      <c r="AN1056">
        <v>284.3</v>
      </c>
      <c r="AO1056">
        <v>24.5</v>
      </c>
      <c r="AP1056">
        <v>9</v>
      </c>
      <c r="AQ1056">
        <v>0</v>
      </c>
      <c r="AR1056" t="s">
        <v>3616</v>
      </c>
      <c r="AS1056" t="s">
        <v>3617</v>
      </c>
      <c r="AT1056">
        <v>0.9</v>
      </c>
      <c r="AU1056" t="s">
        <v>106</v>
      </c>
      <c r="AV1056" t="s">
        <v>296</v>
      </c>
      <c r="AW1056" t="s">
        <v>103</v>
      </c>
      <c r="AX1056" s="1">
        <v>0.55555555555555558</v>
      </c>
      <c r="AY1056" t="s">
        <v>3618</v>
      </c>
      <c r="AZ1056">
        <v>155.00000000232831</v>
      </c>
      <c r="BA1056">
        <v>0</v>
      </c>
      <c r="BB1056">
        <v>0</v>
      </c>
      <c r="BC1056">
        <v>0.1</v>
      </c>
      <c r="BD1056">
        <v>0</v>
      </c>
      <c r="BE1056">
        <f t="shared" si="169"/>
        <v>1</v>
      </c>
    </row>
    <row r="1057" spans="1:57" x14ac:dyDescent="0.25">
      <c r="A1057" t="s">
        <v>39</v>
      </c>
      <c r="B1057" t="s">
        <v>3478</v>
      </c>
      <c r="C1057">
        <v>86</v>
      </c>
      <c r="D1057">
        <v>80.599999999999994</v>
      </c>
      <c r="G1057">
        <f t="shared" si="160"/>
        <v>1</v>
      </c>
      <c r="H1057">
        <f t="shared" si="161"/>
        <v>1</v>
      </c>
      <c r="I1057">
        <f t="shared" si="162"/>
        <v>0</v>
      </c>
      <c r="J1057">
        <v>82.6</v>
      </c>
      <c r="K1057">
        <v>92</v>
      </c>
      <c r="L1057">
        <v>83.3</v>
      </c>
      <c r="M1057">
        <v>87</v>
      </c>
      <c r="N1057">
        <v>70.7</v>
      </c>
      <c r="O1057">
        <v>67.400000000000006</v>
      </c>
      <c r="S1057">
        <f t="shared" si="163"/>
        <v>1</v>
      </c>
      <c r="T1057">
        <f t="shared" si="164"/>
        <v>1</v>
      </c>
      <c r="U1057">
        <f t="shared" si="165"/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21.9</v>
      </c>
      <c r="AG1057">
        <f t="shared" si="166"/>
        <v>1</v>
      </c>
      <c r="AH1057">
        <f t="shared" si="167"/>
        <v>1</v>
      </c>
      <c r="AI1057">
        <f t="shared" si="168"/>
        <v>0</v>
      </c>
      <c r="AJ1057">
        <v>305.10000000000002</v>
      </c>
      <c r="AK1057">
        <v>1008.8</v>
      </c>
      <c r="AL1057">
        <v>20.9</v>
      </c>
      <c r="AM1057">
        <v>6.5</v>
      </c>
      <c r="AN1057">
        <v>345.1</v>
      </c>
      <c r="AO1057">
        <v>29.8</v>
      </c>
      <c r="AP1057">
        <v>10</v>
      </c>
      <c r="AQ1057">
        <v>0</v>
      </c>
      <c r="AR1057" t="s">
        <v>3479</v>
      </c>
      <c r="AS1057" t="s">
        <v>3480</v>
      </c>
      <c r="AT1057">
        <v>0.16</v>
      </c>
      <c r="AU1057" t="s">
        <v>43</v>
      </c>
      <c r="AV1057" t="s">
        <v>44</v>
      </c>
      <c r="AW1057" t="s">
        <v>45</v>
      </c>
      <c r="AX1057" s="1">
        <v>0.55208333333333337</v>
      </c>
      <c r="AY1057" t="s">
        <v>3619</v>
      </c>
      <c r="AZ1057">
        <v>1919.9999999930151</v>
      </c>
      <c r="BA1057">
        <v>1</v>
      </c>
      <c r="BB1057">
        <v>0</v>
      </c>
      <c r="BC1057">
        <v>80</v>
      </c>
      <c r="BD1057">
        <v>0</v>
      </c>
      <c r="BE1057">
        <f t="shared" si="169"/>
        <v>1</v>
      </c>
    </row>
    <row r="1058" spans="1:57" x14ac:dyDescent="0.25">
      <c r="A1058" t="s">
        <v>39</v>
      </c>
      <c r="B1058" t="s">
        <v>3620</v>
      </c>
      <c r="C1058">
        <v>75.2</v>
      </c>
      <c r="D1058">
        <v>64.400000000000006</v>
      </c>
      <c r="G1058">
        <f t="shared" si="160"/>
        <v>0</v>
      </c>
      <c r="H1058">
        <f t="shared" si="161"/>
        <v>0</v>
      </c>
      <c r="I1058">
        <f t="shared" si="162"/>
        <v>0</v>
      </c>
      <c r="J1058">
        <v>68.8</v>
      </c>
      <c r="K1058">
        <v>75.2</v>
      </c>
      <c r="L1058">
        <v>64.400000000000006</v>
      </c>
      <c r="M1058">
        <v>68.8</v>
      </c>
      <c r="N1058">
        <v>64.099999999999994</v>
      </c>
      <c r="O1058">
        <v>85.4</v>
      </c>
      <c r="S1058">
        <f t="shared" si="163"/>
        <v>1</v>
      </c>
      <c r="T1058">
        <f t="shared" si="164"/>
        <v>1</v>
      </c>
      <c r="U1058">
        <f t="shared" si="165"/>
        <v>0</v>
      </c>
      <c r="V1058">
        <v>0.51100000000000001</v>
      </c>
      <c r="W1058">
        <v>100</v>
      </c>
      <c r="X1058">
        <v>8.33</v>
      </c>
      <c r="Y1058" t="s">
        <v>103</v>
      </c>
      <c r="Z1058">
        <v>0</v>
      </c>
      <c r="AA1058">
        <v>0</v>
      </c>
      <c r="AB1058">
        <v>0</v>
      </c>
      <c r="AC1058">
        <v>15</v>
      </c>
      <c r="AG1058">
        <f t="shared" si="166"/>
        <v>1</v>
      </c>
      <c r="AH1058">
        <f t="shared" si="167"/>
        <v>0</v>
      </c>
      <c r="AI1058">
        <f t="shared" si="168"/>
        <v>1</v>
      </c>
      <c r="AJ1058">
        <v>57.7</v>
      </c>
      <c r="AK1058">
        <v>1013.4</v>
      </c>
      <c r="AL1058">
        <v>74</v>
      </c>
      <c r="AM1058">
        <v>6.5</v>
      </c>
      <c r="AN1058">
        <v>116.1</v>
      </c>
      <c r="AO1058">
        <v>10</v>
      </c>
      <c r="AP1058">
        <v>5</v>
      </c>
      <c r="AQ1058">
        <v>0</v>
      </c>
      <c r="AR1058" t="s">
        <v>3621</v>
      </c>
      <c r="AS1058" t="s">
        <v>3622</v>
      </c>
      <c r="AT1058">
        <v>0</v>
      </c>
      <c r="AU1058" t="s">
        <v>106</v>
      </c>
      <c r="AV1058" t="s">
        <v>257</v>
      </c>
      <c r="AW1058" t="s">
        <v>103</v>
      </c>
      <c r="AX1058" s="1">
        <v>0.39583333333333331</v>
      </c>
      <c r="AY1058" t="s">
        <v>3623</v>
      </c>
      <c r="AZ1058">
        <v>74.999999993015081</v>
      </c>
      <c r="BA1058">
        <v>0</v>
      </c>
      <c r="BB1058">
        <v>0</v>
      </c>
      <c r="BC1058">
        <v>0.2</v>
      </c>
      <c r="BD1058">
        <v>0</v>
      </c>
      <c r="BE1058">
        <f t="shared" si="169"/>
        <v>0</v>
      </c>
    </row>
    <row r="1059" spans="1:57" x14ac:dyDescent="0.25">
      <c r="A1059" t="s">
        <v>39</v>
      </c>
      <c r="B1059" t="s">
        <v>3624</v>
      </c>
      <c r="C1059">
        <v>75.2</v>
      </c>
      <c r="D1059">
        <v>64.7</v>
      </c>
      <c r="G1059">
        <f t="shared" si="160"/>
        <v>1</v>
      </c>
      <c r="H1059">
        <f t="shared" si="161"/>
        <v>1</v>
      </c>
      <c r="I1059">
        <f t="shared" si="162"/>
        <v>0</v>
      </c>
      <c r="J1059">
        <v>70.3</v>
      </c>
      <c r="K1059">
        <v>75.2</v>
      </c>
      <c r="L1059">
        <v>64.7</v>
      </c>
      <c r="M1059">
        <v>70.3</v>
      </c>
      <c r="N1059">
        <v>57.1</v>
      </c>
      <c r="O1059">
        <v>64</v>
      </c>
      <c r="S1059">
        <f t="shared" si="163"/>
        <v>1</v>
      </c>
      <c r="T1059">
        <f t="shared" si="164"/>
        <v>0</v>
      </c>
      <c r="U1059">
        <f t="shared" si="165"/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40.299999999999997</v>
      </c>
      <c r="AC1059">
        <v>28.9</v>
      </c>
      <c r="AG1059">
        <f t="shared" si="166"/>
        <v>1</v>
      </c>
      <c r="AH1059">
        <f t="shared" si="167"/>
        <v>1</v>
      </c>
      <c r="AI1059">
        <f t="shared" si="168"/>
        <v>0</v>
      </c>
      <c r="AJ1059">
        <v>176.5</v>
      </c>
      <c r="AK1059">
        <v>1010</v>
      </c>
      <c r="AL1059">
        <v>54.9</v>
      </c>
      <c r="AM1059">
        <v>6.5</v>
      </c>
      <c r="AN1059">
        <v>145.4</v>
      </c>
      <c r="AO1059">
        <v>12.6</v>
      </c>
      <c r="AP1059">
        <v>6</v>
      </c>
      <c r="AQ1059">
        <v>0</v>
      </c>
      <c r="AR1059" t="s">
        <v>3625</v>
      </c>
      <c r="AS1059" t="s">
        <v>3626</v>
      </c>
      <c r="AT1059">
        <v>0.1</v>
      </c>
      <c r="AU1059" t="s">
        <v>43</v>
      </c>
      <c r="AV1059" t="s">
        <v>44</v>
      </c>
      <c r="AW1059" t="s">
        <v>45</v>
      </c>
      <c r="AX1059" s="1">
        <v>8.6805555555555552E-2</v>
      </c>
      <c r="AY1059" t="s">
        <v>3627</v>
      </c>
      <c r="AZ1059">
        <v>445.00000000465661</v>
      </c>
      <c r="BA1059">
        <v>1</v>
      </c>
      <c r="BB1059">
        <v>0</v>
      </c>
      <c r="BC1059">
        <v>0.2</v>
      </c>
      <c r="BD1059">
        <v>0</v>
      </c>
      <c r="BE1059">
        <f t="shared" si="169"/>
        <v>1</v>
      </c>
    </row>
    <row r="1060" spans="1:57" x14ac:dyDescent="0.25">
      <c r="A1060" t="s">
        <v>39</v>
      </c>
      <c r="B1060" t="s">
        <v>3628</v>
      </c>
      <c r="C1060">
        <v>66.2</v>
      </c>
      <c r="D1060">
        <v>51.8</v>
      </c>
      <c r="G1060">
        <f t="shared" si="160"/>
        <v>1</v>
      </c>
      <c r="H1060">
        <f t="shared" si="161"/>
        <v>1</v>
      </c>
      <c r="I1060">
        <f t="shared" si="162"/>
        <v>0</v>
      </c>
      <c r="J1060">
        <v>59.9</v>
      </c>
      <c r="K1060">
        <v>66.2</v>
      </c>
      <c r="L1060">
        <v>51.8</v>
      </c>
      <c r="M1060">
        <v>59.9</v>
      </c>
      <c r="N1060">
        <v>46.9</v>
      </c>
      <c r="O1060">
        <v>62.7</v>
      </c>
      <c r="S1060">
        <f t="shared" si="163"/>
        <v>1</v>
      </c>
      <c r="T1060">
        <f t="shared" si="164"/>
        <v>0</v>
      </c>
      <c r="U1060">
        <f t="shared" si="165"/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20.8</v>
      </c>
      <c r="AG1060">
        <f t="shared" si="166"/>
        <v>1</v>
      </c>
      <c r="AH1060">
        <f t="shared" si="167"/>
        <v>1</v>
      </c>
      <c r="AI1060">
        <f t="shared" si="168"/>
        <v>0</v>
      </c>
      <c r="AJ1060">
        <v>268</v>
      </c>
      <c r="AK1060">
        <v>1011.9</v>
      </c>
      <c r="AL1060">
        <v>38.700000000000003</v>
      </c>
      <c r="AM1060">
        <v>6.6</v>
      </c>
      <c r="AN1060">
        <v>137.69999999999999</v>
      </c>
      <c r="AO1060">
        <v>11.7</v>
      </c>
      <c r="AP1060">
        <v>6</v>
      </c>
      <c r="AQ1060">
        <v>0</v>
      </c>
      <c r="AR1060" t="s">
        <v>3629</v>
      </c>
      <c r="AS1060" t="s">
        <v>3630</v>
      </c>
      <c r="AT1060">
        <v>0.59</v>
      </c>
      <c r="AU1060" t="s">
        <v>43</v>
      </c>
      <c r="AV1060" t="s">
        <v>44</v>
      </c>
      <c r="AW1060" t="s">
        <v>45</v>
      </c>
      <c r="AX1060" s="1">
        <v>0.75</v>
      </c>
      <c r="AY1060" t="s">
        <v>3631</v>
      </c>
      <c r="AZ1060">
        <v>59.99999999650754</v>
      </c>
      <c r="BA1060">
        <v>0</v>
      </c>
      <c r="BB1060">
        <v>0</v>
      </c>
      <c r="BC1060">
        <v>1</v>
      </c>
      <c r="BD1060">
        <v>0</v>
      </c>
      <c r="BE1060">
        <f t="shared" si="169"/>
        <v>1</v>
      </c>
    </row>
    <row r="1061" spans="1:57" x14ac:dyDescent="0.25">
      <c r="A1061" t="s">
        <v>39</v>
      </c>
      <c r="B1061" t="s">
        <v>3632</v>
      </c>
      <c r="C1061">
        <v>60.8</v>
      </c>
      <c r="D1061">
        <v>51.8</v>
      </c>
      <c r="G1061">
        <f t="shared" si="160"/>
        <v>1</v>
      </c>
      <c r="H1061">
        <f t="shared" si="161"/>
        <v>1</v>
      </c>
      <c r="I1061">
        <f t="shared" si="162"/>
        <v>0</v>
      </c>
      <c r="J1061">
        <v>56.2</v>
      </c>
      <c r="K1061">
        <v>60.8</v>
      </c>
      <c r="L1061">
        <v>51.8</v>
      </c>
      <c r="M1061">
        <v>56.2</v>
      </c>
      <c r="N1061">
        <v>45.7</v>
      </c>
      <c r="O1061">
        <v>68.400000000000006</v>
      </c>
      <c r="S1061">
        <f t="shared" si="163"/>
        <v>0</v>
      </c>
      <c r="T1061">
        <f t="shared" si="164"/>
        <v>0</v>
      </c>
      <c r="U1061">
        <f t="shared" si="165"/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11.4</v>
      </c>
      <c r="AG1061">
        <f t="shared" si="166"/>
        <v>1</v>
      </c>
      <c r="AH1061">
        <f t="shared" si="167"/>
        <v>0</v>
      </c>
      <c r="AI1061">
        <f t="shared" si="168"/>
        <v>1</v>
      </c>
      <c r="AJ1061">
        <v>269.8</v>
      </c>
      <c r="AK1061">
        <v>1016.4</v>
      </c>
      <c r="AL1061">
        <v>69.599999999999994</v>
      </c>
      <c r="AM1061">
        <v>6.6</v>
      </c>
      <c r="AN1061">
        <v>121.7</v>
      </c>
      <c r="AO1061">
        <v>10.5</v>
      </c>
      <c r="AP1061">
        <v>4</v>
      </c>
      <c r="AQ1061">
        <v>0</v>
      </c>
      <c r="AR1061" t="s">
        <v>3633</v>
      </c>
      <c r="AS1061" t="s">
        <v>3634</v>
      </c>
      <c r="AT1061">
        <v>0.25</v>
      </c>
      <c r="AU1061" t="s">
        <v>43</v>
      </c>
      <c r="AV1061" t="s">
        <v>44</v>
      </c>
      <c r="AW1061" t="s">
        <v>45</v>
      </c>
      <c r="AX1061" s="1">
        <v>0.78125</v>
      </c>
      <c r="AY1061" t="s">
        <v>3635</v>
      </c>
      <c r="AZ1061">
        <v>59.99999999650754</v>
      </c>
      <c r="BA1061">
        <v>0</v>
      </c>
      <c r="BB1061">
        <v>0</v>
      </c>
      <c r="BC1061">
        <v>1</v>
      </c>
      <c r="BD1061">
        <v>0</v>
      </c>
      <c r="BE1061">
        <f t="shared" si="169"/>
        <v>0</v>
      </c>
    </row>
    <row r="1062" spans="1:57" x14ac:dyDescent="0.25">
      <c r="A1062" t="s">
        <v>39</v>
      </c>
      <c r="B1062" t="s">
        <v>3454</v>
      </c>
      <c r="C1062">
        <v>68</v>
      </c>
      <c r="D1062">
        <v>51.8</v>
      </c>
      <c r="G1062">
        <f t="shared" si="160"/>
        <v>1</v>
      </c>
      <c r="H1062">
        <f t="shared" si="161"/>
        <v>1</v>
      </c>
      <c r="I1062">
        <f t="shared" si="162"/>
        <v>0</v>
      </c>
      <c r="J1062">
        <v>58.9</v>
      </c>
      <c r="K1062">
        <v>68</v>
      </c>
      <c r="L1062">
        <v>51.8</v>
      </c>
      <c r="M1062">
        <v>58.9</v>
      </c>
      <c r="N1062">
        <v>49.8</v>
      </c>
      <c r="O1062">
        <v>72.8</v>
      </c>
      <c r="S1062">
        <f t="shared" si="163"/>
        <v>1</v>
      </c>
      <c r="T1062">
        <f t="shared" si="164"/>
        <v>1</v>
      </c>
      <c r="U1062">
        <f t="shared" si="165"/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18.3</v>
      </c>
      <c r="AG1062">
        <f t="shared" si="166"/>
        <v>0</v>
      </c>
      <c r="AH1062">
        <f t="shared" si="167"/>
        <v>0</v>
      </c>
      <c r="AI1062">
        <f t="shared" si="168"/>
        <v>0</v>
      </c>
      <c r="AJ1062">
        <v>224.6</v>
      </c>
      <c r="AK1062">
        <v>1012.2</v>
      </c>
      <c r="AL1062">
        <v>53.8</v>
      </c>
      <c r="AM1062">
        <v>6.5</v>
      </c>
      <c r="AN1062">
        <v>196.3</v>
      </c>
      <c r="AO1062">
        <v>16.899999999999999</v>
      </c>
      <c r="AP1062">
        <v>8</v>
      </c>
      <c r="AQ1062">
        <v>0</v>
      </c>
      <c r="AR1062" t="s">
        <v>3455</v>
      </c>
      <c r="AS1062" t="s">
        <v>3456</v>
      </c>
      <c r="AT1062">
        <v>0.69</v>
      </c>
      <c r="AU1062" t="s">
        <v>43</v>
      </c>
      <c r="AV1062" t="s">
        <v>44</v>
      </c>
      <c r="AW1062" t="s">
        <v>45</v>
      </c>
      <c r="AX1062" s="1">
        <v>0.73611111111111116</v>
      </c>
      <c r="AY1062" t="s">
        <v>3636</v>
      </c>
      <c r="AZ1062">
        <v>870.00000000698492</v>
      </c>
      <c r="BA1062">
        <v>1</v>
      </c>
      <c r="BB1062">
        <v>0</v>
      </c>
      <c r="BC1062">
        <v>15</v>
      </c>
      <c r="BD1062">
        <v>0</v>
      </c>
      <c r="BE1062">
        <f t="shared" si="169"/>
        <v>1</v>
      </c>
    </row>
    <row r="1063" spans="1:57" x14ac:dyDescent="0.25">
      <c r="A1063" t="s">
        <v>39</v>
      </c>
      <c r="B1063" t="s">
        <v>3637</v>
      </c>
      <c r="C1063">
        <v>68</v>
      </c>
      <c r="D1063">
        <v>48.2</v>
      </c>
      <c r="G1063">
        <f t="shared" si="160"/>
        <v>1</v>
      </c>
      <c r="H1063">
        <f t="shared" si="161"/>
        <v>1</v>
      </c>
      <c r="I1063">
        <f t="shared" si="162"/>
        <v>0</v>
      </c>
      <c r="J1063">
        <v>58.1</v>
      </c>
      <c r="K1063">
        <v>68</v>
      </c>
      <c r="L1063">
        <v>44.1</v>
      </c>
      <c r="M1063">
        <v>57.9</v>
      </c>
      <c r="N1063">
        <v>48.7</v>
      </c>
      <c r="O1063">
        <v>71.900000000000006</v>
      </c>
      <c r="S1063">
        <f t="shared" si="163"/>
        <v>1</v>
      </c>
      <c r="T1063">
        <f t="shared" si="164"/>
        <v>1</v>
      </c>
      <c r="U1063">
        <f t="shared" si="165"/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12.8</v>
      </c>
      <c r="AG1063">
        <f t="shared" si="166"/>
        <v>1</v>
      </c>
      <c r="AH1063">
        <f t="shared" si="167"/>
        <v>0</v>
      </c>
      <c r="AI1063">
        <f t="shared" si="168"/>
        <v>1</v>
      </c>
      <c r="AJ1063">
        <v>140.80000000000001</v>
      </c>
      <c r="AK1063">
        <v>1018.8</v>
      </c>
      <c r="AL1063">
        <v>16.399999999999999</v>
      </c>
      <c r="AM1063">
        <v>6.2</v>
      </c>
      <c r="AN1063">
        <v>289.7</v>
      </c>
      <c r="AO1063">
        <v>25.1</v>
      </c>
      <c r="AP1063">
        <v>9</v>
      </c>
      <c r="AQ1063">
        <v>0</v>
      </c>
      <c r="AR1063" t="s">
        <v>3638</v>
      </c>
      <c r="AS1063" t="s">
        <v>3639</v>
      </c>
      <c r="AT1063">
        <v>0.5</v>
      </c>
      <c r="AU1063" t="s">
        <v>74</v>
      </c>
      <c r="AV1063" t="s">
        <v>2955</v>
      </c>
      <c r="AW1063" t="s">
        <v>75</v>
      </c>
      <c r="AX1063" s="1">
        <v>0.83680555555555558</v>
      </c>
      <c r="AY1063" t="s">
        <v>3640</v>
      </c>
      <c r="AZ1063">
        <v>55.000000001164153</v>
      </c>
      <c r="BA1063">
        <v>0</v>
      </c>
      <c r="BB1063">
        <v>0</v>
      </c>
      <c r="BC1063">
        <v>1</v>
      </c>
      <c r="BD1063">
        <v>0</v>
      </c>
      <c r="BE1063">
        <f t="shared" si="169"/>
        <v>1</v>
      </c>
    </row>
    <row r="1064" spans="1:57" x14ac:dyDescent="0.25">
      <c r="A1064" t="s">
        <v>39</v>
      </c>
      <c r="B1064" t="s">
        <v>3641</v>
      </c>
      <c r="C1064">
        <v>64.400000000000006</v>
      </c>
      <c r="D1064">
        <v>48.8</v>
      </c>
      <c r="G1064">
        <f t="shared" si="160"/>
        <v>1</v>
      </c>
      <c r="H1064">
        <f t="shared" si="161"/>
        <v>0</v>
      </c>
      <c r="I1064">
        <f t="shared" si="162"/>
        <v>1</v>
      </c>
      <c r="J1064">
        <v>60.1</v>
      </c>
      <c r="K1064">
        <v>64.400000000000006</v>
      </c>
      <c r="L1064">
        <v>48</v>
      </c>
      <c r="M1064">
        <v>60</v>
      </c>
      <c r="N1064">
        <v>48.3</v>
      </c>
      <c r="O1064">
        <v>65.599999999999994</v>
      </c>
      <c r="S1064">
        <f t="shared" si="163"/>
        <v>0</v>
      </c>
      <c r="T1064">
        <f t="shared" si="164"/>
        <v>0</v>
      </c>
      <c r="U1064">
        <f t="shared" si="165"/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17.2</v>
      </c>
      <c r="AG1064">
        <f t="shared" si="166"/>
        <v>0</v>
      </c>
      <c r="AH1064">
        <f t="shared" si="167"/>
        <v>0</v>
      </c>
      <c r="AI1064">
        <f t="shared" si="168"/>
        <v>0</v>
      </c>
      <c r="AJ1064">
        <v>320.7</v>
      </c>
      <c r="AK1064">
        <v>1018.2</v>
      </c>
      <c r="AL1064">
        <v>42.6</v>
      </c>
      <c r="AM1064">
        <v>6.6</v>
      </c>
      <c r="AN1064">
        <v>206.9</v>
      </c>
      <c r="AO1064">
        <v>17.899999999999999</v>
      </c>
      <c r="AP1064">
        <v>6</v>
      </c>
      <c r="AQ1064">
        <v>0</v>
      </c>
      <c r="AR1064" t="s">
        <v>3642</v>
      </c>
      <c r="AS1064" t="s">
        <v>3643</v>
      </c>
      <c r="AT1064">
        <v>0.8</v>
      </c>
      <c r="AU1064" t="s">
        <v>43</v>
      </c>
      <c r="AV1064" t="s">
        <v>44</v>
      </c>
      <c r="AW1064" t="s">
        <v>45</v>
      </c>
      <c r="AX1064" s="1">
        <v>0.51041666666666663</v>
      </c>
      <c r="AY1064" t="s">
        <v>3644</v>
      </c>
      <c r="AZ1064">
        <v>90</v>
      </c>
      <c r="BA1064">
        <v>0</v>
      </c>
      <c r="BB1064">
        <v>0</v>
      </c>
      <c r="BC1064">
        <v>1</v>
      </c>
      <c r="BD1064">
        <v>0</v>
      </c>
      <c r="BE1064">
        <f t="shared" si="169"/>
        <v>0</v>
      </c>
    </row>
    <row r="1065" spans="1:57" x14ac:dyDescent="0.25">
      <c r="A1065" t="s">
        <v>39</v>
      </c>
      <c r="B1065" t="s">
        <v>3534</v>
      </c>
      <c r="C1065">
        <v>77</v>
      </c>
      <c r="D1065">
        <v>55.4</v>
      </c>
      <c r="G1065">
        <f t="shared" si="160"/>
        <v>1</v>
      </c>
      <c r="H1065">
        <f t="shared" si="161"/>
        <v>1</v>
      </c>
      <c r="I1065">
        <f t="shared" si="162"/>
        <v>0</v>
      </c>
      <c r="J1065">
        <v>66.5</v>
      </c>
      <c r="K1065">
        <v>77</v>
      </c>
      <c r="L1065">
        <v>55.4</v>
      </c>
      <c r="M1065">
        <v>66.5</v>
      </c>
      <c r="N1065">
        <v>42.7</v>
      </c>
      <c r="O1065">
        <v>43.4</v>
      </c>
      <c r="S1065">
        <f t="shared" si="163"/>
        <v>1</v>
      </c>
      <c r="T1065">
        <f t="shared" si="164"/>
        <v>0</v>
      </c>
      <c r="U1065">
        <f t="shared" si="165"/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18.3</v>
      </c>
      <c r="AG1065">
        <f t="shared" si="166"/>
        <v>0</v>
      </c>
      <c r="AH1065">
        <f t="shared" si="167"/>
        <v>0</v>
      </c>
      <c r="AI1065">
        <f t="shared" si="168"/>
        <v>0</v>
      </c>
      <c r="AJ1065">
        <v>166.4</v>
      </c>
      <c r="AK1065">
        <v>1016.1</v>
      </c>
      <c r="AL1065">
        <v>86.2</v>
      </c>
      <c r="AM1065">
        <v>6.5</v>
      </c>
      <c r="AN1065">
        <v>164.3</v>
      </c>
      <c r="AO1065">
        <v>14.3</v>
      </c>
      <c r="AP1065">
        <v>5</v>
      </c>
      <c r="AQ1065">
        <v>0</v>
      </c>
      <c r="AR1065" t="s">
        <v>3535</v>
      </c>
      <c r="AS1065" t="s">
        <v>3536</v>
      </c>
      <c r="AT1065">
        <v>0.35</v>
      </c>
      <c r="AU1065" t="s">
        <v>43</v>
      </c>
      <c r="AV1065" t="s">
        <v>44</v>
      </c>
      <c r="AW1065" t="s">
        <v>45</v>
      </c>
      <c r="AX1065" s="1">
        <v>0.60416666666666663</v>
      </c>
      <c r="AY1065" t="s">
        <v>3645</v>
      </c>
      <c r="AZ1065">
        <v>420.00000000698492</v>
      </c>
      <c r="BA1065">
        <v>1</v>
      </c>
      <c r="BB1065">
        <v>0</v>
      </c>
      <c r="BC1065">
        <v>20</v>
      </c>
      <c r="BD1065">
        <v>0</v>
      </c>
      <c r="BE1065">
        <f t="shared" si="169"/>
        <v>1</v>
      </c>
    </row>
    <row r="1066" spans="1:57" x14ac:dyDescent="0.25">
      <c r="A1066" t="s">
        <v>39</v>
      </c>
      <c r="B1066" t="s">
        <v>3466</v>
      </c>
      <c r="C1066">
        <v>68</v>
      </c>
      <c r="D1066">
        <v>53.6</v>
      </c>
      <c r="G1066">
        <f t="shared" si="160"/>
        <v>0</v>
      </c>
      <c r="H1066">
        <f t="shared" si="161"/>
        <v>0</v>
      </c>
      <c r="I1066">
        <f t="shared" si="162"/>
        <v>0</v>
      </c>
      <c r="J1066">
        <v>62.5</v>
      </c>
      <c r="K1066">
        <v>68</v>
      </c>
      <c r="L1066">
        <v>53.6</v>
      </c>
      <c r="M1066">
        <v>62.5</v>
      </c>
      <c r="N1066">
        <v>55.1</v>
      </c>
      <c r="O1066">
        <v>77</v>
      </c>
      <c r="S1066">
        <f t="shared" si="163"/>
        <v>1</v>
      </c>
      <c r="T1066">
        <f t="shared" si="164"/>
        <v>1</v>
      </c>
      <c r="U1066">
        <f t="shared" si="165"/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18.3</v>
      </c>
      <c r="AG1066">
        <f t="shared" si="166"/>
        <v>0</v>
      </c>
      <c r="AH1066">
        <f t="shared" si="167"/>
        <v>0</v>
      </c>
      <c r="AI1066">
        <f t="shared" si="168"/>
        <v>0</v>
      </c>
      <c r="AJ1066">
        <v>304.2</v>
      </c>
      <c r="AK1066">
        <v>1012.2</v>
      </c>
      <c r="AL1066">
        <v>23.5</v>
      </c>
      <c r="AM1066">
        <v>6.5</v>
      </c>
      <c r="AN1066">
        <v>306.60000000000002</v>
      </c>
      <c r="AO1066">
        <v>26.4</v>
      </c>
      <c r="AP1066">
        <v>10</v>
      </c>
      <c r="AQ1066">
        <v>0</v>
      </c>
      <c r="AR1066" t="s">
        <v>3467</v>
      </c>
      <c r="AS1066" t="s">
        <v>3468</v>
      </c>
      <c r="AT1066">
        <v>0.42</v>
      </c>
      <c r="AU1066" t="s">
        <v>43</v>
      </c>
      <c r="AV1066" t="s">
        <v>44</v>
      </c>
      <c r="AW1066" t="s">
        <v>45</v>
      </c>
      <c r="AX1066" s="1">
        <v>0.41319444444444442</v>
      </c>
      <c r="AY1066" t="s">
        <v>3646</v>
      </c>
      <c r="AZ1066">
        <v>544.99999999534339</v>
      </c>
      <c r="BA1066">
        <v>1</v>
      </c>
      <c r="BB1066">
        <v>0</v>
      </c>
      <c r="BC1066">
        <v>130</v>
      </c>
      <c r="BD1066">
        <v>0</v>
      </c>
      <c r="BE1066">
        <f t="shared" si="169"/>
        <v>0</v>
      </c>
    </row>
    <row r="1067" spans="1:57" x14ac:dyDescent="0.25">
      <c r="A1067" t="s">
        <v>39</v>
      </c>
      <c r="B1067" t="s">
        <v>3647</v>
      </c>
      <c r="C1067">
        <v>66.2</v>
      </c>
      <c r="D1067">
        <v>59</v>
      </c>
      <c r="G1067">
        <f t="shared" si="160"/>
        <v>0</v>
      </c>
      <c r="H1067">
        <f t="shared" si="161"/>
        <v>0</v>
      </c>
      <c r="I1067">
        <f t="shared" si="162"/>
        <v>0</v>
      </c>
      <c r="J1067">
        <v>62.2</v>
      </c>
      <c r="K1067">
        <v>66.2</v>
      </c>
      <c r="L1067">
        <v>59</v>
      </c>
      <c r="M1067">
        <v>62.2</v>
      </c>
      <c r="N1067">
        <v>49.3</v>
      </c>
      <c r="O1067">
        <v>62.9</v>
      </c>
      <c r="S1067">
        <f t="shared" si="163"/>
        <v>0</v>
      </c>
      <c r="T1067">
        <f t="shared" si="164"/>
        <v>0</v>
      </c>
      <c r="U1067">
        <f t="shared" si="165"/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23</v>
      </c>
      <c r="AG1067">
        <f t="shared" si="166"/>
        <v>1</v>
      </c>
      <c r="AH1067">
        <f t="shared" si="167"/>
        <v>1</v>
      </c>
      <c r="AI1067">
        <f t="shared" si="168"/>
        <v>0</v>
      </c>
      <c r="AJ1067">
        <v>305.60000000000002</v>
      </c>
      <c r="AK1067">
        <v>1013.5</v>
      </c>
      <c r="AL1067">
        <v>28.9</v>
      </c>
      <c r="AM1067">
        <v>6.6</v>
      </c>
      <c r="AN1067">
        <v>323.7</v>
      </c>
      <c r="AO1067">
        <v>28</v>
      </c>
      <c r="AP1067">
        <v>10</v>
      </c>
      <c r="AQ1067">
        <v>0</v>
      </c>
      <c r="AR1067" t="s">
        <v>3648</v>
      </c>
      <c r="AS1067" t="s">
        <v>3649</v>
      </c>
      <c r="AT1067">
        <v>0.56000000000000005</v>
      </c>
      <c r="AU1067" t="s">
        <v>43</v>
      </c>
      <c r="AV1067" t="s">
        <v>44</v>
      </c>
      <c r="AW1067" t="s">
        <v>45</v>
      </c>
      <c r="AX1067" s="1">
        <v>0.60763888888888884</v>
      </c>
      <c r="AY1067" t="s">
        <v>3650</v>
      </c>
      <c r="AZ1067">
        <v>1274.999999996508</v>
      </c>
      <c r="BA1067">
        <v>1</v>
      </c>
      <c r="BB1067">
        <v>0</v>
      </c>
      <c r="BC1067">
        <v>40</v>
      </c>
      <c r="BD1067">
        <v>0</v>
      </c>
      <c r="BE1067">
        <f t="shared" si="169"/>
        <v>0</v>
      </c>
    </row>
    <row r="1068" spans="1:57" x14ac:dyDescent="0.25">
      <c r="A1068" t="s">
        <v>39</v>
      </c>
      <c r="B1068" t="s">
        <v>3651</v>
      </c>
      <c r="C1068">
        <v>82.5</v>
      </c>
      <c r="D1068">
        <v>62.6</v>
      </c>
      <c r="G1068">
        <f t="shared" si="160"/>
        <v>1</v>
      </c>
      <c r="H1068">
        <f t="shared" si="161"/>
        <v>1</v>
      </c>
      <c r="I1068">
        <f t="shared" si="162"/>
        <v>0</v>
      </c>
      <c r="J1068">
        <v>70.099999999999994</v>
      </c>
      <c r="K1068">
        <v>80.3</v>
      </c>
      <c r="L1068">
        <v>62.6</v>
      </c>
      <c r="M1068">
        <v>70</v>
      </c>
      <c r="N1068">
        <v>58.2</v>
      </c>
      <c r="O1068">
        <v>69.3</v>
      </c>
      <c r="S1068">
        <f t="shared" si="163"/>
        <v>1</v>
      </c>
      <c r="T1068">
        <f t="shared" si="164"/>
        <v>1</v>
      </c>
      <c r="U1068">
        <f t="shared" si="165"/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28.9</v>
      </c>
      <c r="AC1068">
        <v>21.9</v>
      </c>
      <c r="AG1068">
        <f t="shared" si="166"/>
        <v>1</v>
      </c>
      <c r="AH1068">
        <f t="shared" si="167"/>
        <v>1</v>
      </c>
      <c r="AI1068">
        <f t="shared" si="168"/>
        <v>0</v>
      </c>
      <c r="AJ1068">
        <v>112.1</v>
      </c>
      <c r="AK1068">
        <v>1007.9</v>
      </c>
      <c r="AL1068">
        <v>79</v>
      </c>
      <c r="AM1068">
        <v>6.4</v>
      </c>
      <c r="AN1068">
        <v>263.89999999999998</v>
      </c>
      <c r="AO1068">
        <v>22.7</v>
      </c>
      <c r="AP1068">
        <v>9</v>
      </c>
      <c r="AQ1068">
        <v>0</v>
      </c>
      <c r="AR1068" t="s">
        <v>3652</v>
      </c>
      <c r="AS1068" t="s">
        <v>3653</v>
      </c>
      <c r="AT1068">
        <v>0.82</v>
      </c>
      <c r="AU1068" t="s">
        <v>43</v>
      </c>
      <c r="AV1068" t="s">
        <v>44</v>
      </c>
      <c r="AW1068" t="s">
        <v>45</v>
      </c>
      <c r="AX1068" s="1">
        <v>0.71180555555555558</v>
      </c>
      <c r="AY1068" t="s">
        <v>3654</v>
      </c>
      <c r="AZ1068">
        <v>1014.999999997672</v>
      </c>
      <c r="BA1068">
        <v>1</v>
      </c>
      <c r="BB1068">
        <v>0</v>
      </c>
      <c r="BC1068">
        <v>50</v>
      </c>
      <c r="BD1068">
        <v>0</v>
      </c>
      <c r="BE1068">
        <f t="shared" si="169"/>
        <v>1</v>
      </c>
    </row>
    <row r="1069" spans="1:57" x14ac:dyDescent="0.25">
      <c r="A1069" t="s">
        <v>39</v>
      </c>
      <c r="B1069" t="s">
        <v>3655</v>
      </c>
      <c r="C1069">
        <v>71.599999999999994</v>
      </c>
      <c r="D1069">
        <v>57.2</v>
      </c>
      <c r="G1069">
        <f t="shared" si="160"/>
        <v>0</v>
      </c>
      <c r="H1069">
        <f t="shared" si="161"/>
        <v>0</v>
      </c>
      <c r="I1069">
        <f t="shared" si="162"/>
        <v>0</v>
      </c>
      <c r="J1069">
        <v>65.5</v>
      </c>
      <c r="K1069">
        <v>71.599999999999994</v>
      </c>
      <c r="L1069">
        <v>57.2</v>
      </c>
      <c r="M1069">
        <v>65.5</v>
      </c>
      <c r="N1069">
        <v>58</v>
      </c>
      <c r="O1069">
        <v>76.8</v>
      </c>
      <c r="S1069">
        <f t="shared" si="163"/>
        <v>1</v>
      </c>
      <c r="T1069">
        <f t="shared" si="164"/>
        <v>1</v>
      </c>
      <c r="U1069">
        <f t="shared" si="165"/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12.8</v>
      </c>
      <c r="AG1069">
        <f t="shared" si="166"/>
        <v>1</v>
      </c>
      <c r="AH1069">
        <f t="shared" si="167"/>
        <v>0</v>
      </c>
      <c r="AI1069">
        <f t="shared" si="168"/>
        <v>1</v>
      </c>
      <c r="AJ1069">
        <v>312.89999999999998</v>
      </c>
      <c r="AK1069">
        <v>1013.6</v>
      </c>
      <c r="AL1069">
        <v>35.4</v>
      </c>
      <c r="AM1069">
        <v>6.6</v>
      </c>
      <c r="AN1069">
        <v>352.4</v>
      </c>
      <c r="AO1069">
        <v>30.4</v>
      </c>
      <c r="AP1069">
        <v>10</v>
      </c>
      <c r="AQ1069">
        <v>0</v>
      </c>
      <c r="AR1069" t="s">
        <v>3656</v>
      </c>
      <c r="AS1069" t="s">
        <v>3657</v>
      </c>
      <c r="AT1069">
        <v>0.34</v>
      </c>
      <c r="AU1069" t="s">
        <v>43</v>
      </c>
      <c r="AV1069" t="s">
        <v>44</v>
      </c>
      <c r="AW1069" t="s">
        <v>45</v>
      </c>
      <c r="AX1069" s="1">
        <v>0.51041666666666663</v>
      </c>
      <c r="AY1069" t="s">
        <v>3658</v>
      </c>
      <c r="AZ1069">
        <v>4200.0000000069849</v>
      </c>
      <c r="BA1069">
        <v>1</v>
      </c>
      <c r="BB1069">
        <v>0</v>
      </c>
      <c r="BC1069">
        <v>1</v>
      </c>
      <c r="BD1069">
        <v>0</v>
      </c>
      <c r="BE1069">
        <f t="shared" si="169"/>
        <v>0</v>
      </c>
    </row>
    <row r="1070" spans="1:57" x14ac:dyDescent="0.25">
      <c r="A1070" t="s">
        <v>39</v>
      </c>
      <c r="B1070" t="s">
        <v>3659</v>
      </c>
      <c r="C1070">
        <v>80.599999999999994</v>
      </c>
      <c r="D1070">
        <v>73.400000000000006</v>
      </c>
      <c r="G1070">
        <f t="shared" si="160"/>
        <v>0</v>
      </c>
      <c r="H1070">
        <f t="shared" si="161"/>
        <v>0</v>
      </c>
      <c r="I1070">
        <f t="shared" si="162"/>
        <v>0</v>
      </c>
      <c r="J1070">
        <v>76.3</v>
      </c>
      <c r="K1070">
        <v>83.3</v>
      </c>
      <c r="L1070">
        <v>73.400000000000006</v>
      </c>
      <c r="M1070">
        <v>76.400000000000006</v>
      </c>
      <c r="N1070">
        <v>66.7</v>
      </c>
      <c r="O1070">
        <v>72.7</v>
      </c>
      <c r="S1070">
        <f t="shared" si="163"/>
        <v>1</v>
      </c>
      <c r="T1070">
        <f t="shared" si="164"/>
        <v>1</v>
      </c>
      <c r="U1070">
        <f t="shared" si="165"/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15</v>
      </c>
      <c r="AG1070">
        <f t="shared" si="166"/>
        <v>1</v>
      </c>
      <c r="AH1070">
        <f t="shared" si="167"/>
        <v>0</v>
      </c>
      <c r="AI1070">
        <f t="shared" si="168"/>
        <v>1</v>
      </c>
      <c r="AJ1070">
        <v>315.10000000000002</v>
      </c>
      <c r="AK1070">
        <v>1010.4</v>
      </c>
      <c r="AL1070">
        <v>7.1</v>
      </c>
      <c r="AM1070">
        <v>6.3</v>
      </c>
      <c r="AN1070">
        <v>346.2</v>
      </c>
      <c r="AO1070">
        <v>29.9</v>
      </c>
      <c r="AP1070">
        <v>10</v>
      </c>
      <c r="AQ1070">
        <v>0</v>
      </c>
      <c r="AR1070" t="s">
        <v>3660</v>
      </c>
      <c r="AS1070" t="s">
        <v>3661</v>
      </c>
      <c r="AT1070">
        <v>0</v>
      </c>
      <c r="AU1070" t="s">
        <v>74</v>
      </c>
      <c r="AV1070" t="s">
        <v>2955</v>
      </c>
      <c r="AW1070" t="s">
        <v>75</v>
      </c>
      <c r="AX1070" s="1">
        <v>0.4375</v>
      </c>
      <c r="AY1070" t="s">
        <v>3662</v>
      </c>
      <c r="AZ1070">
        <v>509.99999999650748</v>
      </c>
      <c r="BA1070">
        <v>1</v>
      </c>
      <c r="BB1070">
        <v>0</v>
      </c>
      <c r="BC1070">
        <v>50</v>
      </c>
      <c r="BD1070">
        <v>0</v>
      </c>
      <c r="BE1070">
        <f t="shared" si="169"/>
        <v>0</v>
      </c>
    </row>
    <row r="1071" spans="1:57" x14ac:dyDescent="0.25">
      <c r="A1071" t="s">
        <v>39</v>
      </c>
      <c r="B1071" t="s">
        <v>3591</v>
      </c>
      <c r="C1071">
        <v>80.599999999999994</v>
      </c>
      <c r="D1071">
        <v>75.2</v>
      </c>
      <c r="G1071">
        <f t="shared" si="160"/>
        <v>1</v>
      </c>
      <c r="H1071">
        <f t="shared" si="161"/>
        <v>0</v>
      </c>
      <c r="I1071">
        <f t="shared" si="162"/>
        <v>1</v>
      </c>
      <c r="J1071">
        <v>77.7</v>
      </c>
      <c r="K1071">
        <v>83.3</v>
      </c>
      <c r="L1071">
        <v>75.2</v>
      </c>
      <c r="M1071">
        <v>78.5</v>
      </c>
      <c r="N1071">
        <v>67.599999999999994</v>
      </c>
      <c r="O1071">
        <v>71.400000000000006</v>
      </c>
      <c r="S1071">
        <f t="shared" si="163"/>
        <v>1</v>
      </c>
      <c r="T1071">
        <f t="shared" si="164"/>
        <v>1</v>
      </c>
      <c r="U1071">
        <f t="shared" si="165"/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17.2</v>
      </c>
      <c r="AG1071">
        <f t="shared" si="166"/>
        <v>0</v>
      </c>
      <c r="AH1071">
        <f t="shared" si="167"/>
        <v>0</v>
      </c>
      <c r="AI1071">
        <f t="shared" si="168"/>
        <v>0</v>
      </c>
      <c r="AJ1071">
        <v>311.3</v>
      </c>
      <c r="AK1071">
        <v>1013.5</v>
      </c>
      <c r="AL1071">
        <v>34.1</v>
      </c>
      <c r="AM1071">
        <v>6.6</v>
      </c>
      <c r="AN1071">
        <v>353.4</v>
      </c>
      <c r="AO1071">
        <v>30.5</v>
      </c>
      <c r="AP1071">
        <v>10</v>
      </c>
      <c r="AQ1071">
        <v>0</v>
      </c>
      <c r="AR1071" t="s">
        <v>3592</v>
      </c>
      <c r="AS1071" t="s">
        <v>3593</v>
      </c>
      <c r="AT1071">
        <v>0</v>
      </c>
      <c r="AU1071" t="s">
        <v>43</v>
      </c>
      <c r="AV1071" t="s">
        <v>80</v>
      </c>
      <c r="AW1071" t="s">
        <v>45</v>
      </c>
      <c r="AX1071" s="1">
        <v>0.66319444444444442</v>
      </c>
      <c r="AY1071" t="s">
        <v>3663</v>
      </c>
      <c r="AZ1071">
        <v>5944.9999999953434</v>
      </c>
      <c r="BA1071">
        <v>1</v>
      </c>
      <c r="BB1071">
        <v>0</v>
      </c>
      <c r="BC1071">
        <v>250</v>
      </c>
      <c r="BD1071">
        <v>0</v>
      </c>
      <c r="BE1071">
        <f t="shared" si="169"/>
        <v>0</v>
      </c>
    </row>
    <row r="1072" spans="1:57" x14ac:dyDescent="0.25">
      <c r="A1072" t="s">
        <v>39</v>
      </c>
      <c r="B1072" t="s">
        <v>3482</v>
      </c>
      <c r="C1072">
        <v>84.2</v>
      </c>
      <c r="D1072">
        <v>80.599999999999994</v>
      </c>
      <c r="G1072">
        <f t="shared" si="160"/>
        <v>0</v>
      </c>
      <c r="H1072">
        <f t="shared" si="161"/>
        <v>0</v>
      </c>
      <c r="I1072">
        <f t="shared" si="162"/>
        <v>0</v>
      </c>
      <c r="J1072">
        <v>81.7</v>
      </c>
      <c r="K1072">
        <v>89.6</v>
      </c>
      <c r="L1072">
        <v>82.8</v>
      </c>
      <c r="M1072">
        <v>85.6</v>
      </c>
      <c r="N1072">
        <v>70.099999999999994</v>
      </c>
      <c r="O1072">
        <v>68</v>
      </c>
      <c r="S1072">
        <f t="shared" si="163"/>
        <v>1</v>
      </c>
      <c r="T1072">
        <f t="shared" si="164"/>
        <v>1</v>
      </c>
      <c r="U1072">
        <f t="shared" si="165"/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20.8</v>
      </c>
      <c r="AG1072">
        <f t="shared" si="166"/>
        <v>1</v>
      </c>
      <c r="AH1072">
        <f t="shared" si="167"/>
        <v>1</v>
      </c>
      <c r="AI1072">
        <f t="shared" si="168"/>
        <v>0</v>
      </c>
      <c r="AJ1072">
        <v>306.89999999999998</v>
      </c>
      <c r="AK1072">
        <v>1009.9</v>
      </c>
      <c r="AL1072">
        <v>27.8</v>
      </c>
      <c r="AM1072">
        <v>6.6</v>
      </c>
      <c r="AN1072">
        <v>333.6</v>
      </c>
      <c r="AO1072">
        <v>28.7</v>
      </c>
      <c r="AP1072">
        <v>10</v>
      </c>
      <c r="AQ1072">
        <v>0</v>
      </c>
      <c r="AR1072" t="s">
        <v>3483</v>
      </c>
      <c r="AS1072" t="s">
        <v>3484</v>
      </c>
      <c r="AT1072">
        <v>0.19</v>
      </c>
      <c r="AU1072" t="s">
        <v>43</v>
      </c>
      <c r="AV1072" t="s">
        <v>44</v>
      </c>
      <c r="AW1072" t="s">
        <v>45</v>
      </c>
      <c r="AX1072" s="1">
        <v>0.66666666666666663</v>
      </c>
      <c r="AY1072" t="s">
        <v>3664</v>
      </c>
      <c r="AZ1072">
        <v>1680.0000000069849</v>
      </c>
      <c r="BA1072">
        <v>1</v>
      </c>
      <c r="BB1072">
        <v>0</v>
      </c>
      <c r="BC1072">
        <v>100</v>
      </c>
      <c r="BD1072">
        <v>0</v>
      </c>
      <c r="BE1072">
        <f t="shared" si="169"/>
        <v>1</v>
      </c>
    </row>
    <row r="1073" spans="1:57" x14ac:dyDescent="0.25">
      <c r="A1073" t="s">
        <v>39</v>
      </c>
      <c r="B1073" t="s">
        <v>3665</v>
      </c>
      <c r="C1073">
        <v>87.9</v>
      </c>
      <c r="D1073">
        <v>73.400000000000006</v>
      </c>
      <c r="G1073">
        <f t="shared" si="160"/>
        <v>1</v>
      </c>
      <c r="H1073">
        <f t="shared" si="161"/>
        <v>1</v>
      </c>
      <c r="I1073">
        <f t="shared" si="162"/>
        <v>0</v>
      </c>
      <c r="J1073">
        <v>81.5</v>
      </c>
      <c r="K1073">
        <v>100</v>
      </c>
      <c r="L1073">
        <v>73.400000000000006</v>
      </c>
      <c r="M1073">
        <v>87.2</v>
      </c>
      <c r="N1073">
        <v>73.599999999999994</v>
      </c>
      <c r="O1073">
        <v>77.400000000000006</v>
      </c>
      <c r="S1073">
        <f t="shared" si="163"/>
        <v>1</v>
      </c>
      <c r="T1073">
        <f t="shared" si="164"/>
        <v>1</v>
      </c>
      <c r="U1073">
        <f t="shared" si="165"/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9.1999999999999993</v>
      </c>
      <c r="AG1073">
        <f t="shared" si="166"/>
        <v>1</v>
      </c>
      <c r="AH1073">
        <f t="shared" si="167"/>
        <v>0</v>
      </c>
      <c r="AI1073">
        <f t="shared" si="168"/>
        <v>1</v>
      </c>
      <c r="AJ1073">
        <v>190.7</v>
      </c>
      <c r="AK1073">
        <v>1009.9</v>
      </c>
      <c r="AL1073">
        <v>4.5999999999999996</v>
      </c>
      <c r="AM1073">
        <v>6.3</v>
      </c>
      <c r="AN1073">
        <v>326.3</v>
      </c>
      <c r="AO1073">
        <v>28.1</v>
      </c>
      <c r="AP1073">
        <v>10</v>
      </c>
      <c r="AQ1073">
        <v>0</v>
      </c>
      <c r="AR1073" t="s">
        <v>3666</v>
      </c>
      <c r="AS1073" t="s">
        <v>3667</v>
      </c>
      <c r="AT1073">
        <v>0.08</v>
      </c>
      <c r="AU1073" t="s">
        <v>74</v>
      </c>
      <c r="AV1073" t="s">
        <v>2955</v>
      </c>
      <c r="AW1073" t="s">
        <v>75</v>
      </c>
      <c r="AX1073" s="1">
        <v>0.51041666666666663</v>
      </c>
      <c r="AY1073" t="s">
        <v>3668</v>
      </c>
      <c r="AZ1073">
        <v>105.00000000698491</v>
      </c>
      <c r="BA1073">
        <v>0</v>
      </c>
      <c r="BB1073">
        <v>0</v>
      </c>
      <c r="BC1073">
        <v>1</v>
      </c>
      <c r="BD1073">
        <v>0</v>
      </c>
      <c r="BE1073">
        <f t="shared" si="169"/>
        <v>1</v>
      </c>
    </row>
    <row r="1074" spans="1:57" x14ac:dyDescent="0.25">
      <c r="A1074" t="s">
        <v>39</v>
      </c>
      <c r="B1074" t="s">
        <v>3669</v>
      </c>
      <c r="C1074">
        <v>89.6</v>
      </c>
      <c r="D1074">
        <v>74</v>
      </c>
      <c r="G1074">
        <f t="shared" si="160"/>
        <v>1</v>
      </c>
      <c r="H1074">
        <f t="shared" si="161"/>
        <v>1</v>
      </c>
      <c r="I1074">
        <f t="shared" si="162"/>
        <v>0</v>
      </c>
      <c r="J1074">
        <v>82.2</v>
      </c>
      <c r="K1074">
        <v>100.3</v>
      </c>
      <c r="L1074">
        <v>74</v>
      </c>
      <c r="M1074">
        <v>87.3</v>
      </c>
      <c r="N1074">
        <v>73</v>
      </c>
      <c r="O1074">
        <v>74.5</v>
      </c>
      <c r="S1074">
        <f t="shared" si="163"/>
        <v>1</v>
      </c>
      <c r="T1074">
        <f t="shared" si="164"/>
        <v>1</v>
      </c>
      <c r="U1074">
        <f t="shared" si="165"/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11.4</v>
      </c>
      <c r="AG1074">
        <f t="shared" si="166"/>
        <v>1</v>
      </c>
      <c r="AH1074">
        <f t="shared" si="167"/>
        <v>0</v>
      </c>
      <c r="AI1074">
        <f t="shared" si="168"/>
        <v>1</v>
      </c>
      <c r="AJ1074">
        <v>290.2</v>
      </c>
      <c r="AK1074">
        <v>1010.9</v>
      </c>
      <c r="AL1074">
        <v>8.1999999999999993</v>
      </c>
      <c r="AM1074">
        <v>6.2</v>
      </c>
      <c r="AN1074">
        <v>319.60000000000002</v>
      </c>
      <c r="AO1074">
        <v>27.5</v>
      </c>
      <c r="AP1074">
        <v>10</v>
      </c>
      <c r="AQ1074">
        <v>0</v>
      </c>
      <c r="AR1074" t="s">
        <v>3670</v>
      </c>
      <c r="AS1074" t="s">
        <v>3671</v>
      </c>
      <c r="AT1074">
        <v>0.15</v>
      </c>
      <c r="AU1074" t="s">
        <v>74</v>
      </c>
      <c r="AV1074" t="s">
        <v>2955</v>
      </c>
      <c r="AW1074" t="s">
        <v>75</v>
      </c>
      <c r="AX1074" s="1">
        <v>0.54166666666666663</v>
      </c>
      <c r="AY1074" t="s">
        <v>3672</v>
      </c>
      <c r="AZ1074">
        <v>60.000000006984919</v>
      </c>
      <c r="BA1074">
        <v>0</v>
      </c>
      <c r="BB1074">
        <v>0</v>
      </c>
      <c r="BC1074">
        <v>1</v>
      </c>
      <c r="BD1074">
        <v>0</v>
      </c>
      <c r="BE1074">
        <f t="shared" si="169"/>
        <v>1</v>
      </c>
    </row>
    <row r="1075" spans="1:57" x14ac:dyDescent="0.25">
      <c r="A1075" t="s">
        <v>39</v>
      </c>
      <c r="B1075" t="s">
        <v>3673</v>
      </c>
      <c r="C1075">
        <v>87.8</v>
      </c>
      <c r="D1075">
        <v>78.8</v>
      </c>
      <c r="G1075">
        <f t="shared" si="160"/>
        <v>1</v>
      </c>
      <c r="H1075">
        <f t="shared" si="161"/>
        <v>1</v>
      </c>
      <c r="I1075">
        <f t="shared" si="162"/>
        <v>0</v>
      </c>
      <c r="J1075">
        <v>83.3</v>
      </c>
      <c r="K1075">
        <v>100</v>
      </c>
      <c r="L1075">
        <v>78.8</v>
      </c>
      <c r="M1075">
        <v>89.8</v>
      </c>
      <c r="N1075">
        <v>71.900000000000006</v>
      </c>
      <c r="O1075">
        <v>69.099999999999994</v>
      </c>
      <c r="S1075">
        <f t="shared" si="163"/>
        <v>1</v>
      </c>
      <c r="T1075">
        <f t="shared" si="164"/>
        <v>1</v>
      </c>
      <c r="U1075">
        <f t="shared" si="165"/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21.9</v>
      </c>
      <c r="AG1075">
        <f t="shared" si="166"/>
        <v>1</v>
      </c>
      <c r="AH1075">
        <f t="shared" si="167"/>
        <v>1</v>
      </c>
      <c r="AI1075">
        <f t="shared" si="168"/>
        <v>0</v>
      </c>
      <c r="AJ1075">
        <v>299</v>
      </c>
      <c r="AK1075">
        <v>1005.9</v>
      </c>
      <c r="AL1075">
        <v>5.8</v>
      </c>
      <c r="AM1075">
        <v>6.3</v>
      </c>
      <c r="AN1075">
        <v>311.39999999999998</v>
      </c>
      <c r="AO1075">
        <v>26.7</v>
      </c>
      <c r="AP1075">
        <v>10</v>
      </c>
      <c r="AQ1075">
        <v>0</v>
      </c>
      <c r="AR1075" t="s">
        <v>3674</v>
      </c>
      <c r="AS1075" t="s">
        <v>3675</v>
      </c>
      <c r="AT1075">
        <v>0.28000000000000003</v>
      </c>
      <c r="AU1075" t="s">
        <v>74</v>
      </c>
      <c r="AV1075" t="s">
        <v>2955</v>
      </c>
      <c r="AW1075" t="s">
        <v>75</v>
      </c>
      <c r="AX1075" s="1">
        <v>5.5555555555555552E-2</v>
      </c>
      <c r="AY1075" t="s">
        <v>3676</v>
      </c>
      <c r="AZ1075">
        <v>145.00000000116421</v>
      </c>
      <c r="BA1075">
        <v>0</v>
      </c>
      <c r="BB1075">
        <v>0</v>
      </c>
      <c r="BC1075">
        <v>1</v>
      </c>
      <c r="BD1075">
        <v>0</v>
      </c>
      <c r="BE1075">
        <f t="shared" si="169"/>
        <v>1</v>
      </c>
    </row>
    <row r="1076" spans="1:57" x14ac:dyDescent="0.25">
      <c r="A1076" t="s">
        <v>39</v>
      </c>
      <c r="B1076" t="s">
        <v>3677</v>
      </c>
      <c r="C1076">
        <v>80.7</v>
      </c>
      <c r="D1076">
        <v>78.8</v>
      </c>
      <c r="G1076">
        <f t="shared" si="160"/>
        <v>1</v>
      </c>
      <c r="H1076">
        <f t="shared" si="161"/>
        <v>0</v>
      </c>
      <c r="I1076">
        <f t="shared" si="162"/>
        <v>1</v>
      </c>
      <c r="J1076">
        <v>79.7</v>
      </c>
      <c r="K1076">
        <v>84.1</v>
      </c>
      <c r="L1076">
        <v>78.8</v>
      </c>
      <c r="M1076">
        <v>81.099999999999994</v>
      </c>
      <c r="N1076">
        <v>67.5</v>
      </c>
      <c r="O1076">
        <v>66.400000000000006</v>
      </c>
      <c r="S1076">
        <f t="shared" si="163"/>
        <v>1</v>
      </c>
      <c r="T1076">
        <f t="shared" si="164"/>
        <v>1</v>
      </c>
      <c r="U1076">
        <f t="shared" si="165"/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30</v>
      </c>
      <c r="AC1076">
        <v>25.3</v>
      </c>
      <c r="AG1076">
        <f t="shared" si="166"/>
        <v>1</v>
      </c>
      <c r="AH1076">
        <f t="shared" si="167"/>
        <v>1</v>
      </c>
      <c r="AI1076">
        <f t="shared" si="168"/>
        <v>0</v>
      </c>
      <c r="AJ1076">
        <v>311.60000000000002</v>
      </c>
      <c r="AK1076">
        <v>1010.5</v>
      </c>
      <c r="AL1076">
        <v>50</v>
      </c>
      <c r="AM1076">
        <v>6.6</v>
      </c>
      <c r="AN1076">
        <v>310.8</v>
      </c>
      <c r="AO1076">
        <v>26.9</v>
      </c>
      <c r="AP1076">
        <v>10</v>
      </c>
      <c r="AQ1076">
        <v>0</v>
      </c>
      <c r="AR1076" t="s">
        <v>3678</v>
      </c>
      <c r="AS1076" t="s">
        <v>3679</v>
      </c>
      <c r="AT1076">
        <v>0.42</v>
      </c>
      <c r="AU1076" t="s">
        <v>43</v>
      </c>
      <c r="AV1076" t="s">
        <v>44</v>
      </c>
      <c r="AW1076" t="s">
        <v>45</v>
      </c>
      <c r="AX1076" s="1">
        <v>0.69097222222222221</v>
      </c>
      <c r="AY1076" t="s">
        <v>3680</v>
      </c>
      <c r="AZ1076">
        <v>1105.0000000081491</v>
      </c>
      <c r="BA1076">
        <v>1</v>
      </c>
      <c r="BB1076">
        <v>0</v>
      </c>
      <c r="BC1076">
        <v>20</v>
      </c>
      <c r="BD1076">
        <v>0</v>
      </c>
      <c r="BE1076">
        <f t="shared" si="169"/>
        <v>1</v>
      </c>
    </row>
    <row r="1077" spans="1:57" x14ac:dyDescent="0.25">
      <c r="A1077" t="s">
        <v>39</v>
      </c>
      <c r="B1077" t="s">
        <v>3681</v>
      </c>
      <c r="C1077">
        <v>86</v>
      </c>
      <c r="D1077">
        <v>80.599999999999994</v>
      </c>
      <c r="G1077">
        <f t="shared" si="160"/>
        <v>1</v>
      </c>
      <c r="H1077">
        <f t="shared" si="161"/>
        <v>1</v>
      </c>
      <c r="I1077">
        <f t="shared" si="162"/>
        <v>0</v>
      </c>
      <c r="J1077">
        <v>83.3</v>
      </c>
      <c r="K1077">
        <v>93.5</v>
      </c>
      <c r="L1077">
        <v>84.6</v>
      </c>
      <c r="M1077">
        <v>88.1</v>
      </c>
      <c r="N1077">
        <v>70.900000000000006</v>
      </c>
      <c r="O1077">
        <v>66.599999999999994</v>
      </c>
      <c r="S1077">
        <f t="shared" si="163"/>
        <v>1</v>
      </c>
      <c r="T1077">
        <f t="shared" si="164"/>
        <v>1</v>
      </c>
      <c r="U1077">
        <f t="shared" si="165"/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23</v>
      </c>
      <c r="AG1077">
        <f t="shared" si="166"/>
        <v>1</v>
      </c>
      <c r="AH1077">
        <f t="shared" si="167"/>
        <v>1</v>
      </c>
      <c r="AI1077">
        <f t="shared" si="168"/>
        <v>0</v>
      </c>
      <c r="AJ1077">
        <v>307.5</v>
      </c>
      <c r="AK1077">
        <v>1008.1</v>
      </c>
      <c r="AL1077">
        <v>0.1</v>
      </c>
      <c r="AM1077">
        <v>6.2</v>
      </c>
      <c r="AN1077">
        <v>305.5</v>
      </c>
      <c r="AO1077">
        <v>26.3</v>
      </c>
      <c r="AP1077">
        <v>9</v>
      </c>
      <c r="AQ1077">
        <v>0</v>
      </c>
      <c r="AR1077" t="s">
        <v>3682</v>
      </c>
      <c r="AS1077" t="s">
        <v>3683</v>
      </c>
      <c r="AT1077">
        <v>0.59</v>
      </c>
      <c r="AU1077" t="s">
        <v>74</v>
      </c>
      <c r="AV1077" t="s">
        <v>2955</v>
      </c>
      <c r="AW1077" t="s">
        <v>75</v>
      </c>
      <c r="AX1077" s="1">
        <v>0.75694444444444442</v>
      </c>
      <c r="AY1077" t="s">
        <v>3684</v>
      </c>
      <c r="AZ1077">
        <v>190.00000000116421</v>
      </c>
      <c r="BA1077">
        <v>0</v>
      </c>
      <c r="BB1077">
        <v>0</v>
      </c>
      <c r="BC1077">
        <v>3</v>
      </c>
      <c r="BD1077">
        <v>0</v>
      </c>
      <c r="BE1077">
        <f t="shared" si="169"/>
        <v>1</v>
      </c>
    </row>
    <row r="1078" spans="1:57" x14ac:dyDescent="0.25">
      <c r="A1078" t="s">
        <v>39</v>
      </c>
      <c r="B1078" t="s">
        <v>3685</v>
      </c>
      <c r="C1078">
        <v>89.6</v>
      </c>
      <c r="D1078">
        <v>77</v>
      </c>
      <c r="G1078">
        <f t="shared" si="160"/>
        <v>1</v>
      </c>
      <c r="H1078">
        <f t="shared" si="161"/>
        <v>1</v>
      </c>
      <c r="I1078">
        <f t="shared" si="162"/>
        <v>0</v>
      </c>
      <c r="J1078">
        <v>82.1</v>
      </c>
      <c r="K1078">
        <v>100</v>
      </c>
      <c r="L1078">
        <v>77</v>
      </c>
      <c r="M1078">
        <v>86.2</v>
      </c>
      <c r="N1078">
        <v>71.400000000000006</v>
      </c>
      <c r="O1078">
        <v>70.599999999999994</v>
      </c>
      <c r="S1078">
        <f t="shared" si="163"/>
        <v>1</v>
      </c>
      <c r="T1078">
        <f t="shared" si="164"/>
        <v>1</v>
      </c>
      <c r="U1078">
        <f t="shared" si="165"/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13.9</v>
      </c>
      <c r="AG1078">
        <f t="shared" si="166"/>
        <v>1</v>
      </c>
      <c r="AH1078">
        <f t="shared" si="167"/>
        <v>0</v>
      </c>
      <c r="AI1078">
        <f t="shared" si="168"/>
        <v>1</v>
      </c>
      <c r="AJ1078">
        <v>202.9</v>
      </c>
      <c r="AK1078">
        <v>1006.1</v>
      </c>
      <c r="AL1078">
        <v>8.3000000000000007</v>
      </c>
      <c r="AM1078">
        <v>6.3</v>
      </c>
      <c r="AN1078">
        <v>303.8</v>
      </c>
      <c r="AO1078">
        <v>26.2</v>
      </c>
      <c r="AP1078">
        <v>9</v>
      </c>
      <c r="AQ1078">
        <v>0</v>
      </c>
      <c r="AR1078" t="s">
        <v>3686</v>
      </c>
      <c r="AS1078" t="s">
        <v>3687</v>
      </c>
      <c r="AT1078">
        <v>0.69</v>
      </c>
      <c r="AU1078" t="s">
        <v>74</v>
      </c>
      <c r="AV1078" t="s">
        <v>2955</v>
      </c>
      <c r="AW1078" t="s">
        <v>75</v>
      </c>
      <c r="AX1078" s="1">
        <v>0.64930555555555558</v>
      </c>
      <c r="AY1078" t="s">
        <v>3688</v>
      </c>
      <c r="AZ1078">
        <v>114.99999999767169</v>
      </c>
      <c r="BA1078">
        <v>0</v>
      </c>
      <c r="BB1078">
        <v>0</v>
      </c>
      <c r="BC1078">
        <v>1</v>
      </c>
      <c r="BD1078">
        <v>0</v>
      </c>
      <c r="BE1078">
        <f t="shared" si="169"/>
        <v>1</v>
      </c>
    </row>
    <row r="1079" spans="1:57" x14ac:dyDescent="0.25">
      <c r="A1079" t="s">
        <v>39</v>
      </c>
      <c r="B1079" t="s">
        <v>3689</v>
      </c>
      <c r="C1079">
        <v>86.1</v>
      </c>
      <c r="D1079">
        <v>73.400000000000006</v>
      </c>
      <c r="G1079">
        <f t="shared" si="160"/>
        <v>1</v>
      </c>
      <c r="H1079">
        <f t="shared" si="161"/>
        <v>1</v>
      </c>
      <c r="I1079">
        <f t="shared" si="162"/>
        <v>0</v>
      </c>
      <c r="J1079">
        <v>79.900000000000006</v>
      </c>
      <c r="K1079">
        <v>90.6</v>
      </c>
      <c r="L1079">
        <v>73.400000000000006</v>
      </c>
      <c r="M1079">
        <v>82.3</v>
      </c>
      <c r="N1079">
        <v>69.7</v>
      </c>
      <c r="O1079">
        <v>71.599999999999994</v>
      </c>
      <c r="S1079">
        <f t="shared" si="163"/>
        <v>1</v>
      </c>
      <c r="T1079">
        <f t="shared" si="164"/>
        <v>1</v>
      </c>
      <c r="U1079">
        <f t="shared" si="165"/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25.3</v>
      </c>
      <c r="AG1079">
        <f t="shared" si="166"/>
        <v>1</v>
      </c>
      <c r="AH1079">
        <f t="shared" si="167"/>
        <v>1</v>
      </c>
      <c r="AI1079">
        <f t="shared" si="168"/>
        <v>0</v>
      </c>
      <c r="AJ1079">
        <v>296.39999999999998</v>
      </c>
      <c r="AK1079">
        <v>1004</v>
      </c>
      <c r="AL1079">
        <v>17.399999999999999</v>
      </c>
      <c r="AM1079">
        <v>6.4</v>
      </c>
      <c r="AN1079">
        <v>300.3</v>
      </c>
      <c r="AO1079">
        <v>25.9</v>
      </c>
      <c r="AP1079">
        <v>9</v>
      </c>
      <c r="AQ1079">
        <v>0</v>
      </c>
      <c r="AR1079" t="s">
        <v>3690</v>
      </c>
      <c r="AS1079" t="s">
        <v>3691</v>
      </c>
      <c r="AT1079">
        <v>0.73</v>
      </c>
      <c r="AU1079" t="s">
        <v>74</v>
      </c>
      <c r="AV1079" t="s">
        <v>2955</v>
      </c>
      <c r="AW1079" t="s">
        <v>75</v>
      </c>
      <c r="AX1079" s="1">
        <v>0.84027777777777779</v>
      </c>
      <c r="AY1079" t="s">
        <v>3692</v>
      </c>
      <c r="AZ1079">
        <v>724.99999999534339</v>
      </c>
      <c r="BA1079">
        <v>1</v>
      </c>
      <c r="BB1079">
        <v>0</v>
      </c>
      <c r="BC1079">
        <v>3</v>
      </c>
      <c r="BD1079">
        <v>0</v>
      </c>
      <c r="BE1079">
        <f t="shared" si="169"/>
        <v>1</v>
      </c>
    </row>
    <row r="1080" spans="1:57" x14ac:dyDescent="0.25">
      <c r="A1080" t="s">
        <v>39</v>
      </c>
      <c r="B1080" t="s">
        <v>3689</v>
      </c>
      <c r="C1080">
        <v>86.1</v>
      </c>
      <c r="D1080">
        <v>73.400000000000006</v>
      </c>
      <c r="G1080">
        <f t="shared" si="160"/>
        <v>1</v>
      </c>
      <c r="H1080">
        <f t="shared" si="161"/>
        <v>1</v>
      </c>
      <c r="I1080">
        <f t="shared" si="162"/>
        <v>0</v>
      </c>
      <c r="J1080">
        <v>79.900000000000006</v>
      </c>
      <c r="K1080">
        <v>90.6</v>
      </c>
      <c r="L1080">
        <v>73.400000000000006</v>
      </c>
      <c r="M1080">
        <v>82.3</v>
      </c>
      <c r="N1080">
        <v>69.7</v>
      </c>
      <c r="O1080">
        <v>71.599999999999994</v>
      </c>
      <c r="S1080">
        <f t="shared" si="163"/>
        <v>1</v>
      </c>
      <c r="T1080">
        <f t="shared" si="164"/>
        <v>1</v>
      </c>
      <c r="U1080">
        <f t="shared" si="165"/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25.3</v>
      </c>
      <c r="AG1080">
        <f t="shared" si="166"/>
        <v>1</v>
      </c>
      <c r="AH1080">
        <f t="shared" si="167"/>
        <v>1</v>
      </c>
      <c r="AI1080">
        <f t="shared" si="168"/>
        <v>0</v>
      </c>
      <c r="AJ1080">
        <v>296.39999999999998</v>
      </c>
      <c r="AK1080">
        <v>1004</v>
      </c>
      <c r="AL1080">
        <v>17.399999999999999</v>
      </c>
      <c r="AM1080">
        <v>6.4</v>
      </c>
      <c r="AN1080">
        <v>300.3</v>
      </c>
      <c r="AO1080">
        <v>25.9</v>
      </c>
      <c r="AP1080">
        <v>9</v>
      </c>
      <c r="AQ1080">
        <v>0</v>
      </c>
      <c r="AR1080" t="s">
        <v>3690</v>
      </c>
      <c r="AS1080" t="s">
        <v>3691</v>
      </c>
      <c r="AT1080">
        <v>0.73</v>
      </c>
      <c r="AU1080" t="s">
        <v>74</v>
      </c>
      <c r="AV1080" t="s">
        <v>2955</v>
      </c>
      <c r="AW1080" t="s">
        <v>75</v>
      </c>
      <c r="AX1080" s="1">
        <v>0.86458333333333337</v>
      </c>
      <c r="AY1080" t="s">
        <v>3693</v>
      </c>
      <c r="AZ1080">
        <v>55.000000001164153</v>
      </c>
      <c r="BA1080">
        <v>0</v>
      </c>
      <c r="BB1080">
        <v>0</v>
      </c>
      <c r="BC1080">
        <v>1</v>
      </c>
      <c r="BD1080">
        <v>0</v>
      </c>
      <c r="BE1080">
        <f t="shared" si="169"/>
        <v>1</v>
      </c>
    </row>
    <row r="1081" spans="1:57" x14ac:dyDescent="0.25">
      <c r="A1081" t="s">
        <v>39</v>
      </c>
      <c r="B1081" t="s">
        <v>3689</v>
      </c>
      <c r="C1081">
        <v>86.1</v>
      </c>
      <c r="D1081">
        <v>73.400000000000006</v>
      </c>
      <c r="G1081">
        <f t="shared" si="160"/>
        <v>1</v>
      </c>
      <c r="H1081">
        <f t="shared" si="161"/>
        <v>1</v>
      </c>
      <c r="I1081">
        <f t="shared" si="162"/>
        <v>0</v>
      </c>
      <c r="J1081">
        <v>79.900000000000006</v>
      </c>
      <c r="K1081">
        <v>90.6</v>
      </c>
      <c r="L1081">
        <v>73.400000000000006</v>
      </c>
      <c r="M1081">
        <v>82.3</v>
      </c>
      <c r="N1081">
        <v>69.7</v>
      </c>
      <c r="O1081">
        <v>71.599999999999994</v>
      </c>
      <c r="S1081">
        <f t="shared" si="163"/>
        <v>1</v>
      </c>
      <c r="T1081">
        <f t="shared" si="164"/>
        <v>1</v>
      </c>
      <c r="U1081">
        <f t="shared" si="165"/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25.3</v>
      </c>
      <c r="AG1081">
        <f t="shared" si="166"/>
        <v>1</v>
      </c>
      <c r="AH1081">
        <f t="shared" si="167"/>
        <v>1</v>
      </c>
      <c r="AI1081">
        <f t="shared" si="168"/>
        <v>0</v>
      </c>
      <c r="AJ1081">
        <v>296.39999999999998</v>
      </c>
      <c r="AK1081">
        <v>1004</v>
      </c>
      <c r="AL1081">
        <v>17.399999999999999</v>
      </c>
      <c r="AM1081">
        <v>6.4</v>
      </c>
      <c r="AN1081">
        <v>300.3</v>
      </c>
      <c r="AO1081">
        <v>25.9</v>
      </c>
      <c r="AP1081">
        <v>9</v>
      </c>
      <c r="AQ1081">
        <v>0</v>
      </c>
      <c r="AR1081" t="s">
        <v>3690</v>
      </c>
      <c r="AS1081" t="s">
        <v>3691</v>
      </c>
      <c r="AT1081">
        <v>0.73</v>
      </c>
      <c r="AU1081" t="s">
        <v>74</v>
      </c>
      <c r="AV1081" t="s">
        <v>2955</v>
      </c>
      <c r="AW1081" t="s">
        <v>75</v>
      </c>
      <c r="AX1081" s="1">
        <v>0.89930555555555558</v>
      </c>
      <c r="AY1081" t="s">
        <v>3694</v>
      </c>
      <c r="AZ1081">
        <v>924.99999999767169</v>
      </c>
      <c r="BA1081">
        <v>1</v>
      </c>
      <c r="BB1081">
        <v>0</v>
      </c>
      <c r="BC1081">
        <v>10</v>
      </c>
      <c r="BD1081">
        <v>0</v>
      </c>
      <c r="BE1081">
        <f t="shared" si="169"/>
        <v>1</v>
      </c>
    </row>
    <row r="1082" spans="1:57" x14ac:dyDescent="0.25">
      <c r="A1082" t="s">
        <v>39</v>
      </c>
      <c r="B1082" t="s">
        <v>3695</v>
      </c>
      <c r="C1082">
        <v>86</v>
      </c>
      <c r="D1082">
        <v>71.900000000000006</v>
      </c>
      <c r="G1082">
        <f t="shared" si="160"/>
        <v>1</v>
      </c>
      <c r="H1082">
        <f t="shared" si="161"/>
        <v>1</v>
      </c>
      <c r="I1082">
        <f t="shared" si="162"/>
        <v>0</v>
      </c>
      <c r="J1082">
        <v>78.400000000000006</v>
      </c>
      <c r="K1082">
        <v>86.7</v>
      </c>
      <c r="L1082">
        <v>71.900000000000006</v>
      </c>
      <c r="M1082">
        <v>79.2</v>
      </c>
      <c r="N1082">
        <v>67.2</v>
      </c>
      <c r="O1082">
        <v>69.599999999999994</v>
      </c>
      <c r="S1082">
        <f t="shared" si="163"/>
        <v>1</v>
      </c>
      <c r="T1082">
        <f t="shared" si="164"/>
        <v>1</v>
      </c>
      <c r="U1082">
        <f t="shared" si="165"/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28.9</v>
      </c>
      <c r="AG1082">
        <f t="shared" si="166"/>
        <v>1</v>
      </c>
      <c r="AH1082">
        <f t="shared" si="167"/>
        <v>1</v>
      </c>
      <c r="AI1082">
        <f t="shared" si="168"/>
        <v>0</v>
      </c>
      <c r="AJ1082">
        <v>300.10000000000002</v>
      </c>
      <c r="AK1082">
        <v>1005.5</v>
      </c>
      <c r="AL1082">
        <v>21.5</v>
      </c>
      <c r="AM1082">
        <v>6.4</v>
      </c>
      <c r="AN1082">
        <v>299.5</v>
      </c>
      <c r="AO1082">
        <v>26.1</v>
      </c>
      <c r="AP1082">
        <v>9</v>
      </c>
      <c r="AQ1082">
        <v>0</v>
      </c>
      <c r="AR1082" t="s">
        <v>3696</v>
      </c>
      <c r="AS1082" t="s">
        <v>3697</v>
      </c>
      <c r="AT1082">
        <v>0.75</v>
      </c>
      <c r="AU1082" t="s">
        <v>43</v>
      </c>
      <c r="AV1082" t="s">
        <v>44</v>
      </c>
      <c r="AW1082" t="s">
        <v>45</v>
      </c>
      <c r="AX1082" s="1">
        <v>0.86458333333333337</v>
      </c>
      <c r="AY1082" t="s">
        <v>3698</v>
      </c>
      <c r="AZ1082">
        <v>2094.9999999976721</v>
      </c>
      <c r="BA1082">
        <v>1</v>
      </c>
      <c r="BB1082">
        <v>0</v>
      </c>
      <c r="BC1082">
        <v>10</v>
      </c>
      <c r="BD1082">
        <v>0</v>
      </c>
      <c r="BE1082">
        <f t="shared" si="169"/>
        <v>1</v>
      </c>
    </row>
    <row r="1083" spans="1:57" x14ac:dyDescent="0.25">
      <c r="A1083" t="s">
        <v>39</v>
      </c>
      <c r="B1083" t="s">
        <v>3695</v>
      </c>
      <c r="C1083">
        <v>86</v>
      </c>
      <c r="D1083">
        <v>71.900000000000006</v>
      </c>
      <c r="G1083">
        <f t="shared" si="160"/>
        <v>1</v>
      </c>
      <c r="H1083">
        <f t="shared" si="161"/>
        <v>1</v>
      </c>
      <c r="I1083">
        <f t="shared" si="162"/>
        <v>0</v>
      </c>
      <c r="J1083">
        <v>78.400000000000006</v>
      </c>
      <c r="K1083">
        <v>86.7</v>
      </c>
      <c r="L1083">
        <v>71.900000000000006</v>
      </c>
      <c r="M1083">
        <v>79.2</v>
      </c>
      <c r="N1083">
        <v>67.2</v>
      </c>
      <c r="O1083">
        <v>69.599999999999994</v>
      </c>
      <c r="S1083">
        <f t="shared" si="163"/>
        <v>1</v>
      </c>
      <c r="T1083">
        <f t="shared" si="164"/>
        <v>1</v>
      </c>
      <c r="U1083">
        <f t="shared" si="165"/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28.9</v>
      </c>
      <c r="AG1083">
        <f t="shared" si="166"/>
        <v>1</v>
      </c>
      <c r="AH1083">
        <f t="shared" si="167"/>
        <v>1</v>
      </c>
      <c r="AI1083">
        <f t="shared" si="168"/>
        <v>0</v>
      </c>
      <c r="AJ1083">
        <v>300.10000000000002</v>
      </c>
      <c r="AK1083">
        <v>1005.5</v>
      </c>
      <c r="AL1083">
        <v>21.5</v>
      </c>
      <c r="AM1083">
        <v>6.4</v>
      </c>
      <c r="AN1083">
        <v>299.5</v>
      </c>
      <c r="AO1083">
        <v>26.1</v>
      </c>
      <c r="AP1083">
        <v>9</v>
      </c>
      <c r="AQ1083">
        <v>0</v>
      </c>
      <c r="AR1083" t="s">
        <v>3696</v>
      </c>
      <c r="AS1083" t="s">
        <v>3697</v>
      </c>
      <c r="AT1083">
        <v>0.75</v>
      </c>
      <c r="AU1083" t="s">
        <v>43</v>
      </c>
      <c r="AV1083" t="s">
        <v>44</v>
      </c>
      <c r="AW1083" t="s">
        <v>45</v>
      </c>
      <c r="AX1083" s="1">
        <v>0.81944444444444442</v>
      </c>
      <c r="AY1083" t="s">
        <v>3699</v>
      </c>
      <c r="AZ1083">
        <v>1579.9999999953429</v>
      </c>
      <c r="BA1083">
        <v>1</v>
      </c>
      <c r="BB1083">
        <v>0</v>
      </c>
      <c r="BC1083">
        <v>5</v>
      </c>
      <c r="BD1083">
        <v>0</v>
      </c>
      <c r="BE1083">
        <f t="shared" si="169"/>
        <v>1</v>
      </c>
    </row>
    <row r="1084" spans="1:57" x14ac:dyDescent="0.25">
      <c r="A1084" t="s">
        <v>39</v>
      </c>
      <c r="B1084" t="s">
        <v>3695</v>
      </c>
      <c r="C1084">
        <v>86</v>
      </c>
      <c r="D1084">
        <v>71.900000000000006</v>
      </c>
      <c r="G1084">
        <f t="shared" si="160"/>
        <v>1</v>
      </c>
      <c r="H1084">
        <f t="shared" si="161"/>
        <v>1</v>
      </c>
      <c r="I1084">
        <f t="shared" si="162"/>
        <v>0</v>
      </c>
      <c r="J1084">
        <v>78.400000000000006</v>
      </c>
      <c r="K1084">
        <v>86.7</v>
      </c>
      <c r="L1084">
        <v>71.900000000000006</v>
      </c>
      <c r="M1084">
        <v>79.2</v>
      </c>
      <c r="N1084">
        <v>67.2</v>
      </c>
      <c r="O1084">
        <v>69.599999999999994</v>
      </c>
      <c r="S1084">
        <f t="shared" si="163"/>
        <v>1</v>
      </c>
      <c r="T1084">
        <f t="shared" si="164"/>
        <v>1</v>
      </c>
      <c r="U1084">
        <f t="shared" si="165"/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28.9</v>
      </c>
      <c r="AG1084">
        <f t="shared" si="166"/>
        <v>1</v>
      </c>
      <c r="AH1084">
        <f t="shared" si="167"/>
        <v>1</v>
      </c>
      <c r="AI1084">
        <f t="shared" si="168"/>
        <v>0</v>
      </c>
      <c r="AJ1084">
        <v>300.10000000000002</v>
      </c>
      <c r="AK1084">
        <v>1005.5</v>
      </c>
      <c r="AL1084">
        <v>21.5</v>
      </c>
      <c r="AM1084">
        <v>6.4</v>
      </c>
      <c r="AN1084">
        <v>299.5</v>
      </c>
      <c r="AO1084">
        <v>26.1</v>
      </c>
      <c r="AP1084">
        <v>9</v>
      </c>
      <c r="AQ1084">
        <v>0</v>
      </c>
      <c r="AR1084" t="s">
        <v>3696</v>
      </c>
      <c r="AS1084" t="s">
        <v>3697</v>
      </c>
      <c r="AT1084">
        <v>0.75</v>
      </c>
      <c r="AU1084" t="s">
        <v>43</v>
      </c>
      <c r="AV1084" t="s">
        <v>44</v>
      </c>
      <c r="AW1084" t="s">
        <v>45</v>
      </c>
      <c r="AX1084" s="1">
        <v>0.71180555555555558</v>
      </c>
      <c r="AY1084" t="s">
        <v>3700</v>
      </c>
      <c r="AZ1084">
        <v>3264.9999999976721</v>
      </c>
      <c r="BA1084">
        <v>1</v>
      </c>
      <c r="BB1084">
        <v>0</v>
      </c>
      <c r="BC1084">
        <v>150</v>
      </c>
      <c r="BD1084">
        <v>0</v>
      </c>
      <c r="BE1084">
        <f t="shared" si="169"/>
        <v>1</v>
      </c>
    </row>
    <row r="1085" spans="1:57" x14ac:dyDescent="0.25">
      <c r="A1085" t="s">
        <v>39</v>
      </c>
      <c r="B1085" t="s">
        <v>3701</v>
      </c>
      <c r="C1085">
        <v>82.4</v>
      </c>
      <c r="D1085">
        <v>64.400000000000006</v>
      </c>
      <c r="G1085">
        <f t="shared" si="160"/>
        <v>1</v>
      </c>
      <c r="H1085">
        <f t="shared" si="161"/>
        <v>1</v>
      </c>
      <c r="I1085">
        <f t="shared" si="162"/>
        <v>0</v>
      </c>
      <c r="J1085">
        <v>74.5</v>
      </c>
      <c r="K1085">
        <v>85.4</v>
      </c>
      <c r="L1085">
        <v>64.400000000000006</v>
      </c>
      <c r="M1085">
        <v>75</v>
      </c>
      <c r="N1085">
        <v>63.1</v>
      </c>
      <c r="O1085">
        <v>68</v>
      </c>
      <c r="S1085">
        <f t="shared" si="163"/>
        <v>0</v>
      </c>
      <c r="T1085">
        <f t="shared" si="164"/>
        <v>0</v>
      </c>
      <c r="U1085">
        <f t="shared" si="165"/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10.3</v>
      </c>
      <c r="AG1085">
        <f t="shared" si="166"/>
        <v>1</v>
      </c>
      <c r="AH1085">
        <f t="shared" si="167"/>
        <v>0</v>
      </c>
      <c r="AI1085">
        <f t="shared" si="168"/>
        <v>1</v>
      </c>
      <c r="AJ1085">
        <v>321.60000000000002</v>
      </c>
      <c r="AK1085">
        <v>1015.4</v>
      </c>
      <c r="AL1085">
        <v>11.5</v>
      </c>
      <c r="AM1085">
        <v>6.4</v>
      </c>
      <c r="AN1085">
        <v>296.5</v>
      </c>
      <c r="AO1085">
        <v>25.6</v>
      </c>
      <c r="AP1085">
        <v>9</v>
      </c>
      <c r="AQ1085">
        <v>0</v>
      </c>
      <c r="AR1085" t="s">
        <v>3702</v>
      </c>
      <c r="AS1085" t="s">
        <v>3703</v>
      </c>
      <c r="AT1085">
        <v>0.83</v>
      </c>
      <c r="AU1085" t="s">
        <v>74</v>
      </c>
      <c r="AV1085" t="s">
        <v>2955</v>
      </c>
      <c r="AW1085" t="s">
        <v>75</v>
      </c>
      <c r="AX1085" s="1">
        <v>0.76388888888888884</v>
      </c>
      <c r="AY1085" t="s">
        <v>3704</v>
      </c>
      <c r="AZ1085">
        <v>100.0000000011642</v>
      </c>
      <c r="BA1085">
        <v>0</v>
      </c>
      <c r="BB1085">
        <v>0</v>
      </c>
      <c r="BC1085">
        <v>5</v>
      </c>
      <c r="BD1085">
        <v>0</v>
      </c>
      <c r="BE1085">
        <f t="shared" si="169"/>
        <v>0</v>
      </c>
    </row>
    <row r="1086" spans="1:57" x14ac:dyDescent="0.25">
      <c r="A1086" t="s">
        <v>39</v>
      </c>
      <c r="B1086" t="s">
        <v>3705</v>
      </c>
      <c r="C1086">
        <v>84.2</v>
      </c>
      <c r="D1086">
        <v>69.8</v>
      </c>
      <c r="G1086">
        <f t="shared" si="160"/>
        <v>1</v>
      </c>
      <c r="H1086">
        <f t="shared" si="161"/>
        <v>1</v>
      </c>
      <c r="I1086">
        <f t="shared" si="162"/>
        <v>0</v>
      </c>
      <c r="J1086">
        <v>76.3</v>
      </c>
      <c r="K1086">
        <v>89.6</v>
      </c>
      <c r="L1086">
        <v>69.8</v>
      </c>
      <c r="M1086">
        <v>77.5</v>
      </c>
      <c r="N1086">
        <v>64.7</v>
      </c>
      <c r="O1086">
        <v>68</v>
      </c>
      <c r="S1086">
        <f t="shared" si="163"/>
        <v>0</v>
      </c>
      <c r="T1086">
        <f t="shared" si="164"/>
        <v>0</v>
      </c>
      <c r="U1086">
        <f t="shared" si="165"/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8.1</v>
      </c>
      <c r="AG1086">
        <f t="shared" si="166"/>
        <v>1</v>
      </c>
      <c r="AH1086">
        <f t="shared" si="167"/>
        <v>0</v>
      </c>
      <c r="AI1086">
        <f t="shared" si="168"/>
        <v>1</v>
      </c>
      <c r="AJ1086">
        <v>125.1</v>
      </c>
      <c r="AK1086">
        <v>1011.2</v>
      </c>
      <c r="AL1086">
        <v>19.899999999999999</v>
      </c>
      <c r="AM1086">
        <v>6.4</v>
      </c>
      <c r="AN1086">
        <v>261.5</v>
      </c>
      <c r="AO1086">
        <v>22.6</v>
      </c>
      <c r="AP1086">
        <v>9</v>
      </c>
      <c r="AQ1086">
        <v>0</v>
      </c>
      <c r="AR1086" t="s">
        <v>3706</v>
      </c>
      <c r="AS1086" t="s">
        <v>3707</v>
      </c>
      <c r="AT1086">
        <v>0.9</v>
      </c>
      <c r="AU1086" t="s">
        <v>74</v>
      </c>
      <c r="AV1086" t="s">
        <v>2955</v>
      </c>
      <c r="AW1086" t="s">
        <v>75</v>
      </c>
      <c r="AX1086" s="1">
        <v>0.90972222222222221</v>
      </c>
      <c r="AY1086" t="s">
        <v>3708</v>
      </c>
      <c r="AZ1086">
        <v>10.00000000116415</v>
      </c>
      <c r="BA1086">
        <v>0</v>
      </c>
      <c r="BB1086">
        <v>0</v>
      </c>
      <c r="BC1086">
        <v>1</v>
      </c>
      <c r="BD1086">
        <v>0</v>
      </c>
      <c r="BE1086">
        <f t="shared" si="169"/>
        <v>0</v>
      </c>
    </row>
    <row r="1087" spans="1:57" x14ac:dyDescent="0.25">
      <c r="A1087" t="s">
        <v>39</v>
      </c>
      <c r="B1087" t="s">
        <v>3709</v>
      </c>
      <c r="C1087">
        <v>78.8</v>
      </c>
      <c r="D1087">
        <v>69.8</v>
      </c>
      <c r="G1087">
        <f t="shared" si="160"/>
        <v>0</v>
      </c>
      <c r="H1087">
        <f t="shared" si="161"/>
        <v>0</v>
      </c>
      <c r="I1087">
        <f t="shared" si="162"/>
        <v>0</v>
      </c>
      <c r="J1087">
        <v>74.8</v>
      </c>
      <c r="K1087">
        <v>78.8</v>
      </c>
      <c r="L1087">
        <v>69.8</v>
      </c>
      <c r="M1087">
        <v>74.8</v>
      </c>
      <c r="N1087">
        <v>66</v>
      </c>
      <c r="O1087">
        <v>74.400000000000006</v>
      </c>
      <c r="S1087">
        <f t="shared" si="163"/>
        <v>1</v>
      </c>
      <c r="T1087">
        <f t="shared" si="164"/>
        <v>1</v>
      </c>
      <c r="U1087">
        <f t="shared" si="165"/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11.4</v>
      </c>
      <c r="AG1087">
        <f t="shared" si="166"/>
        <v>1</v>
      </c>
      <c r="AH1087">
        <f t="shared" si="167"/>
        <v>0</v>
      </c>
      <c r="AI1087">
        <f t="shared" si="168"/>
        <v>1</v>
      </c>
      <c r="AJ1087">
        <v>324.8</v>
      </c>
      <c r="AK1087">
        <v>1013.3</v>
      </c>
      <c r="AL1087">
        <v>39.799999999999997</v>
      </c>
      <c r="AM1087">
        <v>6.6</v>
      </c>
      <c r="AN1087">
        <v>271.10000000000002</v>
      </c>
      <c r="AO1087">
        <v>23.5</v>
      </c>
      <c r="AP1087">
        <v>9</v>
      </c>
      <c r="AQ1087">
        <v>0</v>
      </c>
      <c r="AR1087" t="s">
        <v>3710</v>
      </c>
      <c r="AS1087" t="s">
        <v>3711</v>
      </c>
      <c r="AT1087">
        <v>0.17</v>
      </c>
      <c r="AU1087" t="s">
        <v>43</v>
      </c>
      <c r="AV1087" t="s">
        <v>44</v>
      </c>
      <c r="AW1087" t="s">
        <v>45</v>
      </c>
      <c r="AX1087" s="1">
        <v>0.85416666666666663</v>
      </c>
      <c r="AY1087" t="s">
        <v>3712</v>
      </c>
      <c r="AZ1087">
        <v>180</v>
      </c>
      <c r="BA1087">
        <v>0</v>
      </c>
      <c r="BB1087">
        <v>0</v>
      </c>
      <c r="BC1087">
        <v>1</v>
      </c>
      <c r="BD1087">
        <v>0</v>
      </c>
      <c r="BE1087">
        <f t="shared" si="169"/>
        <v>0</v>
      </c>
    </row>
    <row r="1088" spans="1:57" x14ac:dyDescent="0.25">
      <c r="A1088" t="s">
        <v>39</v>
      </c>
      <c r="B1088" t="s">
        <v>3713</v>
      </c>
      <c r="C1088">
        <v>77</v>
      </c>
      <c r="D1088">
        <v>64.400000000000006</v>
      </c>
      <c r="G1088">
        <f t="shared" si="160"/>
        <v>1</v>
      </c>
      <c r="H1088">
        <f t="shared" si="161"/>
        <v>0</v>
      </c>
      <c r="I1088">
        <f t="shared" si="162"/>
        <v>1</v>
      </c>
      <c r="J1088">
        <v>71.900000000000006</v>
      </c>
      <c r="K1088">
        <v>77</v>
      </c>
      <c r="L1088">
        <v>64.400000000000006</v>
      </c>
      <c r="M1088">
        <v>71.900000000000006</v>
      </c>
      <c r="N1088">
        <v>63.6</v>
      </c>
      <c r="O1088">
        <v>75.5</v>
      </c>
      <c r="S1088">
        <f t="shared" si="163"/>
        <v>1</v>
      </c>
      <c r="T1088">
        <f t="shared" si="164"/>
        <v>1</v>
      </c>
      <c r="U1088">
        <f t="shared" si="165"/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12.8</v>
      </c>
      <c r="AG1088">
        <f t="shared" si="166"/>
        <v>1</v>
      </c>
      <c r="AH1088">
        <f t="shared" si="167"/>
        <v>0</v>
      </c>
      <c r="AI1088">
        <f t="shared" si="168"/>
        <v>1</v>
      </c>
      <c r="AJ1088">
        <v>108.3</v>
      </c>
      <c r="AK1088">
        <v>1011.6</v>
      </c>
      <c r="AL1088">
        <v>50.4</v>
      </c>
      <c r="AM1088">
        <v>6.6</v>
      </c>
      <c r="AN1088">
        <v>100.5</v>
      </c>
      <c r="AO1088">
        <v>8.6999999999999993</v>
      </c>
      <c r="AP1088">
        <v>4</v>
      </c>
      <c r="AQ1088">
        <v>0</v>
      </c>
      <c r="AR1088" t="s">
        <v>3714</v>
      </c>
      <c r="AS1088" t="s">
        <v>3715</v>
      </c>
      <c r="AT1088">
        <v>0.53</v>
      </c>
      <c r="AU1088" t="s">
        <v>43</v>
      </c>
      <c r="AV1088" t="s">
        <v>44</v>
      </c>
      <c r="AW1088" t="s">
        <v>45</v>
      </c>
      <c r="AX1088" s="1">
        <v>0.42708333333333331</v>
      </c>
      <c r="AY1088" t="s">
        <v>3716</v>
      </c>
      <c r="AZ1088">
        <v>1564.9999999988361</v>
      </c>
      <c r="BA1088">
        <v>1</v>
      </c>
      <c r="BB1088">
        <v>0</v>
      </c>
      <c r="BC1088">
        <v>100</v>
      </c>
      <c r="BD1088">
        <v>0</v>
      </c>
      <c r="BE1088">
        <f t="shared" si="169"/>
        <v>1</v>
      </c>
    </row>
    <row r="1089" spans="1:57" x14ac:dyDescent="0.25">
      <c r="A1089" t="s">
        <v>39</v>
      </c>
      <c r="B1089" t="s">
        <v>3717</v>
      </c>
      <c r="C1089">
        <v>86.3</v>
      </c>
      <c r="D1089">
        <v>77</v>
      </c>
      <c r="G1089">
        <f t="shared" si="160"/>
        <v>1</v>
      </c>
      <c r="H1089">
        <f t="shared" si="161"/>
        <v>1</v>
      </c>
      <c r="I1089">
        <f t="shared" si="162"/>
        <v>0</v>
      </c>
      <c r="J1089">
        <v>80</v>
      </c>
      <c r="K1089">
        <v>86.2</v>
      </c>
      <c r="L1089">
        <v>77</v>
      </c>
      <c r="M1089">
        <v>82</v>
      </c>
      <c r="N1089">
        <v>69.400000000000006</v>
      </c>
      <c r="O1089">
        <v>71.8</v>
      </c>
      <c r="S1089">
        <f t="shared" si="163"/>
        <v>1</v>
      </c>
      <c r="T1089">
        <f t="shared" si="164"/>
        <v>1</v>
      </c>
      <c r="U1089">
        <f t="shared" si="165"/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20.8</v>
      </c>
      <c r="AG1089">
        <f t="shared" si="166"/>
        <v>1</v>
      </c>
      <c r="AH1089">
        <f t="shared" si="167"/>
        <v>1</v>
      </c>
      <c r="AI1089">
        <f t="shared" si="168"/>
        <v>0</v>
      </c>
      <c r="AJ1089">
        <v>252.1</v>
      </c>
      <c r="AK1089">
        <v>1008.5</v>
      </c>
      <c r="AL1089">
        <v>49.2</v>
      </c>
      <c r="AM1089">
        <v>6.6</v>
      </c>
      <c r="AN1089">
        <v>207</v>
      </c>
      <c r="AO1089">
        <v>17.7</v>
      </c>
      <c r="AP1089">
        <v>8</v>
      </c>
      <c r="AQ1089">
        <v>0</v>
      </c>
      <c r="AR1089" t="s">
        <v>3718</v>
      </c>
      <c r="AS1089" t="s">
        <v>3719</v>
      </c>
      <c r="AT1089">
        <v>0.6</v>
      </c>
      <c r="AU1089" t="s">
        <v>43</v>
      </c>
      <c r="AV1089" t="s">
        <v>44</v>
      </c>
      <c r="AW1089" t="s">
        <v>45</v>
      </c>
      <c r="AX1089" s="1">
        <v>0.73611111111111116</v>
      </c>
      <c r="AY1089" t="s">
        <v>3720</v>
      </c>
      <c r="AZ1089">
        <v>850.00000000465661</v>
      </c>
      <c r="BA1089">
        <v>1</v>
      </c>
      <c r="BB1089">
        <v>0</v>
      </c>
      <c r="BC1089">
        <v>10</v>
      </c>
      <c r="BD1089">
        <v>0</v>
      </c>
      <c r="BE1089">
        <f t="shared" si="169"/>
        <v>1</v>
      </c>
    </row>
    <row r="1090" spans="1:57" x14ac:dyDescent="0.25">
      <c r="A1090" t="s">
        <v>39</v>
      </c>
      <c r="B1090" t="s">
        <v>3721</v>
      </c>
      <c r="C1090">
        <v>95</v>
      </c>
      <c r="D1090">
        <v>74.400000000000006</v>
      </c>
      <c r="G1090">
        <f t="shared" si="160"/>
        <v>1</v>
      </c>
      <c r="H1090">
        <f t="shared" si="161"/>
        <v>1</v>
      </c>
      <c r="I1090">
        <f t="shared" si="162"/>
        <v>0</v>
      </c>
      <c r="J1090">
        <v>83.2</v>
      </c>
      <c r="K1090">
        <v>95.3</v>
      </c>
      <c r="L1090">
        <v>74.400000000000006</v>
      </c>
      <c r="M1090">
        <v>84.1</v>
      </c>
      <c r="N1090">
        <v>61.8</v>
      </c>
      <c r="O1090">
        <v>51</v>
      </c>
      <c r="S1090">
        <f t="shared" si="163"/>
        <v>1</v>
      </c>
      <c r="T1090">
        <f t="shared" si="164"/>
        <v>0</v>
      </c>
      <c r="U1090">
        <f t="shared" si="165"/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33.299999999999997</v>
      </c>
      <c r="AC1090">
        <v>21.9</v>
      </c>
      <c r="AG1090">
        <f t="shared" si="166"/>
        <v>1</v>
      </c>
      <c r="AH1090">
        <f t="shared" si="167"/>
        <v>1</v>
      </c>
      <c r="AI1090">
        <f t="shared" si="168"/>
        <v>0</v>
      </c>
      <c r="AJ1090">
        <v>178.1</v>
      </c>
      <c r="AK1090">
        <v>1009.8</v>
      </c>
      <c r="AL1090">
        <v>64.599999999999994</v>
      </c>
      <c r="AM1090">
        <v>6.2</v>
      </c>
      <c r="AN1090">
        <v>120.5</v>
      </c>
      <c r="AO1090">
        <v>10.4</v>
      </c>
      <c r="AP1090">
        <v>5</v>
      </c>
      <c r="AQ1090">
        <v>0</v>
      </c>
      <c r="AR1090" t="s">
        <v>3722</v>
      </c>
      <c r="AS1090" t="s">
        <v>3723</v>
      </c>
      <c r="AT1090">
        <v>0.71</v>
      </c>
      <c r="AU1090" t="s">
        <v>43</v>
      </c>
      <c r="AV1090" t="s">
        <v>44</v>
      </c>
      <c r="AW1090" t="s">
        <v>45</v>
      </c>
      <c r="AX1090" s="1">
        <v>0.25</v>
      </c>
      <c r="AY1090" t="s">
        <v>3724</v>
      </c>
      <c r="AZ1090">
        <v>149.99999999650751</v>
      </c>
      <c r="BA1090">
        <v>0</v>
      </c>
      <c r="BB1090">
        <v>0</v>
      </c>
      <c r="BC1090">
        <v>1</v>
      </c>
      <c r="BD1090">
        <v>0</v>
      </c>
      <c r="BE1090">
        <f t="shared" si="169"/>
        <v>1</v>
      </c>
    </row>
    <row r="1091" spans="1:57" x14ac:dyDescent="0.25">
      <c r="A1091" t="s">
        <v>39</v>
      </c>
      <c r="B1091" t="s">
        <v>3721</v>
      </c>
      <c r="C1091">
        <v>95</v>
      </c>
      <c r="D1091">
        <v>74.400000000000006</v>
      </c>
      <c r="G1091">
        <f t="shared" ref="G1091:G1154" si="170">IF(ABS(C1091-INDEX($F$2:$F$13,MONTH(B1091)))&gt;1.8,1,0)</f>
        <v>1</v>
      </c>
      <c r="H1091">
        <f t="shared" ref="H1091:H1154" si="171">IF(C1091&gt;=INDEX($F$2:$F$13,MONTH(B1091))+1.8,1,0)</f>
        <v>1</v>
      </c>
      <c r="I1091">
        <f t="shared" ref="I1091:I1154" si="172">IF(C1091&lt;=INDEX($F$2:$F$13,MONTH(B1091))-1.8,1,0)</f>
        <v>0</v>
      </c>
      <c r="J1091">
        <v>83.2</v>
      </c>
      <c r="K1091">
        <v>95.3</v>
      </c>
      <c r="L1091">
        <v>74.400000000000006</v>
      </c>
      <c r="M1091">
        <v>84.1</v>
      </c>
      <c r="N1091">
        <v>61.8</v>
      </c>
      <c r="O1091">
        <v>51</v>
      </c>
      <c r="S1091">
        <f t="shared" ref="S1091:S1154" si="173">IF(OR(O1091&lt;INDEX($Q$2:$Q$13,MONTH(B1091)),O1091&gt;INDEX($R$2:$R$13,MONTH(B1091))),1,0)</f>
        <v>1</v>
      </c>
      <c r="T1091">
        <f t="shared" ref="T1091:T1154" si="174">IF(O1091&gt;INDEX($R$2:$R$13,MONTH(B1091)),1,0)</f>
        <v>0</v>
      </c>
      <c r="U1091">
        <f t="shared" ref="U1091:U1154" si="175">IF(O1091&lt;INDEX($Q$2:$Q$13,MONTH(B1091)),1,0)</f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33.299999999999997</v>
      </c>
      <c r="AC1091">
        <v>21.9</v>
      </c>
      <c r="AG1091">
        <f t="shared" ref="AG1091:AG1154" si="176">IF(OR(AC1091&lt;INDEX($AE$2:$AE$13,MONTH(B1091)),AC1091&gt;INDEX($AF$2:$AF$13,MONTH(B1091))),1,0)</f>
        <v>1</v>
      </c>
      <c r="AH1091">
        <f t="shared" ref="AH1091:AH1154" si="177">IF(AC1091&gt;INDEX($AF$2:$AF$13,MONTH(B1091)),1,0)</f>
        <v>1</v>
      </c>
      <c r="AI1091">
        <f t="shared" ref="AI1091:AI1154" si="178">IF(AC1091&lt;INDEX($AE$2:$AE$13,MONTH(B1091)),1,0)</f>
        <v>0</v>
      </c>
      <c r="AJ1091">
        <v>178.1</v>
      </c>
      <c r="AK1091">
        <v>1009.8</v>
      </c>
      <c r="AL1091">
        <v>64.599999999999994</v>
      </c>
      <c r="AM1091">
        <v>6.2</v>
      </c>
      <c r="AN1091">
        <v>120.5</v>
      </c>
      <c r="AO1091">
        <v>10.4</v>
      </c>
      <c r="AP1091">
        <v>5</v>
      </c>
      <c r="AQ1091">
        <v>0</v>
      </c>
      <c r="AR1091" t="s">
        <v>3722</v>
      </c>
      <c r="AS1091" t="s">
        <v>3723</v>
      </c>
      <c r="AT1091">
        <v>0.71</v>
      </c>
      <c r="AU1091" t="s">
        <v>43</v>
      </c>
      <c r="AV1091" t="s">
        <v>44</v>
      </c>
      <c r="AW1091" t="s">
        <v>45</v>
      </c>
      <c r="AX1091" s="1">
        <v>0.24305555555555561</v>
      </c>
      <c r="AY1091" t="s">
        <v>3725</v>
      </c>
      <c r="AZ1091">
        <v>159.99999999767169</v>
      </c>
      <c r="BA1091">
        <v>0</v>
      </c>
      <c r="BB1091">
        <v>0</v>
      </c>
      <c r="BC1091">
        <v>20</v>
      </c>
      <c r="BD1091">
        <v>0</v>
      </c>
      <c r="BE1091">
        <f t="shared" ref="BE1091:BE1154" si="179">IF((3*AH1091+3*H1091+2*U1091+2*BA1091-(2*(1-T1091)+2*(1-I1091)+2*(1-AI1091)))&gt;=1,1,0)</f>
        <v>1</v>
      </c>
    </row>
    <row r="1092" spans="1:57" x14ac:dyDescent="0.25">
      <c r="A1092" t="s">
        <v>39</v>
      </c>
      <c r="B1092" t="s">
        <v>3721</v>
      </c>
      <c r="C1092">
        <v>95</v>
      </c>
      <c r="D1092">
        <v>74.400000000000006</v>
      </c>
      <c r="G1092">
        <f t="shared" si="170"/>
        <v>1</v>
      </c>
      <c r="H1092">
        <f t="shared" si="171"/>
        <v>1</v>
      </c>
      <c r="I1092">
        <f t="shared" si="172"/>
        <v>0</v>
      </c>
      <c r="J1092">
        <v>83.2</v>
      </c>
      <c r="K1092">
        <v>95.3</v>
      </c>
      <c r="L1092">
        <v>74.400000000000006</v>
      </c>
      <c r="M1092">
        <v>84.1</v>
      </c>
      <c r="N1092">
        <v>61.8</v>
      </c>
      <c r="O1092">
        <v>51</v>
      </c>
      <c r="S1092">
        <f t="shared" si="173"/>
        <v>1</v>
      </c>
      <c r="T1092">
        <f t="shared" si="174"/>
        <v>0</v>
      </c>
      <c r="U1092">
        <f t="shared" si="175"/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33.299999999999997</v>
      </c>
      <c r="AC1092">
        <v>21.9</v>
      </c>
      <c r="AG1092">
        <f t="shared" si="176"/>
        <v>1</v>
      </c>
      <c r="AH1092">
        <f t="shared" si="177"/>
        <v>1</v>
      </c>
      <c r="AI1092">
        <f t="shared" si="178"/>
        <v>0</v>
      </c>
      <c r="AJ1092">
        <v>178.1</v>
      </c>
      <c r="AK1092">
        <v>1009.8</v>
      </c>
      <c r="AL1092">
        <v>64.599999999999994</v>
      </c>
      <c r="AM1092">
        <v>6.2</v>
      </c>
      <c r="AN1092">
        <v>120.5</v>
      </c>
      <c r="AO1092">
        <v>10.4</v>
      </c>
      <c r="AP1092">
        <v>5</v>
      </c>
      <c r="AQ1092">
        <v>0</v>
      </c>
      <c r="AR1092" t="s">
        <v>3722</v>
      </c>
      <c r="AS1092" t="s">
        <v>3723</v>
      </c>
      <c r="AT1092">
        <v>0.71</v>
      </c>
      <c r="AU1092" t="s">
        <v>43</v>
      </c>
      <c r="AV1092" t="s">
        <v>44</v>
      </c>
      <c r="AW1092" t="s">
        <v>45</v>
      </c>
      <c r="AX1092" s="1">
        <v>0.25694444444444442</v>
      </c>
      <c r="AY1092" t="s">
        <v>3726</v>
      </c>
      <c r="AZ1092">
        <v>139.99999999534339</v>
      </c>
      <c r="BA1092">
        <v>0</v>
      </c>
      <c r="BB1092">
        <v>0</v>
      </c>
      <c r="BC1092">
        <v>10</v>
      </c>
      <c r="BD1092">
        <v>0</v>
      </c>
      <c r="BE1092">
        <f t="shared" si="179"/>
        <v>1</v>
      </c>
    </row>
    <row r="1093" spans="1:57" x14ac:dyDescent="0.25">
      <c r="A1093" t="s">
        <v>39</v>
      </c>
      <c r="B1093" t="s">
        <v>3727</v>
      </c>
      <c r="C1093">
        <v>78.8</v>
      </c>
      <c r="D1093">
        <v>66.2</v>
      </c>
      <c r="G1093">
        <f t="shared" si="170"/>
        <v>1</v>
      </c>
      <c r="H1093">
        <f t="shared" si="171"/>
        <v>1</v>
      </c>
      <c r="I1093">
        <f t="shared" si="172"/>
        <v>0</v>
      </c>
      <c r="J1093">
        <v>73.2</v>
      </c>
      <c r="K1093">
        <v>78.8</v>
      </c>
      <c r="L1093">
        <v>66.2</v>
      </c>
      <c r="M1093">
        <v>73.2</v>
      </c>
      <c r="N1093">
        <v>64.5</v>
      </c>
      <c r="O1093">
        <v>75</v>
      </c>
      <c r="S1093">
        <f t="shared" si="173"/>
        <v>1</v>
      </c>
      <c r="T1093">
        <f t="shared" si="174"/>
        <v>1</v>
      </c>
      <c r="U1093">
        <f t="shared" si="175"/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12.8</v>
      </c>
      <c r="AG1093">
        <f t="shared" si="176"/>
        <v>1</v>
      </c>
      <c r="AH1093">
        <f t="shared" si="177"/>
        <v>0</v>
      </c>
      <c r="AI1093">
        <f t="shared" si="178"/>
        <v>1</v>
      </c>
      <c r="AJ1093">
        <v>95.5</v>
      </c>
      <c r="AK1093">
        <v>1012.8</v>
      </c>
      <c r="AL1093">
        <v>43.5</v>
      </c>
      <c r="AM1093">
        <v>6.6</v>
      </c>
      <c r="AN1093">
        <v>222.9</v>
      </c>
      <c r="AO1093">
        <v>19.399999999999999</v>
      </c>
      <c r="AP1093">
        <v>8</v>
      </c>
      <c r="AQ1093">
        <v>0</v>
      </c>
      <c r="AR1093" t="s">
        <v>3728</v>
      </c>
      <c r="AS1093" t="s">
        <v>3729</v>
      </c>
      <c r="AT1093">
        <v>0.75</v>
      </c>
      <c r="AU1093" t="s">
        <v>43</v>
      </c>
      <c r="AV1093" t="s">
        <v>44</v>
      </c>
      <c r="AW1093" t="s">
        <v>45</v>
      </c>
      <c r="AX1093" s="1">
        <v>0.61458333333333337</v>
      </c>
      <c r="AY1093" t="s">
        <v>3730</v>
      </c>
      <c r="AZ1093">
        <v>14.99999999650754</v>
      </c>
      <c r="BA1093">
        <v>0</v>
      </c>
      <c r="BB1093">
        <v>0</v>
      </c>
      <c r="BC1093">
        <v>1</v>
      </c>
      <c r="BD1093">
        <v>0</v>
      </c>
      <c r="BE1093">
        <f t="shared" si="179"/>
        <v>1</v>
      </c>
    </row>
    <row r="1094" spans="1:57" x14ac:dyDescent="0.25">
      <c r="A1094" t="s">
        <v>39</v>
      </c>
      <c r="B1094" t="s">
        <v>3731</v>
      </c>
      <c r="C1094">
        <v>78.8</v>
      </c>
      <c r="D1094">
        <v>66.2</v>
      </c>
      <c r="G1094">
        <f t="shared" si="170"/>
        <v>1</v>
      </c>
      <c r="H1094">
        <f t="shared" si="171"/>
        <v>1</v>
      </c>
      <c r="I1094">
        <f t="shared" si="172"/>
        <v>0</v>
      </c>
      <c r="J1094">
        <v>72.7</v>
      </c>
      <c r="K1094">
        <v>78.8</v>
      </c>
      <c r="L1094">
        <v>66.2</v>
      </c>
      <c r="M1094">
        <v>72.7</v>
      </c>
      <c r="N1094">
        <v>63.4</v>
      </c>
      <c r="O1094">
        <v>73.400000000000006</v>
      </c>
      <c r="S1094">
        <f t="shared" si="173"/>
        <v>1</v>
      </c>
      <c r="T1094">
        <f t="shared" si="174"/>
        <v>1</v>
      </c>
      <c r="U1094">
        <f t="shared" si="175"/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10.3</v>
      </c>
      <c r="AG1094">
        <f t="shared" si="176"/>
        <v>1</v>
      </c>
      <c r="AH1094">
        <f t="shared" si="177"/>
        <v>0</v>
      </c>
      <c r="AI1094">
        <f t="shared" si="178"/>
        <v>1</v>
      </c>
      <c r="AJ1094">
        <v>51.2</v>
      </c>
      <c r="AK1094">
        <v>1013.7</v>
      </c>
      <c r="AL1094">
        <v>44.9</v>
      </c>
      <c r="AM1094">
        <v>6.6</v>
      </c>
      <c r="AN1094">
        <v>233.1</v>
      </c>
      <c r="AO1094">
        <v>20.2</v>
      </c>
      <c r="AP1094">
        <v>8</v>
      </c>
      <c r="AQ1094">
        <v>0</v>
      </c>
      <c r="AR1094" t="s">
        <v>3732</v>
      </c>
      <c r="AS1094" t="s">
        <v>3733</v>
      </c>
      <c r="AT1094">
        <v>0.81</v>
      </c>
      <c r="AU1094" t="s">
        <v>43</v>
      </c>
      <c r="AV1094" t="s">
        <v>44</v>
      </c>
      <c r="AW1094" t="s">
        <v>45</v>
      </c>
      <c r="AX1094" s="1">
        <v>0.59027777777777779</v>
      </c>
      <c r="AY1094" t="s">
        <v>3734</v>
      </c>
      <c r="AZ1094">
        <v>1039.9999999953429</v>
      </c>
      <c r="BA1094">
        <v>1</v>
      </c>
      <c r="BB1094">
        <v>0</v>
      </c>
      <c r="BC1094">
        <v>25</v>
      </c>
      <c r="BD1094">
        <v>0</v>
      </c>
      <c r="BE1094">
        <f t="shared" si="179"/>
        <v>1</v>
      </c>
    </row>
    <row r="1095" spans="1:57" x14ac:dyDescent="0.25">
      <c r="A1095" t="s">
        <v>39</v>
      </c>
      <c r="B1095" t="s">
        <v>3735</v>
      </c>
      <c r="C1095">
        <v>66.2</v>
      </c>
      <c r="D1095">
        <v>59</v>
      </c>
      <c r="G1095">
        <f t="shared" si="170"/>
        <v>1</v>
      </c>
      <c r="H1095">
        <f t="shared" si="171"/>
        <v>0</v>
      </c>
      <c r="I1095">
        <f t="shared" si="172"/>
        <v>1</v>
      </c>
      <c r="J1095">
        <v>63.7</v>
      </c>
      <c r="K1095">
        <v>66.2</v>
      </c>
      <c r="L1095">
        <v>59</v>
      </c>
      <c r="M1095">
        <v>63.7</v>
      </c>
      <c r="N1095">
        <v>52.3</v>
      </c>
      <c r="O1095">
        <v>66.7</v>
      </c>
      <c r="S1095">
        <f t="shared" si="173"/>
        <v>0</v>
      </c>
      <c r="T1095">
        <f t="shared" si="174"/>
        <v>0</v>
      </c>
      <c r="U1095">
        <f t="shared" si="175"/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17.2</v>
      </c>
      <c r="AG1095">
        <f t="shared" si="176"/>
        <v>0</v>
      </c>
      <c r="AH1095">
        <f t="shared" si="177"/>
        <v>0</v>
      </c>
      <c r="AI1095">
        <f t="shared" si="178"/>
        <v>0</v>
      </c>
      <c r="AJ1095">
        <v>353.6</v>
      </c>
      <c r="AK1095">
        <v>1016.4</v>
      </c>
      <c r="AL1095">
        <v>54.9</v>
      </c>
      <c r="AM1095">
        <v>6.6</v>
      </c>
      <c r="AN1095">
        <v>222.7</v>
      </c>
      <c r="AO1095">
        <v>19.2</v>
      </c>
      <c r="AP1095">
        <v>8</v>
      </c>
      <c r="AQ1095">
        <v>0</v>
      </c>
      <c r="AR1095" t="s">
        <v>3736</v>
      </c>
      <c r="AS1095" t="s">
        <v>3737</v>
      </c>
      <c r="AT1095">
        <v>0.05</v>
      </c>
      <c r="AU1095" t="s">
        <v>43</v>
      </c>
      <c r="AV1095" t="s">
        <v>44</v>
      </c>
      <c r="AW1095" t="s">
        <v>45</v>
      </c>
      <c r="AX1095" s="1">
        <v>0.54861111111111116</v>
      </c>
      <c r="AY1095" t="s">
        <v>3738</v>
      </c>
      <c r="AZ1095">
        <v>204.99999999767169</v>
      </c>
      <c r="BA1095">
        <v>0</v>
      </c>
      <c r="BB1095">
        <v>0</v>
      </c>
      <c r="BC1095">
        <v>1</v>
      </c>
      <c r="BD1095">
        <v>0</v>
      </c>
      <c r="BE1095">
        <f t="shared" si="179"/>
        <v>0</v>
      </c>
    </row>
    <row r="1096" spans="1:57" x14ac:dyDescent="0.25">
      <c r="A1096" t="s">
        <v>39</v>
      </c>
      <c r="B1096" t="s">
        <v>3739</v>
      </c>
      <c r="C1096">
        <v>77</v>
      </c>
      <c r="D1096">
        <v>55.4</v>
      </c>
      <c r="G1096">
        <f t="shared" si="170"/>
        <v>1</v>
      </c>
      <c r="H1096">
        <f t="shared" si="171"/>
        <v>1</v>
      </c>
      <c r="I1096">
        <f t="shared" si="172"/>
        <v>0</v>
      </c>
      <c r="J1096">
        <v>66.099999999999994</v>
      </c>
      <c r="K1096">
        <v>77</v>
      </c>
      <c r="L1096">
        <v>55.4</v>
      </c>
      <c r="M1096">
        <v>66.099999999999994</v>
      </c>
      <c r="N1096">
        <v>55.1</v>
      </c>
      <c r="O1096">
        <v>69</v>
      </c>
      <c r="S1096">
        <f t="shared" si="173"/>
        <v>1</v>
      </c>
      <c r="T1096">
        <f t="shared" si="174"/>
        <v>1</v>
      </c>
      <c r="U1096">
        <f t="shared" si="175"/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31.1</v>
      </c>
      <c r="AC1096">
        <v>24.2</v>
      </c>
      <c r="AG1096">
        <f t="shared" si="176"/>
        <v>1</v>
      </c>
      <c r="AH1096">
        <f t="shared" si="177"/>
        <v>1</v>
      </c>
      <c r="AI1096">
        <f t="shared" si="178"/>
        <v>0</v>
      </c>
      <c r="AJ1096">
        <v>163.69999999999999</v>
      </c>
      <c r="AK1096">
        <v>1015.2</v>
      </c>
      <c r="AL1096">
        <v>64.8</v>
      </c>
      <c r="AM1096">
        <v>6.5</v>
      </c>
      <c r="AN1096">
        <v>134.30000000000001</v>
      </c>
      <c r="AO1096">
        <v>11.7</v>
      </c>
      <c r="AP1096">
        <v>6</v>
      </c>
      <c r="AQ1096">
        <v>0</v>
      </c>
      <c r="AR1096" t="s">
        <v>3740</v>
      </c>
      <c r="AS1096" t="s">
        <v>3741</v>
      </c>
      <c r="AT1096">
        <v>0.57999999999999996</v>
      </c>
      <c r="AU1096" t="s">
        <v>43</v>
      </c>
      <c r="AV1096" t="s">
        <v>44</v>
      </c>
      <c r="AW1096" t="s">
        <v>45</v>
      </c>
      <c r="AX1096" s="1">
        <v>0.78819444444444442</v>
      </c>
      <c r="AY1096" t="s">
        <v>3742</v>
      </c>
      <c r="AZ1096">
        <v>104.9999999965075</v>
      </c>
      <c r="BA1096">
        <v>0</v>
      </c>
      <c r="BB1096">
        <v>0</v>
      </c>
      <c r="BC1096">
        <v>2</v>
      </c>
      <c r="BD1096">
        <v>0</v>
      </c>
      <c r="BE1096">
        <f t="shared" si="179"/>
        <v>1</v>
      </c>
    </row>
    <row r="1097" spans="1:57" x14ac:dyDescent="0.25">
      <c r="A1097" t="s">
        <v>39</v>
      </c>
      <c r="B1097" t="s">
        <v>3739</v>
      </c>
      <c r="C1097">
        <v>77</v>
      </c>
      <c r="D1097">
        <v>55.4</v>
      </c>
      <c r="G1097">
        <f t="shared" si="170"/>
        <v>1</v>
      </c>
      <c r="H1097">
        <f t="shared" si="171"/>
        <v>1</v>
      </c>
      <c r="I1097">
        <f t="shared" si="172"/>
        <v>0</v>
      </c>
      <c r="J1097">
        <v>66.099999999999994</v>
      </c>
      <c r="K1097">
        <v>77</v>
      </c>
      <c r="L1097">
        <v>55.4</v>
      </c>
      <c r="M1097">
        <v>66.099999999999994</v>
      </c>
      <c r="N1097">
        <v>55.1</v>
      </c>
      <c r="O1097">
        <v>69</v>
      </c>
      <c r="S1097">
        <f t="shared" si="173"/>
        <v>1</v>
      </c>
      <c r="T1097">
        <f t="shared" si="174"/>
        <v>1</v>
      </c>
      <c r="U1097">
        <f t="shared" si="175"/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31.1</v>
      </c>
      <c r="AC1097">
        <v>24.2</v>
      </c>
      <c r="AG1097">
        <f t="shared" si="176"/>
        <v>1</v>
      </c>
      <c r="AH1097">
        <f t="shared" si="177"/>
        <v>1</v>
      </c>
      <c r="AI1097">
        <f t="shared" si="178"/>
        <v>0</v>
      </c>
      <c r="AJ1097">
        <v>163.69999999999999</v>
      </c>
      <c r="AK1097">
        <v>1015.2</v>
      </c>
      <c r="AL1097">
        <v>64.8</v>
      </c>
      <c r="AM1097">
        <v>6.5</v>
      </c>
      <c r="AN1097">
        <v>134.30000000000001</v>
      </c>
      <c r="AO1097">
        <v>11.7</v>
      </c>
      <c r="AP1097">
        <v>6</v>
      </c>
      <c r="AQ1097">
        <v>0</v>
      </c>
      <c r="AR1097" t="s">
        <v>3740</v>
      </c>
      <c r="AS1097" t="s">
        <v>3741</v>
      </c>
      <c r="AT1097">
        <v>0.57999999999999996</v>
      </c>
      <c r="AU1097" t="s">
        <v>43</v>
      </c>
      <c r="AV1097" t="s">
        <v>44</v>
      </c>
      <c r="AW1097" t="s">
        <v>45</v>
      </c>
      <c r="AX1097" s="1">
        <v>0.95833333333333337</v>
      </c>
      <c r="AY1097" t="s">
        <v>3743</v>
      </c>
      <c r="AZ1097">
        <v>540</v>
      </c>
      <c r="BA1097">
        <v>1</v>
      </c>
      <c r="BB1097">
        <v>0</v>
      </c>
      <c r="BC1097">
        <v>10</v>
      </c>
      <c r="BD1097">
        <v>0</v>
      </c>
      <c r="BE1097">
        <f t="shared" si="179"/>
        <v>1</v>
      </c>
    </row>
    <row r="1098" spans="1:57" x14ac:dyDescent="0.25">
      <c r="A1098" t="s">
        <v>39</v>
      </c>
      <c r="B1098" t="s">
        <v>3744</v>
      </c>
      <c r="C1098">
        <v>68</v>
      </c>
      <c r="D1098">
        <v>57.2</v>
      </c>
      <c r="G1098">
        <f t="shared" si="170"/>
        <v>0</v>
      </c>
      <c r="H1098">
        <f t="shared" si="171"/>
        <v>0</v>
      </c>
      <c r="I1098">
        <f t="shared" si="172"/>
        <v>0</v>
      </c>
      <c r="J1098">
        <v>62.8</v>
      </c>
      <c r="K1098">
        <v>68</v>
      </c>
      <c r="L1098">
        <v>57.2</v>
      </c>
      <c r="M1098">
        <v>62.8</v>
      </c>
      <c r="N1098">
        <v>57.3</v>
      </c>
      <c r="O1098">
        <v>82.9</v>
      </c>
      <c r="S1098">
        <f t="shared" si="173"/>
        <v>1</v>
      </c>
      <c r="T1098">
        <f t="shared" si="174"/>
        <v>1</v>
      </c>
      <c r="U1098">
        <f t="shared" si="175"/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8.1</v>
      </c>
      <c r="AG1098">
        <f t="shared" si="176"/>
        <v>1</v>
      </c>
      <c r="AH1098">
        <f t="shared" si="177"/>
        <v>0</v>
      </c>
      <c r="AI1098">
        <f t="shared" si="178"/>
        <v>1</v>
      </c>
      <c r="AJ1098">
        <v>117.1</v>
      </c>
      <c r="AK1098">
        <v>1024.0999999999999</v>
      </c>
      <c r="AL1098">
        <v>55.9</v>
      </c>
      <c r="AM1098">
        <v>6.3</v>
      </c>
      <c r="AN1098">
        <v>181.9</v>
      </c>
      <c r="AO1098">
        <v>15.6</v>
      </c>
      <c r="AP1098">
        <v>7</v>
      </c>
      <c r="AQ1098">
        <v>0</v>
      </c>
      <c r="AR1098" t="s">
        <v>3745</v>
      </c>
      <c r="AS1098" t="s">
        <v>3746</v>
      </c>
      <c r="AT1098">
        <v>0.94</v>
      </c>
      <c r="AU1098" t="s">
        <v>43</v>
      </c>
      <c r="AV1098" t="s">
        <v>44</v>
      </c>
      <c r="AW1098" t="s">
        <v>45</v>
      </c>
      <c r="AX1098" s="1">
        <v>0.67361111111111116</v>
      </c>
      <c r="AY1098" t="s">
        <v>3747</v>
      </c>
      <c r="AZ1098">
        <v>200.00000000232831</v>
      </c>
      <c r="BA1098">
        <v>0</v>
      </c>
      <c r="BB1098">
        <v>0</v>
      </c>
      <c r="BC1098">
        <v>5</v>
      </c>
      <c r="BD1098">
        <v>0</v>
      </c>
      <c r="BE1098">
        <f t="shared" si="179"/>
        <v>0</v>
      </c>
    </row>
    <row r="1099" spans="1:57" x14ac:dyDescent="0.25">
      <c r="A1099" t="s">
        <v>39</v>
      </c>
      <c r="B1099" t="s">
        <v>3624</v>
      </c>
      <c r="C1099">
        <v>75.2</v>
      </c>
      <c r="D1099">
        <v>64.7</v>
      </c>
      <c r="G1099">
        <f t="shared" si="170"/>
        <v>1</v>
      </c>
      <c r="H1099">
        <f t="shared" si="171"/>
        <v>1</v>
      </c>
      <c r="I1099">
        <f t="shared" si="172"/>
        <v>0</v>
      </c>
      <c r="J1099">
        <v>70.3</v>
      </c>
      <c r="K1099">
        <v>75.2</v>
      </c>
      <c r="L1099">
        <v>64.7</v>
      </c>
      <c r="M1099">
        <v>70.3</v>
      </c>
      <c r="N1099">
        <v>57.1</v>
      </c>
      <c r="O1099">
        <v>64</v>
      </c>
      <c r="S1099">
        <f t="shared" si="173"/>
        <v>1</v>
      </c>
      <c r="T1099">
        <f t="shared" si="174"/>
        <v>0</v>
      </c>
      <c r="U1099">
        <f t="shared" si="175"/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40.299999999999997</v>
      </c>
      <c r="AC1099">
        <v>28.9</v>
      </c>
      <c r="AG1099">
        <f t="shared" si="176"/>
        <v>1</v>
      </c>
      <c r="AH1099">
        <f t="shared" si="177"/>
        <v>1</v>
      </c>
      <c r="AI1099">
        <f t="shared" si="178"/>
        <v>0</v>
      </c>
      <c r="AJ1099">
        <v>176.5</v>
      </c>
      <c r="AK1099">
        <v>1010</v>
      </c>
      <c r="AL1099">
        <v>54.9</v>
      </c>
      <c r="AM1099">
        <v>6.5</v>
      </c>
      <c r="AN1099">
        <v>145.4</v>
      </c>
      <c r="AO1099">
        <v>12.6</v>
      </c>
      <c r="AP1099">
        <v>6</v>
      </c>
      <c r="AQ1099">
        <v>0</v>
      </c>
      <c r="AR1099" t="s">
        <v>3625</v>
      </c>
      <c r="AS1099" t="s">
        <v>3626</v>
      </c>
      <c r="AT1099">
        <v>0.1</v>
      </c>
      <c r="AU1099" t="s">
        <v>43</v>
      </c>
      <c r="AV1099" t="s">
        <v>44</v>
      </c>
      <c r="AW1099" t="s">
        <v>45</v>
      </c>
      <c r="AX1099" s="1">
        <v>0.8125</v>
      </c>
      <c r="AY1099" t="s">
        <v>3748</v>
      </c>
      <c r="AZ1099">
        <v>200.00000000232831</v>
      </c>
      <c r="BA1099">
        <v>0</v>
      </c>
      <c r="BB1099">
        <v>0</v>
      </c>
      <c r="BC1099">
        <v>1</v>
      </c>
      <c r="BD1099">
        <v>0</v>
      </c>
      <c r="BE1099">
        <f t="shared" si="179"/>
        <v>1</v>
      </c>
    </row>
    <row r="1100" spans="1:57" x14ac:dyDescent="0.25">
      <c r="A1100" t="s">
        <v>39</v>
      </c>
      <c r="B1100" t="s">
        <v>3507</v>
      </c>
      <c r="C1100">
        <v>82.4</v>
      </c>
      <c r="D1100">
        <v>66.2</v>
      </c>
      <c r="G1100">
        <f t="shared" si="170"/>
        <v>1</v>
      </c>
      <c r="H1100">
        <f t="shared" si="171"/>
        <v>1</v>
      </c>
      <c r="I1100">
        <f t="shared" si="172"/>
        <v>0</v>
      </c>
      <c r="J1100">
        <v>73.2</v>
      </c>
      <c r="K1100">
        <v>81.5</v>
      </c>
      <c r="L1100">
        <v>66.2</v>
      </c>
      <c r="M1100">
        <v>73.099999999999994</v>
      </c>
      <c r="N1100">
        <v>57.1</v>
      </c>
      <c r="O1100">
        <v>58.9</v>
      </c>
      <c r="S1100">
        <f t="shared" si="173"/>
        <v>1</v>
      </c>
      <c r="T1100">
        <f t="shared" si="174"/>
        <v>0</v>
      </c>
      <c r="U1100">
        <f t="shared" si="175"/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20.8</v>
      </c>
      <c r="AG1100">
        <f t="shared" si="176"/>
        <v>1</v>
      </c>
      <c r="AH1100">
        <f t="shared" si="177"/>
        <v>1</v>
      </c>
      <c r="AI1100">
        <f t="shared" si="178"/>
        <v>0</v>
      </c>
      <c r="AJ1100">
        <v>175.8</v>
      </c>
      <c r="AK1100">
        <v>1014.1</v>
      </c>
      <c r="AL1100">
        <v>15.3</v>
      </c>
      <c r="AM1100">
        <v>6.4</v>
      </c>
      <c r="AN1100">
        <v>166.2</v>
      </c>
      <c r="AO1100">
        <v>14.4</v>
      </c>
      <c r="AP1100">
        <v>6</v>
      </c>
      <c r="AQ1100">
        <v>0</v>
      </c>
      <c r="AR1100" t="s">
        <v>3508</v>
      </c>
      <c r="AS1100" t="s">
        <v>3509</v>
      </c>
      <c r="AT1100">
        <v>0.14000000000000001</v>
      </c>
      <c r="AU1100" t="s">
        <v>74</v>
      </c>
      <c r="AV1100" t="s">
        <v>2955</v>
      </c>
      <c r="AW1100" t="s">
        <v>75</v>
      </c>
      <c r="AX1100" s="1">
        <v>0.61458333333333337</v>
      </c>
      <c r="AY1100" t="s">
        <v>3749</v>
      </c>
      <c r="AZ1100">
        <v>164.99999999301511</v>
      </c>
      <c r="BA1100">
        <v>0</v>
      </c>
      <c r="BB1100">
        <v>0</v>
      </c>
      <c r="BC1100">
        <v>1</v>
      </c>
      <c r="BD1100">
        <v>0</v>
      </c>
      <c r="BE1100">
        <f t="shared" si="179"/>
        <v>1</v>
      </c>
    </row>
    <row r="1101" spans="1:57" x14ac:dyDescent="0.25">
      <c r="A1101" t="s">
        <v>39</v>
      </c>
      <c r="B1101" t="s">
        <v>3507</v>
      </c>
      <c r="C1101">
        <v>82.4</v>
      </c>
      <c r="D1101">
        <v>66.2</v>
      </c>
      <c r="G1101">
        <f t="shared" si="170"/>
        <v>1</v>
      </c>
      <c r="H1101">
        <f t="shared" si="171"/>
        <v>1</v>
      </c>
      <c r="I1101">
        <f t="shared" si="172"/>
        <v>0</v>
      </c>
      <c r="J1101">
        <v>73.2</v>
      </c>
      <c r="K1101">
        <v>81.5</v>
      </c>
      <c r="L1101">
        <v>66.2</v>
      </c>
      <c r="M1101">
        <v>73.099999999999994</v>
      </c>
      <c r="N1101">
        <v>57.1</v>
      </c>
      <c r="O1101">
        <v>58.9</v>
      </c>
      <c r="S1101">
        <f t="shared" si="173"/>
        <v>1</v>
      </c>
      <c r="T1101">
        <f t="shared" si="174"/>
        <v>0</v>
      </c>
      <c r="U1101">
        <f t="shared" si="175"/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20.8</v>
      </c>
      <c r="AG1101">
        <f t="shared" si="176"/>
        <v>1</v>
      </c>
      <c r="AH1101">
        <f t="shared" si="177"/>
        <v>1</v>
      </c>
      <c r="AI1101">
        <f t="shared" si="178"/>
        <v>0</v>
      </c>
      <c r="AJ1101">
        <v>175.8</v>
      </c>
      <c r="AK1101">
        <v>1014.1</v>
      </c>
      <c r="AL1101">
        <v>15.3</v>
      </c>
      <c r="AM1101">
        <v>6.4</v>
      </c>
      <c r="AN1101">
        <v>166.2</v>
      </c>
      <c r="AO1101">
        <v>14.4</v>
      </c>
      <c r="AP1101">
        <v>6</v>
      </c>
      <c r="AQ1101">
        <v>0</v>
      </c>
      <c r="AR1101" t="s">
        <v>3508</v>
      </c>
      <c r="AS1101" t="s">
        <v>3509</v>
      </c>
      <c r="AT1101">
        <v>0.14000000000000001</v>
      </c>
      <c r="AU1101" t="s">
        <v>74</v>
      </c>
      <c r="AV1101" t="s">
        <v>2955</v>
      </c>
      <c r="AW1101" t="s">
        <v>75</v>
      </c>
      <c r="AX1101" s="1">
        <v>0.63888888888888884</v>
      </c>
      <c r="AY1101" t="s">
        <v>3750</v>
      </c>
      <c r="AZ1101">
        <v>145.00000000116421</v>
      </c>
      <c r="BA1101">
        <v>0</v>
      </c>
      <c r="BB1101">
        <v>0</v>
      </c>
      <c r="BC1101">
        <v>2</v>
      </c>
      <c r="BD1101">
        <v>0</v>
      </c>
      <c r="BE1101">
        <f t="shared" si="179"/>
        <v>1</v>
      </c>
    </row>
    <row r="1102" spans="1:57" x14ac:dyDescent="0.25">
      <c r="A1102" t="s">
        <v>39</v>
      </c>
      <c r="B1102" t="s">
        <v>3751</v>
      </c>
      <c r="C1102">
        <v>82.4</v>
      </c>
      <c r="D1102">
        <v>69.8</v>
      </c>
      <c r="G1102">
        <f t="shared" si="170"/>
        <v>1</v>
      </c>
      <c r="H1102">
        <f t="shared" si="171"/>
        <v>1</v>
      </c>
      <c r="I1102">
        <f t="shared" si="172"/>
        <v>0</v>
      </c>
      <c r="J1102">
        <v>75.7</v>
      </c>
      <c r="K1102">
        <v>83.4</v>
      </c>
      <c r="L1102">
        <v>69.8</v>
      </c>
      <c r="M1102">
        <v>75.8</v>
      </c>
      <c r="N1102">
        <v>54.1</v>
      </c>
      <c r="O1102">
        <v>47.7</v>
      </c>
      <c r="S1102">
        <f t="shared" si="173"/>
        <v>1</v>
      </c>
      <c r="T1102">
        <f t="shared" si="174"/>
        <v>0</v>
      </c>
      <c r="U1102">
        <f t="shared" si="175"/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36.9</v>
      </c>
      <c r="AC1102">
        <v>25.3</v>
      </c>
      <c r="AG1102">
        <f t="shared" si="176"/>
        <v>1</v>
      </c>
      <c r="AH1102">
        <f t="shared" si="177"/>
        <v>1</v>
      </c>
      <c r="AI1102">
        <f t="shared" si="178"/>
        <v>0</v>
      </c>
      <c r="AJ1102">
        <v>170</v>
      </c>
      <c r="AK1102">
        <v>1014.4</v>
      </c>
      <c r="AL1102">
        <v>27.9</v>
      </c>
      <c r="AM1102">
        <v>6.4</v>
      </c>
      <c r="AN1102">
        <v>151.19999999999999</v>
      </c>
      <c r="AO1102">
        <v>13.1</v>
      </c>
      <c r="AP1102">
        <v>6</v>
      </c>
      <c r="AQ1102">
        <v>0</v>
      </c>
      <c r="AR1102" t="s">
        <v>3752</v>
      </c>
      <c r="AS1102" t="s">
        <v>3753</v>
      </c>
      <c r="AT1102">
        <v>0.17</v>
      </c>
      <c r="AU1102" t="s">
        <v>43</v>
      </c>
      <c r="AV1102" t="s">
        <v>44</v>
      </c>
      <c r="AW1102" t="s">
        <v>45</v>
      </c>
      <c r="AX1102" s="1">
        <v>0.46875</v>
      </c>
      <c r="AY1102" t="s">
        <v>3754</v>
      </c>
      <c r="AZ1102">
        <v>45</v>
      </c>
      <c r="BA1102">
        <v>0</v>
      </c>
      <c r="BB1102">
        <v>0</v>
      </c>
      <c r="BC1102">
        <v>1</v>
      </c>
      <c r="BD1102">
        <v>0</v>
      </c>
      <c r="BE1102">
        <f t="shared" si="179"/>
        <v>1</v>
      </c>
    </row>
    <row r="1103" spans="1:57" x14ac:dyDescent="0.25">
      <c r="A1103" t="s">
        <v>39</v>
      </c>
      <c r="B1103" t="s">
        <v>3755</v>
      </c>
      <c r="C1103">
        <v>77</v>
      </c>
      <c r="D1103">
        <v>62.6</v>
      </c>
      <c r="G1103">
        <f t="shared" si="170"/>
        <v>1</v>
      </c>
      <c r="H1103">
        <f t="shared" si="171"/>
        <v>1</v>
      </c>
      <c r="I1103">
        <f t="shared" si="172"/>
        <v>0</v>
      </c>
      <c r="J1103">
        <v>69</v>
      </c>
      <c r="K1103">
        <v>77</v>
      </c>
      <c r="L1103">
        <v>62.6</v>
      </c>
      <c r="M1103">
        <v>69</v>
      </c>
      <c r="N1103">
        <v>59</v>
      </c>
      <c r="O1103">
        <v>72.2</v>
      </c>
      <c r="S1103">
        <f t="shared" si="173"/>
        <v>1</v>
      </c>
      <c r="T1103">
        <f t="shared" si="174"/>
        <v>1</v>
      </c>
      <c r="U1103">
        <f t="shared" si="175"/>
        <v>0</v>
      </c>
      <c r="V1103">
        <v>0.46899999999999997</v>
      </c>
      <c r="W1103">
        <v>100</v>
      </c>
      <c r="X1103">
        <v>4.17</v>
      </c>
      <c r="Y1103" t="s">
        <v>103</v>
      </c>
      <c r="Z1103">
        <v>0</v>
      </c>
      <c r="AA1103">
        <v>0</v>
      </c>
      <c r="AB1103">
        <v>34.4</v>
      </c>
      <c r="AC1103">
        <v>32.200000000000003</v>
      </c>
      <c r="AG1103">
        <f t="shared" si="176"/>
        <v>1</v>
      </c>
      <c r="AH1103">
        <f t="shared" si="177"/>
        <v>1</v>
      </c>
      <c r="AI1103">
        <f t="shared" si="178"/>
        <v>0</v>
      </c>
      <c r="AJ1103">
        <v>194.8</v>
      </c>
      <c r="AK1103">
        <v>1009.1</v>
      </c>
      <c r="AL1103">
        <v>94.7</v>
      </c>
      <c r="AM1103">
        <v>6.4</v>
      </c>
      <c r="AN1103">
        <v>32</v>
      </c>
      <c r="AO1103">
        <v>2.7</v>
      </c>
      <c r="AP1103">
        <v>1</v>
      </c>
      <c r="AQ1103">
        <v>0</v>
      </c>
      <c r="AR1103" t="s">
        <v>3756</v>
      </c>
      <c r="AS1103" t="s">
        <v>3757</v>
      </c>
      <c r="AT1103">
        <v>0.2</v>
      </c>
      <c r="AU1103" t="s">
        <v>1357</v>
      </c>
      <c r="AV1103" t="s">
        <v>1694</v>
      </c>
      <c r="AW1103" t="s">
        <v>103</v>
      </c>
      <c r="AX1103" s="1">
        <v>0.58333333333333337</v>
      </c>
      <c r="AY1103" t="s">
        <v>3758</v>
      </c>
      <c r="AZ1103">
        <v>69.999999997671694</v>
      </c>
      <c r="BA1103">
        <v>0</v>
      </c>
      <c r="BB1103">
        <v>0</v>
      </c>
      <c r="BC1103">
        <v>1</v>
      </c>
      <c r="BD1103">
        <v>0</v>
      </c>
      <c r="BE1103">
        <f t="shared" si="179"/>
        <v>1</v>
      </c>
    </row>
    <row r="1104" spans="1:57" x14ac:dyDescent="0.25">
      <c r="A1104" t="s">
        <v>39</v>
      </c>
      <c r="B1104" t="s">
        <v>3759</v>
      </c>
      <c r="C1104">
        <v>71.599999999999994</v>
      </c>
      <c r="D1104">
        <v>55.4</v>
      </c>
      <c r="G1104">
        <f t="shared" si="170"/>
        <v>1</v>
      </c>
      <c r="H1104">
        <f t="shared" si="171"/>
        <v>1</v>
      </c>
      <c r="I1104">
        <f t="shared" si="172"/>
        <v>0</v>
      </c>
      <c r="J1104">
        <v>64.099999999999994</v>
      </c>
      <c r="K1104">
        <v>71.599999999999994</v>
      </c>
      <c r="L1104">
        <v>55.4</v>
      </c>
      <c r="M1104">
        <v>64.099999999999994</v>
      </c>
      <c r="N1104">
        <v>54.1</v>
      </c>
      <c r="O1104">
        <v>71.8</v>
      </c>
      <c r="S1104">
        <f t="shared" si="173"/>
        <v>1</v>
      </c>
      <c r="T1104">
        <f t="shared" si="174"/>
        <v>1</v>
      </c>
      <c r="U1104">
        <f t="shared" si="175"/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20.8</v>
      </c>
      <c r="AG1104">
        <f t="shared" si="176"/>
        <v>1</v>
      </c>
      <c r="AH1104">
        <f t="shared" si="177"/>
        <v>1</v>
      </c>
      <c r="AI1104">
        <f t="shared" si="178"/>
        <v>0</v>
      </c>
      <c r="AJ1104">
        <v>158.80000000000001</v>
      </c>
      <c r="AK1104">
        <v>1013.7</v>
      </c>
      <c r="AL1104">
        <v>85</v>
      </c>
      <c r="AM1104">
        <v>6.2</v>
      </c>
      <c r="AN1104">
        <v>118.5</v>
      </c>
      <c r="AO1104">
        <v>10.199999999999999</v>
      </c>
      <c r="AP1104">
        <v>5</v>
      </c>
      <c r="AQ1104">
        <v>0</v>
      </c>
      <c r="AR1104" t="s">
        <v>3760</v>
      </c>
      <c r="AS1104" t="s">
        <v>3761</v>
      </c>
      <c r="AT1104">
        <v>0.52</v>
      </c>
      <c r="AU1104" t="s">
        <v>43</v>
      </c>
      <c r="AV1104" t="s">
        <v>44</v>
      </c>
      <c r="AW1104" t="s">
        <v>45</v>
      </c>
      <c r="AX1104" s="1">
        <v>0.77083333333333337</v>
      </c>
      <c r="AY1104" t="s">
        <v>3762</v>
      </c>
      <c r="AZ1104">
        <v>74.999999993015081</v>
      </c>
      <c r="BA1104">
        <v>0</v>
      </c>
      <c r="BB1104">
        <v>0</v>
      </c>
      <c r="BC1104">
        <v>1</v>
      </c>
      <c r="BD1104">
        <v>0</v>
      </c>
      <c r="BE1104">
        <f t="shared" si="179"/>
        <v>1</v>
      </c>
    </row>
    <row r="1105" spans="1:57" x14ac:dyDescent="0.25">
      <c r="A1105" t="s">
        <v>39</v>
      </c>
      <c r="B1105" t="s">
        <v>3763</v>
      </c>
      <c r="C1105">
        <v>82.4</v>
      </c>
      <c r="D1105">
        <v>64.5</v>
      </c>
      <c r="G1105">
        <f t="shared" si="170"/>
        <v>1</v>
      </c>
      <c r="H1105">
        <f t="shared" si="171"/>
        <v>1</v>
      </c>
      <c r="I1105">
        <f t="shared" si="172"/>
        <v>0</v>
      </c>
      <c r="J1105">
        <v>73.900000000000006</v>
      </c>
      <c r="K1105">
        <v>81.2</v>
      </c>
      <c r="L1105">
        <v>64.5</v>
      </c>
      <c r="M1105">
        <v>73.7</v>
      </c>
      <c r="N1105">
        <v>49.1</v>
      </c>
      <c r="O1105">
        <v>43</v>
      </c>
      <c r="S1105">
        <f t="shared" si="173"/>
        <v>1</v>
      </c>
      <c r="T1105">
        <f t="shared" si="174"/>
        <v>0</v>
      </c>
      <c r="U1105">
        <f t="shared" si="175"/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21.9</v>
      </c>
      <c r="AG1105">
        <f t="shared" si="176"/>
        <v>1</v>
      </c>
      <c r="AH1105">
        <f t="shared" si="177"/>
        <v>1</v>
      </c>
      <c r="AI1105">
        <f t="shared" si="178"/>
        <v>0</v>
      </c>
      <c r="AJ1105">
        <v>170.4</v>
      </c>
      <c r="AK1105">
        <v>1016.2</v>
      </c>
      <c r="AL1105">
        <v>69</v>
      </c>
      <c r="AM1105">
        <v>6.3</v>
      </c>
      <c r="AN1105">
        <v>84.5</v>
      </c>
      <c r="AO1105">
        <v>7.4</v>
      </c>
      <c r="AP1105">
        <v>4</v>
      </c>
      <c r="AQ1105">
        <v>0</v>
      </c>
      <c r="AR1105" t="s">
        <v>3764</v>
      </c>
      <c r="AS1105" t="s">
        <v>3765</v>
      </c>
      <c r="AT1105">
        <v>0.88</v>
      </c>
      <c r="AU1105" t="s">
        <v>43</v>
      </c>
      <c r="AV1105" t="s">
        <v>44</v>
      </c>
      <c r="AW1105" t="s">
        <v>45</v>
      </c>
      <c r="AX1105" s="1">
        <v>0.47430555555555548</v>
      </c>
      <c r="AY1105" t="s">
        <v>3766</v>
      </c>
      <c r="AZ1105">
        <v>461.99999999720598</v>
      </c>
      <c r="BA1105">
        <v>1</v>
      </c>
      <c r="BB1105">
        <v>0</v>
      </c>
      <c r="BC1105">
        <v>5</v>
      </c>
      <c r="BD1105">
        <v>0</v>
      </c>
      <c r="BE1105">
        <f t="shared" si="179"/>
        <v>1</v>
      </c>
    </row>
    <row r="1106" spans="1:57" x14ac:dyDescent="0.25">
      <c r="A1106" t="s">
        <v>39</v>
      </c>
      <c r="B1106" t="s">
        <v>3767</v>
      </c>
      <c r="C1106">
        <v>78.900000000000006</v>
      </c>
      <c r="D1106">
        <v>73.400000000000006</v>
      </c>
      <c r="G1106">
        <f t="shared" si="170"/>
        <v>0</v>
      </c>
      <c r="H1106">
        <f t="shared" si="171"/>
        <v>0</v>
      </c>
      <c r="I1106">
        <f t="shared" si="172"/>
        <v>0</v>
      </c>
      <c r="J1106">
        <v>76.2</v>
      </c>
      <c r="K1106">
        <v>78.900000000000006</v>
      </c>
      <c r="L1106">
        <v>73.400000000000006</v>
      </c>
      <c r="M1106">
        <v>76.2</v>
      </c>
      <c r="N1106">
        <v>65.2</v>
      </c>
      <c r="O1106">
        <v>69.099999999999994</v>
      </c>
      <c r="S1106">
        <f t="shared" si="173"/>
        <v>1</v>
      </c>
      <c r="T1106">
        <f t="shared" si="174"/>
        <v>1</v>
      </c>
      <c r="U1106">
        <f t="shared" si="175"/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19.5</v>
      </c>
      <c r="AG1106">
        <f t="shared" si="176"/>
        <v>1</v>
      </c>
      <c r="AH1106">
        <f t="shared" si="177"/>
        <v>1</v>
      </c>
      <c r="AI1106">
        <f t="shared" si="178"/>
        <v>0</v>
      </c>
      <c r="AJ1106">
        <v>307.7</v>
      </c>
      <c r="AK1106">
        <v>1010.6</v>
      </c>
      <c r="AL1106">
        <v>35.9</v>
      </c>
      <c r="AM1106">
        <v>6.6</v>
      </c>
      <c r="AN1106">
        <v>357.7</v>
      </c>
      <c r="AO1106">
        <v>30.8</v>
      </c>
      <c r="AP1106">
        <v>10</v>
      </c>
      <c r="AQ1106">
        <v>0</v>
      </c>
      <c r="AR1106" t="s">
        <v>3768</v>
      </c>
      <c r="AS1106" t="s">
        <v>3769</v>
      </c>
      <c r="AT1106">
        <v>0.96</v>
      </c>
      <c r="AU1106" t="s">
        <v>43</v>
      </c>
      <c r="AV1106" t="s">
        <v>44</v>
      </c>
      <c r="AW1106" t="s">
        <v>45</v>
      </c>
      <c r="AX1106" s="1">
        <v>0.90277777777777779</v>
      </c>
      <c r="AY1106" t="s">
        <v>3770</v>
      </c>
      <c r="AZ1106">
        <v>1009.999999991851</v>
      </c>
      <c r="BA1106">
        <v>1</v>
      </c>
      <c r="BB1106">
        <v>0</v>
      </c>
      <c r="BC1106">
        <v>48</v>
      </c>
      <c r="BD1106">
        <v>0</v>
      </c>
      <c r="BE1106">
        <f t="shared" si="179"/>
        <v>1</v>
      </c>
    </row>
    <row r="1107" spans="1:57" x14ac:dyDescent="0.25">
      <c r="A1107" t="s">
        <v>39</v>
      </c>
      <c r="B1107" t="s">
        <v>3599</v>
      </c>
      <c r="C1107">
        <v>87.9</v>
      </c>
      <c r="D1107">
        <v>80.599999999999994</v>
      </c>
      <c r="G1107">
        <f t="shared" si="170"/>
        <v>1</v>
      </c>
      <c r="H1107">
        <f t="shared" si="171"/>
        <v>1</v>
      </c>
      <c r="I1107">
        <f t="shared" si="172"/>
        <v>0</v>
      </c>
      <c r="J1107">
        <v>83.4</v>
      </c>
      <c r="K1107">
        <v>99.4</v>
      </c>
      <c r="L1107">
        <v>83.9</v>
      </c>
      <c r="M1107">
        <v>88.6</v>
      </c>
      <c r="N1107">
        <v>71.599999999999994</v>
      </c>
      <c r="O1107">
        <v>68</v>
      </c>
      <c r="S1107">
        <f t="shared" si="173"/>
        <v>1</v>
      </c>
      <c r="T1107">
        <f t="shared" si="174"/>
        <v>1</v>
      </c>
      <c r="U1107">
        <f t="shared" si="175"/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25.3</v>
      </c>
      <c r="AG1107">
        <f t="shared" si="176"/>
        <v>1</v>
      </c>
      <c r="AH1107">
        <f t="shared" si="177"/>
        <v>1</v>
      </c>
      <c r="AI1107">
        <f t="shared" si="178"/>
        <v>0</v>
      </c>
      <c r="AJ1107">
        <v>309.3</v>
      </c>
      <c r="AK1107">
        <v>1012.6</v>
      </c>
      <c r="AL1107">
        <v>18</v>
      </c>
      <c r="AM1107">
        <v>6.5</v>
      </c>
      <c r="AN1107">
        <v>314.5</v>
      </c>
      <c r="AO1107">
        <v>27.3</v>
      </c>
      <c r="AP1107">
        <v>10</v>
      </c>
      <c r="AQ1107">
        <v>0</v>
      </c>
      <c r="AR1107" t="s">
        <v>3600</v>
      </c>
      <c r="AS1107" t="s">
        <v>3601</v>
      </c>
      <c r="AT1107">
        <v>0.39</v>
      </c>
      <c r="AU1107" t="s">
        <v>74</v>
      </c>
      <c r="AV1107" t="s">
        <v>2955</v>
      </c>
      <c r="AW1107" t="s">
        <v>75</v>
      </c>
      <c r="AX1107" s="1">
        <v>0.47222222222222221</v>
      </c>
      <c r="AY1107" t="s">
        <v>3771</v>
      </c>
      <c r="AZ1107">
        <v>700.00000000814907</v>
      </c>
      <c r="BA1107">
        <v>1</v>
      </c>
      <c r="BB1107">
        <v>1</v>
      </c>
      <c r="BC1107">
        <v>0</v>
      </c>
      <c r="BD1107">
        <v>0</v>
      </c>
      <c r="BE1107">
        <f t="shared" si="179"/>
        <v>1</v>
      </c>
    </row>
    <row r="1108" spans="1:57" x14ac:dyDescent="0.25">
      <c r="A1108" t="s">
        <v>39</v>
      </c>
      <c r="B1108" t="s">
        <v>3772</v>
      </c>
      <c r="C1108">
        <v>87.8</v>
      </c>
      <c r="D1108">
        <v>80.599999999999994</v>
      </c>
      <c r="G1108">
        <f t="shared" si="170"/>
        <v>1</v>
      </c>
      <c r="H1108">
        <f t="shared" si="171"/>
        <v>1</v>
      </c>
      <c r="I1108">
        <f t="shared" si="172"/>
        <v>0</v>
      </c>
      <c r="J1108">
        <v>83.6</v>
      </c>
      <c r="K1108">
        <v>90.6</v>
      </c>
      <c r="L1108">
        <v>81.900000000000006</v>
      </c>
      <c r="M1108">
        <v>86.1</v>
      </c>
      <c r="N1108">
        <v>66.099999999999994</v>
      </c>
      <c r="O1108">
        <v>56.4</v>
      </c>
      <c r="S1108">
        <f t="shared" si="173"/>
        <v>1</v>
      </c>
      <c r="T1108">
        <f t="shared" si="174"/>
        <v>0</v>
      </c>
      <c r="U1108">
        <f t="shared" si="175"/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20.8</v>
      </c>
      <c r="AG1108">
        <f t="shared" si="176"/>
        <v>1</v>
      </c>
      <c r="AH1108">
        <f t="shared" si="177"/>
        <v>1</v>
      </c>
      <c r="AI1108">
        <f t="shared" si="178"/>
        <v>0</v>
      </c>
      <c r="AJ1108">
        <v>174.9</v>
      </c>
      <c r="AK1108">
        <v>1010.2</v>
      </c>
      <c r="AL1108">
        <v>89.2</v>
      </c>
      <c r="AM1108">
        <v>6.6</v>
      </c>
      <c r="AN1108">
        <v>93.5</v>
      </c>
      <c r="AO1108">
        <v>8.1</v>
      </c>
      <c r="AP1108">
        <v>6</v>
      </c>
      <c r="AQ1108">
        <v>0</v>
      </c>
      <c r="AR1108" t="s">
        <v>3773</v>
      </c>
      <c r="AS1108" t="s">
        <v>3774</v>
      </c>
      <c r="AT1108">
        <v>0.18</v>
      </c>
      <c r="AU1108" t="s">
        <v>43</v>
      </c>
      <c r="AV1108" t="s">
        <v>44</v>
      </c>
      <c r="AW1108" t="s">
        <v>45</v>
      </c>
      <c r="AX1108" s="1">
        <v>0.80902777777777779</v>
      </c>
      <c r="AY1108" t="s">
        <v>3775</v>
      </c>
      <c r="AZ1108">
        <v>1485</v>
      </c>
      <c r="BA1108">
        <v>1</v>
      </c>
      <c r="BB1108">
        <v>100</v>
      </c>
      <c r="BC1108">
        <v>0</v>
      </c>
      <c r="BD1108">
        <v>0</v>
      </c>
      <c r="BE1108">
        <f t="shared" si="179"/>
        <v>1</v>
      </c>
    </row>
    <row r="1109" spans="1:57" x14ac:dyDescent="0.25">
      <c r="A1109" t="s">
        <v>39</v>
      </c>
      <c r="B1109" t="s">
        <v>3507</v>
      </c>
      <c r="C1109">
        <v>82.4</v>
      </c>
      <c r="D1109">
        <v>66.2</v>
      </c>
      <c r="G1109">
        <f t="shared" si="170"/>
        <v>1</v>
      </c>
      <c r="H1109">
        <f t="shared" si="171"/>
        <v>1</v>
      </c>
      <c r="I1109">
        <f t="shared" si="172"/>
        <v>0</v>
      </c>
      <c r="J1109">
        <v>73.2</v>
      </c>
      <c r="K1109">
        <v>81.5</v>
      </c>
      <c r="L1109">
        <v>66.2</v>
      </c>
      <c r="M1109">
        <v>73.099999999999994</v>
      </c>
      <c r="N1109">
        <v>57.1</v>
      </c>
      <c r="O1109">
        <v>58.9</v>
      </c>
      <c r="S1109">
        <f t="shared" si="173"/>
        <v>1</v>
      </c>
      <c r="T1109">
        <f t="shared" si="174"/>
        <v>0</v>
      </c>
      <c r="U1109">
        <f t="shared" si="175"/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20.8</v>
      </c>
      <c r="AG1109">
        <f t="shared" si="176"/>
        <v>1</v>
      </c>
      <c r="AH1109">
        <f t="shared" si="177"/>
        <v>1</v>
      </c>
      <c r="AI1109">
        <f t="shared" si="178"/>
        <v>0</v>
      </c>
      <c r="AJ1109">
        <v>175.8</v>
      </c>
      <c r="AK1109">
        <v>1014.1</v>
      </c>
      <c r="AL1109">
        <v>15.3</v>
      </c>
      <c r="AM1109">
        <v>6.4</v>
      </c>
      <c r="AN1109">
        <v>166.2</v>
      </c>
      <c r="AO1109">
        <v>14.4</v>
      </c>
      <c r="AP1109">
        <v>6</v>
      </c>
      <c r="AQ1109">
        <v>0</v>
      </c>
      <c r="AR1109" t="s">
        <v>3508</v>
      </c>
      <c r="AS1109" t="s">
        <v>3509</v>
      </c>
      <c r="AT1109">
        <v>0.14000000000000001</v>
      </c>
      <c r="AU1109" t="s">
        <v>74</v>
      </c>
      <c r="AV1109" t="s">
        <v>2955</v>
      </c>
      <c r="AW1109" t="s">
        <v>75</v>
      </c>
      <c r="AX1109" s="1">
        <v>0.91319444444444442</v>
      </c>
      <c r="AY1109" t="s">
        <v>3776</v>
      </c>
      <c r="AZ1109">
        <v>560.00000000232831</v>
      </c>
      <c r="BA1109">
        <v>1</v>
      </c>
      <c r="BB1109">
        <v>0</v>
      </c>
      <c r="BC1109">
        <v>5</v>
      </c>
      <c r="BD1109">
        <v>0</v>
      </c>
      <c r="BE1109">
        <f t="shared" si="179"/>
        <v>1</v>
      </c>
    </row>
    <row r="1110" spans="1:57" x14ac:dyDescent="0.25">
      <c r="A1110" t="s">
        <v>39</v>
      </c>
      <c r="B1110" t="s">
        <v>3777</v>
      </c>
      <c r="C1110">
        <v>82.4</v>
      </c>
      <c r="D1110">
        <v>66.2</v>
      </c>
      <c r="G1110">
        <f t="shared" si="170"/>
        <v>1</v>
      </c>
      <c r="H1110">
        <f t="shared" si="171"/>
        <v>1</v>
      </c>
      <c r="I1110">
        <f t="shared" si="172"/>
        <v>0</v>
      </c>
      <c r="J1110">
        <v>72.3</v>
      </c>
      <c r="K1110">
        <v>80.8</v>
      </c>
      <c r="L1110">
        <v>66.2</v>
      </c>
      <c r="M1110">
        <v>72</v>
      </c>
      <c r="N1110">
        <v>49.5</v>
      </c>
      <c r="O1110">
        <v>46.5</v>
      </c>
      <c r="S1110">
        <f t="shared" si="173"/>
        <v>1</v>
      </c>
      <c r="T1110">
        <f t="shared" si="174"/>
        <v>0</v>
      </c>
      <c r="U1110">
        <f t="shared" si="175"/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23</v>
      </c>
      <c r="AG1110">
        <f t="shared" si="176"/>
        <v>1</v>
      </c>
      <c r="AH1110">
        <f t="shared" si="177"/>
        <v>1</v>
      </c>
      <c r="AI1110">
        <f t="shared" si="178"/>
        <v>0</v>
      </c>
      <c r="AJ1110">
        <v>170.9</v>
      </c>
      <c r="AK1110">
        <v>1015.3</v>
      </c>
      <c r="AL1110">
        <v>63.1</v>
      </c>
      <c r="AM1110">
        <v>6.3</v>
      </c>
      <c r="AN1110">
        <v>138</v>
      </c>
      <c r="AO1110">
        <v>12.1</v>
      </c>
      <c r="AP1110">
        <v>6</v>
      </c>
      <c r="AQ1110">
        <v>0</v>
      </c>
      <c r="AR1110" t="s">
        <v>3778</v>
      </c>
      <c r="AS1110" t="s">
        <v>3779</v>
      </c>
      <c r="AT1110">
        <v>0.85</v>
      </c>
      <c r="AU1110" t="s">
        <v>43</v>
      </c>
      <c r="AV1110" t="s">
        <v>44</v>
      </c>
      <c r="AW1110" t="s">
        <v>45</v>
      </c>
      <c r="AX1110" s="1">
        <v>0.51875000000000004</v>
      </c>
      <c r="AY1110" t="s">
        <v>3780</v>
      </c>
      <c r="AZ1110">
        <v>142.9999999946449</v>
      </c>
      <c r="BA1110">
        <v>0</v>
      </c>
      <c r="BB1110">
        <v>0</v>
      </c>
      <c r="BC1110">
        <v>0.5</v>
      </c>
      <c r="BD1110">
        <v>0</v>
      </c>
      <c r="BE1110">
        <f t="shared" si="179"/>
        <v>1</v>
      </c>
    </row>
    <row r="1111" spans="1:57" x14ac:dyDescent="0.25">
      <c r="A1111" t="s">
        <v>39</v>
      </c>
      <c r="B1111" t="s">
        <v>3781</v>
      </c>
      <c r="C1111">
        <v>84.2</v>
      </c>
      <c r="D1111">
        <v>69.900000000000006</v>
      </c>
      <c r="G1111">
        <f t="shared" si="170"/>
        <v>1</v>
      </c>
      <c r="H1111">
        <f t="shared" si="171"/>
        <v>1</v>
      </c>
      <c r="I1111">
        <f t="shared" si="172"/>
        <v>0</v>
      </c>
      <c r="J1111">
        <v>77.5</v>
      </c>
      <c r="K1111">
        <v>89.6</v>
      </c>
      <c r="L1111">
        <v>69.900000000000006</v>
      </c>
      <c r="M1111">
        <v>79.400000000000006</v>
      </c>
      <c r="N1111">
        <v>66</v>
      </c>
      <c r="O1111">
        <v>68</v>
      </c>
      <c r="S1111">
        <f t="shared" si="173"/>
        <v>1</v>
      </c>
      <c r="T1111">
        <f t="shared" si="174"/>
        <v>1</v>
      </c>
      <c r="U1111">
        <f t="shared" si="175"/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13.9</v>
      </c>
      <c r="AG1111">
        <f t="shared" si="176"/>
        <v>1</v>
      </c>
      <c r="AH1111">
        <f t="shared" si="177"/>
        <v>0</v>
      </c>
      <c r="AI1111">
        <f t="shared" si="178"/>
        <v>1</v>
      </c>
      <c r="AJ1111">
        <v>296.10000000000002</v>
      </c>
      <c r="AK1111">
        <v>1010.5</v>
      </c>
      <c r="AL1111">
        <v>6.5</v>
      </c>
      <c r="AM1111">
        <v>6.2</v>
      </c>
      <c r="AN1111">
        <v>348.8</v>
      </c>
      <c r="AO1111">
        <v>30</v>
      </c>
      <c r="AP1111">
        <v>10</v>
      </c>
      <c r="AQ1111">
        <v>0</v>
      </c>
      <c r="AR1111" t="s">
        <v>3782</v>
      </c>
      <c r="AS1111" t="s">
        <v>3783</v>
      </c>
      <c r="AT1111">
        <v>7.0000000000000007E-2</v>
      </c>
      <c r="AU1111" t="s">
        <v>74</v>
      </c>
      <c r="AV1111" t="s">
        <v>2955</v>
      </c>
      <c r="AW1111" t="s">
        <v>75</v>
      </c>
      <c r="AX1111" s="1">
        <v>0.69791666666666663</v>
      </c>
      <c r="AY1111" t="s">
        <v>3784</v>
      </c>
      <c r="AZ1111">
        <v>430.00000000814907</v>
      </c>
      <c r="BA1111">
        <v>1</v>
      </c>
      <c r="BB1111">
        <v>0</v>
      </c>
      <c r="BC1111">
        <v>20</v>
      </c>
      <c r="BD1111">
        <v>0</v>
      </c>
      <c r="BE1111">
        <f t="shared" si="179"/>
        <v>1</v>
      </c>
    </row>
    <row r="1112" spans="1:57" x14ac:dyDescent="0.25">
      <c r="A1112" t="s">
        <v>39</v>
      </c>
      <c r="B1112" t="s">
        <v>3785</v>
      </c>
      <c r="C1112">
        <v>87.8</v>
      </c>
      <c r="D1112">
        <v>75.2</v>
      </c>
      <c r="G1112">
        <f t="shared" si="170"/>
        <v>1</v>
      </c>
      <c r="H1112">
        <f t="shared" si="171"/>
        <v>1</v>
      </c>
      <c r="I1112">
        <f t="shared" si="172"/>
        <v>0</v>
      </c>
      <c r="J1112">
        <v>82.4</v>
      </c>
      <c r="K1112">
        <v>102.4</v>
      </c>
      <c r="L1112">
        <v>75.2</v>
      </c>
      <c r="M1112">
        <v>88.2</v>
      </c>
      <c r="N1112">
        <v>72.900000000000006</v>
      </c>
      <c r="O1112">
        <v>73.599999999999994</v>
      </c>
      <c r="S1112">
        <f t="shared" si="173"/>
        <v>1</v>
      </c>
      <c r="T1112">
        <f t="shared" si="174"/>
        <v>1</v>
      </c>
      <c r="U1112">
        <f t="shared" si="175"/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16.100000000000001</v>
      </c>
      <c r="AG1112">
        <f t="shared" si="176"/>
        <v>0</v>
      </c>
      <c r="AH1112">
        <f t="shared" si="177"/>
        <v>0</v>
      </c>
      <c r="AI1112">
        <f t="shared" si="178"/>
        <v>0</v>
      </c>
      <c r="AJ1112">
        <v>304.2</v>
      </c>
      <c r="AK1112">
        <v>1008.2</v>
      </c>
      <c r="AL1112">
        <v>0.1</v>
      </c>
      <c r="AM1112">
        <v>6.2</v>
      </c>
      <c r="AN1112">
        <v>314.3</v>
      </c>
      <c r="AO1112">
        <v>27.2</v>
      </c>
      <c r="AP1112">
        <v>10</v>
      </c>
      <c r="AQ1112">
        <v>0</v>
      </c>
      <c r="AR1112" t="s">
        <v>3786</v>
      </c>
      <c r="AS1112" t="s">
        <v>3787</v>
      </c>
      <c r="AT1112">
        <v>0.32</v>
      </c>
      <c r="AU1112" t="s">
        <v>74</v>
      </c>
      <c r="AV1112" t="s">
        <v>2955</v>
      </c>
      <c r="AW1112" t="s">
        <v>75</v>
      </c>
      <c r="AX1112" s="1">
        <v>0.4861111111111111</v>
      </c>
      <c r="AY1112" t="s">
        <v>3788</v>
      </c>
      <c r="AZ1112">
        <v>560.00000000232831</v>
      </c>
      <c r="BA1112">
        <v>1</v>
      </c>
      <c r="BB1112">
        <v>0</v>
      </c>
      <c r="BC1112">
        <v>7</v>
      </c>
      <c r="BD1112">
        <v>0</v>
      </c>
      <c r="BE1112">
        <f t="shared" si="179"/>
        <v>1</v>
      </c>
    </row>
    <row r="1113" spans="1:57" x14ac:dyDescent="0.25">
      <c r="A1113" t="s">
        <v>39</v>
      </c>
      <c r="B1113" t="s">
        <v>3789</v>
      </c>
      <c r="C1113">
        <v>80.599999999999994</v>
      </c>
      <c r="D1113">
        <v>73.400000000000006</v>
      </c>
      <c r="G1113">
        <f t="shared" si="170"/>
        <v>0</v>
      </c>
      <c r="H1113">
        <f t="shared" si="171"/>
        <v>0</v>
      </c>
      <c r="I1113">
        <f t="shared" si="172"/>
        <v>0</v>
      </c>
      <c r="J1113">
        <v>76.099999999999994</v>
      </c>
      <c r="K1113">
        <v>82.3</v>
      </c>
      <c r="L1113">
        <v>73.400000000000006</v>
      </c>
      <c r="M1113">
        <v>76.3</v>
      </c>
      <c r="N1113">
        <v>63.3</v>
      </c>
      <c r="O1113">
        <v>64.7</v>
      </c>
      <c r="S1113">
        <f t="shared" si="173"/>
        <v>0</v>
      </c>
      <c r="T1113">
        <f t="shared" si="174"/>
        <v>0</v>
      </c>
      <c r="U1113">
        <f t="shared" si="175"/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18.3</v>
      </c>
      <c r="AG1113">
        <f t="shared" si="176"/>
        <v>1</v>
      </c>
      <c r="AH1113">
        <f t="shared" si="177"/>
        <v>1</v>
      </c>
      <c r="AI1113">
        <f t="shared" si="178"/>
        <v>0</v>
      </c>
      <c r="AJ1113">
        <v>314</v>
      </c>
      <c r="AK1113">
        <v>1013</v>
      </c>
      <c r="AL1113">
        <v>35.5</v>
      </c>
      <c r="AM1113">
        <v>6.6</v>
      </c>
      <c r="AN1113">
        <v>271.10000000000002</v>
      </c>
      <c r="AO1113">
        <v>23.5</v>
      </c>
      <c r="AP1113">
        <v>9</v>
      </c>
      <c r="AQ1113">
        <v>0</v>
      </c>
      <c r="AR1113" t="s">
        <v>3790</v>
      </c>
      <c r="AS1113" t="s">
        <v>3791</v>
      </c>
      <c r="AT1113">
        <v>0.25</v>
      </c>
      <c r="AU1113" t="s">
        <v>43</v>
      </c>
      <c r="AV1113" t="s">
        <v>44</v>
      </c>
      <c r="AW1113" t="s">
        <v>45</v>
      </c>
      <c r="AX1113" s="1">
        <v>0.57986111111111116</v>
      </c>
      <c r="AY1113" t="s">
        <v>3792</v>
      </c>
      <c r="AZ1113">
        <v>285.00000000698492</v>
      </c>
      <c r="BA1113">
        <v>0</v>
      </c>
      <c r="BB1113">
        <v>2.5</v>
      </c>
      <c r="BC1113">
        <v>0</v>
      </c>
      <c r="BD1113">
        <v>0</v>
      </c>
      <c r="BE1113">
        <f t="shared" si="179"/>
        <v>0</v>
      </c>
    </row>
    <row r="1114" spans="1:57" x14ac:dyDescent="0.25">
      <c r="A1114" t="s">
        <v>39</v>
      </c>
      <c r="B1114" t="s">
        <v>3793</v>
      </c>
      <c r="C1114">
        <v>68</v>
      </c>
      <c r="D1114">
        <v>60.8</v>
      </c>
      <c r="G1114">
        <f t="shared" si="170"/>
        <v>1</v>
      </c>
      <c r="H1114">
        <f t="shared" si="171"/>
        <v>1</v>
      </c>
      <c r="I1114">
        <f t="shared" si="172"/>
        <v>0</v>
      </c>
      <c r="J1114">
        <v>63.1</v>
      </c>
      <c r="K1114">
        <v>68</v>
      </c>
      <c r="L1114">
        <v>60.8</v>
      </c>
      <c r="M1114">
        <v>63.1</v>
      </c>
      <c r="N1114">
        <v>50.6</v>
      </c>
      <c r="O1114">
        <v>64.099999999999994</v>
      </c>
      <c r="S1114">
        <f t="shared" si="173"/>
        <v>1</v>
      </c>
      <c r="T1114">
        <f t="shared" si="174"/>
        <v>0</v>
      </c>
      <c r="U1114">
        <f t="shared" si="175"/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43.6</v>
      </c>
      <c r="AC1114">
        <v>32.200000000000003</v>
      </c>
      <c r="AG1114">
        <f t="shared" si="176"/>
        <v>1</v>
      </c>
      <c r="AH1114">
        <f t="shared" si="177"/>
        <v>1</v>
      </c>
      <c r="AI1114">
        <f t="shared" si="178"/>
        <v>0</v>
      </c>
      <c r="AJ1114">
        <v>176.8</v>
      </c>
      <c r="AK1114">
        <v>1017.5</v>
      </c>
      <c r="AL1114">
        <v>50.9</v>
      </c>
      <c r="AM1114">
        <v>6.6</v>
      </c>
      <c r="AN1114">
        <v>133.9</v>
      </c>
      <c r="AO1114">
        <v>11.5</v>
      </c>
      <c r="AP1114">
        <v>5</v>
      </c>
      <c r="AQ1114">
        <v>0</v>
      </c>
      <c r="AR1114" t="s">
        <v>3794</v>
      </c>
      <c r="AS1114" t="s">
        <v>3795</v>
      </c>
      <c r="AT1114">
        <v>0.76</v>
      </c>
      <c r="AU1114" t="s">
        <v>43</v>
      </c>
      <c r="AV1114" t="s">
        <v>44</v>
      </c>
      <c r="AW1114" t="s">
        <v>419</v>
      </c>
      <c r="AX1114" s="1">
        <v>0.5131944444444444</v>
      </c>
      <c r="AY1114" t="s">
        <v>3796</v>
      </c>
      <c r="AZ1114">
        <v>75.99999999627471</v>
      </c>
      <c r="BA1114">
        <v>0</v>
      </c>
      <c r="BB1114">
        <v>0</v>
      </c>
      <c r="BC1114">
        <v>1</v>
      </c>
      <c r="BD1114">
        <v>0</v>
      </c>
      <c r="BE1114">
        <f t="shared" si="179"/>
        <v>1</v>
      </c>
    </row>
    <row r="1115" spans="1:57" x14ac:dyDescent="0.25">
      <c r="A1115" t="s">
        <v>39</v>
      </c>
      <c r="B1115" t="s">
        <v>3797</v>
      </c>
      <c r="C1115">
        <v>82.4</v>
      </c>
      <c r="D1115">
        <v>66.2</v>
      </c>
      <c r="G1115">
        <f t="shared" si="170"/>
        <v>1</v>
      </c>
      <c r="H1115">
        <f t="shared" si="171"/>
        <v>1</v>
      </c>
      <c r="I1115">
        <f t="shared" si="172"/>
        <v>0</v>
      </c>
      <c r="J1115">
        <v>75.2</v>
      </c>
      <c r="K1115">
        <v>87.2</v>
      </c>
      <c r="L1115">
        <v>66.2</v>
      </c>
      <c r="M1115">
        <v>76.3</v>
      </c>
      <c r="N1115">
        <v>66.400000000000006</v>
      </c>
      <c r="O1115">
        <v>74.8</v>
      </c>
      <c r="S1115">
        <f t="shared" si="173"/>
        <v>1</v>
      </c>
      <c r="T1115">
        <f t="shared" si="174"/>
        <v>1</v>
      </c>
      <c r="U1115">
        <f t="shared" si="175"/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12.8</v>
      </c>
      <c r="AG1115">
        <f t="shared" si="176"/>
        <v>1</v>
      </c>
      <c r="AH1115">
        <f t="shared" si="177"/>
        <v>0</v>
      </c>
      <c r="AI1115">
        <f t="shared" si="178"/>
        <v>1</v>
      </c>
      <c r="AJ1115">
        <v>305.60000000000002</v>
      </c>
      <c r="AK1115">
        <v>1009.5</v>
      </c>
      <c r="AL1115">
        <v>7.1</v>
      </c>
      <c r="AM1115">
        <v>6.3</v>
      </c>
      <c r="AN1115">
        <v>279.60000000000002</v>
      </c>
      <c r="AO1115">
        <v>24.2</v>
      </c>
      <c r="AP1115">
        <v>9</v>
      </c>
      <c r="AQ1115">
        <v>0</v>
      </c>
      <c r="AR1115" t="s">
        <v>3798</v>
      </c>
      <c r="AS1115" t="s">
        <v>3799</v>
      </c>
      <c r="AT1115">
        <v>0.06</v>
      </c>
      <c r="AU1115" t="s">
        <v>74</v>
      </c>
      <c r="AV1115" t="s">
        <v>2955</v>
      </c>
      <c r="AW1115" t="s">
        <v>75</v>
      </c>
      <c r="AX1115" s="1">
        <v>0.49444444444444452</v>
      </c>
      <c r="AY1115" t="s">
        <v>3800</v>
      </c>
      <c r="AZ1115">
        <v>548.00000000512227</v>
      </c>
      <c r="BA1115">
        <v>1</v>
      </c>
      <c r="BB1115">
        <v>15</v>
      </c>
      <c r="BC1115">
        <v>0</v>
      </c>
      <c r="BD1115">
        <v>0</v>
      </c>
      <c r="BE1115">
        <f t="shared" si="179"/>
        <v>1</v>
      </c>
    </row>
    <row r="1116" spans="1:57" x14ac:dyDescent="0.25">
      <c r="A1116" t="s">
        <v>39</v>
      </c>
      <c r="B1116" t="s">
        <v>3801</v>
      </c>
      <c r="C1116">
        <v>69.8</v>
      </c>
      <c r="D1116">
        <v>53.6</v>
      </c>
      <c r="G1116">
        <f t="shared" si="170"/>
        <v>1</v>
      </c>
      <c r="H1116">
        <f t="shared" si="171"/>
        <v>0</v>
      </c>
      <c r="I1116">
        <f t="shared" si="172"/>
        <v>1</v>
      </c>
      <c r="J1116">
        <v>63.7</v>
      </c>
      <c r="K1116">
        <v>69.8</v>
      </c>
      <c r="L1116">
        <v>53.6</v>
      </c>
      <c r="M1116">
        <v>63.7</v>
      </c>
      <c r="N1116">
        <v>55</v>
      </c>
      <c r="O1116">
        <v>73.900000000000006</v>
      </c>
      <c r="S1116">
        <f t="shared" si="173"/>
        <v>1</v>
      </c>
      <c r="T1116">
        <f t="shared" si="174"/>
        <v>1</v>
      </c>
      <c r="U1116">
        <f t="shared" si="175"/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80.5</v>
      </c>
      <c r="AG1116">
        <f t="shared" si="176"/>
        <v>1</v>
      </c>
      <c r="AH1116">
        <f t="shared" si="177"/>
        <v>1</v>
      </c>
      <c r="AI1116">
        <f t="shared" si="178"/>
        <v>0</v>
      </c>
      <c r="AJ1116">
        <v>75.3</v>
      </c>
      <c r="AK1116">
        <v>1012</v>
      </c>
      <c r="AL1116">
        <v>70.3</v>
      </c>
      <c r="AM1116">
        <v>6.6</v>
      </c>
      <c r="AN1116">
        <v>50.5</v>
      </c>
      <c r="AO1116">
        <v>4.5</v>
      </c>
      <c r="AP1116">
        <v>2</v>
      </c>
      <c r="AQ1116">
        <v>0</v>
      </c>
      <c r="AR1116" t="s">
        <v>3802</v>
      </c>
      <c r="AS1116" t="s">
        <v>3803</v>
      </c>
      <c r="AT1116">
        <v>0.08</v>
      </c>
      <c r="AU1116" t="s">
        <v>43</v>
      </c>
      <c r="AV1116" t="s">
        <v>44</v>
      </c>
      <c r="AW1116" t="s">
        <v>419</v>
      </c>
      <c r="AX1116" s="1">
        <v>0.49305555555555558</v>
      </c>
      <c r="AY1116" t="s">
        <v>3804</v>
      </c>
      <c r="AZ1116">
        <v>460.00000000116421</v>
      </c>
      <c r="BA1116">
        <v>1</v>
      </c>
      <c r="BB1116">
        <v>0</v>
      </c>
      <c r="BC1116">
        <v>3</v>
      </c>
      <c r="BD1116">
        <v>0</v>
      </c>
      <c r="BE1116">
        <f t="shared" si="179"/>
        <v>1</v>
      </c>
    </row>
    <row r="1117" spans="1:57" x14ac:dyDescent="0.25">
      <c r="A1117" t="s">
        <v>39</v>
      </c>
      <c r="B1117" t="s">
        <v>3793</v>
      </c>
      <c r="C1117">
        <v>68</v>
      </c>
      <c r="D1117">
        <v>60.8</v>
      </c>
      <c r="G1117">
        <f t="shared" si="170"/>
        <v>1</v>
      </c>
      <c r="H1117">
        <f t="shared" si="171"/>
        <v>1</v>
      </c>
      <c r="I1117">
        <f t="shared" si="172"/>
        <v>0</v>
      </c>
      <c r="J1117">
        <v>63.1</v>
      </c>
      <c r="K1117">
        <v>68</v>
      </c>
      <c r="L1117">
        <v>60.8</v>
      </c>
      <c r="M1117">
        <v>63.1</v>
      </c>
      <c r="N1117">
        <v>50.6</v>
      </c>
      <c r="O1117">
        <v>64.099999999999994</v>
      </c>
      <c r="S1117">
        <f t="shared" si="173"/>
        <v>1</v>
      </c>
      <c r="T1117">
        <f t="shared" si="174"/>
        <v>0</v>
      </c>
      <c r="U1117">
        <f t="shared" si="175"/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43.6</v>
      </c>
      <c r="AC1117">
        <v>32.200000000000003</v>
      </c>
      <c r="AG1117">
        <f t="shared" si="176"/>
        <v>1</v>
      </c>
      <c r="AH1117">
        <f t="shared" si="177"/>
        <v>1</v>
      </c>
      <c r="AI1117">
        <f t="shared" si="178"/>
        <v>0</v>
      </c>
      <c r="AJ1117">
        <v>176.8</v>
      </c>
      <c r="AK1117">
        <v>1017.5</v>
      </c>
      <c r="AL1117">
        <v>50.9</v>
      </c>
      <c r="AM1117">
        <v>6.6</v>
      </c>
      <c r="AN1117">
        <v>133.9</v>
      </c>
      <c r="AO1117">
        <v>11.5</v>
      </c>
      <c r="AP1117">
        <v>5</v>
      </c>
      <c r="AQ1117">
        <v>0</v>
      </c>
      <c r="AR1117" t="s">
        <v>3794</v>
      </c>
      <c r="AS1117" t="s">
        <v>3795</v>
      </c>
      <c r="AT1117">
        <v>0.76</v>
      </c>
      <c r="AU1117" t="s">
        <v>43</v>
      </c>
      <c r="AV1117" t="s">
        <v>44</v>
      </c>
      <c r="AW1117" t="s">
        <v>419</v>
      </c>
      <c r="AX1117" s="1">
        <v>0.51041666666666663</v>
      </c>
      <c r="AY1117" t="s">
        <v>3805</v>
      </c>
      <c r="AZ1117">
        <v>210.00000000349249</v>
      </c>
      <c r="BA1117">
        <v>0</v>
      </c>
      <c r="BB1117">
        <v>0.5</v>
      </c>
      <c r="BC1117">
        <v>0</v>
      </c>
      <c r="BD1117">
        <v>0</v>
      </c>
      <c r="BE1117">
        <f t="shared" si="179"/>
        <v>1</v>
      </c>
    </row>
    <row r="1118" spans="1:57" x14ac:dyDescent="0.25">
      <c r="A1118" t="s">
        <v>39</v>
      </c>
      <c r="B1118" t="s">
        <v>3806</v>
      </c>
      <c r="C1118">
        <v>64.5</v>
      </c>
      <c r="D1118">
        <v>55.4</v>
      </c>
      <c r="G1118">
        <f t="shared" si="170"/>
        <v>1</v>
      </c>
      <c r="H1118">
        <f t="shared" si="171"/>
        <v>1</v>
      </c>
      <c r="I1118">
        <f t="shared" si="172"/>
        <v>0</v>
      </c>
      <c r="J1118">
        <v>61.7</v>
      </c>
      <c r="K1118">
        <v>64.5</v>
      </c>
      <c r="L1118">
        <v>55.4</v>
      </c>
      <c r="M1118">
        <v>61.7</v>
      </c>
      <c r="N1118">
        <v>52.5</v>
      </c>
      <c r="O1118">
        <v>72.2</v>
      </c>
      <c r="S1118">
        <f t="shared" si="173"/>
        <v>1</v>
      </c>
      <c r="T1118">
        <f t="shared" si="174"/>
        <v>1</v>
      </c>
      <c r="U1118">
        <f t="shared" si="175"/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32.200000000000003</v>
      </c>
      <c r="AC1118">
        <v>20.8</v>
      </c>
      <c r="AG1118">
        <f t="shared" si="176"/>
        <v>1</v>
      </c>
      <c r="AH1118">
        <f t="shared" si="177"/>
        <v>1</v>
      </c>
      <c r="AI1118">
        <f t="shared" si="178"/>
        <v>0</v>
      </c>
      <c r="AJ1118">
        <v>248.8</v>
      </c>
      <c r="AK1118">
        <v>1013.9</v>
      </c>
      <c r="AL1118">
        <v>71</v>
      </c>
      <c r="AM1118">
        <v>6.6</v>
      </c>
      <c r="AN1118">
        <v>130</v>
      </c>
      <c r="AO1118">
        <v>11.3</v>
      </c>
      <c r="AP1118">
        <v>5</v>
      </c>
      <c r="AQ1118">
        <v>0</v>
      </c>
      <c r="AR1118" t="s">
        <v>3807</v>
      </c>
      <c r="AS1118" t="s">
        <v>3808</v>
      </c>
      <c r="AT1118">
        <v>0.83</v>
      </c>
      <c r="AU1118" t="s">
        <v>43</v>
      </c>
      <c r="AV1118" t="s">
        <v>44</v>
      </c>
      <c r="AW1118" t="s">
        <v>45</v>
      </c>
      <c r="AX1118" s="1">
        <v>0.48958333333333331</v>
      </c>
      <c r="AY1118" t="s">
        <v>3809</v>
      </c>
      <c r="AZ1118">
        <v>114.99999999767169</v>
      </c>
      <c r="BA1118">
        <v>0</v>
      </c>
      <c r="BB1118">
        <v>0</v>
      </c>
      <c r="BC1118">
        <v>1</v>
      </c>
      <c r="BD1118">
        <v>0</v>
      </c>
      <c r="BE1118">
        <f t="shared" si="179"/>
        <v>1</v>
      </c>
    </row>
    <row r="1119" spans="1:57" x14ac:dyDescent="0.25">
      <c r="A1119" t="s">
        <v>39</v>
      </c>
      <c r="B1119" t="s">
        <v>3810</v>
      </c>
      <c r="C1119">
        <v>62.6</v>
      </c>
      <c r="D1119">
        <v>50.1</v>
      </c>
      <c r="G1119">
        <f t="shared" si="170"/>
        <v>1</v>
      </c>
      <c r="H1119">
        <f t="shared" si="171"/>
        <v>1</v>
      </c>
      <c r="I1119">
        <f t="shared" si="172"/>
        <v>0</v>
      </c>
      <c r="J1119">
        <v>56.1</v>
      </c>
      <c r="K1119">
        <v>62.6</v>
      </c>
      <c r="L1119">
        <v>50.1</v>
      </c>
      <c r="M1119">
        <v>56.1</v>
      </c>
      <c r="N1119">
        <v>43.5</v>
      </c>
      <c r="O1119">
        <v>63.8</v>
      </c>
      <c r="S1119">
        <f t="shared" si="173"/>
        <v>1</v>
      </c>
      <c r="T1119">
        <f t="shared" si="174"/>
        <v>0</v>
      </c>
      <c r="U1119">
        <f t="shared" si="175"/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46.1</v>
      </c>
      <c r="AC1119">
        <v>35.6</v>
      </c>
      <c r="AG1119">
        <f t="shared" si="176"/>
        <v>1</v>
      </c>
      <c r="AH1119">
        <f t="shared" si="177"/>
        <v>1</v>
      </c>
      <c r="AI1119">
        <f t="shared" si="178"/>
        <v>0</v>
      </c>
      <c r="AJ1119">
        <v>263.39999999999998</v>
      </c>
      <c r="AK1119">
        <v>1008.4</v>
      </c>
      <c r="AL1119">
        <v>36.1</v>
      </c>
      <c r="AM1119">
        <v>6.6</v>
      </c>
      <c r="AN1119">
        <v>162.69999999999999</v>
      </c>
      <c r="AO1119">
        <v>14.2</v>
      </c>
      <c r="AP1119">
        <v>6</v>
      </c>
      <c r="AQ1119">
        <v>0</v>
      </c>
      <c r="AR1119" t="s">
        <v>3811</v>
      </c>
      <c r="AS1119" t="s">
        <v>3812</v>
      </c>
      <c r="AT1119">
        <v>0.61</v>
      </c>
      <c r="AU1119" t="s">
        <v>43</v>
      </c>
      <c r="AV1119" t="s">
        <v>44</v>
      </c>
      <c r="AW1119" t="s">
        <v>419</v>
      </c>
      <c r="AX1119" s="1">
        <v>0.52083333333333337</v>
      </c>
      <c r="AY1119" t="s">
        <v>3813</v>
      </c>
      <c r="AZ1119">
        <v>119.99999999301509</v>
      </c>
      <c r="BA1119">
        <v>0</v>
      </c>
      <c r="BB1119">
        <v>0</v>
      </c>
      <c r="BC1119">
        <v>1</v>
      </c>
      <c r="BD1119">
        <v>0</v>
      </c>
      <c r="BE1119">
        <f t="shared" si="179"/>
        <v>1</v>
      </c>
    </row>
    <row r="1120" spans="1:57" x14ac:dyDescent="0.25">
      <c r="A1120" t="s">
        <v>39</v>
      </c>
      <c r="B1120" t="s">
        <v>3814</v>
      </c>
      <c r="C1120">
        <v>69.8</v>
      </c>
      <c r="D1120">
        <v>53.6</v>
      </c>
      <c r="G1120">
        <f t="shared" si="170"/>
        <v>1</v>
      </c>
      <c r="H1120">
        <f t="shared" si="171"/>
        <v>1</v>
      </c>
      <c r="I1120">
        <f t="shared" si="172"/>
        <v>0</v>
      </c>
      <c r="J1120">
        <v>61.3</v>
      </c>
      <c r="K1120">
        <v>69.8</v>
      </c>
      <c r="L1120">
        <v>53.6</v>
      </c>
      <c r="M1120">
        <v>61.3</v>
      </c>
      <c r="N1120">
        <v>50.8</v>
      </c>
      <c r="O1120">
        <v>68.900000000000006</v>
      </c>
      <c r="S1120">
        <f t="shared" si="173"/>
        <v>0</v>
      </c>
      <c r="T1120">
        <f t="shared" si="174"/>
        <v>0</v>
      </c>
      <c r="U1120">
        <f t="shared" si="175"/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33.299999999999997</v>
      </c>
      <c r="AC1120">
        <v>25.3</v>
      </c>
      <c r="AG1120">
        <f t="shared" si="176"/>
        <v>1</v>
      </c>
      <c r="AH1120">
        <f t="shared" si="177"/>
        <v>1</v>
      </c>
      <c r="AI1120">
        <f t="shared" si="178"/>
        <v>0</v>
      </c>
      <c r="AJ1120">
        <v>284.60000000000002</v>
      </c>
      <c r="AK1120">
        <v>1005.4</v>
      </c>
      <c r="AL1120">
        <v>81.7</v>
      </c>
      <c r="AM1120">
        <v>6.4</v>
      </c>
      <c r="AN1120">
        <v>152.4</v>
      </c>
      <c r="AO1120">
        <v>13.2</v>
      </c>
      <c r="AP1120">
        <v>7</v>
      </c>
      <c r="AQ1120">
        <v>0</v>
      </c>
      <c r="AR1120" t="s">
        <v>3815</v>
      </c>
      <c r="AS1120" t="s">
        <v>3816</v>
      </c>
      <c r="AT1120">
        <v>0.04</v>
      </c>
      <c r="AU1120" t="s">
        <v>43</v>
      </c>
      <c r="AV1120" t="s">
        <v>44</v>
      </c>
      <c r="AW1120" t="s">
        <v>45</v>
      </c>
      <c r="AX1120" s="1">
        <v>0.79166666666666663</v>
      </c>
      <c r="AY1120" t="s">
        <v>3817</v>
      </c>
      <c r="AZ1120">
        <v>75.00000000349246</v>
      </c>
      <c r="BA1120">
        <v>0</v>
      </c>
      <c r="BB1120">
        <v>0</v>
      </c>
      <c r="BC1120">
        <v>0.2</v>
      </c>
      <c r="BD1120">
        <v>0</v>
      </c>
      <c r="BE1120">
        <f t="shared" si="179"/>
        <v>0</v>
      </c>
    </row>
    <row r="1121" spans="1:57" x14ac:dyDescent="0.25">
      <c r="A1121" t="s">
        <v>39</v>
      </c>
      <c r="B1121" t="s">
        <v>3818</v>
      </c>
      <c r="C1121">
        <v>86</v>
      </c>
      <c r="D1121">
        <v>64.400000000000006</v>
      </c>
      <c r="G1121">
        <f t="shared" si="170"/>
        <v>1</v>
      </c>
      <c r="H1121">
        <f t="shared" si="171"/>
        <v>1</v>
      </c>
      <c r="I1121">
        <f t="shared" si="172"/>
        <v>0</v>
      </c>
      <c r="J1121">
        <v>72.5</v>
      </c>
      <c r="K1121">
        <v>83.1</v>
      </c>
      <c r="L1121">
        <v>64.400000000000006</v>
      </c>
      <c r="M1121">
        <v>72.2</v>
      </c>
      <c r="N1121">
        <v>53.7</v>
      </c>
      <c r="O1121">
        <v>55.2</v>
      </c>
      <c r="S1121">
        <f t="shared" si="173"/>
        <v>1</v>
      </c>
      <c r="T1121">
        <f t="shared" si="174"/>
        <v>0</v>
      </c>
      <c r="U1121">
        <f t="shared" si="175"/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25.3</v>
      </c>
      <c r="AG1121">
        <f t="shared" si="176"/>
        <v>1</v>
      </c>
      <c r="AH1121">
        <f t="shared" si="177"/>
        <v>1</v>
      </c>
      <c r="AI1121">
        <f t="shared" si="178"/>
        <v>0</v>
      </c>
      <c r="AJ1121">
        <v>183.6</v>
      </c>
      <c r="AK1121">
        <v>1010</v>
      </c>
      <c r="AL1121">
        <v>34</v>
      </c>
      <c r="AM1121">
        <v>6.3</v>
      </c>
      <c r="AN1121">
        <v>271.60000000000002</v>
      </c>
      <c r="AO1121">
        <v>23.3</v>
      </c>
      <c r="AP1121">
        <v>9</v>
      </c>
      <c r="AQ1121">
        <v>0</v>
      </c>
      <c r="AR1121" t="s">
        <v>3819</v>
      </c>
      <c r="AS1121" t="s">
        <v>3820</v>
      </c>
      <c r="AT1121">
        <v>0.1</v>
      </c>
      <c r="AU1121" t="s">
        <v>43</v>
      </c>
      <c r="AV1121" t="s">
        <v>44</v>
      </c>
      <c r="AW1121" t="s">
        <v>45</v>
      </c>
      <c r="AX1121" s="1">
        <v>0.59375</v>
      </c>
      <c r="AY1121" t="s">
        <v>3821</v>
      </c>
      <c r="AZ1121">
        <v>1090.0000000011639</v>
      </c>
      <c r="BA1121">
        <v>1</v>
      </c>
      <c r="BB1121">
        <v>0</v>
      </c>
      <c r="BC1121">
        <v>4</v>
      </c>
      <c r="BD1121">
        <v>0</v>
      </c>
      <c r="BE1121">
        <f t="shared" si="179"/>
        <v>1</v>
      </c>
    </row>
    <row r="1122" spans="1:57" x14ac:dyDescent="0.25">
      <c r="A1122" t="s">
        <v>39</v>
      </c>
      <c r="B1122" t="s">
        <v>3546</v>
      </c>
      <c r="C1122">
        <v>73.5</v>
      </c>
      <c r="D1122">
        <v>66.2</v>
      </c>
      <c r="G1122">
        <f t="shared" si="170"/>
        <v>0</v>
      </c>
      <c r="H1122">
        <f t="shared" si="171"/>
        <v>0</v>
      </c>
      <c r="I1122">
        <f t="shared" si="172"/>
        <v>0</v>
      </c>
      <c r="J1122">
        <v>69.7</v>
      </c>
      <c r="K1122">
        <v>73.5</v>
      </c>
      <c r="L1122">
        <v>66.2</v>
      </c>
      <c r="M1122">
        <v>69.7</v>
      </c>
      <c r="N1122">
        <v>55.6</v>
      </c>
      <c r="O1122">
        <v>61.6</v>
      </c>
      <c r="S1122">
        <f t="shared" si="173"/>
        <v>1</v>
      </c>
      <c r="T1122">
        <f t="shared" si="174"/>
        <v>0</v>
      </c>
      <c r="U1122">
        <f t="shared" si="175"/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27.5</v>
      </c>
      <c r="AG1122">
        <f t="shared" si="176"/>
        <v>1</v>
      </c>
      <c r="AH1122">
        <f t="shared" si="177"/>
        <v>1</v>
      </c>
      <c r="AI1122">
        <f t="shared" si="178"/>
        <v>0</v>
      </c>
      <c r="AJ1122">
        <v>303.3</v>
      </c>
      <c r="AK1122">
        <v>1011.9</v>
      </c>
      <c r="AL1122">
        <v>60.1</v>
      </c>
      <c r="AM1122">
        <v>6.4</v>
      </c>
      <c r="AN1122">
        <v>314.10000000000002</v>
      </c>
      <c r="AO1122">
        <v>27.2</v>
      </c>
      <c r="AP1122">
        <v>10</v>
      </c>
      <c r="AQ1122">
        <v>0</v>
      </c>
      <c r="AR1122" t="s">
        <v>3547</v>
      </c>
      <c r="AS1122" t="s">
        <v>3548</v>
      </c>
      <c r="AT1122">
        <v>0.08</v>
      </c>
      <c r="AU1122" t="s">
        <v>43</v>
      </c>
      <c r="AV1122" t="s">
        <v>44</v>
      </c>
      <c r="AW1122" t="s">
        <v>45</v>
      </c>
      <c r="AX1122" s="1">
        <v>0.6791666666666667</v>
      </c>
      <c r="AY1122" t="s">
        <v>3822</v>
      </c>
      <c r="AZ1122">
        <v>312.00000000069849</v>
      </c>
      <c r="BA1122">
        <v>0</v>
      </c>
      <c r="BB1122">
        <v>0</v>
      </c>
      <c r="BC1122">
        <v>7</v>
      </c>
      <c r="BD1122">
        <v>0</v>
      </c>
      <c r="BE1122">
        <f t="shared" si="179"/>
        <v>0</v>
      </c>
    </row>
    <row r="1123" spans="1:57" x14ac:dyDescent="0.25">
      <c r="A1123" t="s">
        <v>39</v>
      </c>
      <c r="B1123" t="s">
        <v>3823</v>
      </c>
      <c r="C1123">
        <v>98.6</v>
      </c>
      <c r="D1123">
        <v>77</v>
      </c>
      <c r="G1123">
        <f t="shared" si="170"/>
        <v>1</v>
      </c>
      <c r="H1123">
        <f t="shared" si="171"/>
        <v>1</v>
      </c>
      <c r="I1123">
        <f t="shared" si="172"/>
        <v>0</v>
      </c>
      <c r="J1123">
        <v>87.7</v>
      </c>
      <c r="K1123">
        <v>99.2</v>
      </c>
      <c r="L1123">
        <v>77</v>
      </c>
      <c r="M1123">
        <v>89</v>
      </c>
      <c r="N1123">
        <v>62.1</v>
      </c>
      <c r="O1123">
        <v>44.3</v>
      </c>
      <c r="S1123">
        <f t="shared" si="173"/>
        <v>1</v>
      </c>
      <c r="T1123">
        <f t="shared" si="174"/>
        <v>0</v>
      </c>
      <c r="U1123">
        <f t="shared" si="175"/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17.2</v>
      </c>
      <c r="AG1123">
        <f t="shared" si="176"/>
        <v>0</v>
      </c>
      <c r="AH1123">
        <f t="shared" si="177"/>
        <v>0</v>
      </c>
      <c r="AI1123">
        <f t="shared" si="178"/>
        <v>0</v>
      </c>
      <c r="AJ1123">
        <v>282.7</v>
      </c>
      <c r="AK1123">
        <v>1009.4</v>
      </c>
      <c r="AL1123">
        <v>0</v>
      </c>
      <c r="AM1123">
        <v>6.2</v>
      </c>
      <c r="AN1123">
        <v>349.4</v>
      </c>
      <c r="AO1123">
        <v>30</v>
      </c>
      <c r="AP1123">
        <v>10</v>
      </c>
      <c r="AQ1123">
        <v>0</v>
      </c>
      <c r="AR1123" t="s">
        <v>3824</v>
      </c>
      <c r="AS1123" t="s">
        <v>3825</v>
      </c>
      <c r="AT1123">
        <v>0.18</v>
      </c>
      <c r="AU1123" t="s">
        <v>74</v>
      </c>
      <c r="AV1123" t="s">
        <v>2955</v>
      </c>
      <c r="AW1123" t="s">
        <v>75</v>
      </c>
      <c r="AX1123" s="1">
        <v>0.12847222222222221</v>
      </c>
      <c r="AY1123" t="s">
        <v>3826</v>
      </c>
      <c r="AZ1123">
        <v>205.0000000081491</v>
      </c>
      <c r="BA1123">
        <v>0</v>
      </c>
      <c r="BB1123">
        <v>0</v>
      </c>
      <c r="BC1123">
        <v>3</v>
      </c>
      <c r="BD1123">
        <v>0</v>
      </c>
      <c r="BE1123">
        <f t="shared" si="179"/>
        <v>0</v>
      </c>
    </row>
    <row r="1124" spans="1:57" x14ac:dyDescent="0.25">
      <c r="A1124" t="s">
        <v>39</v>
      </c>
      <c r="B1124" t="s">
        <v>3673</v>
      </c>
      <c r="C1124">
        <v>87.8</v>
      </c>
      <c r="D1124">
        <v>78.8</v>
      </c>
      <c r="G1124">
        <f t="shared" si="170"/>
        <v>1</v>
      </c>
      <c r="H1124">
        <f t="shared" si="171"/>
        <v>1</v>
      </c>
      <c r="I1124">
        <f t="shared" si="172"/>
        <v>0</v>
      </c>
      <c r="J1124">
        <v>83.3</v>
      </c>
      <c r="K1124">
        <v>100</v>
      </c>
      <c r="L1124">
        <v>78.8</v>
      </c>
      <c r="M1124">
        <v>89.8</v>
      </c>
      <c r="N1124">
        <v>71.900000000000006</v>
      </c>
      <c r="O1124">
        <v>69.099999999999994</v>
      </c>
      <c r="S1124">
        <f t="shared" si="173"/>
        <v>1</v>
      </c>
      <c r="T1124">
        <f t="shared" si="174"/>
        <v>1</v>
      </c>
      <c r="U1124">
        <f t="shared" si="175"/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21.9</v>
      </c>
      <c r="AG1124">
        <f t="shared" si="176"/>
        <v>1</v>
      </c>
      <c r="AH1124">
        <f t="shared" si="177"/>
        <v>1</v>
      </c>
      <c r="AI1124">
        <f t="shared" si="178"/>
        <v>0</v>
      </c>
      <c r="AJ1124">
        <v>299</v>
      </c>
      <c r="AK1124">
        <v>1005.9</v>
      </c>
      <c r="AL1124">
        <v>5.8</v>
      </c>
      <c r="AM1124">
        <v>6.3</v>
      </c>
      <c r="AN1124">
        <v>311.39999999999998</v>
      </c>
      <c r="AO1124">
        <v>26.7</v>
      </c>
      <c r="AP1124">
        <v>10</v>
      </c>
      <c r="AQ1124">
        <v>0</v>
      </c>
      <c r="AR1124" t="s">
        <v>3674</v>
      </c>
      <c r="AS1124" t="s">
        <v>3675</v>
      </c>
      <c r="AT1124">
        <v>0.28000000000000003</v>
      </c>
      <c r="AU1124" t="s">
        <v>74</v>
      </c>
      <c r="AV1124" t="s">
        <v>2955</v>
      </c>
      <c r="AW1124" t="s">
        <v>75</v>
      </c>
      <c r="AX1124" s="1">
        <v>0.48958333333333331</v>
      </c>
      <c r="AY1124" t="s">
        <v>3827</v>
      </c>
      <c r="AZ1124">
        <v>1694.9999999930151</v>
      </c>
      <c r="BA1124">
        <v>1</v>
      </c>
      <c r="BB1124">
        <v>7</v>
      </c>
      <c r="BC1124">
        <v>0</v>
      </c>
      <c r="BD1124">
        <v>0</v>
      </c>
      <c r="BE1124">
        <f t="shared" si="179"/>
        <v>1</v>
      </c>
    </row>
    <row r="1125" spans="1:57" x14ac:dyDescent="0.25">
      <c r="A1125" t="s">
        <v>39</v>
      </c>
      <c r="B1125" t="s">
        <v>3785</v>
      </c>
      <c r="C1125">
        <v>87.8</v>
      </c>
      <c r="D1125">
        <v>75.2</v>
      </c>
      <c r="G1125">
        <f t="shared" si="170"/>
        <v>1</v>
      </c>
      <c r="H1125">
        <f t="shared" si="171"/>
        <v>1</v>
      </c>
      <c r="I1125">
        <f t="shared" si="172"/>
        <v>0</v>
      </c>
      <c r="J1125">
        <v>82.4</v>
      </c>
      <c r="K1125">
        <v>102.4</v>
      </c>
      <c r="L1125">
        <v>75.2</v>
      </c>
      <c r="M1125">
        <v>88.2</v>
      </c>
      <c r="N1125">
        <v>72.900000000000006</v>
      </c>
      <c r="O1125">
        <v>73.599999999999994</v>
      </c>
      <c r="S1125">
        <f t="shared" si="173"/>
        <v>1</v>
      </c>
      <c r="T1125">
        <f t="shared" si="174"/>
        <v>1</v>
      </c>
      <c r="U1125">
        <f t="shared" si="175"/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16.100000000000001</v>
      </c>
      <c r="AG1125">
        <f t="shared" si="176"/>
        <v>0</v>
      </c>
      <c r="AH1125">
        <f t="shared" si="177"/>
        <v>0</v>
      </c>
      <c r="AI1125">
        <f t="shared" si="178"/>
        <v>0</v>
      </c>
      <c r="AJ1125">
        <v>304.2</v>
      </c>
      <c r="AK1125">
        <v>1008.2</v>
      </c>
      <c r="AL1125">
        <v>0.1</v>
      </c>
      <c r="AM1125">
        <v>6.2</v>
      </c>
      <c r="AN1125">
        <v>314.3</v>
      </c>
      <c r="AO1125">
        <v>27.2</v>
      </c>
      <c r="AP1125">
        <v>10</v>
      </c>
      <c r="AQ1125">
        <v>0</v>
      </c>
      <c r="AR1125" t="s">
        <v>3786</v>
      </c>
      <c r="AS1125" t="s">
        <v>3787</v>
      </c>
      <c r="AT1125">
        <v>0.32</v>
      </c>
      <c r="AU1125" t="s">
        <v>74</v>
      </c>
      <c r="AV1125" t="s">
        <v>2955</v>
      </c>
      <c r="AW1125" t="s">
        <v>75</v>
      </c>
      <c r="AX1125" s="1">
        <v>0.87847222222222221</v>
      </c>
      <c r="AY1125" t="s">
        <v>3828</v>
      </c>
      <c r="AZ1125">
        <v>320.00000000582082</v>
      </c>
      <c r="BA1125">
        <v>0</v>
      </c>
      <c r="BB1125">
        <v>1</v>
      </c>
      <c r="BC1125">
        <v>0</v>
      </c>
      <c r="BD1125">
        <v>0</v>
      </c>
      <c r="BE1125">
        <f t="shared" si="179"/>
        <v>0</v>
      </c>
    </row>
    <row r="1126" spans="1:57" x14ac:dyDescent="0.25">
      <c r="A1126" t="s">
        <v>39</v>
      </c>
      <c r="B1126" t="s">
        <v>3829</v>
      </c>
      <c r="C1126">
        <v>78.8</v>
      </c>
      <c r="D1126">
        <v>71.599999999999994</v>
      </c>
      <c r="G1126">
        <f t="shared" si="170"/>
        <v>1</v>
      </c>
      <c r="H1126">
        <f t="shared" si="171"/>
        <v>1</v>
      </c>
      <c r="I1126">
        <f t="shared" si="172"/>
        <v>0</v>
      </c>
      <c r="J1126">
        <v>73.599999999999994</v>
      </c>
      <c r="K1126">
        <v>78.8</v>
      </c>
      <c r="L1126">
        <v>71.599999999999994</v>
      </c>
      <c r="M1126">
        <v>73.599999999999994</v>
      </c>
      <c r="N1126">
        <v>53.5</v>
      </c>
      <c r="O1126">
        <v>49.8</v>
      </c>
      <c r="S1126">
        <f t="shared" si="173"/>
        <v>1</v>
      </c>
      <c r="T1126">
        <f t="shared" si="174"/>
        <v>0</v>
      </c>
      <c r="U1126">
        <f t="shared" si="175"/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39.1</v>
      </c>
      <c r="AC1126">
        <v>28.9</v>
      </c>
      <c r="AG1126">
        <f t="shared" si="176"/>
        <v>1</v>
      </c>
      <c r="AH1126">
        <f t="shared" si="177"/>
        <v>1</v>
      </c>
      <c r="AI1126">
        <f t="shared" si="178"/>
        <v>0</v>
      </c>
      <c r="AJ1126">
        <v>174.3</v>
      </c>
      <c r="AK1126">
        <v>1014.2</v>
      </c>
      <c r="AL1126">
        <v>64.400000000000006</v>
      </c>
      <c r="AM1126">
        <v>6.6</v>
      </c>
      <c r="AN1126">
        <v>128</v>
      </c>
      <c r="AO1126">
        <v>11.2</v>
      </c>
      <c r="AP1126">
        <v>5</v>
      </c>
      <c r="AQ1126">
        <v>0</v>
      </c>
      <c r="AR1126" t="s">
        <v>3830</v>
      </c>
      <c r="AS1126" t="s">
        <v>3831</v>
      </c>
      <c r="AT1126">
        <v>0.75</v>
      </c>
      <c r="AU1126" t="s">
        <v>43</v>
      </c>
      <c r="AV1126" t="s">
        <v>44</v>
      </c>
      <c r="AW1126" t="s">
        <v>45</v>
      </c>
      <c r="AX1126" s="1">
        <v>0.78472222222222221</v>
      </c>
      <c r="AY1126" t="s">
        <v>3832</v>
      </c>
      <c r="AZ1126">
        <v>230.00000000582079</v>
      </c>
      <c r="BA1126">
        <v>0</v>
      </c>
      <c r="BB1126">
        <v>0</v>
      </c>
      <c r="BC1126">
        <v>1</v>
      </c>
      <c r="BD1126">
        <v>0</v>
      </c>
      <c r="BE1126">
        <f t="shared" si="179"/>
        <v>1</v>
      </c>
    </row>
    <row r="1127" spans="1:57" x14ac:dyDescent="0.25">
      <c r="A1127" t="s">
        <v>39</v>
      </c>
      <c r="B1127" t="s">
        <v>3833</v>
      </c>
      <c r="C1127">
        <v>66.2</v>
      </c>
      <c r="D1127">
        <v>60.8</v>
      </c>
      <c r="G1127">
        <f t="shared" si="170"/>
        <v>1</v>
      </c>
      <c r="H1127">
        <f t="shared" si="171"/>
        <v>1</v>
      </c>
      <c r="I1127">
        <f t="shared" si="172"/>
        <v>0</v>
      </c>
      <c r="J1127">
        <v>63.4</v>
      </c>
      <c r="K1127">
        <v>66.2</v>
      </c>
      <c r="L1127">
        <v>60.8</v>
      </c>
      <c r="M1127">
        <v>63.4</v>
      </c>
      <c r="N1127">
        <v>51</v>
      </c>
      <c r="O1127">
        <v>64.3</v>
      </c>
      <c r="S1127">
        <f t="shared" si="173"/>
        <v>1</v>
      </c>
      <c r="T1127">
        <f t="shared" si="174"/>
        <v>0</v>
      </c>
      <c r="U1127">
        <f t="shared" si="175"/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40.299999999999997</v>
      </c>
      <c r="AC1127">
        <v>28.9</v>
      </c>
      <c r="AG1127">
        <f t="shared" si="176"/>
        <v>1</v>
      </c>
      <c r="AH1127">
        <f t="shared" si="177"/>
        <v>1</v>
      </c>
      <c r="AI1127">
        <f t="shared" si="178"/>
        <v>0</v>
      </c>
      <c r="AJ1127">
        <v>182</v>
      </c>
      <c r="AK1127">
        <v>1018.3</v>
      </c>
      <c r="AL1127">
        <v>91.4</v>
      </c>
      <c r="AM1127">
        <v>6.6</v>
      </c>
      <c r="AN1127">
        <v>55.8</v>
      </c>
      <c r="AO1127">
        <v>4.8</v>
      </c>
      <c r="AP1127">
        <v>2</v>
      </c>
      <c r="AQ1127">
        <v>0</v>
      </c>
      <c r="AR1127" t="s">
        <v>3834</v>
      </c>
      <c r="AS1127" t="s">
        <v>3835</v>
      </c>
      <c r="AT1127">
        <v>0.5</v>
      </c>
      <c r="AU1127" t="s">
        <v>275</v>
      </c>
      <c r="AV1127" t="s">
        <v>276</v>
      </c>
      <c r="AW1127" t="s">
        <v>277</v>
      </c>
      <c r="AX1127" s="1">
        <v>0.77777777777777779</v>
      </c>
      <c r="AY1127" t="s">
        <v>3836</v>
      </c>
      <c r="AZ1127">
        <v>124.9999999988358</v>
      </c>
      <c r="BA1127">
        <v>0</v>
      </c>
      <c r="BB1127">
        <v>1</v>
      </c>
      <c r="BC1127">
        <v>0</v>
      </c>
      <c r="BD1127">
        <v>0</v>
      </c>
      <c r="BE1127">
        <f t="shared" si="179"/>
        <v>1</v>
      </c>
    </row>
    <row r="1128" spans="1:57" x14ac:dyDescent="0.25">
      <c r="A1128" t="s">
        <v>39</v>
      </c>
      <c r="B1128" t="s">
        <v>3837</v>
      </c>
      <c r="C1128">
        <v>69.900000000000006</v>
      </c>
      <c r="D1128">
        <v>57.2</v>
      </c>
      <c r="G1128">
        <f t="shared" si="170"/>
        <v>1</v>
      </c>
      <c r="H1128">
        <f t="shared" si="171"/>
        <v>1</v>
      </c>
      <c r="I1128">
        <f t="shared" si="172"/>
        <v>0</v>
      </c>
      <c r="J1128">
        <v>62.5</v>
      </c>
      <c r="K1128">
        <v>69.900000000000006</v>
      </c>
      <c r="L1128">
        <v>57.2</v>
      </c>
      <c r="M1128">
        <v>62.5</v>
      </c>
      <c r="N1128">
        <v>55.1</v>
      </c>
      <c r="O1128">
        <v>77.5</v>
      </c>
      <c r="S1128">
        <f t="shared" si="173"/>
        <v>1</v>
      </c>
      <c r="T1128">
        <f t="shared" si="174"/>
        <v>1</v>
      </c>
      <c r="U1128">
        <f t="shared" si="175"/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20.8</v>
      </c>
      <c r="AG1128">
        <f t="shared" si="176"/>
        <v>1</v>
      </c>
      <c r="AH1128">
        <f t="shared" si="177"/>
        <v>1</v>
      </c>
      <c r="AI1128">
        <f t="shared" si="178"/>
        <v>0</v>
      </c>
      <c r="AJ1128">
        <v>184.8</v>
      </c>
      <c r="AK1128">
        <v>1012.2</v>
      </c>
      <c r="AL1128">
        <v>84.7</v>
      </c>
      <c r="AM1128">
        <v>6.6</v>
      </c>
      <c r="AN1128">
        <v>44.6</v>
      </c>
      <c r="AO1128">
        <v>3.9</v>
      </c>
      <c r="AP1128">
        <v>2</v>
      </c>
      <c r="AQ1128">
        <v>0</v>
      </c>
      <c r="AR1128" t="s">
        <v>3838</v>
      </c>
      <c r="AS1128" t="s">
        <v>3839</v>
      </c>
      <c r="AT1128">
        <v>0.72</v>
      </c>
      <c r="AU1128" t="s">
        <v>43</v>
      </c>
      <c r="AV1128" t="s">
        <v>44</v>
      </c>
      <c r="AW1128" t="s">
        <v>45</v>
      </c>
      <c r="AX1128" s="1">
        <v>0.64444444444444449</v>
      </c>
      <c r="AY1128" t="s">
        <v>3840</v>
      </c>
      <c r="AZ1128">
        <v>147.00000000768341</v>
      </c>
      <c r="BA1128">
        <v>0</v>
      </c>
      <c r="BB1128">
        <v>2</v>
      </c>
      <c r="BC1128">
        <v>0</v>
      </c>
      <c r="BD1128">
        <v>0</v>
      </c>
      <c r="BE1128">
        <f t="shared" si="179"/>
        <v>1</v>
      </c>
    </row>
    <row r="1129" spans="1:57" x14ac:dyDescent="0.25">
      <c r="A1129" t="s">
        <v>39</v>
      </c>
      <c r="B1129" t="s">
        <v>3841</v>
      </c>
      <c r="C1129">
        <v>69.8</v>
      </c>
      <c r="D1129">
        <v>55.4</v>
      </c>
      <c r="G1129">
        <f t="shared" si="170"/>
        <v>1</v>
      </c>
      <c r="H1129">
        <f t="shared" si="171"/>
        <v>1</v>
      </c>
      <c r="I1129">
        <f t="shared" si="172"/>
        <v>0</v>
      </c>
      <c r="J1129">
        <v>64.400000000000006</v>
      </c>
      <c r="K1129">
        <v>69.8</v>
      </c>
      <c r="L1129">
        <v>55.4</v>
      </c>
      <c r="M1129">
        <v>64.400000000000006</v>
      </c>
      <c r="N1129">
        <v>51</v>
      </c>
      <c r="O1129">
        <v>62.9</v>
      </c>
      <c r="S1129">
        <f t="shared" si="173"/>
        <v>1</v>
      </c>
      <c r="T1129">
        <f t="shared" si="174"/>
        <v>0</v>
      </c>
      <c r="U1129">
        <f t="shared" si="175"/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36.9</v>
      </c>
      <c r="AC1129">
        <v>25.3</v>
      </c>
      <c r="AG1129">
        <f t="shared" si="176"/>
        <v>1</v>
      </c>
      <c r="AH1129">
        <f t="shared" si="177"/>
        <v>1</v>
      </c>
      <c r="AI1129">
        <f t="shared" si="178"/>
        <v>0</v>
      </c>
      <c r="AJ1129">
        <v>163</v>
      </c>
      <c r="AK1129">
        <v>1012.9</v>
      </c>
      <c r="AL1129">
        <v>54.4</v>
      </c>
      <c r="AM1129">
        <v>6.2</v>
      </c>
      <c r="AN1129">
        <v>174.5</v>
      </c>
      <c r="AO1129">
        <v>15</v>
      </c>
      <c r="AP1129">
        <v>6</v>
      </c>
      <c r="AQ1129">
        <v>0</v>
      </c>
      <c r="AR1129" t="s">
        <v>3842</v>
      </c>
      <c r="AS1129" t="s">
        <v>3843</v>
      </c>
      <c r="AT1129">
        <v>0.18</v>
      </c>
      <c r="AU1129" t="s">
        <v>43</v>
      </c>
      <c r="AV1129" t="s">
        <v>2026</v>
      </c>
      <c r="AW1129" t="s">
        <v>45</v>
      </c>
      <c r="AX1129" s="1">
        <v>0.56597222222222221</v>
      </c>
      <c r="AY1129" t="s">
        <v>3844</v>
      </c>
      <c r="AZ1129">
        <v>145.00000000116421</v>
      </c>
      <c r="BA1129">
        <v>0</v>
      </c>
      <c r="BB1129">
        <v>0</v>
      </c>
      <c r="BC1129">
        <v>1</v>
      </c>
      <c r="BD1129">
        <v>0</v>
      </c>
      <c r="BE1129">
        <f t="shared" si="179"/>
        <v>1</v>
      </c>
    </row>
    <row r="1130" spans="1:57" x14ac:dyDescent="0.25">
      <c r="A1130" t="s">
        <v>39</v>
      </c>
      <c r="B1130" t="s">
        <v>3486</v>
      </c>
      <c r="C1130">
        <v>86</v>
      </c>
      <c r="D1130">
        <v>77</v>
      </c>
      <c r="G1130">
        <f t="shared" si="170"/>
        <v>1</v>
      </c>
      <c r="H1130">
        <f t="shared" si="171"/>
        <v>1</v>
      </c>
      <c r="I1130">
        <f t="shared" si="172"/>
        <v>0</v>
      </c>
      <c r="J1130">
        <v>82</v>
      </c>
      <c r="K1130">
        <v>90.6</v>
      </c>
      <c r="L1130">
        <v>77</v>
      </c>
      <c r="M1130">
        <v>84.8</v>
      </c>
      <c r="N1130">
        <v>68.3</v>
      </c>
      <c r="O1130">
        <v>63.5</v>
      </c>
      <c r="S1130">
        <f t="shared" si="173"/>
        <v>1</v>
      </c>
      <c r="T1130">
        <f t="shared" si="174"/>
        <v>1</v>
      </c>
      <c r="U1130">
        <f t="shared" si="175"/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19.5</v>
      </c>
      <c r="AG1130">
        <f t="shared" si="176"/>
        <v>1</v>
      </c>
      <c r="AH1130">
        <f t="shared" si="177"/>
        <v>1</v>
      </c>
      <c r="AI1130">
        <f t="shared" si="178"/>
        <v>0</v>
      </c>
      <c r="AJ1130">
        <v>301.60000000000002</v>
      </c>
      <c r="AK1130">
        <v>1009.7</v>
      </c>
      <c r="AL1130">
        <v>10.6</v>
      </c>
      <c r="AM1130">
        <v>6.4</v>
      </c>
      <c r="AN1130">
        <v>341.5</v>
      </c>
      <c r="AO1130">
        <v>29.5</v>
      </c>
      <c r="AP1130">
        <v>10</v>
      </c>
      <c r="AQ1130">
        <v>0</v>
      </c>
      <c r="AR1130" t="s">
        <v>3487</v>
      </c>
      <c r="AS1130" t="s">
        <v>3488</v>
      </c>
      <c r="AT1130">
        <v>0.27</v>
      </c>
      <c r="AU1130" t="s">
        <v>74</v>
      </c>
      <c r="AV1130" t="s">
        <v>2955</v>
      </c>
      <c r="AW1130" t="s">
        <v>75</v>
      </c>
      <c r="AX1130" s="1">
        <v>0.61111111111111116</v>
      </c>
      <c r="AY1130" t="s">
        <v>3845</v>
      </c>
      <c r="AZ1130">
        <v>785.00000000232831</v>
      </c>
      <c r="BA1130">
        <v>1</v>
      </c>
      <c r="BB1130">
        <v>0</v>
      </c>
      <c r="BC1130">
        <v>100</v>
      </c>
      <c r="BD1130">
        <v>0</v>
      </c>
      <c r="BE1130">
        <f t="shared" si="179"/>
        <v>1</v>
      </c>
    </row>
    <row r="1131" spans="1:57" x14ac:dyDescent="0.25">
      <c r="A1131" t="s">
        <v>39</v>
      </c>
      <c r="B1131" t="s">
        <v>3846</v>
      </c>
      <c r="C1131">
        <v>80.599999999999994</v>
      </c>
      <c r="D1131">
        <v>75.2</v>
      </c>
      <c r="G1131">
        <f t="shared" si="170"/>
        <v>0</v>
      </c>
      <c r="H1131">
        <f t="shared" si="171"/>
        <v>0</v>
      </c>
      <c r="I1131">
        <f t="shared" si="172"/>
        <v>0</v>
      </c>
      <c r="J1131">
        <v>77.8</v>
      </c>
      <c r="K1131">
        <v>82.8</v>
      </c>
      <c r="L1131">
        <v>75.2</v>
      </c>
      <c r="M1131">
        <v>78.5</v>
      </c>
      <c r="N1131">
        <v>66.7</v>
      </c>
      <c r="O1131">
        <v>69.3</v>
      </c>
      <c r="S1131">
        <f t="shared" si="173"/>
        <v>1</v>
      </c>
      <c r="T1131">
        <f t="shared" si="174"/>
        <v>1</v>
      </c>
      <c r="U1131">
        <f t="shared" si="175"/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20.8</v>
      </c>
      <c r="AG1131">
        <f t="shared" si="176"/>
        <v>1</v>
      </c>
      <c r="AH1131">
        <f t="shared" si="177"/>
        <v>1</v>
      </c>
      <c r="AI1131">
        <f t="shared" si="178"/>
        <v>0</v>
      </c>
      <c r="AJ1131">
        <v>314.7</v>
      </c>
      <c r="AK1131">
        <v>1012.6</v>
      </c>
      <c r="AL1131">
        <v>38</v>
      </c>
      <c r="AM1131">
        <v>6.6</v>
      </c>
      <c r="AN1131">
        <v>286.8</v>
      </c>
      <c r="AO1131">
        <v>24.8</v>
      </c>
      <c r="AP1131">
        <v>9</v>
      </c>
      <c r="AQ1131">
        <v>0</v>
      </c>
      <c r="AR1131" t="s">
        <v>3847</v>
      </c>
      <c r="AS1131" t="s">
        <v>3848</v>
      </c>
      <c r="AT1131">
        <v>0.96</v>
      </c>
      <c r="AU1131" t="s">
        <v>43</v>
      </c>
      <c r="AV1131" t="s">
        <v>44</v>
      </c>
      <c r="AW1131" t="s">
        <v>45</v>
      </c>
      <c r="AX1131" s="1">
        <v>0.48958333333333331</v>
      </c>
      <c r="AY1131" t="s">
        <v>3849</v>
      </c>
      <c r="AZ1131">
        <v>564.99999999767169</v>
      </c>
      <c r="BA1131">
        <v>1</v>
      </c>
      <c r="BB1131">
        <v>0</v>
      </c>
      <c r="BC1131">
        <v>1</v>
      </c>
      <c r="BD1131">
        <v>0</v>
      </c>
      <c r="BE1131">
        <f t="shared" si="179"/>
        <v>1</v>
      </c>
    </row>
    <row r="1132" spans="1:57" x14ac:dyDescent="0.25">
      <c r="A1132" t="s">
        <v>39</v>
      </c>
      <c r="B1132" t="s">
        <v>3850</v>
      </c>
      <c r="C1132">
        <v>80.599999999999994</v>
      </c>
      <c r="D1132">
        <v>69.8</v>
      </c>
      <c r="G1132">
        <f t="shared" si="170"/>
        <v>0</v>
      </c>
      <c r="H1132">
        <f t="shared" si="171"/>
        <v>0</v>
      </c>
      <c r="I1132">
        <f t="shared" si="172"/>
        <v>0</v>
      </c>
      <c r="J1132">
        <v>74.8</v>
      </c>
      <c r="K1132">
        <v>82.3</v>
      </c>
      <c r="L1132">
        <v>69.8</v>
      </c>
      <c r="M1132">
        <v>74.900000000000006</v>
      </c>
      <c r="N1132">
        <v>65.3</v>
      </c>
      <c r="O1132">
        <v>73</v>
      </c>
      <c r="S1132">
        <f t="shared" si="173"/>
        <v>1</v>
      </c>
      <c r="T1132">
        <f t="shared" si="174"/>
        <v>1</v>
      </c>
      <c r="U1132">
        <f t="shared" si="175"/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16.100000000000001</v>
      </c>
      <c r="AG1132">
        <f t="shared" si="176"/>
        <v>0</v>
      </c>
      <c r="AH1132">
        <f t="shared" si="177"/>
        <v>0</v>
      </c>
      <c r="AI1132">
        <f t="shared" si="178"/>
        <v>0</v>
      </c>
      <c r="AJ1132">
        <v>296.39999999999998</v>
      </c>
      <c r="AK1132">
        <v>1010.3</v>
      </c>
      <c r="AL1132">
        <v>37.700000000000003</v>
      </c>
      <c r="AM1132">
        <v>6.6</v>
      </c>
      <c r="AN1132">
        <v>272.3</v>
      </c>
      <c r="AO1132">
        <v>23.7</v>
      </c>
      <c r="AP1132">
        <v>9</v>
      </c>
      <c r="AQ1132">
        <v>0</v>
      </c>
      <c r="AR1132" t="s">
        <v>3851</v>
      </c>
      <c r="AS1132" t="s">
        <v>3852</v>
      </c>
      <c r="AT1132">
        <v>0.13</v>
      </c>
      <c r="AU1132" t="s">
        <v>43</v>
      </c>
      <c r="AV1132" t="s">
        <v>44</v>
      </c>
      <c r="AW1132" t="s">
        <v>45</v>
      </c>
      <c r="AX1132" s="1">
        <v>0.63541666666666663</v>
      </c>
      <c r="AY1132" t="s">
        <v>3853</v>
      </c>
      <c r="AZ1132">
        <v>140.00000000582079</v>
      </c>
      <c r="BA1132">
        <v>0</v>
      </c>
      <c r="BB1132">
        <v>0</v>
      </c>
      <c r="BC1132">
        <v>1</v>
      </c>
      <c r="BD1132">
        <v>0</v>
      </c>
      <c r="BE1132">
        <f t="shared" si="179"/>
        <v>0</v>
      </c>
    </row>
    <row r="1133" spans="1:57" x14ac:dyDescent="0.25">
      <c r="A1133" t="s">
        <v>39</v>
      </c>
      <c r="B1133" t="s">
        <v>3713</v>
      </c>
      <c r="C1133">
        <v>77</v>
      </c>
      <c r="D1133">
        <v>64.400000000000006</v>
      </c>
      <c r="G1133">
        <f t="shared" si="170"/>
        <v>1</v>
      </c>
      <c r="H1133">
        <f t="shared" si="171"/>
        <v>0</v>
      </c>
      <c r="I1133">
        <f t="shared" si="172"/>
        <v>1</v>
      </c>
      <c r="J1133">
        <v>71.900000000000006</v>
      </c>
      <c r="K1133">
        <v>77</v>
      </c>
      <c r="L1133">
        <v>64.400000000000006</v>
      </c>
      <c r="M1133">
        <v>71.900000000000006</v>
      </c>
      <c r="N1133">
        <v>63.6</v>
      </c>
      <c r="O1133">
        <v>75.5</v>
      </c>
      <c r="S1133">
        <f t="shared" si="173"/>
        <v>1</v>
      </c>
      <c r="T1133">
        <f t="shared" si="174"/>
        <v>1</v>
      </c>
      <c r="U1133">
        <f t="shared" si="175"/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12.8</v>
      </c>
      <c r="AG1133">
        <f t="shared" si="176"/>
        <v>1</v>
      </c>
      <c r="AH1133">
        <f t="shared" si="177"/>
        <v>0</v>
      </c>
      <c r="AI1133">
        <f t="shared" si="178"/>
        <v>1</v>
      </c>
      <c r="AJ1133">
        <v>108.3</v>
      </c>
      <c r="AK1133">
        <v>1011.6</v>
      </c>
      <c r="AL1133">
        <v>50.4</v>
      </c>
      <c r="AM1133">
        <v>6.6</v>
      </c>
      <c r="AN1133">
        <v>100.5</v>
      </c>
      <c r="AO1133">
        <v>8.6999999999999993</v>
      </c>
      <c r="AP1133">
        <v>4</v>
      </c>
      <c r="AQ1133">
        <v>0</v>
      </c>
      <c r="AR1133" t="s">
        <v>3714</v>
      </c>
      <c r="AS1133" t="s">
        <v>3715</v>
      </c>
      <c r="AT1133">
        <v>0.53</v>
      </c>
      <c r="AU1133" t="s">
        <v>43</v>
      </c>
      <c r="AV1133" t="s">
        <v>44</v>
      </c>
      <c r="AW1133" t="s">
        <v>45</v>
      </c>
      <c r="AX1133" s="1">
        <v>0.4513888888888889</v>
      </c>
      <c r="AY1133" t="s">
        <v>3854</v>
      </c>
      <c r="AZ1133">
        <v>399.99999999417918</v>
      </c>
      <c r="BA1133">
        <v>1</v>
      </c>
      <c r="BB1133">
        <v>0</v>
      </c>
      <c r="BC1133">
        <v>3</v>
      </c>
      <c r="BD1133">
        <v>0</v>
      </c>
      <c r="BE1133">
        <f t="shared" si="179"/>
        <v>1</v>
      </c>
    </row>
    <row r="1134" spans="1:57" x14ac:dyDescent="0.25">
      <c r="A1134" t="s">
        <v>39</v>
      </c>
      <c r="B1134" t="s">
        <v>3721</v>
      </c>
      <c r="C1134">
        <v>95</v>
      </c>
      <c r="D1134">
        <v>74.400000000000006</v>
      </c>
      <c r="G1134">
        <f t="shared" si="170"/>
        <v>1</v>
      </c>
      <c r="H1134">
        <f t="shared" si="171"/>
        <v>1</v>
      </c>
      <c r="I1134">
        <f t="shared" si="172"/>
        <v>0</v>
      </c>
      <c r="J1134">
        <v>83.2</v>
      </c>
      <c r="K1134">
        <v>95.3</v>
      </c>
      <c r="L1134">
        <v>74.400000000000006</v>
      </c>
      <c r="M1134">
        <v>84.1</v>
      </c>
      <c r="N1134">
        <v>61.8</v>
      </c>
      <c r="O1134">
        <v>51</v>
      </c>
      <c r="S1134">
        <f t="shared" si="173"/>
        <v>1</v>
      </c>
      <c r="T1134">
        <f t="shared" si="174"/>
        <v>0</v>
      </c>
      <c r="U1134">
        <f t="shared" si="175"/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33.299999999999997</v>
      </c>
      <c r="AC1134">
        <v>21.9</v>
      </c>
      <c r="AG1134">
        <f t="shared" si="176"/>
        <v>1</v>
      </c>
      <c r="AH1134">
        <f t="shared" si="177"/>
        <v>1</v>
      </c>
      <c r="AI1134">
        <f t="shared" si="178"/>
        <v>0</v>
      </c>
      <c r="AJ1134">
        <v>178.1</v>
      </c>
      <c r="AK1134">
        <v>1009.8</v>
      </c>
      <c r="AL1134">
        <v>64.599999999999994</v>
      </c>
      <c r="AM1134">
        <v>6.2</v>
      </c>
      <c r="AN1134">
        <v>120.5</v>
      </c>
      <c r="AO1134">
        <v>10.4</v>
      </c>
      <c r="AP1134">
        <v>5</v>
      </c>
      <c r="AQ1134">
        <v>0</v>
      </c>
      <c r="AR1134" t="s">
        <v>3722</v>
      </c>
      <c r="AS1134" t="s">
        <v>3723</v>
      </c>
      <c r="AT1134">
        <v>0.71</v>
      </c>
      <c r="AU1134" t="s">
        <v>43</v>
      </c>
      <c r="AV1134" t="s">
        <v>44</v>
      </c>
      <c r="AW1134" t="s">
        <v>45</v>
      </c>
      <c r="AX1134" s="1">
        <v>1.7361111111111108E-2</v>
      </c>
      <c r="AY1134" t="s">
        <v>3855</v>
      </c>
      <c r="AZ1134">
        <v>4745.0000000023283</v>
      </c>
      <c r="BA1134">
        <v>1</v>
      </c>
      <c r="BB1134">
        <v>0</v>
      </c>
      <c r="BC1134">
        <v>100</v>
      </c>
      <c r="BD1134">
        <v>0</v>
      </c>
      <c r="BE1134">
        <f t="shared" si="179"/>
        <v>1</v>
      </c>
    </row>
    <row r="1135" spans="1:57" x14ac:dyDescent="0.25">
      <c r="A1135" t="s">
        <v>39</v>
      </c>
      <c r="B1135" t="s">
        <v>3721</v>
      </c>
      <c r="C1135">
        <v>95</v>
      </c>
      <c r="D1135">
        <v>74.400000000000006</v>
      </c>
      <c r="G1135">
        <f t="shared" si="170"/>
        <v>1</v>
      </c>
      <c r="H1135">
        <f t="shared" si="171"/>
        <v>1</v>
      </c>
      <c r="I1135">
        <f t="shared" si="172"/>
        <v>0</v>
      </c>
      <c r="J1135">
        <v>83.2</v>
      </c>
      <c r="K1135">
        <v>95.3</v>
      </c>
      <c r="L1135">
        <v>74.400000000000006</v>
      </c>
      <c r="M1135">
        <v>84.1</v>
      </c>
      <c r="N1135">
        <v>61.8</v>
      </c>
      <c r="O1135">
        <v>51</v>
      </c>
      <c r="S1135">
        <f t="shared" si="173"/>
        <v>1</v>
      </c>
      <c r="T1135">
        <f t="shared" si="174"/>
        <v>0</v>
      </c>
      <c r="U1135">
        <f t="shared" si="175"/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33.299999999999997</v>
      </c>
      <c r="AC1135">
        <v>21.9</v>
      </c>
      <c r="AG1135">
        <f t="shared" si="176"/>
        <v>1</v>
      </c>
      <c r="AH1135">
        <f t="shared" si="177"/>
        <v>1</v>
      </c>
      <c r="AI1135">
        <f t="shared" si="178"/>
        <v>0</v>
      </c>
      <c r="AJ1135">
        <v>178.1</v>
      </c>
      <c r="AK1135">
        <v>1009.8</v>
      </c>
      <c r="AL1135">
        <v>64.599999999999994</v>
      </c>
      <c r="AM1135">
        <v>6.2</v>
      </c>
      <c r="AN1135">
        <v>120.5</v>
      </c>
      <c r="AO1135">
        <v>10.4</v>
      </c>
      <c r="AP1135">
        <v>5</v>
      </c>
      <c r="AQ1135">
        <v>0</v>
      </c>
      <c r="AR1135" t="s">
        <v>3722</v>
      </c>
      <c r="AS1135" t="s">
        <v>3723</v>
      </c>
      <c r="AT1135">
        <v>0.71</v>
      </c>
      <c r="AU1135" t="s">
        <v>43</v>
      </c>
      <c r="AV1135" t="s">
        <v>44</v>
      </c>
      <c r="AW1135" t="s">
        <v>45</v>
      </c>
      <c r="AX1135" s="1">
        <v>0.42708333333333331</v>
      </c>
      <c r="AY1135" t="s">
        <v>3856</v>
      </c>
      <c r="AZ1135">
        <v>419.99999999650748</v>
      </c>
      <c r="BA1135">
        <v>1</v>
      </c>
      <c r="BB1135">
        <v>0</v>
      </c>
      <c r="BC1135">
        <v>2</v>
      </c>
      <c r="BD1135">
        <v>0</v>
      </c>
      <c r="BE1135">
        <f t="shared" si="179"/>
        <v>1</v>
      </c>
    </row>
    <row r="1136" spans="1:57" x14ac:dyDescent="0.25">
      <c r="A1136" t="s">
        <v>39</v>
      </c>
      <c r="B1136" t="s">
        <v>3857</v>
      </c>
      <c r="C1136">
        <v>77</v>
      </c>
      <c r="D1136">
        <v>62.6</v>
      </c>
      <c r="G1136">
        <f t="shared" si="170"/>
        <v>1</v>
      </c>
      <c r="H1136">
        <f t="shared" si="171"/>
        <v>1</v>
      </c>
      <c r="I1136">
        <f t="shared" si="172"/>
        <v>0</v>
      </c>
      <c r="J1136">
        <v>70</v>
      </c>
      <c r="K1136">
        <v>77</v>
      </c>
      <c r="L1136">
        <v>62.6</v>
      </c>
      <c r="M1136">
        <v>70</v>
      </c>
      <c r="N1136">
        <v>62.2</v>
      </c>
      <c r="O1136">
        <v>76.400000000000006</v>
      </c>
      <c r="S1136">
        <f t="shared" si="173"/>
        <v>1</v>
      </c>
      <c r="T1136">
        <f t="shared" si="174"/>
        <v>1</v>
      </c>
      <c r="U1136">
        <f t="shared" si="175"/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15</v>
      </c>
      <c r="AG1136">
        <f t="shared" si="176"/>
        <v>1</v>
      </c>
      <c r="AH1136">
        <f t="shared" si="177"/>
        <v>0</v>
      </c>
      <c r="AI1136">
        <f t="shared" si="178"/>
        <v>1</v>
      </c>
      <c r="AJ1136">
        <v>112.6</v>
      </c>
      <c r="AK1136">
        <v>1011.8</v>
      </c>
      <c r="AL1136">
        <v>63.2</v>
      </c>
      <c r="AM1136">
        <v>6.6</v>
      </c>
      <c r="AN1136">
        <v>140.1</v>
      </c>
      <c r="AO1136">
        <v>12</v>
      </c>
      <c r="AP1136">
        <v>6</v>
      </c>
      <c r="AQ1136">
        <v>0</v>
      </c>
      <c r="AR1136" t="s">
        <v>3858</v>
      </c>
      <c r="AS1136" t="s">
        <v>3859</v>
      </c>
      <c r="AT1136">
        <v>0.12</v>
      </c>
      <c r="AU1136" t="s">
        <v>43</v>
      </c>
      <c r="AV1136" t="s">
        <v>44</v>
      </c>
      <c r="AW1136" t="s">
        <v>45</v>
      </c>
      <c r="AX1136" s="1">
        <v>0.54305555555555551</v>
      </c>
      <c r="AY1136" t="s">
        <v>3860</v>
      </c>
      <c r="AZ1136">
        <v>328.00000000046572</v>
      </c>
      <c r="BA1136">
        <v>0</v>
      </c>
      <c r="BB1136">
        <v>0</v>
      </c>
      <c r="BC1136">
        <v>5</v>
      </c>
      <c r="BD1136">
        <v>0</v>
      </c>
      <c r="BE1136">
        <f t="shared" si="179"/>
        <v>1</v>
      </c>
    </row>
    <row r="1137" spans="1:57" x14ac:dyDescent="0.25">
      <c r="A1137" t="s">
        <v>39</v>
      </c>
      <c r="B1137" t="s">
        <v>3861</v>
      </c>
      <c r="C1137">
        <v>89.6</v>
      </c>
      <c r="D1137">
        <v>73.400000000000006</v>
      </c>
      <c r="G1137">
        <f t="shared" si="170"/>
        <v>1</v>
      </c>
      <c r="H1137">
        <f t="shared" si="171"/>
        <v>1</v>
      </c>
      <c r="I1137">
        <f t="shared" si="172"/>
        <v>0</v>
      </c>
      <c r="J1137">
        <v>82.5</v>
      </c>
      <c r="K1137">
        <v>90.3</v>
      </c>
      <c r="L1137">
        <v>73.400000000000006</v>
      </c>
      <c r="M1137">
        <v>83.2</v>
      </c>
      <c r="N1137">
        <v>63.4</v>
      </c>
      <c r="O1137">
        <v>53.7</v>
      </c>
      <c r="S1137">
        <f t="shared" si="173"/>
        <v>1</v>
      </c>
      <c r="T1137">
        <f t="shared" si="174"/>
        <v>0</v>
      </c>
      <c r="U1137">
        <f t="shared" si="175"/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34.4</v>
      </c>
      <c r="AC1137">
        <v>28.9</v>
      </c>
      <c r="AG1137">
        <f t="shared" si="176"/>
        <v>1</v>
      </c>
      <c r="AH1137">
        <f t="shared" si="177"/>
        <v>1</v>
      </c>
      <c r="AI1137">
        <f t="shared" si="178"/>
        <v>0</v>
      </c>
      <c r="AJ1137">
        <v>193.4</v>
      </c>
      <c r="AK1137">
        <v>1005.7</v>
      </c>
      <c r="AL1137">
        <v>73.599999999999994</v>
      </c>
      <c r="AM1137">
        <v>6.6</v>
      </c>
      <c r="AN1137">
        <v>121.8</v>
      </c>
      <c r="AO1137">
        <v>10.6</v>
      </c>
      <c r="AP1137">
        <v>6</v>
      </c>
      <c r="AQ1137">
        <v>0</v>
      </c>
      <c r="AR1137" t="s">
        <v>3862</v>
      </c>
      <c r="AS1137" t="s">
        <v>3863</v>
      </c>
      <c r="AT1137">
        <v>0.22</v>
      </c>
      <c r="AU1137" t="s">
        <v>43</v>
      </c>
      <c r="AV1137" t="s">
        <v>44</v>
      </c>
      <c r="AW1137" t="s">
        <v>45</v>
      </c>
      <c r="AX1137" s="1">
        <v>0.58333333333333337</v>
      </c>
      <c r="AY1137" t="s">
        <v>3864</v>
      </c>
      <c r="AZ1137">
        <v>419.99999999650748</v>
      </c>
      <c r="BA1137">
        <v>1</v>
      </c>
      <c r="BB1137">
        <v>0</v>
      </c>
      <c r="BC1137">
        <v>1</v>
      </c>
      <c r="BD1137">
        <v>0</v>
      </c>
      <c r="BE1137">
        <f t="shared" si="179"/>
        <v>1</v>
      </c>
    </row>
    <row r="1138" spans="1:57" x14ac:dyDescent="0.25">
      <c r="A1138" t="s">
        <v>39</v>
      </c>
      <c r="B1138" t="s">
        <v>3507</v>
      </c>
      <c r="C1138">
        <v>82.4</v>
      </c>
      <c r="D1138">
        <v>66.2</v>
      </c>
      <c r="G1138">
        <f t="shared" si="170"/>
        <v>1</v>
      </c>
      <c r="H1138">
        <f t="shared" si="171"/>
        <v>1</v>
      </c>
      <c r="I1138">
        <f t="shared" si="172"/>
        <v>0</v>
      </c>
      <c r="J1138">
        <v>73.2</v>
      </c>
      <c r="K1138">
        <v>81.5</v>
      </c>
      <c r="L1138">
        <v>66.2</v>
      </c>
      <c r="M1138">
        <v>73.099999999999994</v>
      </c>
      <c r="N1138">
        <v>57.1</v>
      </c>
      <c r="O1138">
        <v>58.9</v>
      </c>
      <c r="S1138">
        <f t="shared" si="173"/>
        <v>1</v>
      </c>
      <c r="T1138">
        <f t="shared" si="174"/>
        <v>0</v>
      </c>
      <c r="U1138">
        <f t="shared" si="175"/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20.8</v>
      </c>
      <c r="AG1138">
        <f t="shared" si="176"/>
        <v>1</v>
      </c>
      <c r="AH1138">
        <f t="shared" si="177"/>
        <v>1</v>
      </c>
      <c r="AI1138">
        <f t="shared" si="178"/>
        <v>0</v>
      </c>
      <c r="AJ1138">
        <v>175.8</v>
      </c>
      <c r="AK1138">
        <v>1014.1</v>
      </c>
      <c r="AL1138">
        <v>15.3</v>
      </c>
      <c r="AM1138">
        <v>6.4</v>
      </c>
      <c r="AN1138">
        <v>166.2</v>
      </c>
      <c r="AO1138">
        <v>14.4</v>
      </c>
      <c r="AP1138">
        <v>6</v>
      </c>
      <c r="AQ1138">
        <v>0</v>
      </c>
      <c r="AR1138" t="s">
        <v>3508</v>
      </c>
      <c r="AS1138" t="s">
        <v>3509</v>
      </c>
      <c r="AT1138">
        <v>0.14000000000000001</v>
      </c>
      <c r="AU1138" t="s">
        <v>74</v>
      </c>
      <c r="AV1138" t="s">
        <v>2955</v>
      </c>
      <c r="AW1138" t="s">
        <v>75</v>
      </c>
      <c r="AX1138" s="1">
        <v>0.67361111111111116</v>
      </c>
      <c r="AY1138" t="s">
        <v>3865</v>
      </c>
      <c r="AZ1138">
        <v>145.00000000116421</v>
      </c>
      <c r="BA1138">
        <v>0</v>
      </c>
      <c r="BB1138">
        <v>0</v>
      </c>
      <c r="BC1138">
        <v>0.5</v>
      </c>
      <c r="BD1138">
        <v>0</v>
      </c>
      <c r="BE1138">
        <f t="shared" si="179"/>
        <v>1</v>
      </c>
    </row>
    <row r="1139" spans="1:57" x14ac:dyDescent="0.25">
      <c r="A1139" t="s">
        <v>39</v>
      </c>
      <c r="B1139" t="s">
        <v>3829</v>
      </c>
      <c r="C1139">
        <v>78.8</v>
      </c>
      <c r="D1139">
        <v>71.599999999999994</v>
      </c>
      <c r="G1139">
        <f t="shared" si="170"/>
        <v>1</v>
      </c>
      <c r="H1139">
        <f t="shared" si="171"/>
        <v>1</v>
      </c>
      <c r="I1139">
        <f t="shared" si="172"/>
        <v>0</v>
      </c>
      <c r="J1139">
        <v>73.599999999999994</v>
      </c>
      <c r="K1139">
        <v>78.8</v>
      </c>
      <c r="L1139">
        <v>71.599999999999994</v>
      </c>
      <c r="M1139">
        <v>73.599999999999994</v>
      </c>
      <c r="N1139">
        <v>53.5</v>
      </c>
      <c r="O1139">
        <v>49.8</v>
      </c>
      <c r="S1139">
        <f t="shared" si="173"/>
        <v>1</v>
      </c>
      <c r="T1139">
        <f t="shared" si="174"/>
        <v>0</v>
      </c>
      <c r="U1139">
        <f t="shared" si="175"/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39.1</v>
      </c>
      <c r="AC1139">
        <v>28.9</v>
      </c>
      <c r="AG1139">
        <f t="shared" si="176"/>
        <v>1</v>
      </c>
      <c r="AH1139">
        <f t="shared" si="177"/>
        <v>1</v>
      </c>
      <c r="AI1139">
        <f t="shared" si="178"/>
        <v>0</v>
      </c>
      <c r="AJ1139">
        <v>174.3</v>
      </c>
      <c r="AK1139">
        <v>1014.2</v>
      </c>
      <c r="AL1139">
        <v>64.400000000000006</v>
      </c>
      <c r="AM1139">
        <v>6.6</v>
      </c>
      <c r="AN1139">
        <v>128</v>
      </c>
      <c r="AO1139">
        <v>11.2</v>
      </c>
      <c r="AP1139">
        <v>5</v>
      </c>
      <c r="AQ1139">
        <v>0</v>
      </c>
      <c r="AR1139" t="s">
        <v>3830</v>
      </c>
      <c r="AS1139" t="s">
        <v>3831</v>
      </c>
      <c r="AT1139">
        <v>0.75</v>
      </c>
      <c r="AU1139" t="s">
        <v>43</v>
      </c>
      <c r="AV1139" t="s">
        <v>44</v>
      </c>
      <c r="AW1139" t="s">
        <v>45</v>
      </c>
      <c r="AX1139" s="1">
        <v>0.55208333333333337</v>
      </c>
      <c r="AY1139" t="s">
        <v>3866</v>
      </c>
      <c r="AZ1139">
        <v>154.9999999918509</v>
      </c>
      <c r="BA1139">
        <v>0</v>
      </c>
      <c r="BB1139">
        <v>0</v>
      </c>
      <c r="BC1139">
        <v>3</v>
      </c>
      <c r="BD1139">
        <v>0</v>
      </c>
      <c r="BE1139">
        <f t="shared" si="179"/>
        <v>1</v>
      </c>
    </row>
    <row r="1140" spans="1:57" x14ac:dyDescent="0.25">
      <c r="A1140" t="s">
        <v>39</v>
      </c>
      <c r="B1140" t="s">
        <v>3777</v>
      </c>
      <c r="C1140">
        <v>82.4</v>
      </c>
      <c r="D1140">
        <v>66.2</v>
      </c>
      <c r="G1140">
        <f t="shared" si="170"/>
        <v>1</v>
      </c>
      <c r="H1140">
        <f t="shared" si="171"/>
        <v>1</v>
      </c>
      <c r="I1140">
        <f t="shared" si="172"/>
        <v>0</v>
      </c>
      <c r="J1140">
        <v>72.3</v>
      </c>
      <c r="K1140">
        <v>80.8</v>
      </c>
      <c r="L1140">
        <v>66.2</v>
      </c>
      <c r="M1140">
        <v>72</v>
      </c>
      <c r="N1140">
        <v>49.5</v>
      </c>
      <c r="O1140">
        <v>46.5</v>
      </c>
      <c r="S1140">
        <f t="shared" si="173"/>
        <v>1</v>
      </c>
      <c r="T1140">
        <f t="shared" si="174"/>
        <v>0</v>
      </c>
      <c r="U1140">
        <f t="shared" si="175"/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23</v>
      </c>
      <c r="AG1140">
        <f t="shared" si="176"/>
        <v>1</v>
      </c>
      <c r="AH1140">
        <f t="shared" si="177"/>
        <v>1</v>
      </c>
      <c r="AI1140">
        <f t="shared" si="178"/>
        <v>0</v>
      </c>
      <c r="AJ1140">
        <v>170.9</v>
      </c>
      <c r="AK1140">
        <v>1015.3</v>
      </c>
      <c r="AL1140">
        <v>63.1</v>
      </c>
      <c r="AM1140">
        <v>6.3</v>
      </c>
      <c r="AN1140">
        <v>138</v>
      </c>
      <c r="AO1140">
        <v>12.1</v>
      </c>
      <c r="AP1140">
        <v>6</v>
      </c>
      <c r="AQ1140">
        <v>0</v>
      </c>
      <c r="AR1140" t="s">
        <v>3778</v>
      </c>
      <c r="AS1140" t="s">
        <v>3779</v>
      </c>
      <c r="AT1140">
        <v>0.85</v>
      </c>
      <c r="AU1140" t="s">
        <v>43</v>
      </c>
      <c r="AV1140" t="s">
        <v>44</v>
      </c>
      <c r="AW1140" t="s">
        <v>45</v>
      </c>
      <c r="AX1140" s="1">
        <v>0.56944444444444442</v>
      </c>
      <c r="AY1140" t="s">
        <v>3867</v>
      </c>
      <c r="AZ1140">
        <v>79.999999998835847</v>
      </c>
      <c r="BA1140">
        <v>0</v>
      </c>
      <c r="BB1140">
        <v>0</v>
      </c>
      <c r="BC1140">
        <v>2</v>
      </c>
      <c r="BD1140">
        <v>0</v>
      </c>
      <c r="BE1140">
        <f t="shared" si="179"/>
        <v>1</v>
      </c>
    </row>
    <row r="1141" spans="1:57" x14ac:dyDescent="0.25">
      <c r="A1141" t="s">
        <v>39</v>
      </c>
      <c r="B1141" t="s">
        <v>3763</v>
      </c>
      <c r="C1141">
        <v>82.4</v>
      </c>
      <c r="D1141">
        <v>64.5</v>
      </c>
      <c r="G1141">
        <f t="shared" si="170"/>
        <v>1</v>
      </c>
      <c r="H1141">
        <f t="shared" si="171"/>
        <v>1</v>
      </c>
      <c r="I1141">
        <f t="shared" si="172"/>
        <v>0</v>
      </c>
      <c r="J1141">
        <v>73.900000000000006</v>
      </c>
      <c r="K1141">
        <v>81.2</v>
      </c>
      <c r="L1141">
        <v>64.5</v>
      </c>
      <c r="M1141">
        <v>73.7</v>
      </c>
      <c r="N1141">
        <v>49.1</v>
      </c>
      <c r="O1141">
        <v>43</v>
      </c>
      <c r="S1141">
        <f t="shared" si="173"/>
        <v>1</v>
      </c>
      <c r="T1141">
        <f t="shared" si="174"/>
        <v>0</v>
      </c>
      <c r="U1141">
        <f t="shared" si="175"/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21.9</v>
      </c>
      <c r="AG1141">
        <f t="shared" si="176"/>
        <v>1</v>
      </c>
      <c r="AH1141">
        <f t="shared" si="177"/>
        <v>1</v>
      </c>
      <c r="AI1141">
        <f t="shared" si="178"/>
        <v>0</v>
      </c>
      <c r="AJ1141">
        <v>170.4</v>
      </c>
      <c r="AK1141">
        <v>1016.2</v>
      </c>
      <c r="AL1141">
        <v>69</v>
      </c>
      <c r="AM1141">
        <v>6.3</v>
      </c>
      <c r="AN1141">
        <v>84.5</v>
      </c>
      <c r="AO1141">
        <v>7.4</v>
      </c>
      <c r="AP1141">
        <v>4</v>
      </c>
      <c r="AQ1141">
        <v>0</v>
      </c>
      <c r="AR1141" t="s">
        <v>3764</v>
      </c>
      <c r="AS1141" t="s">
        <v>3765</v>
      </c>
      <c r="AT1141">
        <v>0.88</v>
      </c>
      <c r="AU1141" t="s">
        <v>43</v>
      </c>
      <c r="AV1141" t="s">
        <v>44</v>
      </c>
      <c r="AW1141" t="s">
        <v>45</v>
      </c>
      <c r="AX1141" s="1">
        <v>0.40277777777777779</v>
      </c>
      <c r="AY1141" t="s">
        <v>3868</v>
      </c>
      <c r="AZ1141">
        <v>109.9999999918509</v>
      </c>
      <c r="BA1141">
        <v>0</v>
      </c>
      <c r="BB1141">
        <v>0</v>
      </c>
      <c r="BC1141">
        <v>0.5</v>
      </c>
      <c r="BD1141">
        <v>0</v>
      </c>
      <c r="BE1141">
        <f t="shared" si="179"/>
        <v>1</v>
      </c>
    </row>
    <row r="1142" spans="1:57" x14ac:dyDescent="0.25">
      <c r="A1142" t="s">
        <v>39</v>
      </c>
      <c r="B1142" t="s">
        <v>3869</v>
      </c>
      <c r="C1142">
        <v>84.2</v>
      </c>
      <c r="D1142">
        <v>73.400000000000006</v>
      </c>
      <c r="G1142">
        <f t="shared" si="170"/>
        <v>1</v>
      </c>
      <c r="H1142">
        <f t="shared" si="171"/>
        <v>1</v>
      </c>
      <c r="I1142">
        <f t="shared" si="172"/>
        <v>0</v>
      </c>
      <c r="J1142">
        <v>79.7</v>
      </c>
      <c r="K1142">
        <v>91</v>
      </c>
      <c r="L1142">
        <v>73.400000000000006</v>
      </c>
      <c r="M1142">
        <v>82.5</v>
      </c>
      <c r="N1142">
        <v>70.599999999999994</v>
      </c>
      <c r="O1142">
        <v>74</v>
      </c>
      <c r="S1142">
        <f t="shared" si="173"/>
        <v>1</v>
      </c>
      <c r="T1142">
        <f t="shared" si="174"/>
        <v>1</v>
      </c>
      <c r="U1142">
        <f t="shared" si="175"/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18.3</v>
      </c>
      <c r="AG1142">
        <f t="shared" si="176"/>
        <v>0</v>
      </c>
      <c r="AH1142">
        <f t="shared" si="177"/>
        <v>0</v>
      </c>
      <c r="AI1142">
        <f t="shared" si="178"/>
        <v>0</v>
      </c>
      <c r="AJ1142">
        <v>320.60000000000002</v>
      </c>
      <c r="AK1142">
        <v>1007.7</v>
      </c>
      <c r="AL1142">
        <v>4.9000000000000004</v>
      </c>
      <c r="AM1142">
        <v>6.3</v>
      </c>
      <c r="AN1142">
        <v>350.1</v>
      </c>
      <c r="AO1142">
        <v>30.2</v>
      </c>
      <c r="AP1142">
        <v>10</v>
      </c>
      <c r="AQ1142">
        <v>0</v>
      </c>
      <c r="AR1142" t="s">
        <v>3870</v>
      </c>
      <c r="AS1142" t="s">
        <v>3871</v>
      </c>
      <c r="AT1142">
        <v>0.21</v>
      </c>
      <c r="AU1142" t="s">
        <v>74</v>
      </c>
      <c r="AV1142" t="s">
        <v>2955</v>
      </c>
      <c r="AW1142" t="s">
        <v>75</v>
      </c>
      <c r="AX1142" s="1">
        <v>0.64236111111111116</v>
      </c>
      <c r="AY1142" t="s">
        <v>3872</v>
      </c>
      <c r="AZ1142">
        <v>455.00000000582082</v>
      </c>
      <c r="BA1142">
        <v>1</v>
      </c>
      <c r="BB1142">
        <v>0</v>
      </c>
      <c r="BC1142">
        <v>30</v>
      </c>
      <c r="BD1142">
        <v>0</v>
      </c>
      <c r="BE1142">
        <f t="shared" si="179"/>
        <v>1</v>
      </c>
    </row>
    <row r="1143" spans="1:57" x14ac:dyDescent="0.25">
      <c r="A1143" t="s">
        <v>39</v>
      </c>
      <c r="B1143" t="s">
        <v>3869</v>
      </c>
      <c r="C1143">
        <v>84.2</v>
      </c>
      <c r="D1143">
        <v>73.400000000000006</v>
      </c>
      <c r="G1143">
        <f t="shared" si="170"/>
        <v>1</v>
      </c>
      <c r="H1143">
        <f t="shared" si="171"/>
        <v>1</v>
      </c>
      <c r="I1143">
        <f t="shared" si="172"/>
        <v>0</v>
      </c>
      <c r="J1143">
        <v>79.7</v>
      </c>
      <c r="K1143">
        <v>91</v>
      </c>
      <c r="L1143">
        <v>73.400000000000006</v>
      </c>
      <c r="M1143">
        <v>82.5</v>
      </c>
      <c r="N1143">
        <v>70.599999999999994</v>
      </c>
      <c r="O1143">
        <v>74</v>
      </c>
      <c r="S1143">
        <f t="shared" si="173"/>
        <v>1</v>
      </c>
      <c r="T1143">
        <f t="shared" si="174"/>
        <v>1</v>
      </c>
      <c r="U1143">
        <f t="shared" si="175"/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18.3</v>
      </c>
      <c r="AG1143">
        <f t="shared" si="176"/>
        <v>0</v>
      </c>
      <c r="AH1143">
        <f t="shared" si="177"/>
        <v>0</v>
      </c>
      <c r="AI1143">
        <f t="shared" si="178"/>
        <v>0</v>
      </c>
      <c r="AJ1143">
        <v>320.60000000000002</v>
      </c>
      <c r="AK1143">
        <v>1007.7</v>
      </c>
      <c r="AL1143">
        <v>4.9000000000000004</v>
      </c>
      <c r="AM1143">
        <v>6.3</v>
      </c>
      <c r="AN1143">
        <v>350.1</v>
      </c>
      <c r="AO1143">
        <v>30.2</v>
      </c>
      <c r="AP1143">
        <v>10</v>
      </c>
      <c r="AQ1143">
        <v>0</v>
      </c>
      <c r="AR1143" t="s">
        <v>3870</v>
      </c>
      <c r="AS1143" t="s">
        <v>3871</v>
      </c>
      <c r="AT1143">
        <v>0.21</v>
      </c>
      <c r="AU1143" t="s">
        <v>74</v>
      </c>
      <c r="AV1143" t="s">
        <v>2955</v>
      </c>
      <c r="AW1143" t="s">
        <v>75</v>
      </c>
      <c r="AX1143" s="1">
        <v>0.64236111111111116</v>
      </c>
      <c r="AY1143" t="s">
        <v>3872</v>
      </c>
      <c r="AZ1143">
        <v>455.00000000582082</v>
      </c>
      <c r="BA1143">
        <v>1</v>
      </c>
      <c r="BB1143">
        <v>0</v>
      </c>
      <c r="BC1143">
        <v>30</v>
      </c>
      <c r="BD1143">
        <v>0</v>
      </c>
      <c r="BE1143">
        <f t="shared" si="179"/>
        <v>1</v>
      </c>
    </row>
    <row r="1144" spans="1:57" x14ac:dyDescent="0.25">
      <c r="A1144" t="s">
        <v>39</v>
      </c>
      <c r="B1144" t="s">
        <v>3599</v>
      </c>
      <c r="C1144">
        <v>87.9</v>
      </c>
      <c r="D1144">
        <v>80.599999999999994</v>
      </c>
      <c r="G1144">
        <f t="shared" si="170"/>
        <v>1</v>
      </c>
      <c r="H1144">
        <f t="shared" si="171"/>
        <v>1</v>
      </c>
      <c r="I1144">
        <f t="shared" si="172"/>
        <v>0</v>
      </c>
      <c r="J1144">
        <v>83.4</v>
      </c>
      <c r="K1144">
        <v>99.4</v>
      </c>
      <c r="L1144">
        <v>83.9</v>
      </c>
      <c r="M1144">
        <v>88.6</v>
      </c>
      <c r="N1144">
        <v>71.599999999999994</v>
      </c>
      <c r="O1144">
        <v>68</v>
      </c>
      <c r="S1144">
        <f t="shared" si="173"/>
        <v>1</v>
      </c>
      <c r="T1144">
        <f t="shared" si="174"/>
        <v>1</v>
      </c>
      <c r="U1144">
        <f t="shared" si="175"/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25.3</v>
      </c>
      <c r="AG1144">
        <f t="shared" si="176"/>
        <v>1</v>
      </c>
      <c r="AH1144">
        <f t="shared" si="177"/>
        <v>1</v>
      </c>
      <c r="AI1144">
        <f t="shared" si="178"/>
        <v>0</v>
      </c>
      <c r="AJ1144">
        <v>309.3</v>
      </c>
      <c r="AK1144">
        <v>1012.6</v>
      </c>
      <c r="AL1144">
        <v>18</v>
      </c>
      <c r="AM1144">
        <v>6.5</v>
      </c>
      <c r="AN1144">
        <v>314.5</v>
      </c>
      <c r="AO1144">
        <v>27.3</v>
      </c>
      <c r="AP1144">
        <v>10</v>
      </c>
      <c r="AQ1144">
        <v>0</v>
      </c>
      <c r="AR1144" t="s">
        <v>3600</v>
      </c>
      <c r="AS1144" t="s">
        <v>3601</v>
      </c>
      <c r="AT1144">
        <v>0.39</v>
      </c>
      <c r="AU1144" t="s">
        <v>74</v>
      </c>
      <c r="AV1144" t="s">
        <v>2955</v>
      </c>
      <c r="AW1144" t="s">
        <v>75</v>
      </c>
      <c r="AX1144" s="1">
        <v>0.88194444444444442</v>
      </c>
      <c r="AY1144" t="s">
        <v>3873</v>
      </c>
      <c r="AZ1144">
        <v>4219.9999999988358</v>
      </c>
      <c r="BA1144">
        <v>1</v>
      </c>
      <c r="BB1144">
        <v>50</v>
      </c>
      <c r="BC1144">
        <v>0</v>
      </c>
      <c r="BD1144">
        <v>0</v>
      </c>
      <c r="BE1144">
        <f t="shared" si="179"/>
        <v>1</v>
      </c>
    </row>
    <row r="1145" spans="1:57" x14ac:dyDescent="0.25">
      <c r="A1145" t="s">
        <v>39</v>
      </c>
      <c r="B1145" t="s">
        <v>3677</v>
      </c>
      <c r="C1145">
        <v>80.7</v>
      </c>
      <c r="D1145">
        <v>78.8</v>
      </c>
      <c r="G1145">
        <f t="shared" si="170"/>
        <v>1</v>
      </c>
      <c r="H1145">
        <f t="shared" si="171"/>
        <v>0</v>
      </c>
      <c r="I1145">
        <f t="shared" si="172"/>
        <v>1</v>
      </c>
      <c r="J1145">
        <v>79.7</v>
      </c>
      <c r="K1145">
        <v>84.1</v>
      </c>
      <c r="L1145">
        <v>78.8</v>
      </c>
      <c r="M1145">
        <v>81.099999999999994</v>
      </c>
      <c r="N1145">
        <v>67.5</v>
      </c>
      <c r="O1145">
        <v>66.400000000000006</v>
      </c>
      <c r="S1145">
        <f t="shared" si="173"/>
        <v>1</v>
      </c>
      <c r="T1145">
        <f t="shared" si="174"/>
        <v>1</v>
      </c>
      <c r="U1145">
        <f t="shared" si="175"/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30</v>
      </c>
      <c r="AC1145">
        <v>25.3</v>
      </c>
      <c r="AG1145">
        <f t="shared" si="176"/>
        <v>1</v>
      </c>
      <c r="AH1145">
        <f t="shared" si="177"/>
        <v>1</v>
      </c>
      <c r="AI1145">
        <f t="shared" si="178"/>
        <v>0</v>
      </c>
      <c r="AJ1145">
        <v>311.60000000000002</v>
      </c>
      <c r="AK1145">
        <v>1010.5</v>
      </c>
      <c r="AL1145">
        <v>50</v>
      </c>
      <c r="AM1145">
        <v>6.6</v>
      </c>
      <c r="AN1145">
        <v>310.8</v>
      </c>
      <c r="AO1145">
        <v>26.9</v>
      </c>
      <c r="AP1145">
        <v>10</v>
      </c>
      <c r="AQ1145">
        <v>0</v>
      </c>
      <c r="AR1145" t="s">
        <v>3678</v>
      </c>
      <c r="AS1145" t="s">
        <v>3679</v>
      </c>
      <c r="AT1145">
        <v>0.42</v>
      </c>
      <c r="AU1145" t="s">
        <v>43</v>
      </c>
      <c r="AV1145" t="s">
        <v>44</v>
      </c>
      <c r="AW1145" t="s">
        <v>45</v>
      </c>
      <c r="AX1145" s="1">
        <v>0.22222222222222221</v>
      </c>
      <c r="AY1145" t="s">
        <v>3874</v>
      </c>
      <c r="AZ1145">
        <v>5320.0000000011642</v>
      </c>
      <c r="BA1145">
        <v>1</v>
      </c>
      <c r="BB1145">
        <v>500</v>
      </c>
      <c r="BC1145">
        <v>0</v>
      </c>
      <c r="BD1145">
        <v>0</v>
      </c>
      <c r="BE1145">
        <f t="shared" si="179"/>
        <v>1</v>
      </c>
    </row>
    <row r="1146" spans="1:57" x14ac:dyDescent="0.25">
      <c r="A1146" t="s">
        <v>39</v>
      </c>
      <c r="B1146" t="s">
        <v>3875</v>
      </c>
      <c r="C1146">
        <v>84.2</v>
      </c>
      <c r="D1146">
        <v>65.7</v>
      </c>
      <c r="G1146">
        <f t="shared" si="170"/>
        <v>1</v>
      </c>
      <c r="H1146">
        <f t="shared" si="171"/>
        <v>1</v>
      </c>
      <c r="I1146">
        <f t="shared" si="172"/>
        <v>0</v>
      </c>
      <c r="J1146">
        <v>75.3</v>
      </c>
      <c r="K1146">
        <v>87.4</v>
      </c>
      <c r="L1146">
        <v>65.7</v>
      </c>
      <c r="M1146">
        <v>76.599999999999994</v>
      </c>
      <c r="N1146">
        <v>65.3</v>
      </c>
      <c r="O1146">
        <v>71.7</v>
      </c>
      <c r="S1146">
        <f t="shared" si="173"/>
        <v>1</v>
      </c>
      <c r="T1146">
        <f t="shared" si="174"/>
        <v>1</v>
      </c>
      <c r="U1146">
        <f t="shared" si="175"/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9.1999999999999993</v>
      </c>
      <c r="AG1146">
        <f t="shared" si="176"/>
        <v>1</v>
      </c>
      <c r="AH1146">
        <f t="shared" si="177"/>
        <v>0</v>
      </c>
      <c r="AI1146">
        <f t="shared" si="178"/>
        <v>1</v>
      </c>
      <c r="AJ1146">
        <v>311.10000000000002</v>
      </c>
      <c r="AK1146">
        <v>1012.8</v>
      </c>
      <c r="AL1146">
        <v>12.5</v>
      </c>
      <c r="AM1146">
        <v>6.2</v>
      </c>
      <c r="AN1146">
        <v>289.8</v>
      </c>
      <c r="AO1146">
        <v>25.1</v>
      </c>
      <c r="AP1146">
        <v>9</v>
      </c>
      <c r="AQ1146">
        <v>0</v>
      </c>
      <c r="AR1146" t="s">
        <v>3876</v>
      </c>
      <c r="AS1146" t="s">
        <v>3877</v>
      </c>
      <c r="AT1146">
        <v>0.03</v>
      </c>
      <c r="AU1146" t="s">
        <v>74</v>
      </c>
      <c r="AV1146" t="s">
        <v>2955</v>
      </c>
      <c r="AW1146" t="s">
        <v>75</v>
      </c>
      <c r="AX1146" s="1">
        <v>0.51041666666666663</v>
      </c>
      <c r="AY1146" t="s">
        <v>3878</v>
      </c>
      <c r="AZ1146">
        <v>1975.0000000046571</v>
      </c>
      <c r="BA1146">
        <v>1</v>
      </c>
      <c r="BB1146">
        <v>0</v>
      </c>
      <c r="BC1146">
        <v>65</v>
      </c>
      <c r="BD1146">
        <v>0</v>
      </c>
      <c r="BE1146">
        <f t="shared" si="179"/>
        <v>1</v>
      </c>
    </row>
    <row r="1147" spans="1:57" x14ac:dyDescent="0.25">
      <c r="A1147" t="s">
        <v>39</v>
      </c>
      <c r="B1147" t="s">
        <v>3879</v>
      </c>
      <c r="C1147">
        <v>82.4</v>
      </c>
      <c r="D1147">
        <v>66.2</v>
      </c>
      <c r="G1147">
        <f t="shared" si="170"/>
        <v>1</v>
      </c>
      <c r="H1147">
        <f t="shared" si="171"/>
        <v>1</v>
      </c>
      <c r="I1147">
        <f t="shared" si="172"/>
        <v>0</v>
      </c>
      <c r="J1147">
        <v>76.099999999999994</v>
      </c>
      <c r="K1147">
        <v>88.3</v>
      </c>
      <c r="L1147">
        <v>66.2</v>
      </c>
      <c r="M1147">
        <v>77.8</v>
      </c>
      <c r="N1147">
        <v>68.8</v>
      </c>
      <c r="O1147">
        <v>78.599999999999994</v>
      </c>
      <c r="S1147">
        <f t="shared" si="173"/>
        <v>1</v>
      </c>
      <c r="T1147">
        <f t="shared" si="174"/>
        <v>1</v>
      </c>
      <c r="U1147">
        <f t="shared" si="175"/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15</v>
      </c>
      <c r="AG1147">
        <f t="shared" si="176"/>
        <v>1</v>
      </c>
      <c r="AH1147">
        <f t="shared" si="177"/>
        <v>0</v>
      </c>
      <c r="AI1147">
        <f t="shared" si="178"/>
        <v>1</v>
      </c>
      <c r="AJ1147">
        <v>306</v>
      </c>
      <c r="AK1147">
        <v>1008.2</v>
      </c>
      <c r="AL1147">
        <v>23</v>
      </c>
      <c r="AM1147">
        <v>6.5</v>
      </c>
      <c r="AN1147">
        <v>280.5</v>
      </c>
      <c r="AO1147">
        <v>24.2</v>
      </c>
      <c r="AP1147">
        <v>9</v>
      </c>
      <c r="AQ1147">
        <v>0</v>
      </c>
      <c r="AR1147" t="s">
        <v>3880</v>
      </c>
      <c r="AS1147" t="s">
        <v>3881</v>
      </c>
      <c r="AT1147">
        <v>0.1</v>
      </c>
      <c r="AU1147" t="s">
        <v>43</v>
      </c>
      <c r="AV1147" t="s">
        <v>44</v>
      </c>
      <c r="AW1147" t="s">
        <v>45</v>
      </c>
      <c r="AX1147" s="1">
        <v>0.54166666666666663</v>
      </c>
      <c r="AY1147" t="s">
        <v>3882</v>
      </c>
      <c r="AZ1147">
        <v>120.0000000034925</v>
      </c>
      <c r="BA1147">
        <v>0</v>
      </c>
      <c r="BB1147">
        <v>0</v>
      </c>
      <c r="BC1147">
        <v>0.5</v>
      </c>
      <c r="BD1147">
        <v>0</v>
      </c>
      <c r="BE1147">
        <f t="shared" si="179"/>
        <v>1</v>
      </c>
    </row>
    <row r="1148" spans="1:57" x14ac:dyDescent="0.25">
      <c r="A1148" t="s">
        <v>39</v>
      </c>
      <c r="B1148" t="s">
        <v>3883</v>
      </c>
      <c r="C1148">
        <v>82.4</v>
      </c>
      <c r="D1148">
        <v>62.6</v>
      </c>
      <c r="G1148">
        <f t="shared" si="170"/>
        <v>1</v>
      </c>
      <c r="H1148">
        <f t="shared" si="171"/>
        <v>1</v>
      </c>
      <c r="I1148">
        <f t="shared" si="172"/>
        <v>0</v>
      </c>
      <c r="J1148">
        <v>73.900000000000006</v>
      </c>
      <c r="K1148">
        <v>88.3</v>
      </c>
      <c r="L1148">
        <v>62.6</v>
      </c>
      <c r="M1148">
        <v>75.2</v>
      </c>
      <c r="N1148">
        <v>65.3</v>
      </c>
      <c r="O1148">
        <v>74.8</v>
      </c>
      <c r="S1148">
        <f t="shared" si="173"/>
        <v>1</v>
      </c>
      <c r="T1148">
        <f t="shared" si="174"/>
        <v>1</v>
      </c>
      <c r="U1148">
        <f t="shared" si="175"/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9.1999999999999993</v>
      </c>
      <c r="AG1148">
        <f t="shared" si="176"/>
        <v>1</v>
      </c>
      <c r="AH1148">
        <f t="shared" si="177"/>
        <v>0</v>
      </c>
      <c r="AI1148">
        <f t="shared" si="178"/>
        <v>1</v>
      </c>
      <c r="AJ1148">
        <v>169</v>
      </c>
      <c r="AK1148">
        <v>1009.3</v>
      </c>
      <c r="AL1148">
        <v>39.4</v>
      </c>
      <c r="AM1148">
        <v>6.3</v>
      </c>
      <c r="AN1148">
        <v>269.5</v>
      </c>
      <c r="AO1148">
        <v>23.2</v>
      </c>
      <c r="AP1148">
        <v>9</v>
      </c>
      <c r="AQ1148">
        <v>0</v>
      </c>
      <c r="AR1148" t="s">
        <v>3884</v>
      </c>
      <c r="AS1148" t="s">
        <v>3885</v>
      </c>
      <c r="AT1148">
        <v>0.4</v>
      </c>
      <c r="AU1148" t="s">
        <v>43</v>
      </c>
      <c r="AV1148" t="s">
        <v>44</v>
      </c>
      <c r="AW1148" t="s">
        <v>45</v>
      </c>
      <c r="AX1148" s="1">
        <v>0.51041666666666663</v>
      </c>
      <c r="AY1148" t="s">
        <v>3886</v>
      </c>
      <c r="AZ1148">
        <v>1785.000000003492</v>
      </c>
      <c r="BA1148">
        <v>1</v>
      </c>
      <c r="BB1148">
        <v>0</v>
      </c>
      <c r="BC1148">
        <v>5</v>
      </c>
      <c r="BD1148">
        <v>0</v>
      </c>
      <c r="BE1148">
        <f t="shared" si="179"/>
        <v>1</v>
      </c>
    </row>
    <row r="1149" spans="1:57" x14ac:dyDescent="0.25">
      <c r="A1149" t="s">
        <v>39</v>
      </c>
      <c r="B1149" t="s">
        <v>3887</v>
      </c>
      <c r="C1149">
        <v>89.6</v>
      </c>
      <c r="D1149">
        <v>73.400000000000006</v>
      </c>
      <c r="G1149">
        <f t="shared" si="170"/>
        <v>1</v>
      </c>
      <c r="H1149">
        <f t="shared" si="171"/>
        <v>1</v>
      </c>
      <c r="I1149">
        <f t="shared" si="172"/>
        <v>0</v>
      </c>
      <c r="J1149">
        <v>79.599999999999994</v>
      </c>
      <c r="K1149">
        <v>93.5</v>
      </c>
      <c r="L1149">
        <v>73.400000000000006</v>
      </c>
      <c r="M1149">
        <v>81</v>
      </c>
      <c r="N1149">
        <v>66.3</v>
      </c>
      <c r="O1149">
        <v>64.900000000000006</v>
      </c>
      <c r="S1149">
        <f t="shared" si="173"/>
        <v>0</v>
      </c>
      <c r="T1149">
        <f t="shared" si="174"/>
        <v>0</v>
      </c>
      <c r="U1149">
        <f t="shared" si="175"/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18.3</v>
      </c>
      <c r="AG1149">
        <f t="shared" si="176"/>
        <v>1</v>
      </c>
      <c r="AH1149">
        <f t="shared" si="177"/>
        <v>1</v>
      </c>
      <c r="AI1149">
        <f t="shared" si="178"/>
        <v>0</v>
      </c>
      <c r="AJ1149">
        <v>168.2</v>
      </c>
      <c r="AK1149">
        <v>1008</v>
      </c>
      <c r="AL1149">
        <v>59.6</v>
      </c>
      <c r="AM1149">
        <v>6.6</v>
      </c>
      <c r="AN1149">
        <v>198.8</v>
      </c>
      <c r="AO1149">
        <v>17</v>
      </c>
      <c r="AP1149">
        <v>7</v>
      </c>
      <c r="AQ1149">
        <v>0</v>
      </c>
      <c r="AR1149" t="s">
        <v>3888</v>
      </c>
      <c r="AS1149" t="s">
        <v>3889</v>
      </c>
      <c r="AT1149">
        <v>0.56999999999999995</v>
      </c>
      <c r="AU1149" t="s">
        <v>43</v>
      </c>
      <c r="AV1149" t="s">
        <v>44</v>
      </c>
      <c r="AW1149" t="s">
        <v>45</v>
      </c>
      <c r="AX1149" s="1">
        <v>0.94791666666666663</v>
      </c>
      <c r="AY1149" t="s">
        <v>3890</v>
      </c>
      <c r="AZ1149">
        <v>1230.0000000069849</v>
      </c>
      <c r="BA1149">
        <v>1</v>
      </c>
      <c r="BB1149">
        <v>0</v>
      </c>
      <c r="BC1149">
        <v>10</v>
      </c>
      <c r="BD1149">
        <v>0</v>
      </c>
      <c r="BE1149">
        <f t="shared" si="179"/>
        <v>1</v>
      </c>
    </row>
    <row r="1150" spans="1:57" x14ac:dyDescent="0.25">
      <c r="A1150" t="s">
        <v>39</v>
      </c>
      <c r="B1150" t="s">
        <v>3721</v>
      </c>
      <c r="C1150">
        <v>95</v>
      </c>
      <c r="D1150">
        <v>74.400000000000006</v>
      </c>
      <c r="G1150">
        <f t="shared" si="170"/>
        <v>1</v>
      </c>
      <c r="H1150">
        <f t="shared" si="171"/>
        <v>1</v>
      </c>
      <c r="I1150">
        <f t="shared" si="172"/>
        <v>0</v>
      </c>
      <c r="J1150">
        <v>83.2</v>
      </c>
      <c r="K1150">
        <v>95.3</v>
      </c>
      <c r="L1150">
        <v>74.400000000000006</v>
      </c>
      <c r="M1150">
        <v>84.1</v>
      </c>
      <c r="N1150">
        <v>61.8</v>
      </c>
      <c r="O1150">
        <v>51</v>
      </c>
      <c r="S1150">
        <f t="shared" si="173"/>
        <v>1</v>
      </c>
      <c r="T1150">
        <f t="shared" si="174"/>
        <v>0</v>
      </c>
      <c r="U1150">
        <f t="shared" si="175"/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33.299999999999997</v>
      </c>
      <c r="AC1150">
        <v>21.9</v>
      </c>
      <c r="AG1150">
        <f t="shared" si="176"/>
        <v>1</v>
      </c>
      <c r="AH1150">
        <f t="shared" si="177"/>
        <v>1</v>
      </c>
      <c r="AI1150">
        <f t="shared" si="178"/>
        <v>0</v>
      </c>
      <c r="AJ1150">
        <v>178.1</v>
      </c>
      <c r="AK1150">
        <v>1009.8</v>
      </c>
      <c r="AL1150">
        <v>64.599999999999994</v>
      </c>
      <c r="AM1150">
        <v>6.2</v>
      </c>
      <c r="AN1150">
        <v>120.5</v>
      </c>
      <c r="AO1150">
        <v>10.4</v>
      </c>
      <c r="AP1150">
        <v>5</v>
      </c>
      <c r="AQ1150">
        <v>0</v>
      </c>
      <c r="AR1150" t="s">
        <v>3722</v>
      </c>
      <c r="AS1150" t="s">
        <v>3723</v>
      </c>
      <c r="AT1150">
        <v>0.71</v>
      </c>
      <c r="AU1150" t="s">
        <v>43</v>
      </c>
      <c r="AV1150" t="s">
        <v>44</v>
      </c>
      <c r="AW1150" t="s">
        <v>45</v>
      </c>
      <c r="AX1150" s="1">
        <v>0.58611111111111114</v>
      </c>
      <c r="AY1150" t="s">
        <v>3891</v>
      </c>
      <c r="AZ1150">
        <v>2463.000000002794</v>
      </c>
      <c r="BA1150">
        <v>1</v>
      </c>
      <c r="BB1150">
        <v>0</v>
      </c>
      <c r="BC1150">
        <v>290</v>
      </c>
      <c r="BD1150">
        <v>0</v>
      </c>
      <c r="BE1150">
        <f t="shared" si="179"/>
        <v>1</v>
      </c>
    </row>
    <row r="1151" spans="1:57" x14ac:dyDescent="0.25">
      <c r="A1151" t="s">
        <v>39</v>
      </c>
      <c r="B1151" t="s">
        <v>3620</v>
      </c>
      <c r="C1151">
        <v>75.2</v>
      </c>
      <c r="D1151">
        <v>64.400000000000006</v>
      </c>
      <c r="G1151">
        <f t="shared" si="170"/>
        <v>0</v>
      </c>
      <c r="H1151">
        <f t="shared" si="171"/>
        <v>0</v>
      </c>
      <c r="I1151">
        <f t="shared" si="172"/>
        <v>0</v>
      </c>
      <c r="J1151">
        <v>68.8</v>
      </c>
      <c r="K1151">
        <v>75.2</v>
      </c>
      <c r="L1151">
        <v>64.400000000000006</v>
      </c>
      <c r="M1151">
        <v>68.8</v>
      </c>
      <c r="N1151">
        <v>64.099999999999994</v>
      </c>
      <c r="O1151">
        <v>85.4</v>
      </c>
      <c r="S1151">
        <f t="shared" si="173"/>
        <v>1</v>
      </c>
      <c r="T1151">
        <f t="shared" si="174"/>
        <v>1</v>
      </c>
      <c r="U1151">
        <f t="shared" si="175"/>
        <v>0</v>
      </c>
      <c r="V1151">
        <v>0.51100000000000001</v>
      </c>
      <c r="W1151">
        <v>100</v>
      </c>
      <c r="X1151">
        <v>8.33</v>
      </c>
      <c r="Y1151" t="s">
        <v>103</v>
      </c>
      <c r="Z1151">
        <v>0</v>
      </c>
      <c r="AA1151">
        <v>0</v>
      </c>
      <c r="AB1151">
        <v>0</v>
      </c>
      <c r="AC1151">
        <v>15</v>
      </c>
      <c r="AG1151">
        <f t="shared" si="176"/>
        <v>1</v>
      </c>
      <c r="AH1151">
        <f t="shared" si="177"/>
        <v>0</v>
      </c>
      <c r="AI1151">
        <f t="shared" si="178"/>
        <v>1</v>
      </c>
      <c r="AJ1151">
        <v>57.7</v>
      </c>
      <c r="AK1151">
        <v>1013.4</v>
      </c>
      <c r="AL1151">
        <v>74</v>
      </c>
      <c r="AM1151">
        <v>6.5</v>
      </c>
      <c r="AN1151">
        <v>116.1</v>
      </c>
      <c r="AO1151">
        <v>10</v>
      </c>
      <c r="AP1151">
        <v>5</v>
      </c>
      <c r="AQ1151">
        <v>0</v>
      </c>
      <c r="AR1151" t="s">
        <v>3621</v>
      </c>
      <c r="AS1151" t="s">
        <v>3622</v>
      </c>
      <c r="AT1151">
        <v>0</v>
      </c>
      <c r="AU1151" t="s">
        <v>106</v>
      </c>
      <c r="AV1151" t="s">
        <v>257</v>
      </c>
      <c r="AW1151" t="s">
        <v>103</v>
      </c>
      <c r="AX1151" s="1">
        <v>0.61250000000000004</v>
      </c>
      <c r="AY1151" t="s">
        <v>3892</v>
      </c>
      <c r="AZ1151">
        <v>222.99999999348071</v>
      </c>
      <c r="BA1151">
        <v>0</v>
      </c>
      <c r="BB1151">
        <v>0</v>
      </c>
      <c r="BC1151">
        <v>1</v>
      </c>
      <c r="BD1151">
        <v>0</v>
      </c>
      <c r="BE1151">
        <f t="shared" si="179"/>
        <v>0</v>
      </c>
    </row>
    <row r="1152" spans="1:57" x14ac:dyDescent="0.25">
      <c r="A1152" t="s">
        <v>39</v>
      </c>
      <c r="B1152" t="s">
        <v>3857</v>
      </c>
      <c r="C1152">
        <v>77</v>
      </c>
      <c r="D1152">
        <v>62.6</v>
      </c>
      <c r="G1152">
        <f t="shared" si="170"/>
        <v>1</v>
      </c>
      <c r="H1152">
        <f t="shared" si="171"/>
        <v>1</v>
      </c>
      <c r="I1152">
        <f t="shared" si="172"/>
        <v>0</v>
      </c>
      <c r="J1152">
        <v>70</v>
      </c>
      <c r="K1152">
        <v>77</v>
      </c>
      <c r="L1152">
        <v>62.6</v>
      </c>
      <c r="M1152">
        <v>70</v>
      </c>
      <c r="N1152">
        <v>62.2</v>
      </c>
      <c r="O1152">
        <v>76.400000000000006</v>
      </c>
      <c r="S1152">
        <f t="shared" si="173"/>
        <v>1</v>
      </c>
      <c r="T1152">
        <f t="shared" si="174"/>
        <v>1</v>
      </c>
      <c r="U1152">
        <f t="shared" si="175"/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15</v>
      </c>
      <c r="AG1152">
        <f t="shared" si="176"/>
        <v>1</v>
      </c>
      <c r="AH1152">
        <f t="shared" si="177"/>
        <v>0</v>
      </c>
      <c r="AI1152">
        <f t="shared" si="178"/>
        <v>1</v>
      </c>
      <c r="AJ1152">
        <v>112.6</v>
      </c>
      <c r="AK1152">
        <v>1011.8</v>
      </c>
      <c r="AL1152">
        <v>63.2</v>
      </c>
      <c r="AM1152">
        <v>6.6</v>
      </c>
      <c r="AN1152">
        <v>140.1</v>
      </c>
      <c r="AO1152">
        <v>12</v>
      </c>
      <c r="AP1152">
        <v>6</v>
      </c>
      <c r="AQ1152">
        <v>0</v>
      </c>
      <c r="AR1152" t="s">
        <v>3858</v>
      </c>
      <c r="AS1152" t="s">
        <v>3859</v>
      </c>
      <c r="AT1152">
        <v>0.12</v>
      </c>
      <c r="AU1152" t="s">
        <v>43</v>
      </c>
      <c r="AV1152" t="s">
        <v>44</v>
      </c>
      <c r="AW1152" t="s">
        <v>45</v>
      </c>
      <c r="AX1152" s="1">
        <v>0.65972222222222221</v>
      </c>
      <c r="AY1152" t="s">
        <v>3893</v>
      </c>
      <c r="AZ1152">
        <v>265.00000000465661</v>
      </c>
      <c r="BA1152">
        <v>0</v>
      </c>
      <c r="BB1152">
        <v>1</v>
      </c>
      <c r="BC1152">
        <v>0</v>
      </c>
      <c r="BD1152">
        <v>0</v>
      </c>
      <c r="BE1152">
        <f t="shared" si="179"/>
        <v>1</v>
      </c>
    </row>
    <row r="1153" spans="1:57" x14ac:dyDescent="0.25">
      <c r="A1153" t="s">
        <v>39</v>
      </c>
      <c r="B1153" t="s">
        <v>3511</v>
      </c>
      <c r="C1153">
        <v>80.599999999999994</v>
      </c>
      <c r="D1153">
        <v>68</v>
      </c>
      <c r="G1153">
        <f t="shared" si="170"/>
        <v>1</v>
      </c>
      <c r="H1153">
        <f t="shared" si="171"/>
        <v>1</v>
      </c>
      <c r="I1153">
        <f t="shared" si="172"/>
        <v>0</v>
      </c>
      <c r="J1153">
        <v>73.2</v>
      </c>
      <c r="K1153">
        <v>79.900000000000006</v>
      </c>
      <c r="L1153">
        <v>68</v>
      </c>
      <c r="M1153">
        <v>73.099999999999994</v>
      </c>
      <c r="N1153">
        <v>53.3</v>
      </c>
      <c r="O1153">
        <v>50.5</v>
      </c>
      <c r="S1153">
        <f t="shared" si="173"/>
        <v>1</v>
      </c>
      <c r="T1153">
        <f t="shared" si="174"/>
        <v>0</v>
      </c>
      <c r="U1153">
        <f t="shared" si="175"/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26.4</v>
      </c>
      <c r="AG1153">
        <f t="shared" si="176"/>
        <v>1</v>
      </c>
      <c r="AH1153">
        <f t="shared" si="177"/>
        <v>1</v>
      </c>
      <c r="AI1153">
        <f t="shared" si="178"/>
        <v>0</v>
      </c>
      <c r="AJ1153">
        <v>165</v>
      </c>
      <c r="AK1153">
        <v>1014.2</v>
      </c>
      <c r="AL1153">
        <v>75.7</v>
      </c>
      <c r="AM1153">
        <v>6.4</v>
      </c>
      <c r="AN1153">
        <v>140.6</v>
      </c>
      <c r="AO1153">
        <v>12.3</v>
      </c>
      <c r="AP1153">
        <v>6</v>
      </c>
      <c r="AQ1153">
        <v>0</v>
      </c>
      <c r="AR1153" t="s">
        <v>3512</v>
      </c>
      <c r="AS1153" t="s">
        <v>3513</v>
      </c>
      <c r="AT1153">
        <v>0.77</v>
      </c>
      <c r="AU1153" t="s">
        <v>43</v>
      </c>
      <c r="AV1153" t="s">
        <v>44</v>
      </c>
      <c r="AW1153" t="s">
        <v>45</v>
      </c>
      <c r="AX1153" s="1">
        <v>0.96597222222222223</v>
      </c>
      <c r="AY1153" t="s">
        <v>3894</v>
      </c>
      <c r="AZ1153">
        <v>219.00000000139701</v>
      </c>
      <c r="BA1153">
        <v>0</v>
      </c>
      <c r="BB1153">
        <v>5</v>
      </c>
      <c r="BC1153">
        <v>0</v>
      </c>
      <c r="BD1153">
        <v>0</v>
      </c>
      <c r="BE1153">
        <f t="shared" si="179"/>
        <v>1</v>
      </c>
    </row>
    <row r="1154" spans="1:57" x14ac:dyDescent="0.25">
      <c r="A1154" t="s">
        <v>39</v>
      </c>
      <c r="B1154" t="s">
        <v>3841</v>
      </c>
      <c r="C1154">
        <v>69.8</v>
      </c>
      <c r="D1154">
        <v>55.4</v>
      </c>
      <c r="G1154">
        <f t="shared" si="170"/>
        <v>1</v>
      </c>
      <c r="H1154">
        <f t="shared" si="171"/>
        <v>1</v>
      </c>
      <c r="I1154">
        <f t="shared" si="172"/>
        <v>0</v>
      </c>
      <c r="J1154">
        <v>64.400000000000006</v>
      </c>
      <c r="K1154">
        <v>69.8</v>
      </c>
      <c r="L1154">
        <v>55.4</v>
      </c>
      <c r="M1154">
        <v>64.400000000000006</v>
      </c>
      <c r="N1154">
        <v>51</v>
      </c>
      <c r="O1154">
        <v>62.9</v>
      </c>
      <c r="S1154">
        <f t="shared" si="173"/>
        <v>1</v>
      </c>
      <c r="T1154">
        <f t="shared" si="174"/>
        <v>0</v>
      </c>
      <c r="U1154">
        <f t="shared" si="175"/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36.9</v>
      </c>
      <c r="AC1154">
        <v>25.3</v>
      </c>
      <c r="AG1154">
        <f t="shared" si="176"/>
        <v>1</v>
      </c>
      <c r="AH1154">
        <f t="shared" si="177"/>
        <v>1</v>
      </c>
      <c r="AI1154">
        <f t="shared" si="178"/>
        <v>0</v>
      </c>
      <c r="AJ1154">
        <v>163</v>
      </c>
      <c r="AK1154">
        <v>1012.9</v>
      </c>
      <c r="AL1154">
        <v>54.4</v>
      </c>
      <c r="AM1154">
        <v>6.2</v>
      </c>
      <c r="AN1154">
        <v>174.5</v>
      </c>
      <c r="AO1154">
        <v>15</v>
      </c>
      <c r="AP1154">
        <v>6</v>
      </c>
      <c r="AQ1154">
        <v>0</v>
      </c>
      <c r="AR1154" t="s">
        <v>3842</v>
      </c>
      <c r="AS1154" t="s">
        <v>3843</v>
      </c>
      <c r="AT1154">
        <v>0.18</v>
      </c>
      <c r="AU1154" t="s">
        <v>43</v>
      </c>
      <c r="AV1154" t="s">
        <v>2026</v>
      </c>
      <c r="AW1154" t="s">
        <v>45</v>
      </c>
      <c r="AX1154" s="1">
        <v>0.52430555555555558</v>
      </c>
      <c r="AY1154" t="s">
        <v>3895</v>
      </c>
      <c r="AZ1154">
        <v>175.00000000465661</v>
      </c>
      <c r="BA1154">
        <v>0</v>
      </c>
      <c r="BB1154">
        <v>0</v>
      </c>
      <c r="BC1154">
        <v>1</v>
      </c>
      <c r="BD1154">
        <v>0</v>
      </c>
      <c r="BE1154">
        <f t="shared" si="179"/>
        <v>1</v>
      </c>
    </row>
    <row r="1155" spans="1:57" x14ac:dyDescent="0.25">
      <c r="A1155" t="s">
        <v>39</v>
      </c>
      <c r="B1155" t="s">
        <v>3896</v>
      </c>
      <c r="C1155">
        <v>91.4</v>
      </c>
      <c r="D1155">
        <v>75.2</v>
      </c>
      <c r="G1155">
        <f t="shared" ref="G1155:G1218" si="180">IF(ABS(C1155-INDEX($F$2:$F$13,MONTH(B1155)))&gt;1.8,1,0)</f>
        <v>1</v>
      </c>
      <c r="H1155">
        <f t="shared" ref="H1155:H1218" si="181">IF(C1155&gt;=INDEX($F$2:$F$13,MONTH(B1155))+1.8,1,0)</f>
        <v>1</v>
      </c>
      <c r="I1155">
        <f t="shared" ref="I1155:I1218" si="182">IF(C1155&lt;=INDEX($F$2:$F$13,MONTH(B1155))-1.8,1,0)</f>
        <v>0</v>
      </c>
      <c r="J1155">
        <v>84.1</v>
      </c>
      <c r="K1155">
        <v>100.3</v>
      </c>
      <c r="L1155">
        <v>75.2</v>
      </c>
      <c r="M1155">
        <v>87.2</v>
      </c>
      <c r="N1155">
        <v>65.900000000000006</v>
      </c>
      <c r="O1155">
        <v>54.7</v>
      </c>
      <c r="S1155">
        <f t="shared" ref="S1155:S1218" si="183">IF(OR(O1155&lt;INDEX($Q$2:$Q$13,MONTH(B1155)),O1155&gt;INDEX($R$2:$R$13,MONTH(B1155))),1,0)</f>
        <v>1</v>
      </c>
      <c r="T1155">
        <f t="shared" ref="T1155:T1218" si="184">IF(O1155&gt;INDEX($R$2:$R$13,MONTH(B1155)),1,0)</f>
        <v>0</v>
      </c>
      <c r="U1155">
        <f t="shared" ref="U1155:U1218" si="185">IF(O1155&lt;INDEX($Q$2:$Q$13,MONTH(B1155)),1,0)</f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9.1999999999999993</v>
      </c>
      <c r="AG1155">
        <f t="shared" ref="AG1155:AG1218" si="186">IF(OR(AC1155&lt;INDEX($AE$2:$AE$13,MONTH(B1155)),AC1155&gt;INDEX($AF$2:$AF$13,MONTH(B1155))),1,0)</f>
        <v>1</v>
      </c>
      <c r="AH1155">
        <f t="shared" ref="AH1155:AH1218" si="187">IF(AC1155&gt;INDEX($AF$2:$AF$13,MONTH(B1155)),1,0)</f>
        <v>0</v>
      </c>
      <c r="AI1155">
        <f t="shared" ref="AI1155:AI1218" si="188">IF(AC1155&lt;INDEX($AE$2:$AE$13,MONTH(B1155)),1,0)</f>
        <v>1</v>
      </c>
      <c r="AJ1155">
        <v>184.6</v>
      </c>
      <c r="AK1155">
        <v>1012.1</v>
      </c>
      <c r="AL1155">
        <v>0.7</v>
      </c>
      <c r="AM1155">
        <v>6.2</v>
      </c>
      <c r="AN1155">
        <v>337.8</v>
      </c>
      <c r="AO1155">
        <v>28.9</v>
      </c>
      <c r="AP1155">
        <v>10</v>
      </c>
      <c r="AQ1155">
        <v>0</v>
      </c>
      <c r="AR1155" t="s">
        <v>3897</v>
      </c>
      <c r="AS1155" t="s">
        <v>3898</v>
      </c>
      <c r="AT1155">
        <v>0.14000000000000001</v>
      </c>
      <c r="AU1155" t="s">
        <v>74</v>
      </c>
      <c r="AV1155" t="s">
        <v>2955</v>
      </c>
      <c r="AW1155" t="s">
        <v>75</v>
      </c>
      <c r="AX1155" s="1">
        <v>0.48958333333333331</v>
      </c>
      <c r="AY1155" t="s">
        <v>3899</v>
      </c>
      <c r="AZ1155">
        <v>604.99999999185093</v>
      </c>
      <c r="BA1155">
        <v>1</v>
      </c>
      <c r="BB1155">
        <v>0</v>
      </c>
      <c r="BC1155">
        <v>10</v>
      </c>
      <c r="BD1155">
        <v>0</v>
      </c>
      <c r="BE1155">
        <f t="shared" ref="BE1155:BE1218" si="189">IF((3*AH1155+3*H1155+2*U1155+2*BA1155-(2*(1-T1155)+2*(1-I1155)+2*(1-AI1155)))&gt;=1,1,0)</f>
        <v>1</v>
      </c>
    </row>
    <row r="1156" spans="1:57" x14ac:dyDescent="0.25">
      <c r="A1156" t="s">
        <v>39</v>
      </c>
      <c r="B1156" t="s">
        <v>3900</v>
      </c>
      <c r="C1156">
        <v>89.7</v>
      </c>
      <c r="D1156">
        <v>75.2</v>
      </c>
      <c r="G1156">
        <f t="shared" si="180"/>
        <v>1</v>
      </c>
      <c r="H1156">
        <f t="shared" si="181"/>
        <v>1</v>
      </c>
      <c r="I1156">
        <f t="shared" si="182"/>
        <v>0</v>
      </c>
      <c r="J1156">
        <v>83.7</v>
      </c>
      <c r="K1156">
        <v>98.4</v>
      </c>
      <c r="L1156">
        <v>75.2</v>
      </c>
      <c r="M1156">
        <v>89.2</v>
      </c>
      <c r="N1156">
        <v>72.3</v>
      </c>
      <c r="O1156">
        <v>69.2</v>
      </c>
      <c r="S1156">
        <f t="shared" si="183"/>
        <v>1</v>
      </c>
      <c r="T1156">
        <f t="shared" si="184"/>
        <v>1</v>
      </c>
      <c r="U1156">
        <f t="shared" si="185"/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20.8</v>
      </c>
      <c r="AG1156">
        <f t="shared" si="186"/>
        <v>1</v>
      </c>
      <c r="AH1156">
        <f t="shared" si="187"/>
        <v>1</v>
      </c>
      <c r="AI1156">
        <f t="shared" si="188"/>
        <v>0</v>
      </c>
      <c r="AJ1156">
        <v>301</v>
      </c>
      <c r="AK1156">
        <v>1011</v>
      </c>
      <c r="AL1156">
        <v>0.1</v>
      </c>
      <c r="AM1156">
        <v>6.2</v>
      </c>
      <c r="AN1156">
        <v>316.8</v>
      </c>
      <c r="AO1156">
        <v>27.4</v>
      </c>
      <c r="AP1156">
        <v>10</v>
      </c>
      <c r="AQ1156">
        <v>0</v>
      </c>
      <c r="AR1156" t="s">
        <v>3901</v>
      </c>
      <c r="AS1156" t="s">
        <v>3902</v>
      </c>
      <c r="AT1156">
        <v>0.35</v>
      </c>
      <c r="AU1156" t="s">
        <v>74</v>
      </c>
      <c r="AV1156" t="s">
        <v>2955</v>
      </c>
      <c r="AW1156" t="s">
        <v>75</v>
      </c>
      <c r="AX1156" s="1">
        <v>0.15</v>
      </c>
      <c r="AY1156" t="s">
        <v>3903</v>
      </c>
      <c r="AZ1156">
        <v>219.00000000139701</v>
      </c>
      <c r="BA1156">
        <v>0</v>
      </c>
      <c r="BB1156">
        <v>0</v>
      </c>
      <c r="BC1156">
        <v>0.8</v>
      </c>
      <c r="BD1156">
        <v>0</v>
      </c>
      <c r="BE1156">
        <f t="shared" si="189"/>
        <v>1</v>
      </c>
    </row>
    <row r="1157" spans="1:57" x14ac:dyDescent="0.25">
      <c r="A1157" t="s">
        <v>39</v>
      </c>
      <c r="B1157" t="s">
        <v>3727</v>
      </c>
      <c r="C1157">
        <v>78.8</v>
      </c>
      <c r="D1157">
        <v>66.2</v>
      </c>
      <c r="G1157">
        <f t="shared" si="180"/>
        <v>1</v>
      </c>
      <c r="H1157">
        <f t="shared" si="181"/>
        <v>1</v>
      </c>
      <c r="I1157">
        <f t="shared" si="182"/>
        <v>0</v>
      </c>
      <c r="J1157">
        <v>73.2</v>
      </c>
      <c r="K1157">
        <v>78.8</v>
      </c>
      <c r="L1157">
        <v>66.2</v>
      </c>
      <c r="M1157">
        <v>73.2</v>
      </c>
      <c r="N1157">
        <v>64.5</v>
      </c>
      <c r="O1157">
        <v>75</v>
      </c>
      <c r="S1157">
        <f t="shared" si="183"/>
        <v>1</v>
      </c>
      <c r="T1157">
        <f t="shared" si="184"/>
        <v>1</v>
      </c>
      <c r="U1157">
        <f t="shared" si="185"/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12.8</v>
      </c>
      <c r="AG1157">
        <f t="shared" si="186"/>
        <v>1</v>
      </c>
      <c r="AH1157">
        <f t="shared" si="187"/>
        <v>0</v>
      </c>
      <c r="AI1157">
        <f t="shared" si="188"/>
        <v>1</v>
      </c>
      <c r="AJ1157">
        <v>95.5</v>
      </c>
      <c r="AK1157">
        <v>1012.8</v>
      </c>
      <c r="AL1157">
        <v>43.5</v>
      </c>
      <c r="AM1157">
        <v>6.6</v>
      </c>
      <c r="AN1157">
        <v>222.9</v>
      </c>
      <c r="AO1157">
        <v>19.399999999999999</v>
      </c>
      <c r="AP1157">
        <v>8</v>
      </c>
      <c r="AQ1157">
        <v>0</v>
      </c>
      <c r="AR1157" t="s">
        <v>3728</v>
      </c>
      <c r="AS1157" t="s">
        <v>3729</v>
      </c>
      <c r="AT1157">
        <v>0.75</v>
      </c>
      <c r="AU1157" t="s">
        <v>43</v>
      </c>
      <c r="AV1157" t="s">
        <v>44</v>
      </c>
      <c r="AW1157" t="s">
        <v>45</v>
      </c>
      <c r="AX1157" s="1">
        <v>0.68819444444444444</v>
      </c>
      <c r="AY1157" t="s">
        <v>3904</v>
      </c>
      <c r="AZ1157">
        <v>918.99999999906868</v>
      </c>
      <c r="BA1157">
        <v>1</v>
      </c>
      <c r="BB1157">
        <v>10</v>
      </c>
      <c r="BC1157">
        <v>0</v>
      </c>
      <c r="BD1157">
        <v>0</v>
      </c>
      <c r="BE1157">
        <f t="shared" si="189"/>
        <v>1</v>
      </c>
    </row>
    <row r="1158" spans="1:57" x14ac:dyDescent="0.25">
      <c r="A1158" t="s">
        <v>39</v>
      </c>
      <c r="B1158" t="s">
        <v>3905</v>
      </c>
      <c r="C1158">
        <v>87.8</v>
      </c>
      <c r="D1158">
        <v>69.8</v>
      </c>
      <c r="G1158">
        <f t="shared" si="180"/>
        <v>1</v>
      </c>
      <c r="H1158">
        <f t="shared" si="181"/>
        <v>1</v>
      </c>
      <c r="I1158">
        <f t="shared" si="182"/>
        <v>0</v>
      </c>
      <c r="J1158">
        <v>79.7</v>
      </c>
      <c r="K1158">
        <v>89.4</v>
      </c>
      <c r="L1158">
        <v>69.8</v>
      </c>
      <c r="M1158">
        <v>79.900000000000006</v>
      </c>
      <c r="N1158">
        <v>62.2</v>
      </c>
      <c r="O1158">
        <v>57.1</v>
      </c>
      <c r="S1158">
        <f t="shared" si="183"/>
        <v>1</v>
      </c>
      <c r="T1158">
        <f t="shared" si="184"/>
        <v>0</v>
      </c>
      <c r="U1158">
        <f t="shared" si="185"/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36.9</v>
      </c>
      <c r="AC1158">
        <v>27.5</v>
      </c>
      <c r="AG1158">
        <f t="shared" si="186"/>
        <v>1</v>
      </c>
      <c r="AH1158">
        <f t="shared" si="187"/>
        <v>1</v>
      </c>
      <c r="AI1158">
        <f t="shared" si="188"/>
        <v>0</v>
      </c>
      <c r="AJ1158">
        <v>176.2</v>
      </c>
      <c r="AK1158">
        <v>1010.8</v>
      </c>
      <c r="AL1158">
        <v>63.1</v>
      </c>
      <c r="AM1158">
        <v>6.6</v>
      </c>
      <c r="AN1158">
        <v>183.5</v>
      </c>
      <c r="AO1158">
        <v>15.8</v>
      </c>
      <c r="AP1158">
        <v>7</v>
      </c>
      <c r="AQ1158">
        <v>0</v>
      </c>
      <c r="AR1158" t="s">
        <v>3906</v>
      </c>
      <c r="AS1158" t="s">
        <v>3907</v>
      </c>
      <c r="AT1158">
        <v>0.15</v>
      </c>
      <c r="AU1158" t="s">
        <v>43</v>
      </c>
      <c r="AV1158" t="s">
        <v>44</v>
      </c>
      <c r="AW1158" t="s">
        <v>45</v>
      </c>
      <c r="AX1158" s="1">
        <v>0.69097222222222221</v>
      </c>
      <c r="AY1158" t="s">
        <v>3908</v>
      </c>
      <c r="AZ1158">
        <v>85.000000004656613</v>
      </c>
      <c r="BA1158">
        <v>0</v>
      </c>
      <c r="BB1158">
        <v>0</v>
      </c>
      <c r="BC1158">
        <v>0.5</v>
      </c>
      <c r="BD1158">
        <v>0</v>
      </c>
      <c r="BE1158">
        <f t="shared" si="189"/>
        <v>1</v>
      </c>
    </row>
    <row r="1159" spans="1:57" x14ac:dyDescent="0.25">
      <c r="A1159" t="s">
        <v>39</v>
      </c>
      <c r="B1159" t="s">
        <v>3772</v>
      </c>
      <c r="C1159">
        <v>87.8</v>
      </c>
      <c r="D1159">
        <v>80.599999999999994</v>
      </c>
      <c r="G1159">
        <f t="shared" si="180"/>
        <v>1</v>
      </c>
      <c r="H1159">
        <f t="shared" si="181"/>
        <v>1</v>
      </c>
      <c r="I1159">
        <f t="shared" si="182"/>
        <v>0</v>
      </c>
      <c r="J1159">
        <v>83.6</v>
      </c>
      <c r="K1159">
        <v>90.6</v>
      </c>
      <c r="L1159">
        <v>81.900000000000006</v>
      </c>
      <c r="M1159">
        <v>86.1</v>
      </c>
      <c r="N1159">
        <v>66.099999999999994</v>
      </c>
      <c r="O1159">
        <v>56.4</v>
      </c>
      <c r="S1159">
        <f t="shared" si="183"/>
        <v>1</v>
      </c>
      <c r="T1159">
        <f t="shared" si="184"/>
        <v>0</v>
      </c>
      <c r="U1159">
        <f t="shared" si="185"/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20.8</v>
      </c>
      <c r="AG1159">
        <f t="shared" si="186"/>
        <v>1</v>
      </c>
      <c r="AH1159">
        <f t="shared" si="187"/>
        <v>1</v>
      </c>
      <c r="AI1159">
        <f t="shared" si="188"/>
        <v>0</v>
      </c>
      <c r="AJ1159">
        <v>174.9</v>
      </c>
      <c r="AK1159">
        <v>1010.2</v>
      </c>
      <c r="AL1159">
        <v>89.2</v>
      </c>
      <c r="AM1159">
        <v>6.6</v>
      </c>
      <c r="AN1159">
        <v>93.5</v>
      </c>
      <c r="AO1159">
        <v>8.1</v>
      </c>
      <c r="AP1159">
        <v>6</v>
      </c>
      <c r="AQ1159">
        <v>0</v>
      </c>
      <c r="AR1159" t="s">
        <v>3773</v>
      </c>
      <c r="AS1159" t="s">
        <v>3774</v>
      </c>
      <c r="AT1159">
        <v>0.18</v>
      </c>
      <c r="AU1159" t="s">
        <v>43</v>
      </c>
      <c r="AV1159" t="s">
        <v>44</v>
      </c>
      <c r="AW1159" t="s">
        <v>45</v>
      </c>
      <c r="AX1159" s="1">
        <v>0.63263888888888886</v>
      </c>
      <c r="AY1159" t="s">
        <v>3909</v>
      </c>
      <c r="AZ1159">
        <v>213.99999999557619</v>
      </c>
      <c r="BA1159">
        <v>0</v>
      </c>
      <c r="BB1159">
        <v>1</v>
      </c>
      <c r="BC1159">
        <v>0</v>
      </c>
      <c r="BD1159">
        <v>0</v>
      </c>
      <c r="BE1159">
        <f t="shared" si="189"/>
        <v>1</v>
      </c>
    </row>
    <row r="1160" spans="1:57" x14ac:dyDescent="0.25">
      <c r="A1160" t="s">
        <v>39</v>
      </c>
      <c r="B1160" t="s">
        <v>3910</v>
      </c>
      <c r="C1160">
        <v>91.4</v>
      </c>
      <c r="D1160">
        <v>71.599999999999994</v>
      </c>
      <c r="G1160">
        <f t="shared" si="180"/>
        <v>1</v>
      </c>
      <c r="H1160">
        <f t="shared" si="181"/>
        <v>1</v>
      </c>
      <c r="I1160">
        <f t="shared" si="182"/>
        <v>0</v>
      </c>
      <c r="J1160">
        <v>81.400000000000006</v>
      </c>
      <c r="K1160">
        <v>97</v>
      </c>
      <c r="L1160">
        <v>71.599999999999994</v>
      </c>
      <c r="M1160">
        <v>83.5</v>
      </c>
      <c r="N1160">
        <v>66.099999999999994</v>
      </c>
      <c r="O1160">
        <v>61</v>
      </c>
      <c r="S1160">
        <f t="shared" si="183"/>
        <v>0</v>
      </c>
      <c r="T1160">
        <f t="shared" si="184"/>
        <v>0</v>
      </c>
      <c r="U1160">
        <f t="shared" si="185"/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8.1</v>
      </c>
      <c r="AG1160">
        <f t="shared" si="186"/>
        <v>1</v>
      </c>
      <c r="AH1160">
        <f t="shared" si="187"/>
        <v>0</v>
      </c>
      <c r="AI1160">
        <f t="shared" si="188"/>
        <v>1</v>
      </c>
      <c r="AJ1160">
        <v>142.19999999999999</v>
      </c>
      <c r="AK1160">
        <v>1012.1</v>
      </c>
      <c r="AL1160">
        <v>3.1</v>
      </c>
      <c r="AM1160">
        <v>6.2</v>
      </c>
      <c r="AN1160">
        <v>341.2</v>
      </c>
      <c r="AO1160">
        <v>29.4</v>
      </c>
      <c r="AP1160">
        <v>10</v>
      </c>
      <c r="AQ1160">
        <v>0</v>
      </c>
      <c r="AR1160" t="s">
        <v>3911</v>
      </c>
      <c r="AS1160" t="s">
        <v>3912</v>
      </c>
      <c r="AT1160">
        <v>0.1</v>
      </c>
      <c r="AU1160" t="s">
        <v>74</v>
      </c>
      <c r="AV1160" t="s">
        <v>2955</v>
      </c>
      <c r="AW1160" t="s">
        <v>75</v>
      </c>
      <c r="AX1160" s="1">
        <v>0.5493055555555556</v>
      </c>
      <c r="AY1160" t="s">
        <v>3913</v>
      </c>
      <c r="AZ1160">
        <v>769.00000000256114</v>
      </c>
      <c r="BA1160">
        <v>1</v>
      </c>
      <c r="BB1160">
        <v>0</v>
      </c>
      <c r="BC1160">
        <v>20</v>
      </c>
      <c r="BD1160">
        <v>0</v>
      </c>
      <c r="BE1160">
        <f t="shared" si="189"/>
        <v>1</v>
      </c>
    </row>
    <row r="1161" spans="1:57" x14ac:dyDescent="0.25">
      <c r="A1161" t="s">
        <v>39</v>
      </c>
      <c r="B1161" t="s">
        <v>3695</v>
      </c>
      <c r="C1161">
        <v>86</v>
      </c>
      <c r="D1161">
        <v>71.900000000000006</v>
      </c>
      <c r="G1161">
        <f t="shared" si="180"/>
        <v>1</v>
      </c>
      <c r="H1161">
        <f t="shared" si="181"/>
        <v>1</v>
      </c>
      <c r="I1161">
        <f t="shared" si="182"/>
        <v>0</v>
      </c>
      <c r="J1161">
        <v>78.400000000000006</v>
      </c>
      <c r="K1161">
        <v>86.7</v>
      </c>
      <c r="L1161">
        <v>71.900000000000006</v>
      </c>
      <c r="M1161">
        <v>79.2</v>
      </c>
      <c r="N1161">
        <v>67.2</v>
      </c>
      <c r="O1161">
        <v>69.599999999999994</v>
      </c>
      <c r="S1161">
        <f t="shared" si="183"/>
        <v>1</v>
      </c>
      <c r="T1161">
        <f t="shared" si="184"/>
        <v>1</v>
      </c>
      <c r="U1161">
        <f t="shared" si="185"/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28.9</v>
      </c>
      <c r="AG1161">
        <f t="shared" si="186"/>
        <v>1</v>
      </c>
      <c r="AH1161">
        <f t="shared" si="187"/>
        <v>1</v>
      </c>
      <c r="AI1161">
        <f t="shared" si="188"/>
        <v>0</v>
      </c>
      <c r="AJ1161">
        <v>300.10000000000002</v>
      </c>
      <c r="AK1161">
        <v>1005.5</v>
      </c>
      <c r="AL1161">
        <v>21.5</v>
      </c>
      <c r="AM1161">
        <v>6.4</v>
      </c>
      <c r="AN1161">
        <v>299.5</v>
      </c>
      <c r="AO1161">
        <v>26.1</v>
      </c>
      <c r="AP1161">
        <v>9</v>
      </c>
      <c r="AQ1161">
        <v>0</v>
      </c>
      <c r="AR1161" t="s">
        <v>3696</v>
      </c>
      <c r="AS1161" t="s">
        <v>3697</v>
      </c>
      <c r="AT1161">
        <v>0.75</v>
      </c>
      <c r="AU1161" t="s">
        <v>43</v>
      </c>
      <c r="AV1161" t="s">
        <v>44</v>
      </c>
      <c r="AW1161" t="s">
        <v>45</v>
      </c>
      <c r="AX1161" s="1">
        <v>0.15555555555555561</v>
      </c>
      <c r="AY1161" t="s">
        <v>3914</v>
      </c>
      <c r="AZ1161">
        <v>2580.9999999997672</v>
      </c>
      <c r="BA1161">
        <v>1</v>
      </c>
      <c r="BB1161">
        <v>0</v>
      </c>
      <c r="BC1161">
        <v>50</v>
      </c>
      <c r="BD1161">
        <v>0</v>
      </c>
      <c r="BE1161">
        <f t="shared" si="189"/>
        <v>1</v>
      </c>
    </row>
    <row r="1162" spans="1:57" x14ac:dyDescent="0.25">
      <c r="A1162" t="s">
        <v>39</v>
      </c>
      <c r="B1162" t="s">
        <v>3905</v>
      </c>
      <c r="C1162">
        <v>87.8</v>
      </c>
      <c r="D1162">
        <v>69.8</v>
      </c>
      <c r="G1162">
        <f t="shared" si="180"/>
        <v>1</v>
      </c>
      <c r="H1162">
        <f t="shared" si="181"/>
        <v>1</v>
      </c>
      <c r="I1162">
        <f t="shared" si="182"/>
        <v>0</v>
      </c>
      <c r="J1162">
        <v>79.7</v>
      </c>
      <c r="K1162">
        <v>89.4</v>
      </c>
      <c r="L1162">
        <v>69.8</v>
      </c>
      <c r="M1162">
        <v>79.900000000000006</v>
      </c>
      <c r="N1162">
        <v>62.2</v>
      </c>
      <c r="O1162">
        <v>57.1</v>
      </c>
      <c r="S1162">
        <f t="shared" si="183"/>
        <v>1</v>
      </c>
      <c r="T1162">
        <f t="shared" si="184"/>
        <v>0</v>
      </c>
      <c r="U1162">
        <f t="shared" si="185"/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36.9</v>
      </c>
      <c r="AC1162">
        <v>27.5</v>
      </c>
      <c r="AG1162">
        <f t="shared" si="186"/>
        <v>1</v>
      </c>
      <c r="AH1162">
        <f t="shared" si="187"/>
        <v>1</v>
      </c>
      <c r="AI1162">
        <f t="shared" si="188"/>
        <v>0</v>
      </c>
      <c r="AJ1162">
        <v>176.2</v>
      </c>
      <c r="AK1162">
        <v>1010.8</v>
      </c>
      <c r="AL1162">
        <v>63.1</v>
      </c>
      <c r="AM1162">
        <v>6.6</v>
      </c>
      <c r="AN1162">
        <v>183.5</v>
      </c>
      <c r="AO1162">
        <v>15.8</v>
      </c>
      <c r="AP1162">
        <v>7</v>
      </c>
      <c r="AQ1162">
        <v>0</v>
      </c>
      <c r="AR1162" t="s">
        <v>3906</v>
      </c>
      <c r="AS1162" t="s">
        <v>3907</v>
      </c>
      <c r="AT1162">
        <v>0.15</v>
      </c>
      <c r="AU1162" t="s">
        <v>43</v>
      </c>
      <c r="AV1162" t="s">
        <v>44</v>
      </c>
      <c r="AW1162" t="s">
        <v>45</v>
      </c>
      <c r="AX1162" s="1">
        <v>0.90625</v>
      </c>
      <c r="AY1162" t="s">
        <v>3915</v>
      </c>
      <c r="AZ1162">
        <v>225</v>
      </c>
      <c r="BA1162">
        <v>0</v>
      </c>
      <c r="BB1162">
        <v>0.1</v>
      </c>
      <c r="BC1162">
        <v>0</v>
      </c>
      <c r="BD1162">
        <v>0</v>
      </c>
      <c r="BE1162">
        <f t="shared" si="189"/>
        <v>1</v>
      </c>
    </row>
    <row r="1163" spans="1:57" x14ac:dyDescent="0.25">
      <c r="A1163" t="s">
        <v>39</v>
      </c>
      <c r="B1163" t="s">
        <v>3772</v>
      </c>
      <c r="C1163">
        <v>87.8</v>
      </c>
      <c r="D1163">
        <v>80.599999999999994</v>
      </c>
      <c r="G1163">
        <f t="shared" si="180"/>
        <v>1</v>
      </c>
      <c r="H1163">
        <f t="shared" si="181"/>
        <v>1</v>
      </c>
      <c r="I1163">
        <f t="shared" si="182"/>
        <v>0</v>
      </c>
      <c r="J1163">
        <v>83.6</v>
      </c>
      <c r="K1163">
        <v>90.6</v>
      </c>
      <c r="L1163">
        <v>81.900000000000006</v>
      </c>
      <c r="M1163">
        <v>86.1</v>
      </c>
      <c r="N1163">
        <v>66.099999999999994</v>
      </c>
      <c r="O1163">
        <v>56.4</v>
      </c>
      <c r="S1163">
        <f t="shared" si="183"/>
        <v>1</v>
      </c>
      <c r="T1163">
        <f t="shared" si="184"/>
        <v>0</v>
      </c>
      <c r="U1163">
        <f t="shared" si="185"/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20.8</v>
      </c>
      <c r="AG1163">
        <f t="shared" si="186"/>
        <v>1</v>
      </c>
      <c r="AH1163">
        <f t="shared" si="187"/>
        <v>1</v>
      </c>
      <c r="AI1163">
        <f t="shared" si="188"/>
        <v>0</v>
      </c>
      <c r="AJ1163">
        <v>174.9</v>
      </c>
      <c r="AK1163">
        <v>1010.2</v>
      </c>
      <c r="AL1163">
        <v>89.2</v>
      </c>
      <c r="AM1163">
        <v>6.6</v>
      </c>
      <c r="AN1163">
        <v>93.5</v>
      </c>
      <c r="AO1163">
        <v>8.1</v>
      </c>
      <c r="AP1163">
        <v>6</v>
      </c>
      <c r="AQ1163">
        <v>0</v>
      </c>
      <c r="AR1163" t="s">
        <v>3773</v>
      </c>
      <c r="AS1163" t="s">
        <v>3774</v>
      </c>
      <c r="AT1163">
        <v>0.18</v>
      </c>
      <c r="AU1163" t="s">
        <v>43</v>
      </c>
      <c r="AV1163" t="s">
        <v>44</v>
      </c>
      <c r="AW1163" t="s">
        <v>45</v>
      </c>
      <c r="AX1163" s="1">
        <v>0.70833333333333337</v>
      </c>
      <c r="AY1163" t="s">
        <v>3916</v>
      </c>
      <c r="AZ1163">
        <v>624.99999999417923</v>
      </c>
      <c r="BA1163">
        <v>1</v>
      </c>
      <c r="BB1163">
        <v>0</v>
      </c>
      <c r="BC1163">
        <v>5</v>
      </c>
      <c r="BD1163">
        <v>0</v>
      </c>
      <c r="BE1163">
        <f t="shared" si="189"/>
        <v>1</v>
      </c>
    </row>
    <row r="1164" spans="1:57" x14ac:dyDescent="0.25">
      <c r="A1164" t="s">
        <v>39</v>
      </c>
      <c r="B1164" t="s">
        <v>3917</v>
      </c>
      <c r="C1164">
        <v>64.400000000000006</v>
      </c>
      <c r="D1164">
        <v>51.8</v>
      </c>
      <c r="G1164">
        <f t="shared" si="180"/>
        <v>1</v>
      </c>
      <c r="H1164">
        <f t="shared" si="181"/>
        <v>1</v>
      </c>
      <c r="I1164">
        <f t="shared" si="182"/>
        <v>0</v>
      </c>
      <c r="J1164">
        <v>60</v>
      </c>
      <c r="K1164">
        <v>64.400000000000006</v>
      </c>
      <c r="L1164">
        <v>51.8</v>
      </c>
      <c r="M1164">
        <v>60</v>
      </c>
      <c r="N1164">
        <v>49.1</v>
      </c>
      <c r="O1164">
        <v>67.5</v>
      </c>
      <c r="S1164">
        <f t="shared" si="183"/>
        <v>1</v>
      </c>
      <c r="T1164">
        <f t="shared" si="184"/>
        <v>1</v>
      </c>
      <c r="U1164">
        <f t="shared" si="185"/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24.2</v>
      </c>
      <c r="AG1164">
        <f t="shared" si="186"/>
        <v>1</v>
      </c>
      <c r="AH1164">
        <f t="shared" si="187"/>
        <v>1</v>
      </c>
      <c r="AI1164">
        <f t="shared" si="188"/>
        <v>0</v>
      </c>
      <c r="AJ1164">
        <v>315.8</v>
      </c>
      <c r="AK1164">
        <v>1018.3</v>
      </c>
      <c r="AL1164">
        <v>56</v>
      </c>
      <c r="AM1164">
        <v>6.5</v>
      </c>
      <c r="AN1164">
        <v>219.5</v>
      </c>
      <c r="AO1164">
        <v>19.100000000000001</v>
      </c>
      <c r="AP1164">
        <v>8</v>
      </c>
      <c r="AQ1164">
        <v>0</v>
      </c>
      <c r="AR1164" t="s">
        <v>3918</v>
      </c>
      <c r="AS1164" t="s">
        <v>3919</v>
      </c>
      <c r="AT1164">
        <v>0.59</v>
      </c>
      <c r="AU1164" t="s">
        <v>43</v>
      </c>
      <c r="AV1164" t="s">
        <v>44</v>
      </c>
      <c r="AW1164" t="s">
        <v>45</v>
      </c>
      <c r="AX1164" s="1">
        <v>0.64583333333333337</v>
      </c>
      <c r="AY1164" t="s">
        <v>3920</v>
      </c>
      <c r="AZ1164">
        <v>90</v>
      </c>
      <c r="BA1164">
        <v>0</v>
      </c>
      <c r="BB1164">
        <v>0</v>
      </c>
      <c r="BC1164">
        <v>0.5</v>
      </c>
      <c r="BD1164">
        <v>0</v>
      </c>
      <c r="BE1164">
        <f t="shared" si="189"/>
        <v>1</v>
      </c>
    </row>
    <row r="1165" spans="1:57" x14ac:dyDescent="0.25">
      <c r="A1165" t="s">
        <v>39</v>
      </c>
      <c r="B1165" t="s">
        <v>3562</v>
      </c>
      <c r="C1165">
        <v>84.2</v>
      </c>
      <c r="D1165">
        <v>75.2</v>
      </c>
      <c r="G1165">
        <f t="shared" si="180"/>
        <v>0</v>
      </c>
      <c r="H1165">
        <f t="shared" si="181"/>
        <v>0</v>
      </c>
      <c r="I1165">
        <f t="shared" si="182"/>
        <v>0</v>
      </c>
      <c r="J1165">
        <v>81.3</v>
      </c>
      <c r="K1165">
        <v>94.2</v>
      </c>
      <c r="L1165">
        <v>75.2</v>
      </c>
      <c r="M1165">
        <v>86.9</v>
      </c>
      <c r="N1165">
        <v>75.7</v>
      </c>
      <c r="O1165">
        <v>83.3</v>
      </c>
      <c r="S1165">
        <f t="shared" si="183"/>
        <v>1</v>
      </c>
      <c r="T1165">
        <f t="shared" si="184"/>
        <v>1</v>
      </c>
      <c r="U1165">
        <f t="shared" si="185"/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13.9</v>
      </c>
      <c r="AG1165">
        <f t="shared" si="186"/>
        <v>1</v>
      </c>
      <c r="AH1165">
        <f t="shared" si="187"/>
        <v>0</v>
      </c>
      <c r="AI1165">
        <f t="shared" si="188"/>
        <v>1</v>
      </c>
      <c r="AJ1165">
        <v>327.8</v>
      </c>
      <c r="AK1165">
        <v>1003.6</v>
      </c>
      <c r="AL1165">
        <v>10.5</v>
      </c>
      <c r="AM1165">
        <v>6.4</v>
      </c>
      <c r="AN1165">
        <v>321.3</v>
      </c>
      <c r="AO1165">
        <v>27.8</v>
      </c>
      <c r="AP1165">
        <v>10</v>
      </c>
      <c r="AQ1165">
        <v>0</v>
      </c>
      <c r="AR1165" t="s">
        <v>3563</v>
      </c>
      <c r="AS1165" t="s">
        <v>3564</v>
      </c>
      <c r="AT1165">
        <v>0.84</v>
      </c>
      <c r="AU1165" t="s">
        <v>74</v>
      </c>
      <c r="AV1165" t="s">
        <v>2955</v>
      </c>
      <c r="AW1165" t="s">
        <v>75</v>
      </c>
      <c r="AX1165" s="1">
        <v>0.64583333333333337</v>
      </c>
      <c r="AY1165" t="s">
        <v>3921</v>
      </c>
      <c r="AZ1165">
        <v>1489.9999999953429</v>
      </c>
      <c r="BA1165">
        <v>1</v>
      </c>
      <c r="BB1165">
        <v>0</v>
      </c>
      <c r="BC1165">
        <v>10</v>
      </c>
      <c r="BD1165">
        <v>0</v>
      </c>
      <c r="BE1165">
        <f t="shared" si="189"/>
        <v>0</v>
      </c>
    </row>
    <row r="1166" spans="1:57" x14ac:dyDescent="0.25">
      <c r="A1166" t="s">
        <v>39</v>
      </c>
      <c r="B1166" t="s">
        <v>3701</v>
      </c>
      <c r="C1166">
        <v>82.4</v>
      </c>
      <c r="D1166">
        <v>64.400000000000006</v>
      </c>
      <c r="G1166">
        <f t="shared" si="180"/>
        <v>1</v>
      </c>
      <c r="H1166">
        <f t="shared" si="181"/>
        <v>1</v>
      </c>
      <c r="I1166">
        <f t="shared" si="182"/>
        <v>0</v>
      </c>
      <c r="J1166">
        <v>74.5</v>
      </c>
      <c r="K1166">
        <v>85.4</v>
      </c>
      <c r="L1166">
        <v>64.400000000000006</v>
      </c>
      <c r="M1166">
        <v>75</v>
      </c>
      <c r="N1166">
        <v>63.1</v>
      </c>
      <c r="O1166">
        <v>68</v>
      </c>
      <c r="S1166">
        <f t="shared" si="183"/>
        <v>0</v>
      </c>
      <c r="T1166">
        <f t="shared" si="184"/>
        <v>0</v>
      </c>
      <c r="U1166">
        <f t="shared" si="185"/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10.3</v>
      </c>
      <c r="AG1166">
        <f t="shared" si="186"/>
        <v>1</v>
      </c>
      <c r="AH1166">
        <f t="shared" si="187"/>
        <v>0</v>
      </c>
      <c r="AI1166">
        <f t="shared" si="188"/>
        <v>1</v>
      </c>
      <c r="AJ1166">
        <v>321.60000000000002</v>
      </c>
      <c r="AK1166">
        <v>1015.4</v>
      </c>
      <c r="AL1166">
        <v>11.5</v>
      </c>
      <c r="AM1166">
        <v>6.4</v>
      </c>
      <c r="AN1166">
        <v>296.5</v>
      </c>
      <c r="AO1166">
        <v>25.6</v>
      </c>
      <c r="AP1166">
        <v>9</v>
      </c>
      <c r="AQ1166">
        <v>0</v>
      </c>
      <c r="AR1166" t="s">
        <v>3702</v>
      </c>
      <c r="AS1166" t="s">
        <v>3703</v>
      </c>
      <c r="AT1166">
        <v>0.83</v>
      </c>
      <c r="AU1166" t="s">
        <v>74</v>
      </c>
      <c r="AV1166" t="s">
        <v>2955</v>
      </c>
      <c r="AW1166" t="s">
        <v>75</v>
      </c>
      <c r="AX1166" s="1">
        <v>0.54166666666666663</v>
      </c>
      <c r="AY1166" t="s">
        <v>3922</v>
      </c>
      <c r="AZ1166">
        <v>600.00000000698492</v>
      </c>
      <c r="BA1166">
        <v>1</v>
      </c>
      <c r="BB1166">
        <v>0</v>
      </c>
      <c r="BC1166">
        <v>50</v>
      </c>
      <c r="BD1166">
        <v>0</v>
      </c>
      <c r="BE1166">
        <f t="shared" si="189"/>
        <v>1</v>
      </c>
    </row>
    <row r="1167" spans="1:57" x14ac:dyDescent="0.25">
      <c r="A1167" t="s">
        <v>39</v>
      </c>
      <c r="B1167" t="s">
        <v>3883</v>
      </c>
      <c r="C1167">
        <v>82.4</v>
      </c>
      <c r="D1167">
        <v>62.6</v>
      </c>
      <c r="G1167">
        <f t="shared" si="180"/>
        <v>1</v>
      </c>
      <c r="H1167">
        <f t="shared" si="181"/>
        <v>1</v>
      </c>
      <c r="I1167">
        <f t="shared" si="182"/>
        <v>0</v>
      </c>
      <c r="J1167">
        <v>73.900000000000006</v>
      </c>
      <c r="K1167">
        <v>88.3</v>
      </c>
      <c r="L1167">
        <v>62.6</v>
      </c>
      <c r="M1167">
        <v>75.2</v>
      </c>
      <c r="N1167">
        <v>65.3</v>
      </c>
      <c r="O1167">
        <v>74.8</v>
      </c>
      <c r="S1167">
        <f t="shared" si="183"/>
        <v>1</v>
      </c>
      <c r="T1167">
        <f t="shared" si="184"/>
        <v>1</v>
      </c>
      <c r="U1167">
        <f t="shared" si="185"/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9.1999999999999993</v>
      </c>
      <c r="AG1167">
        <f t="shared" si="186"/>
        <v>1</v>
      </c>
      <c r="AH1167">
        <f t="shared" si="187"/>
        <v>0</v>
      </c>
      <c r="AI1167">
        <f t="shared" si="188"/>
        <v>1</v>
      </c>
      <c r="AJ1167">
        <v>169</v>
      </c>
      <c r="AK1167">
        <v>1009.3</v>
      </c>
      <c r="AL1167">
        <v>39.4</v>
      </c>
      <c r="AM1167">
        <v>6.3</v>
      </c>
      <c r="AN1167">
        <v>269.5</v>
      </c>
      <c r="AO1167">
        <v>23.2</v>
      </c>
      <c r="AP1167">
        <v>9</v>
      </c>
      <c r="AQ1167">
        <v>0</v>
      </c>
      <c r="AR1167" t="s">
        <v>3884</v>
      </c>
      <c r="AS1167" t="s">
        <v>3885</v>
      </c>
      <c r="AT1167">
        <v>0.4</v>
      </c>
      <c r="AU1167" t="s">
        <v>43</v>
      </c>
      <c r="AV1167" t="s">
        <v>44</v>
      </c>
      <c r="AW1167" t="s">
        <v>45</v>
      </c>
      <c r="AX1167" s="1">
        <v>0.5</v>
      </c>
      <c r="AY1167" t="s">
        <v>3923</v>
      </c>
      <c r="AZ1167">
        <v>789.99999999767169</v>
      </c>
      <c r="BA1167">
        <v>1</v>
      </c>
      <c r="BB1167">
        <v>0</v>
      </c>
      <c r="BC1167">
        <v>10</v>
      </c>
      <c r="BD1167">
        <v>0</v>
      </c>
      <c r="BE1167">
        <f t="shared" si="189"/>
        <v>1</v>
      </c>
    </row>
    <row r="1168" spans="1:57" x14ac:dyDescent="0.25">
      <c r="A1168" t="s">
        <v>39</v>
      </c>
      <c r="B1168" t="s">
        <v>3924</v>
      </c>
      <c r="C1168">
        <v>77</v>
      </c>
      <c r="D1168">
        <v>73.400000000000006</v>
      </c>
      <c r="G1168">
        <f t="shared" si="180"/>
        <v>1</v>
      </c>
      <c r="H1168">
        <f t="shared" si="181"/>
        <v>0</v>
      </c>
      <c r="I1168">
        <f t="shared" si="182"/>
        <v>1</v>
      </c>
      <c r="J1168">
        <v>75.400000000000006</v>
      </c>
      <c r="K1168">
        <v>77</v>
      </c>
      <c r="L1168">
        <v>73.400000000000006</v>
      </c>
      <c r="M1168">
        <v>75.400000000000006</v>
      </c>
      <c r="N1168">
        <v>64.099999999999994</v>
      </c>
      <c r="O1168">
        <v>68.5</v>
      </c>
      <c r="S1168">
        <f t="shared" si="183"/>
        <v>0</v>
      </c>
      <c r="T1168">
        <f t="shared" si="184"/>
        <v>0</v>
      </c>
      <c r="U1168">
        <f t="shared" si="185"/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21.9</v>
      </c>
      <c r="AG1168">
        <f t="shared" si="186"/>
        <v>1</v>
      </c>
      <c r="AH1168">
        <f t="shared" si="187"/>
        <v>1</v>
      </c>
      <c r="AI1168">
        <f t="shared" si="188"/>
        <v>0</v>
      </c>
      <c r="AJ1168">
        <v>319.2</v>
      </c>
      <c r="AK1168">
        <v>1014.3</v>
      </c>
      <c r="AL1168">
        <v>43.9</v>
      </c>
      <c r="AM1168">
        <v>6.6</v>
      </c>
      <c r="AN1168">
        <v>189.3</v>
      </c>
      <c r="AO1168">
        <v>16.399999999999999</v>
      </c>
      <c r="AP1168">
        <v>7</v>
      </c>
      <c r="AQ1168">
        <v>0</v>
      </c>
      <c r="AR1168" t="s">
        <v>3925</v>
      </c>
      <c r="AS1168" t="s">
        <v>3926</v>
      </c>
      <c r="AT1168">
        <v>0.47</v>
      </c>
      <c r="AU1168" t="s">
        <v>43</v>
      </c>
      <c r="AV1168" t="s">
        <v>44</v>
      </c>
      <c r="AW1168" t="s">
        <v>45</v>
      </c>
      <c r="AX1168" s="1">
        <v>0.70833333333333337</v>
      </c>
      <c r="AY1168" t="s">
        <v>3927</v>
      </c>
      <c r="AZ1168">
        <v>239.99999999650751</v>
      </c>
      <c r="BA1168">
        <v>0</v>
      </c>
      <c r="BB1168">
        <v>0</v>
      </c>
      <c r="BC1168">
        <v>3</v>
      </c>
      <c r="BD1168">
        <v>0</v>
      </c>
      <c r="BE1168">
        <f t="shared" si="189"/>
        <v>0</v>
      </c>
    </row>
    <row r="1169" spans="1:57" x14ac:dyDescent="0.25">
      <c r="A1169" t="s">
        <v>39</v>
      </c>
      <c r="B1169" t="s">
        <v>3887</v>
      </c>
      <c r="C1169">
        <v>89.6</v>
      </c>
      <c r="D1169">
        <v>73.400000000000006</v>
      </c>
      <c r="G1169">
        <f t="shared" si="180"/>
        <v>1</v>
      </c>
      <c r="H1169">
        <f t="shared" si="181"/>
        <v>1</v>
      </c>
      <c r="I1169">
        <f t="shared" si="182"/>
        <v>0</v>
      </c>
      <c r="J1169">
        <v>79.599999999999994</v>
      </c>
      <c r="K1169">
        <v>93.5</v>
      </c>
      <c r="L1169">
        <v>73.400000000000006</v>
      </c>
      <c r="M1169">
        <v>81</v>
      </c>
      <c r="N1169">
        <v>66.3</v>
      </c>
      <c r="O1169">
        <v>64.900000000000006</v>
      </c>
      <c r="S1169">
        <f t="shared" si="183"/>
        <v>0</v>
      </c>
      <c r="T1169">
        <f t="shared" si="184"/>
        <v>0</v>
      </c>
      <c r="U1169">
        <f t="shared" si="185"/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18.3</v>
      </c>
      <c r="AG1169">
        <f t="shared" si="186"/>
        <v>1</v>
      </c>
      <c r="AH1169">
        <f t="shared" si="187"/>
        <v>1</v>
      </c>
      <c r="AI1169">
        <f t="shared" si="188"/>
        <v>0</v>
      </c>
      <c r="AJ1169">
        <v>168.2</v>
      </c>
      <c r="AK1169">
        <v>1008</v>
      </c>
      <c r="AL1169">
        <v>59.6</v>
      </c>
      <c r="AM1169">
        <v>6.6</v>
      </c>
      <c r="AN1169">
        <v>198.8</v>
      </c>
      <c r="AO1169">
        <v>17</v>
      </c>
      <c r="AP1169">
        <v>7</v>
      </c>
      <c r="AQ1169">
        <v>0</v>
      </c>
      <c r="AR1169" t="s">
        <v>3888</v>
      </c>
      <c r="AS1169" t="s">
        <v>3889</v>
      </c>
      <c r="AT1169">
        <v>0.56999999999999995</v>
      </c>
      <c r="AU1169" t="s">
        <v>43</v>
      </c>
      <c r="AV1169" t="s">
        <v>44</v>
      </c>
      <c r="AW1169" t="s">
        <v>45</v>
      </c>
      <c r="AX1169" s="1">
        <v>0.92708333333333337</v>
      </c>
      <c r="AY1169" t="s">
        <v>3928</v>
      </c>
      <c r="AZ1169">
        <v>779.99999999650754</v>
      </c>
      <c r="BA1169">
        <v>1</v>
      </c>
      <c r="BB1169">
        <v>0</v>
      </c>
      <c r="BC1169">
        <v>10</v>
      </c>
      <c r="BD1169">
        <v>0</v>
      </c>
      <c r="BE1169">
        <f t="shared" si="189"/>
        <v>1</v>
      </c>
    </row>
    <row r="1170" spans="1:57" x14ac:dyDescent="0.25">
      <c r="A1170" t="s">
        <v>39</v>
      </c>
      <c r="B1170" t="s">
        <v>3624</v>
      </c>
      <c r="C1170">
        <v>75.2</v>
      </c>
      <c r="D1170">
        <v>64.7</v>
      </c>
      <c r="G1170">
        <f t="shared" si="180"/>
        <v>1</v>
      </c>
      <c r="H1170">
        <f t="shared" si="181"/>
        <v>1</v>
      </c>
      <c r="I1170">
        <f t="shared" si="182"/>
        <v>0</v>
      </c>
      <c r="J1170">
        <v>70.3</v>
      </c>
      <c r="K1170">
        <v>75.2</v>
      </c>
      <c r="L1170">
        <v>64.7</v>
      </c>
      <c r="M1170">
        <v>70.3</v>
      </c>
      <c r="N1170">
        <v>57.1</v>
      </c>
      <c r="O1170">
        <v>64</v>
      </c>
      <c r="S1170">
        <f t="shared" si="183"/>
        <v>1</v>
      </c>
      <c r="T1170">
        <f t="shared" si="184"/>
        <v>0</v>
      </c>
      <c r="U1170">
        <f t="shared" si="185"/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40.299999999999997</v>
      </c>
      <c r="AC1170">
        <v>28.9</v>
      </c>
      <c r="AG1170">
        <f t="shared" si="186"/>
        <v>1</v>
      </c>
      <c r="AH1170">
        <f t="shared" si="187"/>
        <v>1</v>
      </c>
      <c r="AI1170">
        <f t="shared" si="188"/>
        <v>0</v>
      </c>
      <c r="AJ1170">
        <v>176.5</v>
      </c>
      <c r="AK1170">
        <v>1010</v>
      </c>
      <c r="AL1170">
        <v>54.9</v>
      </c>
      <c r="AM1170">
        <v>6.5</v>
      </c>
      <c r="AN1170">
        <v>145.4</v>
      </c>
      <c r="AO1170">
        <v>12.6</v>
      </c>
      <c r="AP1170">
        <v>6</v>
      </c>
      <c r="AQ1170">
        <v>0</v>
      </c>
      <c r="AR1170" t="s">
        <v>3625</v>
      </c>
      <c r="AS1170" t="s">
        <v>3626</v>
      </c>
      <c r="AT1170">
        <v>0.1</v>
      </c>
      <c r="AU1170" t="s">
        <v>43</v>
      </c>
      <c r="AV1170" t="s">
        <v>44</v>
      </c>
      <c r="AW1170" t="s">
        <v>45</v>
      </c>
      <c r="AX1170" s="1">
        <v>0.93055555555555558</v>
      </c>
      <c r="AY1170" t="s">
        <v>3929</v>
      </c>
      <c r="AZ1170">
        <v>169.99999999883579</v>
      </c>
      <c r="BA1170">
        <v>0</v>
      </c>
      <c r="BB1170">
        <v>0</v>
      </c>
      <c r="BC1170">
        <v>1</v>
      </c>
      <c r="BD1170">
        <v>0</v>
      </c>
      <c r="BE1170">
        <f t="shared" si="189"/>
        <v>1</v>
      </c>
    </row>
    <row r="1171" spans="1:57" x14ac:dyDescent="0.25">
      <c r="A1171" t="s">
        <v>39</v>
      </c>
      <c r="B1171" t="s">
        <v>3930</v>
      </c>
      <c r="C1171">
        <v>71.599999999999994</v>
      </c>
      <c r="D1171">
        <v>60.8</v>
      </c>
      <c r="G1171">
        <f t="shared" si="180"/>
        <v>1</v>
      </c>
      <c r="H1171">
        <f t="shared" si="181"/>
        <v>1</v>
      </c>
      <c r="I1171">
        <f t="shared" si="182"/>
        <v>0</v>
      </c>
      <c r="J1171">
        <v>66.099999999999994</v>
      </c>
      <c r="K1171">
        <v>71.599999999999994</v>
      </c>
      <c r="L1171">
        <v>60.8</v>
      </c>
      <c r="M1171">
        <v>66.099999999999994</v>
      </c>
      <c r="N1171">
        <v>53.8</v>
      </c>
      <c r="O1171">
        <v>65.099999999999994</v>
      </c>
      <c r="S1171">
        <f t="shared" si="183"/>
        <v>0</v>
      </c>
      <c r="T1171">
        <f t="shared" si="184"/>
        <v>0</v>
      </c>
      <c r="U1171">
        <f t="shared" si="185"/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15</v>
      </c>
      <c r="AG1171">
        <f t="shared" si="186"/>
        <v>1</v>
      </c>
      <c r="AH1171">
        <f t="shared" si="187"/>
        <v>0</v>
      </c>
      <c r="AI1171">
        <f t="shared" si="188"/>
        <v>1</v>
      </c>
      <c r="AJ1171">
        <v>198.1</v>
      </c>
      <c r="AK1171">
        <v>1010</v>
      </c>
      <c r="AL1171">
        <v>67.8</v>
      </c>
      <c r="AM1171">
        <v>6.6</v>
      </c>
      <c r="AN1171">
        <v>87.3</v>
      </c>
      <c r="AO1171">
        <v>7.4</v>
      </c>
      <c r="AP1171">
        <v>4</v>
      </c>
      <c r="AQ1171">
        <v>0</v>
      </c>
      <c r="AR1171" t="s">
        <v>3931</v>
      </c>
      <c r="AS1171" t="s">
        <v>3932</v>
      </c>
      <c r="AT1171">
        <v>0.6</v>
      </c>
      <c r="AU1171" t="s">
        <v>43</v>
      </c>
      <c r="AV1171" t="s">
        <v>44</v>
      </c>
      <c r="AW1171" t="s">
        <v>45</v>
      </c>
      <c r="AX1171" s="1">
        <v>0.7</v>
      </c>
      <c r="AY1171" t="s">
        <v>3933</v>
      </c>
      <c r="AZ1171">
        <v>137.00000000651929</v>
      </c>
      <c r="BA1171">
        <v>0</v>
      </c>
      <c r="BB1171">
        <v>12</v>
      </c>
      <c r="BC1171">
        <v>0</v>
      </c>
      <c r="BD1171">
        <v>0</v>
      </c>
      <c r="BE1171">
        <f t="shared" si="189"/>
        <v>0</v>
      </c>
    </row>
    <row r="1172" spans="1:57" x14ac:dyDescent="0.25">
      <c r="A1172" t="s">
        <v>39</v>
      </c>
      <c r="B1172" t="s">
        <v>3829</v>
      </c>
      <c r="C1172">
        <v>78.8</v>
      </c>
      <c r="D1172">
        <v>71.599999999999994</v>
      </c>
      <c r="G1172">
        <f t="shared" si="180"/>
        <v>1</v>
      </c>
      <c r="H1172">
        <f t="shared" si="181"/>
        <v>1</v>
      </c>
      <c r="I1172">
        <f t="shared" si="182"/>
        <v>0</v>
      </c>
      <c r="J1172">
        <v>73.599999999999994</v>
      </c>
      <c r="K1172">
        <v>78.8</v>
      </c>
      <c r="L1172">
        <v>71.599999999999994</v>
      </c>
      <c r="M1172">
        <v>73.599999999999994</v>
      </c>
      <c r="N1172">
        <v>53.5</v>
      </c>
      <c r="O1172">
        <v>49.8</v>
      </c>
      <c r="S1172">
        <f t="shared" si="183"/>
        <v>1</v>
      </c>
      <c r="T1172">
        <f t="shared" si="184"/>
        <v>0</v>
      </c>
      <c r="U1172">
        <f t="shared" si="185"/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39.1</v>
      </c>
      <c r="AC1172">
        <v>28.9</v>
      </c>
      <c r="AG1172">
        <f t="shared" si="186"/>
        <v>1</v>
      </c>
      <c r="AH1172">
        <f t="shared" si="187"/>
        <v>1</v>
      </c>
      <c r="AI1172">
        <f t="shared" si="188"/>
        <v>0</v>
      </c>
      <c r="AJ1172">
        <v>174.3</v>
      </c>
      <c r="AK1172">
        <v>1014.2</v>
      </c>
      <c r="AL1172">
        <v>64.400000000000006</v>
      </c>
      <c r="AM1172">
        <v>6.6</v>
      </c>
      <c r="AN1172">
        <v>128</v>
      </c>
      <c r="AO1172">
        <v>11.2</v>
      </c>
      <c r="AP1172">
        <v>5</v>
      </c>
      <c r="AQ1172">
        <v>0</v>
      </c>
      <c r="AR1172" t="s">
        <v>3830</v>
      </c>
      <c r="AS1172" t="s">
        <v>3831</v>
      </c>
      <c r="AT1172">
        <v>0.75</v>
      </c>
      <c r="AU1172" t="s">
        <v>43</v>
      </c>
      <c r="AV1172" t="s">
        <v>44</v>
      </c>
      <c r="AW1172" t="s">
        <v>45</v>
      </c>
      <c r="AX1172" s="1">
        <v>0.45833333333333331</v>
      </c>
      <c r="AY1172" t="s">
        <v>3934</v>
      </c>
      <c r="AZ1172">
        <v>209.99999999301511</v>
      </c>
      <c r="BA1172">
        <v>0</v>
      </c>
      <c r="BB1172">
        <v>2</v>
      </c>
      <c r="BC1172">
        <v>0</v>
      </c>
      <c r="BD1172">
        <v>0</v>
      </c>
      <c r="BE1172">
        <f t="shared" si="189"/>
        <v>1</v>
      </c>
    </row>
    <row r="1173" spans="1:57" x14ac:dyDescent="0.25">
      <c r="A1173" t="s">
        <v>39</v>
      </c>
      <c r="B1173" t="s">
        <v>3935</v>
      </c>
      <c r="C1173">
        <v>80.599999999999994</v>
      </c>
      <c r="D1173">
        <v>66.2</v>
      </c>
      <c r="G1173">
        <f t="shared" si="180"/>
        <v>1</v>
      </c>
      <c r="H1173">
        <f t="shared" si="181"/>
        <v>1</v>
      </c>
      <c r="I1173">
        <f t="shared" si="182"/>
        <v>0</v>
      </c>
      <c r="J1173">
        <v>73.3</v>
      </c>
      <c r="K1173">
        <v>80.3</v>
      </c>
      <c r="L1173">
        <v>66.2</v>
      </c>
      <c r="M1173">
        <v>73.2</v>
      </c>
      <c r="N1173">
        <v>49.1</v>
      </c>
      <c r="O1173">
        <v>44.1</v>
      </c>
      <c r="S1173">
        <f t="shared" si="183"/>
        <v>1</v>
      </c>
      <c r="T1173">
        <f t="shared" si="184"/>
        <v>0</v>
      </c>
      <c r="U1173">
        <f t="shared" si="185"/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41.4</v>
      </c>
      <c r="AC1173">
        <v>30</v>
      </c>
      <c r="AG1173">
        <f t="shared" si="186"/>
        <v>1</v>
      </c>
      <c r="AH1173">
        <f t="shared" si="187"/>
        <v>1</v>
      </c>
      <c r="AI1173">
        <f t="shared" si="188"/>
        <v>0</v>
      </c>
      <c r="AJ1173">
        <v>198.1</v>
      </c>
      <c r="AK1173">
        <v>1007.1</v>
      </c>
      <c r="AL1173">
        <v>45.8</v>
      </c>
      <c r="AM1173">
        <v>5.5</v>
      </c>
      <c r="AN1173">
        <v>162.5</v>
      </c>
      <c r="AO1173">
        <v>13.9</v>
      </c>
      <c r="AP1173">
        <v>6</v>
      </c>
      <c r="AQ1173">
        <v>0</v>
      </c>
      <c r="AR1173" t="s">
        <v>3936</v>
      </c>
      <c r="AS1173" t="s">
        <v>3937</v>
      </c>
      <c r="AT1173">
        <v>0.22</v>
      </c>
      <c r="AU1173" t="s">
        <v>43</v>
      </c>
      <c r="AV1173" t="s">
        <v>2026</v>
      </c>
      <c r="AW1173" t="s">
        <v>45</v>
      </c>
      <c r="AX1173" s="1">
        <v>0.75694444444444442</v>
      </c>
      <c r="AY1173" t="s">
        <v>3938</v>
      </c>
      <c r="AZ1173">
        <v>249.99999999767169</v>
      </c>
      <c r="BA1173">
        <v>0</v>
      </c>
      <c r="BB1173">
        <v>0</v>
      </c>
      <c r="BC1173">
        <v>10</v>
      </c>
      <c r="BD1173">
        <v>0</v>
      </c>
      <c r="BE1173">
        <f t="shared" si="189"/>
        <v>1</v>
      </c>
    </row>
    <row r="1174" spans="1:57" x14ac:dyDescent="0.25">
      <c r="A1174" t="s">
        <v>39</v>
      </c>
      <c r="B1174" t="s">
        <v>3763</v>
      </c>
      <c r="C1174">
        <v>82.4</v>
      </c>
      <c r="D1174">
        <v>64.5</v>
      </c>
      <c r="G1174">
        <f t="shared" si="180"/>
        <v>1</v>
      </c>
      <c r="H1174">
        <f t="shared" si="181"/>
        <v>1</v>
      </c>
      <c r="I1174">
        <f t="shared" si="182"/>
        <v>0</v>
      </c>
      <c r="J1174">
        <v>73.900000000000006</v>
      </c>
      <c r="K1174">
        <v>81.2</v>
      </c>
      <c r="L1174">
        <v>64.5</v>
      </c>
      <c r="M1174">
        <v>73.7</v>
      </c>
      <c r="N1174">
        <v>49.1</v>
      </c>
      <c r="O1174">
        <v>43</v>
      </c>
      <c r="S1174">
        <f t="shared" si="183"/>
        <v>1</v>
      </c>
      <c r="T1174">
        <f t="shared" si="184"/>
        <v>0</v>
      </c>
      <c r="U1174">
        <f t="shared" si="185"/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21.9</v>
      </c>
      <c r="AG1174">
        <f t="shared" si="186"/>
        <v>1</v>
      </c>
      <c r="AH1174">
        <f t="shared" si="187"/>
        <v>1</v>
      </c>
      <c r="AI1174">
        <f t="shared" si="188"/>
        <v>0</v>
      </c>
      <c r="AJ1174">
        <v>170.4</v>
      </c>
      <c r="AK1174">
        <v>1016.2</v>
      </c>
      <c r="AL1174">
        <v>69</v>
      </c>
      <c r="AM1174">
        <v>6.3</v>
      </c>
      <c r="AN1174">
        <v>84.5</v>
      </c>
      <c r="AO1174">
        <v>7.4</v>
      </c>
      <c r="AP1174">
        <v>4</v>
      </c>
      <c r="AQ1174">
        <v>0</v>
      </c>
      <c r="AR1174" t="s">
        <v>3764</v>
      </c>
      <c r="AS1174" t="s">
        <v>3765</v>
      </c>
      <c r="AT1174">
        <v>0.88</v>
      </c>
      <c r="AU1174" t="s">
        <v>43</v>
      </c>
      <c r="AV1174" t="s">
        <v>44</v>
      </c>
      <c r="AW1174" t="s">
        <v>45</v>
      </c>
      <c r="AX1174" s="1">
        <v>0.42708333333333331</v>
      </c>
      <c r="AY1174" t="s">
        <v>3939</v>
      </c>
      <c r="AZ1174">
        <v>1724.999999996508</v>
      </c>
      <c r="BA1174">
        <v>1</v>
      </c>
      <c r="BB1174">
        <v>0</v>
      </c>
      <c r="BC1174">
        <v>10</v>
      </c>
      <c r="BD1174">
        <v>0</v>
      </c>
      <c r="BE1174">
        <f t="shared" si="189"/>
        <v>1</v>
      </c>
    </row>
    <row r="1175" spans="1:57" x14ac:dyDescent="0.25">
      <c r="A1175" t="s">
        <v>39</v>
      </c>
      <c r="B1175" t="s">
        <v>3519</v>
      </c>
      <c r="C1175">
        <v>82.4</v>
      </c>
      <c r="D1175">
        <v>62.6</v>
      </c>
      <c r="G1175">
        <f t="shared" si="180"/>
        <v>1</v>
      </c>
      <c r="H1175">
        <f t="shared" si="181"/>
        <v>1</v>
      </c>
      <c r="I1175">
        <f t="shared" si="182"/>
        <v>0</v>
      </c>
      <c r="J1175">
        <v>71.8</v>
      </c>
      <c r="K1175">
        <v>80.8</v>
      </c>
      <c r="L1175">
        <v>62.6</v>
      </c>
      <c r="M1175">
        <v>71.7</v>
      </c>
      <c r="N1175">
        <v>43.9</v>
      </c>
      <c r="O1175">
        <v>39</v>
      </c>
      <c r="S1175">
        <f t="shared" si="183"/>
        <v>1</v>
      </c>
      <c r="T1175">
        <f t="shared" si="184"/>
        <v>0</v>
      </c>
      <c r="U1175">
        <f t="shared" si="185"/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25.3</v>
      </c>
      <c r="AC1175">
        <v>27.5</v>
      </c>
      <c r="AG1175">
        <f t="shared" si="186"/>
        <v>1</v>
      </c>
      <c r="AH1175">
        <f t="shared" si="187"/>
        <v>1</v>
      </c>
      <c r="AI1175">
        <f t="shared" si="188"/>
        <v>0</v>
      </c>
      <c r="AJ1175">
        <v>182.9</v>
      </c>
      <c r="AK1175">
        <v>1007.6</v>
      </c>
      <c r="AL1175">
        <v>67.900000000000006</v>
      </c>
      <c r="AM1175">
        <v>6.4</v>
      </c>
      <c r="AN1175">
        <v>129.5</v>
      </c>
      <c r="AO1175">
        <v>11.2</v>
      </c>
      <c r="AP1175">
        <v>5</v>
      </c>
      <c r="AQ1175">
        <v>0</v>
      </c>
      <c r="AR1175" t="s">
        <v>3520</v>
      </c>
      <c r="AS1175" t="s">
        <v>3521</v>
      </c>
      <c r="AT1175">
        <v>0.52</v>
      </c>
      <c r="AU1175" t="s">
        <v>43</v>
      </c>
      <c r="AV1175" t="s">
        <v>44</v>
      </c>
      <c r="AW1175" t="s">
        <v>45</v>
      </c>
      <c r="AX1175" s="1">
        <v>0.48541666666666672</v>
      </c>
      <c r="AY1175" t="s">
        <v>3940</v>
      </c>
      <c r="AZ1175">
        <v>260.9999999916181</v>
      </c>
      <c r="BA1175">
        <v>0</v>
      </c>
      <c r="BB1175">
        <v>0</v>
      </c>
      <c r="BC1175">
        <v>20</v>
      </c>
      <c r="BD1175">
        <v>0</v>
      </c>
      <c r="BE1175">
        <f t="shared" si="189"/>
        <v>1</v>
      </c>
    </row>
    <row r="1176" spans="1:57" x14ac:dyDescent="0.25">
      <c r="A1176" t="s">
        <v>39</v>
      </c>
      <c r="B1176" t="s">
        <v>3935</v>
      </c>
      <c r="C1176">
        <v>80.599999999999994</v>
      </c>
      <c r="D1176">
        <v>66.2</v>
      </c>
      <c r="G1176">
        <f t="shared" si="180"/>
        <v>1</v>
      </c>
      <c r="H1176">
        <f t="shared" si="181"/>
        <v>1</v>
      </c>
      <c r="I1176">
        <f t="shared" si="182"/>
        <v>0</v>
      </c>
      <c r="J1176">
        <v>73.3</v>
      </c>
      <c r="K1176">
        <v>80.3</v>
      </c>
      <c r="L1176">
        <v>66.2</v>
      </c>
      <c r="M1176">
        <v>73.2</v>
      </c>
      <c r="N1176">
        <v>49.1</v>
      </c>
      <c r="O1176">
        <v>44.1</v>
      </c>
      <c r="S1176">
        <f t="shared" si="183"/>
        <v>1</v>
      </c>
      <c r="T1176">
        <f t="shared" si="184"/>
        <v>0</v>
      </c>
      <c r="U1176">
        <f t="shared" si="185"/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41.4</v>
      </c>
      <c r="AC1176">
        <v>30</v>
      </c>
      <c r="AG1176">
        <f t="shared" si="186"/>
        <v>1</v>
      </c>
      <c r="AH1176">
        <f t="shared" si="187"/>
        <v>1</v>
      </c>
      <c r="AI1176">
        <f t="shared" si="188"/>
        <v>0</v>
      </c>
      <c r="AJ1176">
        <v>198.1</v>
      </c>
      <c r="AK1176">
        <v>1007.1</v>
      </c>
      <c r="AL1176">
        <v>45.8</v>
      </c>
      <c r="AM1176">
        <v>5.5</v>
      </c>
      <c r="AN1176">
        <v>162.5</v>
      </c>
      <c r="AO1176">
        <v>13.9</v>
      </c>
      <c r="AP1176">
        <v>6</v>
      </c>
      <c r="AQ1176">
        <v>0</v>
      </c>
      <c r="AR1176" t="s">
        <v>3936</v>
      </c>
      <c r="AS1176" t="s">
        <v>3937</v>
      </c>
      <c r="AT1176">
        <v>0.22</v>
      </c>
      <c r="AU1176" t="s">
        <v>43</v>
      </c>
      <c r="AV1176" t="s">
        <v>2026</v>
      </c>
      <c r="AW1176" t="s">
        <v>45</v>
      </c>
      <c r="AX1176" s="1">
        <v>0.44444444444444442</v>
      </c>
      <c r="AY1176" t="s">
        <v>3941</v>
      </c>
      <c r="AZ1176">
        <v>1399.9999999953429</v>
      </c>
      <c r="BA1176">
        <v>1</v>
      </c>
      <c r="BB1176">
        <v>0</v>
      </c>
      <c r="BC1176">
        <v>100</v>
      </c>
      <c r="BD1176">
        <v>0</v>
      </c>
      <c r="BE1176">
        <f t="shared" si="189"/>
        <v>1</v>
      </c>
    </row>
    <row r="1177" spans="1:57" x14ac:dyDescent="0.25">
      <c r="A1177" t="s">
        <v>39</v>
      </c>
      <c r="B1177" t="s">
        <v>3607</v>
      </c>
      <c r="C1177">
        <v>69.8</v>
      </c>
      <c r="D1177">
        <v>57.2</v>
      </c>
      <c r="G1177">
        <f t="shared" si="180"/>
        <v>1</v>
      </c>
      <c r="H1177">
        <f t="shared" si="181"/>
        <v>1</v>
      </c>
      <c r="I1177">
        <f t="shared" si="182"/>
        <v>0</v>
      </c>
      <c r="J1177">
        <v>65.599999999999994</v>
      </c>
      <c r="K1177">
        <v>69.8</v>
      </c>
      <c r="L1177">
        <v>57.2</v>
      </c>
      <c r="M1177">
        <v>65.599999999999994</v>
      </c>
      <c r="N1177">
        <v>50.5</v>
      </c>
      <c r="O1177">
        <v>59.6</v>
      </c>
      <c r="S1177">
        <f t="shared" si="183"/>
        <v>1</v>
      </c>
      <c r="T1177">
        <f t="shared" si="184"/>
        <v>0</v>
      </c>
      <c r="U1177">
        <f t="shared" si="185"/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27.5</v>
      </c>
      <c r="AG1177">
        <f t="shared" si="186"/>
        <v>1</v>
      </c>
      <c r="AH1177">
        <f t="shared" si="187"/>
        <v>1</v>
      </c>
      <c r="AI1177">
        <f t="shared" si="188"/>
        <v>0</v>
      </c>
      <c r="AJ1177">
        <v>218.9</v>
      </c>
      <c r="AK1177">
        <v>1010.6</v>
      </c>
      <c r="AL1177">
        <v>16</v>
      </c>
      <c r="AM1177">
        <v>6.2</v>
      </c>
      <c r="AN1177">
        <v>228.9</v>
      </c>
      <c r="AO1177">
        <v>19.899999999999999</v>
      </c>
      <c r="AP1177">
        <v>8</v>
      </c>
      <c r="AQ1177">
        <v>0</v>
      </c>
      <c r="AR1177" t="s">
        <v>3608</v>
      </c>
      <c r="AS1177" t="s">
        <v>3609</v>
      </c>
      <c r="AT1177">
        <v>0.56000000000000005</v>
      </c>
      <c r="AU1177" t="s">
        <v>74</v>
      </c>
      <c r="AV1177" t="s">
        <v>2955</v>
      </c>
      <c r="AW1177" t="s">
        <v>75</v>
      </c>
      <c r="AX1177" s="1">
        <v>0.57291666666666663</v>
      </c>
      <c r="AY1177" t="s">
        <v>3942</v>
      </c>
      <c r="AZ1177">
        <v>465.00000000698492</v>
      </c>
      <c r="BA1177">
        <v>1</v>
      </c>
      <c r="BB1177">
        <v>0</v>
      </c>
      <c r="BC1177">
        <v>20</v>
      </c>
      <c r="BD1177">
        <v>0</v>
      </c>
      <c r="BE1177">
        <f t="shared" si="189"/>
        <v>1</v>
      </c>
    </row>
    <row r="1178" spans="1:57" x14ac:dyDescent="0.25">
      <c r="A1178" t="s">
        <v>39</v>
      </c>
      <c r="B1178" t="s">
        <v>3943</v>
      </c>
      <c r="C1178">
        <v>77</v>
      </c>
      <c r="D1178">
        <v>55.4</v>
      </c>
      <c r="G1178">
        <f t="shared" si="180"/>
        <v>1</v>
      </c>
      <c r="H1178">
        <f t="shared" si="181"/>
        <v>1</v>
      </c>
      <c r="I1178">
        <f t="shared" si="182"/>
        <v>0</v>
      </c>
      <c r="J1178">
        <v>66.599999999999994</v>
      </c>
      <c r="K1178">
        <v>77</v>
      </c>
      <c r="L1178">
        <v>55.4</v>
      </c>
      <c r="M1178">
        <v>66.599999999999994</v>
      </c>
      <c r="N1178">
        <v>41.4</v>
      </c>
      <c r="O1178">
        <v>40.6</v>
      </c>
      <c r="S1178">
        <f t="shared" si="183"/>
        <v>1</v>
      </c>
      <c r="T1178">
        <f t="shared" si="184"/>
        <v>0</v>
      </c>
      <c r="U1178">
        <f t="shared" si="185"/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49.4</v>
      </c>
      <c r="AC1178">
        <v>36.9</v>
      </c>
      <c r="AG1178">
        <f t="shared" si="186"/>
        <v>1</v>
      </c>
      <c r="AH1178">
        <f t="shared" si="187"/>
        <v>1</v>
      </c>
      <c r="AI1178">
        <f t="shared" si="188"/>
        <v>0</v>
      </c>
      <c r="AJ1178">
        <v>182.6</v>
      </c>
      <c r="AK1178">
        <v>1013.5</v>
      </c>
      <c r="AL1178">
        <v>51.3</v>
      </c>
      <c r="AM1178">
        <v>6.4</v>
      </c>
      <c r="AN1178">
        <v>250.9</v>
      </c>
      <c r="AO1178">
        <v>21.5</v>
      </c>
      <c r="AP1178">
        <v>8</v>
      </c>
      <c r="AQ1178">
        <v>0</v>
      </c>
      <c r="AR1178" t="s">
        <v>3944</v>
      </c>
      <c r="AS1178" t="s">
        <v>3945</v>
      </c>
      <c r="AT1178">
        <v>0.54</v>
      </c>
      <c r="AU1178" t="s">
        <v>43</v>
      </c>
      <c r="AV1178" t="s">
        <v>2026</v>
      </c>
      <c r="AW1178" t="s">
        <v>419</v>
      </c>
      <c r="AX1178" s="1">
        <v>0.48541666666666672</v>
      </c>
      <c r="AY1178" t="s">
        <v>3946</v>
      </c>
      <c r="AZ1178">
        <v>4730.999999998603</v>
      </c>
      <c r="BA1178">
        <v>1</v>
      </c>
      <c r="BB1178">
        <v>290</v>
      </c>
      <c r="BC1178">
        <v>0</v>
      </c>
      <c r="BD1178">
        <v>0</v>
      </c>
      <c r="BE1178">
        <f t="shared" si="189"/>
        <v>1</v>
      </c>
    </row>
    <row r="1179" spans="1:57" x14ac:dyDescent="0.25">
      <c r="A1179" t="s">
        <v>39</v>
      </c>
      <c r="B1179" t="s">
        <v>3947</v>
      </c>
      <c r="C1179">
        <v>64.400000000000006</v>
      </c>
      <c r="D1179">
        <v>51.8</v>
      </c>
      <c r="G1179">
        <f t="shared" si="180"/>
        <v>1</v>
      </c>
      <c r="H1179">
        <f t="shared" si="181"/>
        <v>0</v>
      </c>
      <c r="I1179">
        <f t="shared" si="182"/>
        <v>1</v>
      </c>
      <c r="J1179">
        <v>58.2</v>
      </c>
      <c r="K1179">
        <v>64.400000000000006</v>
      </c>
      <c r="L1179">
        <v>51.8</v>
      </c>
      <c r="M1179">
        <v>58.2</v>
      </c>
      <c r="N1179">
        <v>49.9</v>
      </c>
      <c r="O1179">
        <v>74.7</v>
      </c>
      <c r="S1179">
        <f t="shared" si="183"/>
        <v>1</v>
      </c>
      <c r="T1179">
        <f t="shared" si="184"/>
        <v>1</v>
      </c>
      <c r="U1179">
        <f t="shared" si="185"/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9.1999999999999993</v>
      </c>
      <c r="AG1179">
        <f t="shared" si="186"/>
        <v>1</v>
      </c>
      <c r="AH1179">
        <f t="shared" si="187"/>
        <v>0</v>
      </c>
      <c r="AI1179">
        <f t="shared" si="188"/>
        <v>1</v>
      </c>
      <c r="AJ1179">
        <v>121.5</v>
      </c>
      <c r="AK1179">
        <v>1015.2</v>
      </c>
      <c r="AL1179">
        <v>49.8</v>
      </c>
      <c r="AM1179">
        <v>6.5</v>
      </c>
      <c r="AN1179">
        <v>227.8</v>
      </c>
      <c r="AO1179">
        <v>19.7</v>
      </c>
      <c r="AP1179">
        <v>9</v>
      </c>
      <c r="AQ1179">
        <v>0</v>
      </c>
      <c r="AR1179" t="s">
        <v>3948</v>
      </c>
      <c r="AS1179" t="s">
        <v>3949</v>
      </c>
      <c r="AT1179">
        <v>0.96</v>
      </c>
      <c r="AU1179" t="s">
        <v>43</v>
      </c>
      <c r="AV1179" t="s">
        <v>44</v>
      </c>
      <c r="AW1179" t="s">
        <v>45</v>
      </c>
      <c r="AX1179" s="1">
        <v>0.73611111111111116</v>
      </c>
      <c r="AY1179" t="s">
        <v>3950</v>
      </c>
      <c r="AZ1179">
        <v>120.0000000034925</v>
      </c>
      <c r="BA1179">
        <v>0</v>
      </c>
      <c r="BB1179">
        <v>0</v>
      </c>
      <c r="BC1179">
        <v>25</v>
      </c>
      <c r="BD1179">
        <v>0</v>
      </c>
      <c r="BE1179">
        <f t="shared" si="189"/>
        <v>0</v>
      </c>
    </row>
    <row r="1180" spans="1:57" x14ac:dyDescent="0.25">
      <c r="A1180" t="s">
        <v>39</v>
      </c>
      <c r="B1180" t="s">
        <v>3951</v>
      </c>
      <c r="C1180">
        <v>64.5</v>
      </c>
      <c r="D1180">
        <v>57.6</v>
      </c>
      <c r="G1180">
        <f t="shared" si="180"/>
        <v>1</v>
      </c>
      <c r="H1180">
        <f t="shared" si="181"/>
        <v>0</v>
      </c>
      <c r="I1180">
        <f t="shared" si="182"/>
        <v>1</v>
      </c>
      <c r="J1180">
        <v>61.6</v>
      </c>
      <c r="K1180">
        <v>64.5</v>
      </c>
      <c r="L1180">
        <v>57.6</v>
      </c>
      <c r="M1180">
        <v>61.6</v>
      </c>
      <c r="N1180">
        <v>49.9</v>
      </c>
      <c r="O1180">
        <v>65.900000000000006</v>
      </c>
      <c r="S1180">
        <f t="shared" si="183"/>
        <v>0</v>
      </c>
      <c r="T1180">
        <f t="shared" si="184"/>
        <v>0</v>
      </c>
      <c r="U1180">
        <f t="shared" si="185"/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23</v>
      </c>
      <c r="AG1180">
        <f t="shared" si="186"/>
        <v>1</v>
      </c>
      <c r="AH1180">
        <f t="shared" si="187"/>
        <v>1</v>
      </c>
      <c r="AI1180">
        <f t="shared" si="188"/>
        <v>0</v>
      </c>
      <c r="AJ1180">
        <v>321</v>
      </c>
      <c r="AK1180">
        <v>1016.6</v>
      </c>
      <c r="AL1180">
        <v>68.3</v>
      </c>
      <c r="AM1180">
        <v>6.6</v>
      </c>
      <c r="AN1180">
        <v>276</v>
      </c>
      <c r="AO1180">
        <v>23.7</v>
      </c>
      <c r="AP1180">
        <v>9</v>
      </c>
      <c r="AQ1180">
        <v>0</v>
      </c>
      <c r="AR1180" t="s">
        <v>3952</v>
      </c>
      <c r="AS1180" t="s">
        <v>3953</v>
      </c>
      <c r="AT1180">
        <v>0.5</v>
      </c>
      <c r="AU1180" t="s">
        <v>43</v>
      </c>
      <c r="AV1180" t="s">
        <v>44</v>
      </c>
      <c r="AW1180" t="s">
        <v>45</v>
      </c>
      <c r="AX1180" s="1">
        <v>0.62083333333333335</v>
      </c>
      <c r="AY1180" t="s">
        <v>3954</v>
      </c>
      <c r="AZ1180">
        <v>460.9999999939464</v>
      </c>
      <c r="BA1180">
        <v>1</v>
      </c>
      <c r="BB1180">
        <v>0</v>
      </c>
      <c r="BC1180">
        <v>25</v>
      </c>
      <c r="BD1180">
        <v>0</v>
      </c>
      <c r="BE1180">
        <f t="shared" si="189"/>
        <v>1</v>
      </c>
    </row>
    <row r="1181" spans="1:57" x14ac:dyDescent="0.25">
      <c r="A1181" t="s">
        <v>39</v>
      </c>
      <c r="B1181" t="s">
        <v>3955</v>
      </c>
      <c r="C1181">
        <v>84.2</v>
      </c>
      <c r="D1181">
        <v>75.2</v>
      </c>
      <c r="G1181">
        <f t="shared" si="180"/>
        <v>0</v>
      </c>
      <c r="H1181">
        <f t="shared" si="181"/>
        <v>0</v>
      </c>
      <c r="I1181">
        <f t="shared" si="182"/>
        <v>0</v>
      </c>
      <c r="J1181">
        <v>79.599999999999994</v>
      </c>
      <c r="K1181">
        <v>88.5</v>
      </c>
      <c r="L1181">
        <v>75.2</v>
      </c>
      <c r="M1181">
        <v>80.900000000000006</v>
      </c>
      <c r="N1181">
        <v>67</v>
      </c>
      <c r="O1181">
        <v>65.599999999999994</v>
      </c>
      <c r="S1181">
        <f t="shared" si="183"/>
        <v>1</v>
      </c>
      <c r="T1181">
        <f t="shared" si="184"/>
        <v>1</v>
      </c>
      <c r="U1181">
        <f t="shared" si="185"/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21.9</v>
      </c>
      <c r="AG1181">
        <f t="shared" si="186"/>
        <v>1</v>
      </c>
      <c r="AH1181">
        <f t="shared" si="187"/>
        <v>1</v>
      </c>
      <c r="AI1181">
        <f t="shared" si="188"/>
        <v>0</v>
      </c>
      <c r="AJ1181">
        <v>309.3</v>
      </c>
      <c r="AK1181">
        <v>1009.3</v>
      </c>
      <c r="AL1181">
        <v>25.6</v>
      </c>
      <c r="AM1181">
        <v>6.6</v>
      </c>
      <c r="AN1181">
        <v>347.5</v>
      </c>
      <c r="AO1181">
        <v>30.1</v>
      </c>
      <c r="AP1181">
        <v>10</v>
      </c>
      <c r="AQ1181">
        <v>0</v>
      </c>
      <c r="AR1181" t="s">
        <v>3956</v>
      </c>
      <c r="AS1181" t="s">
        <v>3957</v>
      </c>
      <c r="AT1181">
        <v>0.61</v>
      </c>
      <c r="AU1181" t="s">
        <v>43</v>
      </c>
      <c r="AV1181" t="s">
        <v>44</v>
      </c>
      <c r="AW1181" t="s">
        <v>45</v>
      </c>
      <c r="AX1181" s="1">
        <v>0.87847222222222221</v>
      </c>
      <c r="AY1181" t="s">
        <v>3958</v>
      </c>
      <c r="AZ1181">
        <v>1495.0000000011639</v>
      </c>
      <c r="BA1181">
        <v>1</v>
      </c>
      <c r="BB1181">
        <v>0</v>
      </c>
      <c r="BC1181">
        <v>5</v>
      </c>
      <c r="BD1181">
        <v>0</v>
      </c>
      <c r="BE1181">
        <f t="shared" si="189"/>
        <v>1</v>
      </c>
    </row>
    <row r="1182" spans="1:57" x14ac:dyDescent="0.25">
      <c r="A1182" t="s">
        <v>39</v>
      </c>
      <c r="B1182" t="s">
        <v>3959</v>
      </c>
      <c r="C1182">
        <v>82.4</v>
      </c>
      <c r="D1182">
        <v>73.7</v>
      </c>
      <c r="G1182">
        <f t="shared" si="180"/>
        <v>0</v>
      </c>
      <c r="H1182">
        <f t="shared" si="181"/>
        <v>0</v>
      </c>
      <c r="I1182">
        <f t="shared" si="182"/>
        <v>0</v>
      </c>
      <c r="J1182">
        <v>78.8</v>
      </c>
      <c r="K1182">
        <v>86.2</v>
      </c>
      <c r="L1182">
        <v>73.7</v>
      </c>
      <c r="M1182">
        <v>79.900000000000006</v>
      </c>
      <c r="N1182">
        <v>66.599999999999994</v>
      </c>
      <c r="O1182">
        <v>66.5</v>
      </c>
      <c r="S1182">
        <f t="shared" si="183"/>
        <v>1</v>
      </c>
      <c r="T1182">
        <f t="shared" si="184"/>
        <v>1</v>
      </c>
      <c r="U1182">
        <f t="shared" si="185"/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18.3</v>
      </c>
      <c r="AG1182">
        <f t="shared" si="186"/>
        <v>0</v>
      </c>
      <c r="AH1182">
        <f t="shared" si="187"/>
        <v>0</v>
      </c>
      <c r="AI1182">
        <f t="shared" si="188"/>
        <v>0</v>
      </c>
      <c r="AJ1182">
        <v>313.60000000000002</v>
      </c>
      <c r="AK1182">
        <v>1009.2</v>
      </c>
      <c r="AL1182">
        <v>11.3</v>
      </c>
      <c r="AM1182">
        <v>6.4</v>
      </c>
      <c r="AN1182">
        <v>347.6</v>
      </c>
      <c r="AO1182">
        <v>30.1</v>
      </c>
      <c r="AP1182">
        <v>10</v>
      </c>
      <c r="AQ1182">
        <v>0</v>
      </c>
      <c r="AR1182" t="s">
        <v>3960</v>
      </c>
      <c r="AS1182" t="s">
        <v>3961</v>
      </c>
      <c r="AT1182">
        <v>0.64</v>
      </c>
      <c r="AU1182" t="s">
        <v>74</v>
      </c>
      <c r="AV1182" t="s">
        <v>2955</v>
      </c>
      <c r="AW1182" t="s">
        <v>75</v>
      </c>
      <c r="AX1182" s="1">
        <v>0.91666666666666663</v>
      </c>
      <c r="AY1182" t="s">
        <v>3962</v>
      </c>
      <c r="AZ1182">
        <v>945</v>
      </c>
      <c r="BA1182">
        <v>1</v>
      </c>
      <c r="BB1182">
        <v>0</v>
      </c>
      <c r="BC1182">
        <v>5</v>
      </c>
      <c r="BD1182">
        <v>0</v>
      </c>
      <c r="BE1182">
        <f t="shared" si="189"/>
        <v>0</v>
      </c>
    </row>
    <row r="1183" spans="1:57" x14ac:dyDescent="0.25">
      <c r="A1183" t="s">
        <v>39</v>
      </c>
      <c r="B1183" t="s">
        <v>3599</v>
      </c>
      <c r="C1183">
        <v>87.9</v>
      </c>
      <c r="D1183">
        <v>80.599999999999994</v>
      </c>
      <c r="G1183">
        <f t="shared" si="180"/>
        <v>1</v>
      </c>
      <c r="H1183">
        <f t="shared" si="181"/>
        <v>1</v>
      </c>
      <c r="I1183">
        <f t="shared" si="182"/>
        <v>0</v>
      </c>
      <c r="J1183">
        <v>83.4</v>
      </c>
      <c r="K1183">
        <v>99.4</v>
      </c>
      <c r="L1183">
        <v>83.9</v>
      </c>
      <c r="M1183">
        <v>88.6</v>
      </c>
      <c r="N1183">
        <v>71.599999999999994</v>
      </c>
      <c r="O1183">
        <v>68</v>
      </c>
      <c r="S1183">
        <f t="shared" si="183"/>
        <v>1</v>
      </c>
      <c r="T1183">
        <f t="shared" si="184"/>
        <v>1</v>
      </c>
      <c r="U1183">
        <f t="shared" si="185"/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25.3</v>
      </c>
      <c r="AG1183">
        <f t="shared" si="186"/>
        <v>1</v>
      </c>
      <c r="AH1183">
        <f t="shared" si="187"/>
        <v>1</v>
      </c>
      <c r="AI1183">
        <f t="shared" si="188"/>
        <v>0</v>
      </c>
      <c r="AJ1183">
        <v>309.3</v>
      </c>
      <c r="AK1183">
        <v>1012.6</v>
      </c>
      <c r="AL1183">
        <v>18</v>
      </c>
      <c r="AM1183">
        <v>6.5</v>
      </c>
      <c r="AN1183">
        <v>314.5</v>
      </c>
      <c r="AO1183">
        <v>27.3</v>
      </c>
      <c r="AP1183">
        <v>10</v>
      </c>
      <c r="AQ1183">
        <v>0</v>
      </c>
      <c r="AR1183" t="s">
        <v>3600</v>
      </c>
      <c r="AS1183" t="s">
        <v>3601</v>
      </c>
      <c r="AT1183">
        <v>0.39</v>
      </c>
      <c r="AU1183" t="s">
        <v>74</v>
      </c>
      <c r="AV1183" t="s">
        <v>2955</v>
      </c>
      <c r="AW1183" t="s">
        <v>75</v>
      </c>
      <c r="AX1183" s="1">
        <v>0.84722222222222221</v>
      </c>
      <c r="AY1183" t="s">
        <v>3963</v>
      </c>
      <c r="AZ1183">
        <v>150.00000000698489</v>
      </c>
      <c r="BA1183">
        <v>0</v>
      </c>
      <c r="BB1183">
        <v>0</v>
      </c>
      <c r="BC1183">
        <v>0.1</v>
      </c>
      <c r="BD1183">
        <v>0</v>
      </c>
      <c r="BE1183">
        <f t="shared" si="189"/>
        <v>1</v>
      </c>
    </row>
    <row r="1184" spans="1:57" x14ac:dyDescent="0.25">
      <c r="A1184" t="s">
        <v>39</v>
      </c>
      <c r="B1184" t="s">
        <v>3964</v>
      </c>
      <c r="C1184">
        <v>68</v>
      </c>
      <c r="D1184">
        <v>53.6</v>
      </c>
      <c r="G1184">
        <f t="shared" si="180"/>
        <v>1</v>
      </c>
      <c r="H1184">
        <f t="shared" si="181"/>
        <v>1</v>
      </c>
      <c r="I1184">
        <f t="shared" si="182"/>
        <v>0</v>
      </c>
      <c r="J1184">
        <v>62.2</v>
      </c>
      <c r="K1184">
        <v>68</v>
      </c>
      <c r="L1184">
        <v>53.6</v>
      </c>
      <c r="M1184">
        <v>62.2</v>
      </c>
      <c r="N1184">
        <v>48.6</v>
      </c>
      <c r="O1184">
        <v>61.6</v>
      </c>
      <c r="S1184">
        <f t="shared" si="183"/>
        <v>1</v>
      </c>
      <c r="T1184">
        <f t="shared" si="184"/>
        <v>0</v>
      </c>
      <c r="U1184">
        <f t="shared" si="185"/>
        <v>1</v>
      </c>
      <c r="V1184">
        <v>1.2E-2</v>
      </c>
      <c r="W1184">
        <v>100</v>
      </c>
      <c r="X1184">
        <v>4.17</v>
      </c>
      <c r="Y1184" t="s">
        <v>103</v>
      </c>
      <c r="Z1184">
        <v>0</v>
      </c>
      <c r="AA1184">
        <v>0</v>
      </c>
      <c r="AB1184">
        <v>35.6</v>
      </c>
      <c r="AC1184">
        <v>24.2</v>
      </c>
      <c r="AG1184">
        <f t="shared" si="186"/>
        <v>1</v>
      </c>
      <c r="AH1184">
        <f t="shared" si="187"/>
        <v>1</v>
      </c>
      <c r="AI1184">
        <f t="shared" si="188"/>
        <v>0</v>
      </c>
      <c r="AJ1184">
        <v>189.7</v>
      </c>
      <c r="AK1184">
        <v>1003.6</v>
      </c>
      <c r="AL1184">
        <v>89</v>
      </c>
      <c r="AM1184">
        <v>5.2</v>
      </c>
      <c r="AN1184">
        <v>72.900000000000006</v>
      </c>
      <c r="AO1184">
        <v>6.3</v>
      </c>
      <c r="AP1184">
        <v>3</v>
      </c>
      <c r="AQ1184">
        <v>0</v>
      </c>
      <c r="AR1184" t="s">
        <v>3965</v>
      </c>
      <c r="AS1184" t="s">
        <v>3966</v>
      </c>
      <c r="AT1184">
        <v>0.88</v>
      </c>
      <c r="AU1184" t="s">
        <v>106</v>
      </c>
      <c r="AV1184" t="s">
        <v>296</v>
      </c>
      <c r="AW1184" t="s">
        <v>103</v>
      </c>
      <c r="AX1184" s="1">
        <v>0.42708333333333331</v>
      </c>
      <c r="AY1184" t="s">
        <v>3967</v>
      </c>
      <c r="AZ1184">
        <v>84.999999994179234</v>
      </c>
      <c r="BA1184">
        <v>0</v>
      </c>
      <c r="BB1184">
        <v>0</v>
      </c>
      <c r="BC1184">
        <v>0.3</v>
      </c>
      <c r="BD1184">
        <v>0</v>
      </c>
      <c r="BE1184">
        <f t="shared" si="189"/>
        <v>1</v>
      </c>
    </row>
    <row r="1185" spans="1:57" x14ac:dyDescent="0.25">
      <c r="A1185" t="s">
        <v>39</v>
      </c>
      <c r="B1185" t="s">
        <v>3887</v>
      </c>
      <c r="C1185">
        <v>89.6</v>
      </c>
      <c r="D1185">
        <v>73.400000000000006</v>
      </c>
      <c r="G1185">
        <f t="shared" si="180"/>
        <v>1</v>
      </c>
      <c r="H1185">
        <f t="shared" si="181"/>
        <v>1</v>
      </c>
      <c r="I1185">
        <f t="shared" si="182"/>
        <v>0</v>
      </c>
      <c r="J1185">
        <v>79.599999999999994</v>
      </c>
      <c r="K1185">
        <v>93.5</v>
      </c>
      <c r="L1185">
        <v>73.400000000000006</v>
      </c>
      <c r="M1185">
        <v>81</v>
      </c>
      <c r="N1185">
        <v>66.3</v>
      </c>
      <c r="O1185">
        <v>64.900000000000006</v>
      </c>
      <c r="S1185">
        <f t="shared" si="183"/>
        <v>0</v>
      </c>
      <c r="T1185">
        <f t="shared" si="184"/>
        <v>0</v>
      </c>
      <c r="U1185">
        <f t="shared" si="185"/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18.3</v>
      </c>
      <c r="AG1185">
        <f t="shared" si="186"/>
        <v>1</v>
      </c>
      <c r="AH1185">
        <f t="shared" si="187"/>
        <v>1</v>
      </c>
      <c r="AI1185">
        <f t="shared" si="188"/>
        <v>0</v>
      </c>
      <c r="AJ1185">
        <v>168.2</v>
      </c>
      <c r="AK1185">
        <v>1008</v>
      </c>
      <c r="AL1185">
        <v>59.6</v>
      </c>
      <c r="AM1185">
        <v>6.6</v>
      </c>
      <c r="AN1185">
        <v>198.8</v>
      </c>
      <c r="AO1185">
        <v>17</v>
      </c>
      <c r="AP1185">
        <v>7</v>
      </c>
      <c r="AQ1185">
        <v>0</v>
      </c>
      <c r="AR1185" t="s">
        <v>3888</v>
      </c>
      <c r="AS1185" t="s">
        <v>3889</v>
      </c>
      <c r="AT1185">
        <v>0.56999999999999995</v>
      </c>
      <c r="AU1185" t="s">
        <v>43</v>
      </c>
      <c r="AV1185" t="s">
        <v>44</v>
      </c>
      <c r="AW1185" t="s">
        <v>45</v>
      </c>
      <c r="AX1185" s="1">
        <v>0.84722222222222221</v>
      </c>
      <c r="AY1185" t="s">
        <v>3968</v>
      </c>
      <c r="AZ1185">
        <v>1540.0000000011639</v>
      </c>
      <c r="BA1185">
        <v>1</v>
      </c>
      <c r="BB1185">
        <v>0</v>
      </c>
      <c r="BC1185">
        <v>25</v>
      </c>
      <c r="BD1185">
        <v>0</v>
      </c>
      <c r="BE1185">
        <f t="shared" si="189"/>
        <v>1</v>
      </c>
    </row>
    <row r="1186" spans="1:57" x14ac:dyDescent="0.25">
      <c r="A1186" t="s">
        <v>39</v>
      </c>
      <c r="B1186" t="s">
        <v>3947</v>
      </c>
      <c r="C1186">
        <v>64.400000000000006</v>
      </c>
      <c r="D1186">
        <v>51.8</v>
      </c>
      <c r="G1186">
        <f t="shared" si="180"/>
        <v>1</v>
      </c>
      <c r="H1186">
        <f t="shared" si="181"/>
        <v>0</v>
      </c>
      <c r="I1186">
        <f t="shared" si="182"/>
        <v>1</v>
      </c>
      <c r="J1186">
        <v>58.2</v>
      </c>
      <c r="K1186">
        <v>64.400000000000006</v>
      </c>
      <c r="L1186">
        <v>51.8</v>
      </c>
      <c r="M1186">
        <v>58.2</v>
      </c>
      <c r="N1186">
        <v>49.9</v>
      </c>
      <c r="O1186">
        <v>74.7</v>
      </c>
      <c r="S1186">
        <f t="shared" si="183"/>
        <v>1</v>
      </c>
      <c r="T1186">
        <f t="shared" si="184"/>
        <v>1</v>
      </c>
      <c r="U1186">
        <f t="shared" si="185"/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9.1999999999999993</v>
      </c>
      <c r="AG1186">
        <f t="shared" si="186"/>
        <v>1</v>
      </c>
      <c r="AH1186">
        <f t="shared" si="187"/>
        <v>0</v>
      </c>
      <c r="AI1186">
        <f t="shared" si="188"/>
        <v>1</v>
      </c>
      <c r="AJ1186">
        <v>121.5</v>
      </c>
      <c r="AK1186">
        <v>1015.2</v>
      </c>
      <c r="AL1186">
        <v>49.8</v>
      </c>
      <c r="AM1186">
        <v>6.5</v>
      </c>
      <c r="AN1186">
        <v>227.8</v>
      </c>
      <c r="AO1186">
        <v>19.7</v>
      </c>
      <c r="AP1186">
        <v>9</v>
      </c>
      <c r="AQ1186">
        <v>0</v>
      </c>
      <c r="AR1186" t="s">
        <v>3948</v>
      </c>
      <c r="AS1186" t="s">
        <v>3949</v>
      </c>
      <c r="AT1186">
        <v>0.96</v>
      </c>
      <c r="AU1186" t="s">
        <v>43</v>
      </c>
      <c r="AV1186" t="s">
        <v>44</v>
      </c>
      <c r="AW1186" t="s">
        <v>45</v>
      </c>
      <c r="AX1186" s="1">
        <v>0.50347222222222221</v>
      </c>
      <c r="AY1186" t="s">
        <v>3969</v>
      </c>
      <c r="AZ1186">
        <v>775.00000000116415</v>
      </c>
      <c r="BA1186">
        <v>1</v>
      </c>
      <c r="BB1186">
        <v>0</v>
      </c>
      <c r="BC1186">
        <v>1</v>
      </c>
      <c r="BD1186">
        <v>0</v>
      </c>
      <c r="BE1186">
        <f t="shared" si="189"/>
        <v>1</v>
      </c>
    </row>
    <row r="1187" spans="1:57" x14ac:dyDescent="0.25">
      <c r="A1187" t="s">
        <v>39</v>
      </c>
      <c r="B1187" t="s">
        <v>3970</v>
      </c>
      <c r="C1187">
        <v>89.6</v>
      </c>
      <c r="D1187">
        <v>73.400000000000006</v>
      </c>
      <c r="G1187">
        <f t="shared" si="180"/>
        <v>1</v>
      </c>
      <c r="H1187">
        <f t="shared" si="181"/>
        <v>1</v>
      </c>
      <c r="I1187">
        <f t="shared" si="182"/>
        <v>0</v>
      </c>
      <c r="J1187">
        <v>82.9</v>
      </c>
      <c r="K1187">
        <v>94.9</v>
      </c>
      <c r="L1187">
        <v>73.400000000000006</v>
      </c>
      <c r="M1187">
        <v>86.3</v>
      </c>
      <c r="N1187">
        <v>69.3</v>
      </c>
      <c r="O1187">
        <v>64.3</v>
      </c>
      <c r="S1187">
        <f t="shared" si="183"/>
        <v>1</v>
      </c>
      <c r="T1187">
        <f t="shared" si="184"/>
        <v>1</v>
      </c>
      <c r="U1187">
        <f t="shared" si="185"/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21.9</v>
      </c>
      <c r="AG1187">
        <f t="shared" si="186"/>
        <v>1</v>
      </c>
      <c r="AH1187">
        <f t="shared" si="187"/>
        <v>1</v>
      </c>
      <c r="AI1187">
        <f t="shared" si="188"/>
        <v>0</v>
      </c>
      <c r="AJ1187">
        <v>300.7</v>
      </c>
      <c r="AK1187">
        <v>1007.1</v>
      </c>
      <c r="AL1187">
        <v>11.6</v>
      </c>
      <c r="AM1187">
        <v>6.4</v>
      </c>
      <c r="AN1187">
        <v>342.1</v>
      </c>
      <c r="AO1187">
        <v>29.6</v>
      </c>
      <c r="AP1187">
        <v>10</v>
      </c>
      <c r="AQ1187">
        <v>0</v>
      </c>
      <c r="AR1187" t="s">
        <v>3971</v>
      </c>
      <c r="AS1187" t="s">
        <v>3972</v>
      </c>
      <c r="AT1187">
        <v>0.12</v>
      </c>
      <c r="AU1187" t="s">
        <v>74</v>
      </c>
      <c r="AV1187" t="s">
        <v>2955</v>
      </c>
      <c r="AW1187" t="s">
        <v>75</v>
      </c>
      <c r="AX1187" s="1">
        <v>0.63888888888888884</v>
      </c>
      <c r="AY1187" t="s">
        <v>3973</v>
      </c>
      <c r="AZ1187">
        <v>5410.0000000011642</v>
      </c>
      <c r="BA1187">
        <v>1</v>
      </c>
      <c r="BB1187">
        <v>750</v>
      </c>
      <c r="BC1187">
        <v>0</v>
      </c>
      <c r="BD1187">
        <v>0</v>
      </c>
      <c r="BE1187">
        <f t="shared" si="189"/>
        <v>1</v>
      </c>
    </row>
    <row r="1188" spans="1:57" x14ac:dyDescent="0.25">
      <c r="A1188" t="s">
        <v>39</v>
      </c>
      <c r="B1188" t="s">
        <v>3974</v>
      </c>
      <c r="C1188">
        <v>89.6</v>
      </c>
      <c r="D1188">
        <v>75.2</v>
      </c>
      <c r="G1188">
        <f t="shared" si="180"/>
        <v>1</v>
      </c>
      <c r="H1188">
        <f t="shared" si="181"/>
        <v>1</v>
      </c>
      <c r="I1188">
        <f t="shared" si="182"/>
        <v>0</v>
      </c>
      <c r="J1188">
        <v>84.1</v>
      </c>
      <c r="K1188">
        <v>102.4</v>
      </c>
      <c r="L1188">
        <v>75.2</v>
      </c>
      <c r="M1188">
        <v>90.9</v>
      </c>
      <c r="N1188">
        <v>73</v>
      </c>
      <c r="O1188">
        <v>69.8</v>
      </c>
      <c r="S1188">
        <f t="shared" si="183"/>
        <v>1</v>
      </c>
      <c r="T1188">
        <f t="shared" si="184"/>
        <v>1</v>
      </c>
      <c r="U1188">
        <f t="shared" si="185"/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21.9</v>
      </c>
      <c r="AG1188">
        <f t="shared" si="186"/>
        <v>1</v>
      </c>
      <c r="AH1188">
        <f t="shared" si="187"/>
        <v>1</v>
      </c>
      <c r="AI1188">
        <f t="shared" si="188"/>
        <v>0</v>
      </c>
      <c r="AJ1188">
        <v>302.10000000000002</v>
      </c>
      <c r="AK1188">
        <v>1010.8</v>
      </c>
      <c r="AL1188">
        <v>9.4</v>
      </c>
      <c r="AM1188">
        <v>6.3</v>
      </c>
      <c r="AN1188">
        <v>323.8</v>
      </c>
      <c r="AO1188">
        <v>27.9</v>
      </c>
      <c r="AP1188">
        <v>10</v>
      </c>
      <c r="AQ1188">
        <v>0</v>
      </c>
      <c r="AR1188" t="s">
        <v>3975</v>
      </c>
      <c r="AS1188" t="s">
        <v>3976</v>
      </c>
      <c r="AT1188">
        <v>0.18</v>
      </c>
      <c r="AU1188" t="s">
        <v>74</v>
      </c>
      <c r="AV1188" t="s">
        <v>2955</v>
      </c>
      <c r="AW1188" t="s">
        <v>75</v>
      </c>
      <c r="AX1188" s="1">
        <v>0.1451388888888889</v>
      </c>
      <c r="AY1188" t="s">
        <v>3977</v>
      </c>
      <c r="AZ1188">
        <v>8285.999999998603</v>
      </c>
      <c r="BA1188">
        <v>1</v>
      </c>
      <c r="BB1188">
        <v>200</v>
      </c>
      <c r="BC1188">
        <v>100</v>
      </c>
      <c r="BD1188">
        <v>0</v>
      </c>
      <c r="BE1188">
        <f t="shared" si="189"/>
        <v>1</v>
      </c>
    </row>
    <row r="1189" spans="1:57" x14ac:dyDescent="0.25">
      <c r="A1189" t="s">
        <v>39</v>
      </c>
      <c r="B1189" t="s">
        <v>3599</v>
      </c>
      <c r="C1189">
        <v>87.9</v>
      </c>
      <c r="D1189">
        <v>80.599999999999994</v>
      </c>
      <c r="G1189">
        <f t="shared" si="180"/>
        <v>1</v>
      </c>
      <c r="H1189">
        <f t="shared" si="181"/>
        <v>1</v>
      </c>
      <c r="I1189">
        <f t="shared" si="182"/>
        <v>0</v>
      </c>
      <c r="J1189">
        <v>83.4</v>
      </c>
      <c r="K1189">
        <v>99.4</v>
      </c>
      <c r="L1189">
        <v>83.9</v>
      </c>
      <c r="M1189">
        <v>88.6</v>
      </c>
      <c r="N1189">
        <v>71.599999999999994</v>
      </c>
      <c r="O1189">
        <v>68</v>
      </c>
      <c r="S1189">
        <f t="shared" si="183"/>
        <v>1</v>
      </c>
      <c r="T1189">
        <f t="shared" si="184"/>
        <v>1</v>
      </c>
      <c r="U1189">
        <f t="shared" si="185"/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25.3</v>
      </c>
      <c r="AG1189">
        <f t="shared" si="186"/>
        <v>1</v>
      </c>
      <c r="AH1189">
        <f t="shared" si="187"/>
        <v>1</v>
      </c>
      <c r="AI1189">
        <f t="shared" si="188"/>
        <v>0</v>
      </c>
      <c r="AJ1189">
        <v>309.3</v>
      </c>
      <c r="AK1189">
        <v>1012.6</v>
      </c>
      <c r="AL1189">
        <v>18</v>
      </c>
      <c r="AM1189">
        <v>6.5</v>
      </c>
      <c r="AN1189">
        <v>314.5</v>
      </c>
      <c r="AO1189">
        <v>27.3</v>
      </c>
      <c r="AP1189">
        <v>10</v>
      </c>
      <c r="AQ1189">
        <v>0</v>
      </c>
      <c r="AR1189" t="s">
        <v>3600</v>
      </c>
      <c r="AS1189" t="s">
        <v>3601</v>
      </c>
      <c r="AT1189">
        <v>0.39</v>
      </c>
      <c r="AU1189" t="s">
        <v>74</v>
      </c>
      <c r="AV1189" t="s">
        <v>2955</v>
      </c>
      <c r="AW1189" t="s">
        <v>75</v>
      </c>
      <c r="AX1189" s="1">
        <v>0.89444444444444449</v>
      </c>
      <c r="AY1189" t="s">
        <v>3978</v>
      </c>
      <c r="AZ1189">
        <v>1052.000000003027</v>
      </c>
      <c r="BA1189">
        <v>1</v>
      </c>
      <c r="BB1189">
        <v>10</v>
      </c>
      <c r="BC1189">
        <v>0</v>
      </c>
      <c r="BD1189">
        <v>0</v>
      </c>
      <c r="BE1189">
        <f t="shared" si="189"/>
        <v>1</v>
      </c>
    </row>
    <row r="1190" spans="1:57" x14ac:dyDescent="0.25">
      <c r="A1190" t="s">
        <v>39</v>
      </c>
      <c r="B1190" t="s">
        <v>3979</v>
      </c>
      <c r="C1190">
        <v>69.900000000000006</v>
      </c>
      <c r="D1190">
        <v>64.400000000000006</v>
      </c>
      <c r="G1190">
        <f t="shared" si="180"/>
        <v>1</v>
      </c>
      <c r="H1190">
        <f t="shared" si="181"/>
        <v>1</v>
      </c>
      <c r="I1190">
        <f t="shared" si="182"/>
        <v>0</v>
      </c>
      <c r="J1190">
        <v>66.400000000000006</v>
      </c>
      <c r="K1190">
        <v>69.900000000000006</v>
      </c>
      <c r="L1190">
        <v>64.400000000000006</v>
      </c>
      <c r="M1190">
        <v>66.400000000000006</v>
      </c>
      <c r="N1190">
        <v>51.7</v>
      </c>
      <c r="O1190">
        <v>59.6</v>
      </c>
      <c r="S1190">
        <f t="shared" si="183"/>
        <v>1</v>
      </c>
      <c r="T1190">
        <f t="shared" si="184"/>
        <v>0</v>
      </c>
      <c r="U1190">
        <f t="shared" si="185"/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42.5</v>
      </c>
      <c r="AC1190">
        <v>31.1</v>
      </c>
      <c r="AG1190">
        <f t="shared" si="186"/>
        <v>1</v>
      </c>
      <c r="AH1190">
        <f t="shared" si="187"/>
        <v>1</v>
      </c>
      <c r="AI1190">
        <f t="shared" si="188"/>
        <v>0</v>
      </c>
      <c r="AJ1190">
        <v>175.1</v>
      </c>
      <c r="AK1190">
        <v>1010.6</v>
      </c>
      <c r="AL1190">
        <v>82.7</v>
      </c>
      <c r="AM1190">
        <v>6.5</v>
      </c>
      <c r="AN1190">
        <v>98.6</v>
      </c>
      <c r="AO1190">
        <v>8.5</v>
      </c>
      <c r="AP1190">
        <v>5</v>
      </c>
      <c r="AQ1190">
        <v>0</v>
      </c>
      <c r="AR1190" t="s">
        <v>3980</v>
      </c>
      <c r="AS1190" t="s">
        <v>3981</v>
      </c>
      <c r="AT1190">
        <v>0.65</v>
      </c>
      <c r="AU1190" t="s">
        <v>43</v>
      </c>
      <c r="AV1190" t="s">
        <v>44</v>
      </c>
      <c r="AW1190" t="s">
        <v>419</v>
      </c>
      <c r="AX1190" s="1">
        <v>0.67708333333333337</v>
      </c>
      <c r="AY1190" t="s">
        <v>3982</v>
      </c>
      <c r="AZ1190">
        <v>59.99999999650754</v>
      </c>
      <c r="BA1190">
        <v>0</v>
      </c>
      <c r="BB1190">
        <v>0</v>
      </c>
      <c r="BC1190">
        <v>0.1</v>
      </c>
      <c r="BD1190">
        <v>0</v>
      </c>
      <c r="BE1190">
        <f t="shared" si="189"/>
        <v>1</v>
      </c>
    </row>
    <row r="1191" spans="1:57" x14ac:dyDescent="0.25">
      <c r="A1191" t="s">
        <v>39</v>
      </c>
      <c r="B1191" t="s">
        <v>3983</v>
      </c>
      <c r="C1191">
        <v>84.3</v>
      </c>
      <c r="D1191">
        <v>71.599999999999994</v>
      </c>
      <c r="G1191">
        <f t="shared" si="180"/>
        <v>0</v>
      </c>
      <c r="H1191">
        <f t="shared" si="181"/>
        <v>0</v>
      </c>
      <c r="I1191">
        <f t="shared" si="182"/>
        <v>0</v>
      </c>
      <c r="J1191">
        <v>79.8</v>
      </c>
      <c r="K1191">
        <v>89.8</v>
      </c>
      <c r="L1191">
        <v>71.599999999999994</v>
      </c>
      <c r="M1191">
        <v>81.2</v>
      </c>
      <c r="N1191">
        <v>67.3</v>
      </c>
      <c r="O1191">
        <v>66.2</v>
      </c>
      <c r="S1191">
        <f t="shared" si="183"/>
        <v>1</v>
      </c>
      <c r="T1191">
        <f t="shared" si="184"/>
        <v>1</v>
      </c>
      <c r="U1191">
        <f t="shared" si="185"/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17.2</v>
      </c>
      <c r="AG1191">
        <f t="shared" si="186"/>
        <v>0</v>
      </c>
      <c r="AH1191">
        <f t="shared" si="187"/>
        <v>0</v>
      </c>
      <c r="AI1191">
        <f t="shared" si="188"/>
        <v>0</v>
      </c>
      <c r="AJ1191">
        <v>315.8</v>
      </c>
      <c r="AK1191">
        <v>1010</v>
      </c>
      <c r="AL1191">
        <v>0</v>
      </c>
      <c r="AM1191">
        <v>6.2</v>
      </c>
      <c r="AN1191">
        <v>354.7</v>
      </c>
      <c r="AO1191">
        <v>30.7</v>
      </c>
      <c r="AP1191">
        <v>10</v>
      </c>
      <c r="AQ1191">
        <v>0</v>
      </c>
      <c r="AR1191" t="s">
        <v>3984</v>
      </c>
      <c r="AS1191" t="s">
        <v>3985</v>
      </c>
      <c r="AT1191">
        <v>0.82</v>
      </c>
      <c r="AU1191" t="s">
        <v>74</v>
      </c>
      <c r="AV1191" t="s">
        <v>2955</v>
      </c>
      <c r="AW1191" t="s">
        <v>75</v>
      </c>
      <c r="AX1191" s="1">
        <v>0.61319444444444449</v>
      </c>
      <c r="AY1191" t="s">
        <v>3986</v>
      </c>
      <c r="AZ1191">
        <v>1407.000000007683</v>
      </c>
      <c r="BA1191">
        <v>1</v>
      </c>
      <c r="BB1191">
        <v>0</v>
      </c>
      <c r="BC1191">
        <v>30</v>
      </c>
      <c r="BD1191">
        <v>0</v>
      </c>
      <c r="BE1191">
        <f t="shared" si="189"/>
        <v>0</v>
      </c>
    </row>
    <row r="1192" spans="1:57" x14ac:dyDescent="0.25">
      <c r="A1192" t="s">
        <v>39</v>
      </c>
      <c r="B1192" t="s">
        <v>3595</v>
      </c>
      <c r="C1192">
        <v>86</v>
      </c>
      <c r="D1192">
        <v>80.599999999999994</v>
      </c>
      <c r="G1192">
        <f t="shared" si="180"/>
        <v>1</v>
      </c>
      <c r="H1192">
        <f t="shared" si="181"/>
        <v>1</v>
      </c>
      <c r="I1192">
        <f t="shared" si="182"/>
        <v>0</v>
      </c>
      <c r="J1192">
        <v>84</v>
      </c>
      <c r="K1192">
        <v>95.2</v>
      </c>
      <c r="L1192">
        <v>83.9</v>
      </c>
      <c r="M1192">
        <v>89.4</v>
      </c>
      <c r="N1192">
        <v>70.900000000000006</v>
      </c>
      <c r="O1192">
        <v>65.2</v>
      </c>
      <c r="S1192">
        <f t="shared" si="183"/>
        <v>1</v>
      </c>
      <c r="T1192">
        <f t="shared" si="184"/>
        <v>1</v>
      </c>
      <c r="U1192">
        <f t="shared" si="185"/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24.2</v>
      </c>
      <c r="AG1192">
        <f t="shared" si="186"/>
        <v>1</v>
      </c>
      <c r="AH1192">
        <f t="shared" si="187"/>
        <v>1</v>
      </c>
      <c r="AI1192">
        <f t="shared" si="188"/>
        <v>0</v>
      </c>
      <c r="AJ1192">
        <v>301.7</v>
      </c>
      <c r="AK1192">
        <v>1007.4</v>
      </c>
      <c r="AL1192">
        <v>23.3</v>
      </c>
      <c r="AM1192">
        <v>6.5</v>
      </c>
      <c r="AN1192">
        <v>338.4</v>
      </c>
      <c r="AO1192">
        <v>29.3</v>
      </c>
      <c r="AP1192">
        <v>10</v>
      </c>
      <c r="AQ1192">
        <v>0</v>
      </c>
      <c r="AR1192" t="s">
        <v>3596</v>
      </c>
      <c r="AS1192" t="s">
        <v>3597</v>
      </c>
      <c r="AT1192">
        <v>0.41</v>
      </c>
      <c r="AU1192" t="s">
        <v>43</v>
      </c>
      <c r="AV1192" t="s">
        <v>44</v>
      </c>
      <c r="AW1192" t="s">
        <v>45</v>
      </c>
      <c r="AX1192" s="1">
        <v>0.29166666666666669</v>
      </c>
      <c r="AY1192" t="s">
        <v>3987</v>
      </c>
      <c r="AZ1192">
        <v>2340</v>
      </c>
      <c r="BA1192">
        <v>1</v>
      </c>
      <c r="BB1192">
        <v>50</v>
      </c>
      <c r="BC1192">
        <v>0</v>
      </c>
      <c r="BD1192">
        <v>0</v>
      </c>
      <c r="BE1192">
        <f t="shared" si="189"/>
        <v>1</v>
      </c>
    </row>
    <row r="1193" spans="1:57" x14ac:dyDescent="0.25">
      <c r="A1193" t="s">
        <v>39</v>
      </c>
      <c r="B1193" t="s">
        <v>3988</v>
      </c>
      <c r="C1193">
        <v>91.4</v>
      </c>
      <c r="D1193">
        <v>77</v>
      </c>
      <c r="G1193">
        <f t="shared" si="180"/>
        <v>1</v>
      </c>
      <c r="H1193">
        <f t="shared" si="181"/>
        <v>1</v>
      </c>
      <c r="I1193">
        <f t="shared" si="182"/>
        <v>0</v>
      </c>
      <c r="J1193">
        <v>83.8</v>
      </c>
      <c r="K1193">
        <v>100.2</v>
      </c>
      <c r="L1193">
        <v>77</v>
      </c>
      <c r="M1193">
        <v>89</v>
      </c>
      <c r="N1193">
        <v>70.3</v>
      </c>
      <c r="O1193">
        <v>65</v>
      </c>
      <c r="S1193">
        <f t="shared" si="183"/>
        <v>1</v>
      </c>
      <c r="T1193">
        <f t="shared" si="184"/>
        <v>1</v>
      </c>
      <c r="U1193">
        <f t="shared" si="185"/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19.5</v>
      </c>
      <c r="AG1193">
        <f t="shared" si="186"/>
        <v>1</v>
      </c>
      <c r="AH1193">
        <f t="shared" si="187"/>
        <v>1</v>
      </c>
      <c r="AI1193">
        <f t="shared" si="188"/>
        <v>0</v>
      </c>
      <c r="AJ1193">
        <v>268.5</v>
      </c>
      <c r="AK1193">
        <v>1001.1</v>
      </c>
      <c r="AL1193">
        <v>4.8</v>
      </c>
      <c r="AM1193">
        <v>6.3</v>
      </c>
      <c r="AN1193">
        <v>338.6</v>
      </c>
      <c r="AO1193">
        <v>29.3</v>
      </c>
      <c r="AP1193">
        <v>10</v>
      </c>
      <c r="AQ1193">
        <v>0</v>
      </c>
      <c r="AR1193" t="s">
        <v>3989</v>
      </c>
      <c r="AS1193" t="s">
        <v>3990</v>
      </c>
      <c r="AT1193">
        <v>0.48</v>
      </c>
      <c r="AU1193" t="s">
        <v>74</v>
      </c>
      <c r="AV1193" t="s">
        <v>2955</v>
      </c>
      <c r="AW1193" t="s">
        <v>75</v>
      </c>
      <c r="AX1193" s="1">
        <v>0.94444444444444442</v>
      </c>
      <c r="AY1193" t="s">
        <v>3991</v>
      </c>
      <c r="AZ1193">
        <v>1370.0000000023281</v>
      </c>
      <c r="BA1193">
        <v>1</v>
      </c>
      <c r="BB1193">
        <v>0</v>
      </c>
      <c r="BC1193">
        <v>15</v>
      </c>
      <c r="BD1193">
        <v>0</v>
      </c>
      <c r="BE1193">
        <f t="shared" si="189"/>
        <v>1</v>
      </c>
    </row>
    <row r="1194" spans="1:57" x14ac:dyDescent="0.25">
      <c r="A1194" t="s">
        <v>39</v>
      </c>
      <c r="B1194" t="s">
        <v>3992</v>
      </c>
      <c r="C1194">
        <v>84.2</v>
      </c>
      <c r="D1194">
        <v>68</v>
      </c>
      <c r="G1194">
        <f t="shared" si="180"/>
        <v>0</v>
      </c>
      <c r="H1194">
        <f t="shared" si="181"/>
        <v>0</v>
      </c>
      <c r="I1194">
        <f t="shared" si="182"/>
        <v>0</v>
      </c>
      <c r="J1194">
        <v>78.3</v>
      </c>
      <c r="K1194">
        <v>91</v>
      </c>
      <c r="L1194">
        <v>68</v>
      </c>
      <c r="M1194">
        <v>80.400000000000006</v>
      </c>
      <c r="N1194">
        <v>70</v>
      </c>
      <c r="O1194">
        <v>75.900000000000006</v>
      </c>
      <c r="S1194">
        <f t="shared" si="183"/>
        <v>1</v>
      </c>
      <c r="T1194">
        <f t="shared" si="184"/>
        <v>1</v>
      </c>
      <c r="U1194">
        <f t="shared" si="185"/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13.9</v>
      </c>
      <c r="AG1194">
        <f t="shared" si="186"/>
        <v>1</v>
      </c>
      <c r="AH1194">
        <f t="shared" si="187"/>
        <v>0</v>
      </c>
      <c r="AI1194">
        <f t="shared" si="188"/>
        <v>1</v>
      </c>
      <c r="AJ1194">
        <v>327.10000000000002</v>
      </c>
      <c r="AK1194">
        <v>1010.1</v>
      </c>
      <c r="AL1194">
        <v>13.6</v>
      </c>
      <c r="AM1194">
        <v>6.4</v>
      </c>
      <c r="AN1194">
        <v>348.2</v>
      </c>
      <c r="AO1194">
        <v>30.2</v>
      </c>
      <c r="AP1194">
        <v>10</v>
      </c>
      <c r="AQ1194">
        <v>0</v>
      </c>
      <c r="AR1194" t="s">
        <v>3993</v>
      </c>
      <c r="AS1194" t="s">
        <v>3994</v>
      </c>
      <c r="AT1194">
        <v>0.68</v>
      </c>
      <c r="AU1194" t="s">
        <v>74</v>
      </c>
      <c r="AV1194" t="s">
        <v>2955</v>
      </c>
      <c r="AW1194" t="s">
        <v>75</v>
      </c>
      <c r="AX1194" s="1">
        <v>0.6694444444444444</v>
      </c>
      <c r="AY1194" t="s">
        <v>3995</v>
      </c>
      <c r="AZ1194">
        <v>1795.9999999974391</v>
      </c>
      <c r="BA1194">
        <v>1</v>
      </c>
      <c r="BB1194">
        <v>0</v>
      </c>
      <c r="BC1194">
        <v>1</v>
      </c>
      <c r="BD1194">
        <v>0</v>
      </c>
      <c r="BE1194">
        <f t="shared" si="189"/>
        <v>0</v>
      </c>
    </row>
    <row r="1195" spans="1:57" x14ac:dyDescent="0.25">
      <c r="A1195" t="s">
        <v>39</v>
      </c>
      <c r="B1195" t="s">
        <v>3507</v>
      </c>
      <c r="C1195">
        <v>82.4</v>
      </c>
      <c r="D1195">
        <v>66.2</v>
      </c>
      <c r="G1195">
        <f t="shared" si="180"/>
        <v>1</v>
      </c>
      <c r="H1195">
        <f t="shared" si="181"/>
        <v>1</v>
      </c>
      <c r="I1195">
        <f t="shared" si="182"/>
        <v>0</v>
      </c>
      <c r="J1195">
        <v>73.2</v>
      </c>
      <c r="K1195">
        <v>81.5</v>
      </c>
      <c r="L1195">
        <v>66.2</v>
      </c>
      <c r="M1195">
        <v>73.099999999999994</v>
      </c>
      <c r="N1195">
        <v>57.1</v>
      </c>
      <c r="O1195">
        <v>58.9</v>
      </c>
      <c r="S1195">
        <f t="shared" si="183"/>
        <v>1</v>
      </c>
      <c r="T1195">
        <f t="shared" si="184"/>
        <v>0</v>
      </c>
      <c r="U1195">
        <f t="shared" si="185"/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20.8</v>
      </c>
      <c r="AG1195">
        <f t="shared" si="186"/>
        <v>1</v>
      </c>
      <c r="AH1195">
        <f t="shared" si="187"/>
        <v>1</v>
      </c>
      <c r="AI1195">
        <f t="shared" si="188"/>
        <v>0</v>
      </c>
      <c r="AJ1195">
        <v>175.8</v>
      </c>
      <c r="AK1195">
        <v>1014.1</v>
      </c>
      <c r="AL1195">
        <v>15.3</v>
      </c>
      <c r="AM1195">
        <v>6.4</v>
      </c>
      <c r="AN1195">
        <v>166.2</v>
      </c>
      <c r="AO1195">
        <v>14.4</v>
      </c>
      <c r="AP1195">
        <v>6</v>
      </c>
      <c r="AQ1195">
        <v>0</v>
      </c>
      <c r="AR1195" t="s">
        <v>3508</v>
      </c>
      <c r="AS1195" t="s">
        <v>3509</v>
      </c>
      <c r="AT1195">
        <v>0.14000000000000001</v>
      </c>
      <c r="AU1195" t="s">
        <v>74</v>
      </c>
      <c r="AV1195" t="s">
        <v>2955</v>
      </c>
      <c r="AW1195" t="s">
        <v>75</v>
      </c>
      <c r="AX1195" s="1">
        <v>0.47916666666666669</v>
      </c>
      <c r="AY1195" t="s">
        <v>3996</v>
      </c>
      <c r="AZ1195">
        <v>169.99999999883579</v>
      </c>
      <c r="BA1195">
        <v>0</v>
      </c>
      <c r="BB1195">
        <v>0</v>
      </c>
      <c r="BC1195">
        <v>1</v>
      </c>
      <c r="BD1195">
        <v>0</v>
      </c>
      <c r="BE1195">
        <f t="shared" si="189"/>
        <v>1</v>
      </c>
    </row>
    <row r="1196" spans="1:57" x14ac:dyDescent="0.25">
      <c r="A1196" t="s">
        <v>39</v>
      </c>
      <c r="B1196" t="s">
        <v>3930</v>
      </c>
      <c r="C1196">
        <v>71.599999999999994</v>
      </c>
      <c r="D1196">
        <v>60.8</v>
      </c>
      <c r="G1196">
        <f t="shared" si="180"/>
        <v>1</v>
      </c>
      <c r="H1196">
        <f t="shared" si="181"/>
        <v>1</v>
      </c>
      <c r="I1196">
        <f t="shared" si="182"/>
        <v>0</v>
      </c>
      <c r="J1196">
        <v>66.099999999999994</v>
      </c>
      <c r="K1196">
        <v>71.599999999999994</v>
      </c>
      <c r="L1196">
        <v>60.8</v>
      </c>
      <c r="M1196">
        <v>66.099999999999994</v>
      </c>
      <c r="N1196">
        <v>53.8</v>
      </c>
      <c r="O1196">
        <v>65.099999999999994</v>
      </c>
      <c r="S1196">
        <f t="shared" si="183"/>
        <v>0</v>
      </c>
      <c r="T1196">
        <f t="shared" si="184"/>
        <v>0</v>
      </c>
      <c r="U1196">
        <f t="shared" si="185"/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15</v>
      </c>
      <c r="AG1196">
        <f t="shared" si="186"/>
        <v>1</v>
      </c>
      <c r="AH1196">
        <f t="shared" si="187"/>
        <v>0</v>
      </c>
      <c r="AI1196">
        <f t="shared" si="188"/>
        <v>1</v>
      </c>
      <c r="AJ1196">
        <v>198.1</v>
      </c>
      <c r="AK1196">
        <v>1010</v>
      </c>
      <c r="AL1196">
        <v>67.8</v>
      </c>
      <c r="AM1196">
        <v>6.6</v>
      </c>
      <c r="AN1196">
        <v>87.3</v>
      </c>
      <c r="AO1196">
        <v>7.4</v>
      </c>
      <c r="AP1196">
        <v>4</v>
      </c>
      <c r="AQ1196">
        <v>0</v>
      </c>
      <c r="AR1196" t="s">
        <v>3931</v>
      </c>
      <c r="AS1196" t="s">
        <v>3932</v>
      </c>
      <c r="AT1196">
        <v>0.6</v>
      </c>
      <c r="AU1196" t="s">
        <v>43</v>
      </c>
      <c r="AV1196" t="s">
        <v>44</v>
      </c>
      <c r="AW1196" t="s">
        <v>45</v>
      </c>
      <c r="AX1196" s="1">
        <v>0.34513888888888888</v>
      </c>
      <c r="AY1196" t="s">
        <v>3997</v>
      </c>
      <c r="AZ1196">
        <v>103.0000000004657</v>
      </c>
      <c r="BA1196">
        <v>0</v>
      </c>
      <c r="BB1196">
        <v>0</v>
      </c>
      <c r="BC1196">
        <v>0.1</v>
      </c>
      <c r="BD1196">
        <v>0</v>
      </c>
      <c r="BE1196">
        <f t="shared" si="189"/>
        <v>0</v>
      </c>
    </row>
    <row r="1197" spans="1:57" x14ac:dyDescent="0.25">
      <c r="A1197" t="s">
        <v>39</v>
      </c>
      <c r="B1197" t="s">
        <v>3998</v>
      </c>
      <c r="C1197">
        <v>77</v>
      </c>
      <c r="D1197">
        <v>60.8</v>
      </c>
      <c r="G1197">
        <f t="shared" si="180"/>
        <v>1</v>
      </c>
      <c r="H1197">
        <f t="shared" si="181"/>
        <v>1</v>
      </c>
      <c r="I1197">
        <f t="shared" si="182"/>
        <v>0</v>
      </c>
      <c r="J1197">
        <v>68.400000000000006</v>
      </c>
      <c r="K1197">
        <v>77</v>
      </c>
      <c r="L1197">
        <v>60.8</v>
      </c>
      <c r="M1197">
        <v>68.400000000000006</v>
      </c>
      <c r="N1197">
        <v>52.5</v>
      </c>
      <c r="O1197">
        <v>58.6</v>
      </c>
      <c r="S1197">
        <f t="shared" si="183"/>
        <v>1</v>
      </c>
      <c r="T1197">
        <f t="shared" si="184"/>
        <v>0</v>
      </c>
      <c r="U1197">
        <f t="shared" si="185"/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32.200000000000003</v>
      </c>
      <c r="AC1197">
        <v>28.9</v>
      </c>
      <c r="AG1197">
        <f t="shared" si="186"/>
        <v>1</v>
      </c>
      <c r="AH1197">
        <f t="shared" si="187"/>
        <v>1</v>
      </c>
      <c r="AI1197">
        <f t="shared" si="188"/>
        <v>0</v>
      </c>
      <c r="AJ1197">
        <v>172.2</v>
      </c>
      <c r="AK1197">
        <v>1012.4</v>
      </c>
      <c r="AL1197">
        <v>52.7</v>
      </c>
      <c r="AM1197">
        <v>6.5</v>
      </c>
      <c r="AN1197">
        <v>75</v>
      </c>
      <c r="AO1197">
        <v>6.5</v>
      </c>
      <c r="AP1197">
        <v>3</v>
      </c>
      <c r="AQ1197">
        <v>0</v>
      </c>
      <c r="AR1197" t="s">
        <v>3999</v>
      </c>
      <c r="AS1197" t="s">
        <v>4000</v>
      </c>
      <c r="AT1197">
        <v>0.7</v>
      </c>
      <c r="AU1197" t="s">
        <v>43</v>
      </c>
      <c r="AV1197" t="s">
        <v>44</v>
      </c>
      <c r="AW1197" t="s">
        <v>45</v>
      </c>
      <c r="AX1197" s="1">
        <v>0.51388888888888884</v>
      </c>
      <c r="AY1197" t="s">
        <v>4001</v>
      </c>
      <c r="AZ1197">
        <v>270</v>
      </c>
      <c r="BA1197">
        <v>0</v>
      </c>
      <c r="BB1197">
        <v>0</v>
      </c>
      <c r="BC1197">
        <v>0.5</v>
      </c>
      <c r="BD1197">
        <v>0</v>
      </c>
      <c r="BE1197">
        <f t="shared" si="189"/>
        <v>1</v>
      </c>
    </row>
    <row r="1198" spans="1:57" x14ac:dyDescent="0.25">
      <c r="A1198" t="s">
        <v>39</v>
      </c>
      <c r="B1198" t="s">
        <v>3833</v>
      </c>
      <c r="C1198">
        <v>66.2</v>
      </c>
      <c r="D1198">
        <v>60.8</v>
      </c>
      <c r="G1198">
        <f t="shared" si="180"/>
        <v>1</v>
      </c>
      <c r="H1198">
        <f t="shared" si="181"/>
        <v>1</v>
      </c>
      <c r="I1198">
        <f t="shared" si="182"/>
        <v>0</v>
      </c>
      <c r="J1198">
        <v>63.4</v>
      </c>
      <c r="K1198">
        <v>66.2</v>
      </c>
      <c r="L1198">
        <v>60.8</v>
      </c>
      <c r="M1198">
        <v>63.4</v>
      </c>
      <c r="N1198">
        <v>51</v>
      </c>
      <c r="O1198">
        <v>64.3</v>
      </c>
      <c r="S1198">
        <f t="shared" si="183"/>
        <v>1</v>
      </c>
      <c r="T1198">
        <f t="shared" si="184"/>
        <v>0</v>
      </c>
      <c r="U1198">
        <f t="shared" si="185"/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40.299999999999997</v>
      </c>
      <c r="AC1198">
        <v>28.9</v>
      </c>
      <c r="AG1198">
        <f t="shared" si="186"/>
        <v>1</v>
      </c>
      <c r="AH1198">
        <f t="shared" si="187"/>
        <v>1</v>
      </c>
      <c r="AI1198">
        <f t="shared" si="188"/>
        <v>0</v>
      </c>
      <c r="AJ1198">
        <v>182</v>
      </c>
      <c r="AK1198">
        <v>1018.3</v>
      </c>
      <c r="AL1198">
        <v>91.4</v>
      </c>
      <c r="AM1198">
        <v>6.6</v>
      </c>
      <c r="AN1198">
        <v>55.8</v>
      </c>
      <c r="AO1198">
        <v>4.8</v>
      </c>
      <c r="AP1198">
        <v>2</v>
      </c>
      <c r="AQ1198">
        <v>0</v>
      </c>
      <c r="AR1198" t="s">
        <v>3834</v>
      </c>
      <c r="AS1198" t="s">
        <v>3835</v>
      </c>
      <c r="AT1198">
        <v>0.5</v>
      </c>
      <c r="AU1198" t="s">
        <v>275</v>
      </c>
      <c r="AV1198" t="s">
        <v>276</v>
      </c>
      <c r="AW1198" t="s">
        <v>277</v>
      </c>
      <c r="AX1198" s="1">
        <v>0.51388888888888884</v>
      </c>
      <c r="AY1198" t="s">
        <v>4002</v>
      </c>
      <c r="AZ1198">
        <v>180</v>
      </c>
      <c r="BA1198">
        <v>0</v>
      </c>
      <c r="BB1198">
        <v>0</v>
      </c>
      <c r="BC1198">
        <v>0.1</v>
      </c>
      <c r="BD1198">
        <v>0</v>
      </c>
      <c r="BE1198">
        <f t="shared" si="189"/>
        <v>1</v>
      </c>
    </row>
    <row r="1199" spans="1:57" x14ac:dyDescent="0.25">
      <c r="A1199" t="s">
        <v>39</v>
      </c>
      <c r="B1199" t="s">
        <v>4003</v>
      </c>
      <c r="C1199">
        <v>62.6</v>
      </c>
      <c r="D1199">
        <v>46.4</v>
      </c>
      <c r="G1199">
        <f t="shared" si="180"/>
        <v>1</v>
      </c>
      <c r="H1199">
        <f t="shared" si="181"/>
        <v>1</v>
      </c>
      <c r="I1199">
        <f t="shared" si="182"/>
        <v>0</v>
      </c>
      <c r="J1199">
        <v>54.7</v>
      </c>
      <c r="K1199">
        <v>62.6</v>
      </c>
      <c r="L1199">
        <v>43.5</v>
      </c>
      <c r="M1199">
        <v>53.8</v>
      </c>
      <c r="N1199">
        <v>48.8</v>
      </c>
      <c r="O1199">
        <v>81.2</v>
      </c>
      <c r="S1199">
        <f t="shared" si="183"/>
        <v>1</v>
      </c>
      <c r="T1199">
        <f t="shared" si="184"/>
        <v>1</v>
      </c>
      <c r="U1199">
        <f t="shared" si="185"/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17.2</v>
      </c>
      <c r="AG1199">
        <f t="shared" si="186"/>
        <v>1</v>
      </c>
      <c r="AH1199">
        <f t="shared" si="187"/>
        <v>0</v>
      </c>
      <c r="AI1199">
        <f t="shared" si="188"/>
        <v>1</v>
      </c>
      <c r="AJ1199">
        <v>295.2</v>
      </c>
      <c r="AK1199">
        <v>1019.4</v>
      </c>
      <c r="AL1199">
        <v>33.6</v>
      </c>
      <c r="AM1199">
        <v>6.6</v>
      </c>
      <c r="AN1199">
        <v>179.7</v>
      </c>
      <c r="AO1199">
        <v>15.5</v>
      </c>
      <c r="AP1199">
        <v>7</v>
      </c>
      <c r="AQ1199">
        <v>0</v>
      </c>
      <c r="AR1199" t="s">
        <v>4004</v>
      </c>
      <c r="AS1199" t="s">
        <v>4005</v>
      </c>
      <c r="AT1199">
        <v>0.14000000000000001</v>
      </c>
      <c r="AU1199" t="s">
        <v>43</v>
      </c>
      <c r="AV1199" t="s">
        <v>44</v>
      </c>
      <c r="AW1199" t="s">
        <v>45</v>
      </c>
      <c r="AX1199" t="s">
        <v>4006</v>
      </c>
      <c r="AY1199" t="s">
        <v>4007</v>
      </c>
      <c r="AZ1199">
        <v>135.99999999278231</v>
      </c>
      <c r="BA1199">
        <v>0</v>
      </c>
      <c r="BB1199">
        <v>0</v>
      </c>
      <c r="BC1199">
        <v>6</v>
      </c>
      <c r="BD1199">
        <v>0</v>
      </c>
      <c r="BE1199">
        <f t="shared" si="189"/>
        <v>1</v>
      </c>
    </row>
    <row r="1200" spans="1:57" x14ac:dyDescent="0.25">
      <c r="A1200" t="s">
        <v>39</v>
      </c>
      <c r="B1200" t="s">
        <v>4008</v>
      </c>
      <c r="C1200">
        <v>62.6</v>
      </c>
      <c r="D1200">
        <v>46.4</v>
      </c>
      <c r="G1200">
        <f t="shared" si="180"/>
        <v>1</v>
      </c>
      <c r="H1200">
        <f t="shared" si="181"/>
        <v>1</v>
      </c>
      <c r="I1200">
        <f t="shared" si="182"/>
        <v>0</v>
      </c>
      <c r="J1200">
        <v>55</v>
      </c>
      <c r="K1200">
        <v>62.6</v>
      </c>
      <c r="L1200">
        <v>42.9</v>
      </c>
      <c r="M1200">
        <v>54.2</v>
      </c>
      <c r="N1200">
        <v>47.2</v>
      </c>
      <c r="O1200">
        <v>75.400000000000006</v>
      </c>
      <c r="S1200">
        <f t="shared" si="183"/>
        <v>1</v>
      </c>
      <c r="T1200">
        <f t="shared" si="184"/>
        <v>1</v>
      </c>
      <c r="U1200">
        <f t="shared" si="185"/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17.2</v>
      </c>
      <c r="AG1200">
        <f t="shared" si="186"/>
        <v>1</v>
      </c>
      <c r="AH1200">
        <f t="shared" si="187"/>
        <v>0</v>
      </c>
      <c r="AI1200">
        <f t="shared" si="188"/>
        <v>1</v>
      </c>
      <c r="AJ1200">
        <v>263.7</v>
      </c>
      <c r="AK1200">
        <v>1015</v>
      </c>
      <c r="AL1200">
        <v>43.3</v>
      </c>
      <c r="AM1200">
        <v>6.6</v>
      </c>
      <c r="AN1200">
        <v>141.4</v>
      </c>
      <c r="AO1200">
        <v>12.3</v>
      </c>
      <c r="AP1200">
        <v>6</v>
      </c>
      <c r="AQ1200">
        <v>0</v>
      </c>
      <c r="AR1200" t="s">
        <v>4009</v>
      </c>
      <c r="AS1200" t="s">
        <v>4010</v>
      </c>
      <c r="AT1200">
        <v>0.34</v>
      </c>
      <c r="AU1200" t="s">
        <v>43</v>
      </c>
      <c r="AV1200" t="s">
        <v>44</v>
      </c>
      <c r="AW1200" t="s">
        <v>45</v>
      </c>
      <c r="AX1200" t="s">
        <v>2491</v>
      </c>
      <c r="AY1200" t="s">
        <v>4011</v>
      </c>
      <c r="AZ1200">
        <v>169.99999999883579</v>
      </c>
      <c r="BA1200">
        <v>0</v>
      </c>
      <c r="BB1200">
        <v>0</v>
      </c>
      <c r="BC1200">
        <v>10</v>
      </c>
      <c r="BD1200">
        <v>0</v>
      </c>
      <c r="BE1200">
        <f t="shared" si="189"/>
        <v>1</v>
      </c>
    </row>
    <row r="1201" spans="1:57" x14ac:dyDescent="0.25">
      <c r="A1201" t="s">
        <v>39</v>
      </c>
      <c r="B1201" t="s">
        <v>4012</v>
      </c>
      <c r="C1201">
        <v>53.7</v>
      </c>
      <c r="D1201">
        <v>51.8</v>
      </c>
      <c r="G1201">
        <f t="shared" si="180"/>
        <v>1</v>
      </c>
      <c r="H1201">
        <f t="shared" si="181"/>
        <v>0</v>
      </c>
      <c r="I1201">
        <f t="shared" si="182"/>
        <v>1</v>
      </c>
      <c r="J1201">
        <v>53.5</v>
      </c>
      <c r="K1201">
        <v>53.7</v>
      </c>
      <c r="L1201">
        <v>51.8</v>
      </c>
      <c r="M1201">
        <v>53.5</v>
      </c>
      <c r="N1201">
        <v>46</v>
      </c>
      <c r="O1201">
        <v>75.5</v>
      </c>
      <c r="S1201">
        <f t="shared" si="183"/>
        <v>1</v>
      </c>
      <c r="T1201">
        <f t="shared" si="184"/>
        <v>1</v>
      </c>
      <c r="U1201">
        <f t="shared" si="185"/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21.9</v>
      </c>
      <c r="AG1201">
        <f t="shared" si="186"/>
        <v>1</v>
      </c>
      <c r="AH1201">
        <f t="shared" si="187"/>
        <v>1</v>
      </c>
      <c r="AI1201">
        <f t="shared" si="188"/>
        <v>0</v>
      </c>
      <c r="AJ1201">
        <v>331.8</v>
      </c>
      <c r="AK1201">
        <v>1017.4</v>
      </c>
      <c r="AL1201">
        <v>96.8</v>
      </c>
      <c r="AM1201">
        <v>6.6</v>
      </c>
      <c r="AN1201">
        <v>175.5</v>
      </c>
      <c r="AO1201">
        <v>15.1</v>
      </c>
      <c r="AP1201">
        <v>7</v>
      </c>
      <c r="AQ1201">
        <v>0</v>
      </c>
      <c r="AR1201" t="s">
        <v>4013</v>
      </c>
      <c r="AS1201" t="s">
        <v>4014</v>
      </c>
      <c r="AT1201">
        <v>0.85</v>
      </c>
      <c r="AU1201" t="s">
        <v>275</v>
      </c>
      <c r="AV1201" t="s">
        <v>276</v>
      </c>
      <c r="AW1201" t="s">
        <v>277</v>
      </c>
      <c r="AX1201" t="s">
        <v>4015</v>
      </c>
      <c r="AY1201" t="s">
        <v>4016</v>
      </c>
      <c r="AZ1201">
        <v>804.00000000139698</v>
      </c>
      <c r="BA1201">
        <v>1</v>
      </c>
      <c r="BB1201">
        <v>0</v>
      </c>
      <c r="BC1201">
        <v>0.3</v>
      </c>
      <c r="BD1201">
        <v>0</v>
      </c>
      <c r="BE1201">
        <f t="shared" si="189"/>
        <v>1</v>
      </c>
    </row>
    <row r="1202" spans="1:57" x14ac:dyDescent="0.25">
      <c r="A1202" t="s">
        <v>39</v>
      </c>
      <c r="B1202" t="s">
        <v>4017</v>
      </c>
      <c r="C1202">
        <v>55.4</v>
      </c>
      <c r="D1202">
        <v>40</v>
      </c>
      <c r="G1202">
        <f t="shared" si="180"/>
        <v>1</v>
      </c>
      <c r="H1202">
        <f t="shared" si="181"/>
        <v>0</v>
      </c>
      <c r="I1202">
        <f t="shared" si="182"/>
        <v>1</v>
      </c>
      <c r="J1202">
        <v>49.9</v>
      </c>
      <c r="K1202">
        <v>55.4</v>
      </c>
      <c r="L1202">
        <v>36.5</v>
      </c>
      <c r="M1202">
        <v>48.8</v>
      </c>
      <c r="N1202">
        <v>37</v>
      </c>
      <c r="O1202">
        <v>61.3</v>
      </c>
      <c r="S1202">
        <f t="shared" si="183"/>
        <v>1</v>
      </c>
      <c r="T1202">
        <f t="shared" si="184"/>
        <v>0</v>
      </c>
      <c r="U1202">
        <f t="shared" si="185"/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18.3</v>
      </c>
      <c r="AG1202">
        <f t="shared" si="186"/>
        <v>0</v>
      </c>
      <c r="AH1202">
        <f t="shared" si="187"/>
        <v>0</v>
      </c>
      <c r="AI1202">
        <f t="shared" si="188"/>
        <v>0</v>
      </c>
      <c r="AJ1202">
        <v>329.7</v>
      </c>
      <c r="AK1202">
        <v>1020.3</v>
      </c>
      <c r="AL1202">
        <v>66.7</v>
      </c>
      <c r="AM1202">
        <v>6.6</v>
      </c>
      <c r="AN1202">
        <v>236.8</v>
      </c>
      <c r="AO1202">
        <v>20.399999999999999</v>
      </c>
      <c r="AP1202">
        <v>8</v>
      </c>
      <c r="AQ1202">
        <v>0</v>
      </c>
      <c r="AR1202" t="s">
        <v>4018</v>
      </c>
      <c r="AS1202" t="s">
        <v>4019</v>
      </c>
      <c r="AT1202">
        <v>0.22</v>
      </c>
      <c r="AU1202" t="s">
        <v>43</v>
      </c>
      <c r="AV1202" t="s">
        <v>44</v>
      </c>
      <c r="AW1202" t="s">
        <v>45</v>
      </c>
      <c r="AX1202" t="s">
        <v>4020</v>
      </c>
      <c r="AY1202" t="s">
        <v>4021</v>
      </c>
      <c r="AZ1202">
        <v>175.00000000465661</v>
      </c>
      <c r="BA1202">
        <v>0</v>
      </c>
      <c r="BB1202">
        <v>0</v>
      </c>
      <c r="BC1202">
        <v>10</v>
      </c>
      <c r="BD1202">
        <v>0</v>
      </c>
      <c r="BE1202">
        <f t="shared" si="189"/>
        <v>0</v>
      </c>
    </row>
    <row r="1203" spans="1:57" x14ac:dyDescent="0.25">
      <c r="A1203" t="s">
        <v>39</v>
      </c>
      <c r="B1203" t="s">
        <v>4022</v>
      </c>
      <c r="C1203">
        <v>59</v>
      </c>
      <c r="D1203">
        <v>46.5</v>
      </c>
      <c r="G1203">
        <f t="shared" si="180"/>
        <v>1</v>
      </c>
      <c r="H1203">
        <f t="shared" si="181"/>
        <v>0</v>
      </c>
      <c r="I1203">
        <f t="shared" si="182"/>
        <v>1</v>
      </c>
      <c r="J1203">
        <v>53.8</v>
      </c>
      <c r="K1203">
        <v>59</v>
      </c>
      <c r="L1203">
        <v>43</v>
      </c>
      <c r="M1203">
        <v>53.6</v>
      </c>
      <c r="N1203">
        <v>43.9</v>
      </c>
      <c r="O1203">
        <v>69.8</v>
      </c>
      <c r="S1203">
        <f t="shared" si="183"/>
        <v>1</v>
      </c>
      <c r="T1203">
        <f t="shared" si="184"/>
        <v>1</v>
      </c>
      <c r="U1203">
        <f t="shared" si="185"/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15</v>
      </c>
      <c r="AG1203">
        <f t="shared" si="186"/>
        <v>1</v>
      </c>
      <c r="AH1203">
        <f t="shared" si="187"/>
        <v>0</v>
      </c>
      <c r="AI1203">
        <f t="shared" si="188"/>
        <v>1</v>
      </c>
      <c r="AJ1203">
        <v>328.2</v>
      </c>
      <c r="AK1203">
        <v>1024.4000000000001</v>
      </c>
      <c r="AL1203">
        <v>35</v>
      </c>
      <c r="AM1203">
        <v>6.5</v>
      </c>
      <c r="AN1203">
        <v>252.1</v>
      </c>
      <c r="AO1203">
        <v>21.9</v>
      </c>
      <c r="AP1203">
        <v>9</v>
      </c>
      <c r="AQ1203">
        <v>0</v>
      </c>
      <c r="AR1203" t="s">
        <v>4023</v>
      </c>
      <c r="AS1203" t="s">
        <v>4024</v>
      </c>
      <c r="AT1203">
        <v>0.25</v>
      </c>
      <c r="AU1203" t="s">
        <v>43</v>
      </c>
      <c r="AV1203" t="s">
        <v>44</v>
      </c>
      <c r="AW1203" t="s">
        <v>45</v>
      </c>
      <c r="AX1203" t="s">
        <v>4025</v>
      </c>
      <c r="AY1203" t="s">
        <v>4026</v>
      </c>
      <c r="AZ1203">
        <v>114.99999999767169</v>
      </c>
      <c r="BA1203">
        <v>0</v>
      </c>
      <c r="BB1203">
        <v>0</v>
      </c>
      <c r="BC1203">
        <v>0.3</v>
      </c>
      <c r="BD1203">
        <v>0</v>
      </c>
      <c r="BE1203">
        <f t="shared" si="189"/>
        <v>0</v>
      </c>
    </row>
    <row r="1204" spans="1:57" x14ac:dyDescent="0.25">
      <c r="A1204" t="s">
        <v>39</v>
      </c>
      <c r="B1204" t="s">
        <v>4027</v>
      </c>
      <c r="C1204">
        <v>64.400000000000006</v>
      </c>
      <c r="D1204">
        <v>51.8</v>
      </c>
      <c r="G1204">
        <f t="shared" si="180"/>
        <v>1</v>
      </c>
      <c r="H1204">
        <f t="shared" si="181"/>
        <v>1</v>
      </c>
      <c r="I1204">
        <f t="shared" si="182"/>
        <v>0</v>
      </c>
      <c r="J1204">
        <v>57.8</v>
      </c>
      <c r="K1204">
        <v>64.400000000000006</v>
      </c>
      <c r="L1204">
        <v>51.8</v>
      </c>
      <c r="M1204">
        <v>57.8</v>
      </c>
      <c r="N1204">
        <v>50.3</v>
      </c>
      <c r="O1204">
        <v>76.400000000000006</v>
      </c>
      <c r="S1204">
        <f t="shared" si="183"/>
        <v>1</v>
      </c>
      <c r="T1204">
        <f t="shared" si="184"/>
        <v>1</v>
      </c>
      <c r="U1204">
        <f t="shared" si="185"/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10.3</v>
      </c>
      <c r="AG1204">
        <f t="shared" si="186"/>
        <v>1</v>
      </c>
      <c r="AH1204">
        <f t="shared" si="187"/>
        <v>0</v>
      </c>
      <c r="AI1204">
        <f t="shared" si="188"/>
        <v>1</v>
      </c>
      <c r="AJ1204">
        <v>175.5</v>
      </c>
      <c r="AK1204">
        <v>1020</v>
      </c>
      <c r="AL1204">
        <v>58.7</v>
      </c>
      <c r="AM1204">
        <v>6.6</v>
      </c>
      <c r="AN1204">
        <v>253.4</v>
      </c>
      <c r="AO1204">
        <v>21</v>
      </c>
      <c r="AP1204">
        <v>9</v>
      </c>
      <c r="AQ1204">
        <v>0</v>
      </c>
      <c r="AR1204" t="s">
        <v>4028</v>
      </c>
      <c r="AS1204" t="s">
        <v>4029</v>
      </c>
      <c r="AT1204">
        <v>0.76</v>
      </c>
      <c r="AU1204" t="s">
        <v>43</v>
      </c>
      <c r="AV1204" t="s">
        <v>44</v>
      </c>
      <c r="AW1204" t="s">
        <v>45</v>
      </c>
      <c r="AX1204" t="s">
        <v>4030</v>
      </c>
      <c r="AY1204" t="s">
        <v>4031</v>
      </c>
      <c r="AZ1204">
        <v>4.9999999953433871</v>
      </c>
      <c r="BA1204">
        <v>0</v>
      </c>
      <c r="BB1204">
        <v>0</v>
      </c>
      <c r="BC1204">
        <v>0.5</v>
      </c>
      <c r="BD1204">
        <v>0</v>
      </c>
      <c r="BE1204">
        <f t="shared" si="189"/>
        <v>1</v>
      </c>
    </row>
    <row r="1205" spans="1:57" x14ac:dyDescent="0.25">
      <c r="A1205" t="s">
        <v>39</v>
      </c>
      <c r="B1205" t="s">
        <v>4032</v>
      </c>
      <c r="C1205">
        <v>62.6</v>
      </c>
      <c r="D1205">
        <v>57.2</v>
      </c>
      <c r="G1205">
        <f t="shared" si="180"/>
        <v>1</v>
      </c>
      <c r="H1205">
        <f t="shared" si="181"/>
        <v>0</v>
      </c>
      <c r="I1205">
        <f t="shared" si="182"/>
        <v>1</v>
      </c>
      <c r="J1205">
        <v>59.5</v>
      </c>
      <c r="K1205">
        <v>62.6</v>
      </c>
      <c r="L1205">
        <v>57.2</v>
      </c>
      <c r="M1205">
        <v>59.5</v>
      </c>
      <c r="N1205">
        <v>48.8</v>
      </c>
      <c r="O1205">
        <v>67.900000000000006</v>
      </c>
      <c r="S1205">
        <f t="shared" si="183"/>
        <v>1</v>
      </c>
      <c r="T1205">
        <f t="shared" si="184"/>
        <v>1</v>
      </c>
      <c r="U1205">
        <f t="shared" si="185"/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20.8</v>
      </c>
      <c r="AG1205">
        <f t="shared" si="186"/>
        <v>1</v>
      </c>
      <c r="AH1205">
        <f t="shared" si="187"/>
        <v>1</v>
      </c>
      <c r="AI1205">
        <f t="shared" si="188"/>
        <v>0</v>
      </c>
      <c r="AJ1205">
        <v>326.2</v>
      </c>
      <c r="AK1205">
        <v>1016.8</v>
      </c>
      <c r="AL1205">
        <v>32.6</v>
      </c>
      <c r="AM1205">
        <v>6.6</v>
      </c>
      <c r="AN1205">
        <v>335.5</v>
      </c>
      <c r="AO1205">
        <v>28.9</v>
      </c>
      <c r="AP1205">
        <v>10</v>
      </c>
      <c r="AQ1205">
        <v>0</v>
      </c>
      <c r="AR1205" t="s">
        <v>4033</v>
      </c>
      <c r="AS1205" t="s">
        <v>4034</v>
      </c>
      <c r="AT1205">
        <v>0.71</v>
      </c>
      <c r="AU1205" t="s">
        <v>43</v>
      </c>
      <c r="AV1205" t="s">
        <v>44</v>
      </c>
      <c r="AW1205" t="s">
        <v>45</v>
      </c>
      <c r="AX1205" t="s">
        <v>2388</v>
      </c>
      <c r="AY1205" t="s">
        <v>4035</v>
      </c>
      <c r="AZ1205">
        <v>171.0000000020955</v>
      </c>
      <c r="BA1205">
        <v>0</v>
      </c>
      <c r="BB1205">
        <v>0</v>
      </c>
      <c r="BC1205">
        <v>8</v>
      </c>
      <c r="BD1205">
        <v>0</v>
      </c>
      <c r="BE1205">
        <f t="shared" si="189"/>
        <v>1</v>
      </c>
    </row>
    <row r="1206" spans="1:57" x14ac:dyDescent="0.25">
      <c r="A1206" t="s">
        <v>39</v>
      </c>
      <c r="B1206" t="s">
        <v>4036</v>
      </c>
      <c r="C1206">
        <v>86</v>
      </c>
      <c r="D1206">
        <v>75.2</v>
      </c>
      <c r="G1206">
        <f t="shared" si="180"/>
        <v>1</v>
      </c>
      <c r="H1206">
        <f t="shared" si="181"/>
        <v>1</v>
      </c>
      <c r="I1206">
        <f t="shared" si="182"/>
        <v>0</v>
      </c>
      <c r="J1206">
        <v>81.099999999999994</v>
      </c>
      <c r="K1206">
        <v>93.5</v>
      </c>
      <c r="L1206">
        <v>75.2</v>
      </c>
      <c r="M1206">
        <v>83.5</v>
      </c>
      <c r="N1206">
        <v>68.099999999999994</v>
      </c>
      <c r="O1206">
        <v>65.099999999999994</v>
      </c>
      <c r="S1206">
        <f t="shared" si="183"/>
        <v>1</v>
      </c>
      <c r="T1206">
        <f t="shared" si="184"/>
        <v>1</v>
      </c>
      <c r="U1206">
        <f t="shared" si="185"/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21.9</v>
      </c>
      <c r="AG1206">
        <f t="shared" si="186"/>
        <v>1</v>
      </c>
      <c r="AH1206">
        <f t="shared" si="187"/>
        <v>1</v>
      </c>
      <c r="AI1206">
        <f t="shared" si="188"/>
        <v>0</v>
      </c>
      <c r="AJ1206">
        <v>306.7</v>
      </c>
      <c r="AK1206">
        <v>1010</v>
      </c>
      <c r="AL1206">
        <v>5.9</v>
      </c>
      <c r="AM1206">
        <v>6.3</v>
      </c>
      <c r="AN1206">
        <v>335.3</v>
      </c>
      <c r="AO1206">
        <v>28.9</v>
      </c>
      <c r="AP1206">
        <v>10</v>
      </c>
      <c r="AQ1206">
        <v>0</v>
      </c>
      <c r="AR1206" t="s">
        <v>4037</v>
      </c>
      <c r="AS1206" t="s">
        <v>4038</v>
      </c>
      <c r="AT1206">
        <v>0.2</v>
      </c>
      <c r="AU1206" t="s">
        <v>74</v>
      </c>
      <c r="AV1206" t="s">
        <v>2955</v>
      </c>
      <c r="AW1206" t="s">
        <v>75</v>
      </c>
      <c r="AX1206" t="s">
        <v>4039</v>
      </c>
      <c r="AY1206" t="s">
        <v>4040</v>
      </c>
      <c r="AZ1206">
        <v>249.99999999767169</v>
      </c>
      <c r="BA1206">
        <v>0</v>
      </c>
      <c r="BB1206">
        <v>0</v>
      </c>
      <c r="BC1206">
        <v>0.1</v>
      </c>
      <c r="BD1206">
        <v>0</v>
      </c>
      <c r="BE1206">
        <f t="shared" si="189"/>
        <v>1</v>
      </c>
    </row>
    <row r="1207" spans="1:57" x14ac:dyDescent="0.25">
      <c r="A1207" t="s">
        <v>39</v>
      </c>
      <c r="B1207" t="s">
        <v>4041</v>
      </c>
      <c r="C1207">
        <v>82.4</v>
      </c>
      <c r="D1207">
        <v>68</v>
      </c>
      <c r="G1207">
        <f t="shared" si="180"/>
        <v>0</v>
      </c>
      <c r="H1207">
        <f t="shared" si="181"/>
        <v>0</v>
      </c>
      <c r="I1207">
        <f t="shared" si="182"/>
        <v>0</v>
      </c>
      <c r="J1207">
        <v>77.099999999999994</v>
      </c>
      <c r="K1207">
        <v>87.2</v>
      </c>
      <c r="L1207">
        <v>68</v>
      </c>
      <c r="M1207">
        <v>78.8</v>
      </c>
      <c r="N1207">
        <v>67</v>
      </c>
      <c r="O1207">
        <v>71.400000000000006</v>
      </c>
      <c r="S1207">
        <f t="shared" si="183"/>
        <v>1</v>
      </c>
      <c r="T1207">
        <f t="shared" si="184"/>
        <v>1</v>
      </c>
      <c r="U1207">
        <f t="shared" si="185"/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24.2</v>
      </c>
      <c r="AC1207">
        <v>24.2</v>
      </c>
      <c r="AG1207">
        <f t="shared" si="186"/>
        <v>1</v>
      </c>
      <c r="AH1207">
        <f t="shared" si="187"/>
        <v>1</v>
      </c>
      <c r="AI1207">
        <f t="shared" si="188"/>
        <v>0</v>
      </c>
      <c r="AJ1207">
        <v>311.3</v>
      </c>
      <c r="AK1207">
        <v>1009.3</v>
      </c>
      <c r="AL1207">
        <v>0</v>
      </c>
      <c r="AM1207">
        <v>6.2</v>
      </c>
      <c r="AN1207">
        <v>311.3</v>
      </c>
      <c r="AO1207">
        <v>27</v>
      </c>
      <c r="AP1207">
        <v>10</v>
      </c>
      <c r="AQ1207">
        <v>0</v>
      </c>
      <c r="AR1207" t="s">
        <v>4042</v>
      </c>
      <c r="AS1207" t="s">
        <v>4043</v>
      </c>
      <c r="AT1207">
        <v>0.88</v>
      </c>
      <c r="AU1207" t="s">
        <v>74</v>
      </c>
      <c r="AV1207" t="s">
        <v>2955</v>
      </c>
      <c r="AW1207" t="s">
        <v>75</v>
      </c>
      <c r="AX1207" t="s">
        <v>4044</v>
      </c>
      <c r="AY1207" t="s">
        <v>4045</v>
      </c>
      <c r="AZ1207">
        <v>2665.0000000011642</v>
      </c>
      <c r="BA1207">
        <v>1</v>
      </c>
      <c r="BB1207">
        <v>0</v>
      </c>
      <c r="BC1207">
        <v>15</v>
      </c>
      <c r="BD1207">
        <v>0</v>
      </c>
      <c r="BE1207">
        <f t="shared" si="189"/>
        <v>1</v>
      </c>
    </row>
    <row r="1208" spans="1:57" x14ac:dyDescent="0.25">
      <c r="A1208" t="s">
        <v>39</v>
      </c>
      <c r="B1208" t="s">
        <v>4046</v>
      </c>
      <c r="C1208">
        <v>86</v>
      </c>
      <c r="D1208">
        <v>66.2</v>
      </c>
      <c r="G1208">
        <f t="shared" si="180"/>
        <v>1</v>
      </c>
      <c r="H1208">
        <f t="shared" si="181"/>
        <v>1</v>
      </c>
      <c r="I1208">
        <f t="shared" si="182"/>
        <v>0</v>
      </c>
      <c r="J1208">
        <v>76.400000000000006</v>
      </c>
      <c r="K1208">
        <v>95.2</v>
      </c>
      <c r="L1208">
        <v>66.2</v>
      </c>
      <c r="M1208">
        <v>79.3</v>
      </c>
      <c r="N1208">
        <v>67.7</v>
      </c>
      <c r="O1208">
        <v>74.8</v>
      </c>
      <c r="S1208">
        <f t="shared" si="183"/>
        <v>1</v>
      </c>
      <c r="T1208">
        <f t="shared" si="184"/>
        <v>1</v>
      </c>
      <c r="U1208">
        <f t="shared" si="185"/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9.1999999999999993</v>
      </c>
      <c r="AG1208">
        <f t="shared" si="186"/>
        <v>1</v>
      </c>
      <c r="AH1208">
        <f t="shared" si="187"/>
        <v>0</v>
      </c>
      <c r="AI1208">
        <f t="shared" si="188"/>
        <v>1</v>
      </c>
      <c r="AJ1208">
        <v>64.400000000000006</v>
      </c>
      <c r="AK1208">
        <v>1010.5</v>
      </c>
      <c r="AL1208">
        <v>15.1</v>
      </c>
      <c r="AM1208">
        <v>6.5</v>
      </c>
      <c r="AN1208">
        <v>295.2</v>
      </c>
      <c r="AO1208">
        <v>25.5</v>
      </c>
      <c r="AP1208">
        <v>9</v>
      </c>
      <c r="AQ1208">
        <v>0</v>
      </c>
      <c r="AR1208" t="s">
        <v>4047</v>
      </c>
      <c r="AS1208" t="s">
        <v>4048</v>
      </c>
      <c r="AT1208">
        <v>0.08</v>
      </c>
      <c r="AU1208" t="s">
        <v>74</v>
      </c>
      <c r="AV1208" t="s">
        <v>2955</v>
      </c>
      <c r="AW1208" t="s">
        <v>75</v>
      </c>
      <c r="AX1208" t="s">
        <v>4049</v>
      </c>
      <c r="AY1208" t="s">
        <v>4050</v>
      </c>
      <c r="AZ1208">
        <v>3929.999999996508</v>
      </c>
      <c r="BA1208">
        <v>1</v>
      </c>
      <c r="BB1208">
        <v>0</v>
      </c>
      <c r="BC1208">
        <v>200</v>
      </c>
      <c r="BD1208">
        <v>0</v>
      </c>
      <c r="BE1208">
        <f t="shared" si="189"/>
        <v>1</v>
      </c>
    </row>
    <row r="1209" spans="1:57" x14ac:dyDescent="0.25">
      <c r="A1209" t="s">
        <v>39</v>
      </c>
      <c r="B1209" t="s">
        <v>4051</v>
      </c>
      <c r="C1209">
        <v>86</v>
      </c>
      <c r="D1209">
        <v>69.8</v>
      </c>
      <c r="G1209">
        <f t="shared" si="180"/>
        <v>1</v>
      </c>
      <c r="H1209">
        <f t="shared" si="181"/>
        <v>1</v>
      </c>
      <c r="I1209">
        <f t="shared" si="182"/>
        <v>0</v>
      </c>
      <c r="J1209">
        <v>80.5</v>
      </c>
      <c r="K1209">
        <v>89.6</v>
      </c>
      <c r="L1209">
        <v>69.8</v>
      </c>
      <c r="M1209">
        <v>82.2</v>
      </c>
      <c r="N1209">
        <v>65.5</v>
      </c>
      <c r="O1209">
        <v>60.9</v>
      </c>
      <c r="S1209">
        <f t="shared" si="183"/>
        <v>1</v>
      </c>
      <c r="T1209">
        <f t="shared" si="184"/>
        <v>0</v>
      </c>
      <c r="U1209">
        <f t="shared" si="185"/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18.3</v>
      </c>
      <c r="AG1209">
        <f t="shared" si="186"/>
        <v>1</v>
      </c>
      <c r="AH1209">
        <f t="shared" si="187"/>
        <v>1</v>
      </c>
      <c r="AI1209">
        <f t="shared" si="188"/>
        <v>0</v>
      </c>
      <c r="AJ1209">
        <v>311.3</v>
      </c>
      <c r="AK1209">
        <v>1010.2</v>
      </c>
      <c r="AL1209">
        <v>0</v>
      </c>
      <c r="AM1209">
        <v>6.2</v>
      </c>
      <c r="AN1209">
        <v>291.3</v>
      </c>
      <c r="AO1209">
        <v>25.1</v>
      </c>
      <c r="AP1209">
        <v>9</v>
      </c>
      <c r="AQ1209">
        <v>0</v>
      </c>
      <c r="AR1209" t="s">
        <v>4052</v>
      </c>
      <c r="AS1209" t="s">
        <v>4053</v>
      </c>
      <c r="AT1209">
        <v>0.15</v>
      </c>
      <c r="AU1209" t="s">
        <v>74</v>
      </c>
      <c r="AV1209" t="s">
        <v>2955</v>
      </c>
      <c r="AW1209" t="s">
        <v>75</v>
      </c>
      <c r="AX1209" t="s">
        <v>4054</v>
      </c>
      <c r="AY1209" t="s">
        <v>4055</v>
      </c>
      <c r="AZ1209">
        <v>60.999999999767169</v>
      </c>
      <c r="BA1209">
        <v>0</v>
      </c>
      <c r="BB1209">
        <v>0</v>
      </c>
      <c r="BC1209">
        <v>0.1</v>
      </c>
      <c r="BD1209">
        <v>0</v>
      </c>
      <c r="BE1209">
        <f t="shared" si="189"/>
        <v>1</v>
      </c>
    </row>
    <row r="1210" spans="1:57" x14ac:dyDescent="0.25">
      <c r="A1210" t="s">
        <v>39</v>
      </c>
      <c r="B1210" t="s">
        <v>4056</v>
      </c>
      <c r="C1210">
        <v>82.4</v>
      </c>
      <c r="D1210">
        <v>68</v>
      </c>
      <c r="G1210">
        <f t="shared" si="180"/>
        <v>1</v>
      </c>
      <c r="H1210">
        <f t="shared" si="181"/>
        <v>1</v>
      </c>
      <c r="I1210">
        <f t="shared" si="182"/>
        <v>0</v>
      </c>
      <c r="J1210">
        <v>75.599999999999994</v>
      </c>
      <c r="K1210">
        <v>86.2</v>
      </c>
      <c r="L1210">
        <v>68</v>
      </c>
      <c r="M1210">
        <v>76.900000000000006</v>
      </c>
      <c r="N1210">
        <v>67.3</v>
      </c>
      <c r="O1210">
        <v>76</v>
      </c>
      <c r="S1210">
        <f t="shared" si="183"/>
        <v>1</v>
      </c>
      <c r="T1210">
        <f t="shared" si="184"/>
        <v>1</v>
      </c>
      <c r="U1210">
        <f t="shared" si="185"/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25.3</v>
      </c>
      <c r="AG1210">
        <f t="shared" si="186"/>
        <v>1</v>
      </c>
      <c r="AH1210">
        <f t="shared" si="187"/>
        <v>1</v>
      </c>
      <c r="AI1210">
        <f t="shared" si="188"/>
        <v>0</v>
      </c>
      <c r="AJ1210">
        <v>306.60000000000002</v>
      </c>
      <c r="AK1210">
        <v>1008.5</v>
      </c>
      <c r="AL1210">
        <v>20.2</v>
      </c>
      <c r="AM1210">
        <v>6.5</v>
      </c>
      <c r="AN1210">
        <v>259</v>
      </c>
      <c r="AO1210">
        <v>22.4</v>
      </c>
      <c r="AP1210">
        <v>9</v>
      </c>
      <c r="AQ1210">
        <v>0</v>
      </c>
      <c r="AR1210" t="s">
        <v>4057</v>
      </c>
      <c r="AS1210" t="s">
        <v>4058</v>
      </c>
      <c r="AT1210">
        <v>0.7</v>
      </c>
      <c r="AU1210" t="s">
        <v>43</v>
      </c>
      <c r="AV1210" t="s">
        <v>44</v>
      </c>
      <c r="AW1210" t="s">
        <v>45</v>
      </c>
      <c r="AX1210" t="s">
        <v>2461</v>
      </c>
      <c r="AY1210" t="s">
        <v>4059</v>
      </c>
      <c r="AZ1210">
        <v>1710</v>
      </c>
      <c r="BA1210">
        <v>1</v>
      </c>
      <c r="BB1210">
        <v>0</v>
      </c>
      <c r="BC1210">
        <v>0.1</v>
      </c>
      <c r="BD1210">
        <v>0</v>
      </c>
      <c r="BE1210">
        <f t="shared" si="189"/>
        <v>1</v>
      </c>
    </row>
    <row r="1211" spans="1:57" x14ac:dyDescent="0.25">
      <c r="A1211" t="s">
        <v>39</v>
      </c>
      <c r="B1211" t="s">
        <v>4060</v>
      </c>
      <c r="C1211">
        <v>78.8</v>
      </c>
      <c r="D1211">
        <v>67.900000000000006</v>
      </c>
      <c r="G1211">
        <f t="shared" si="180"/>
        <v>0</v>
      </c>
      <c r="H1211">
        <f t="shared" si="181"/>
        <v>0</v>
      </c>
      <c r="I1211">
        <f t="shared" si="182"/>
        <v>0</v>
      </c>
      <c r="J1211">
        <v>75.400000000000006</v>
      </c>
      <c r="K1211">
        <v>78.8</v>
      </c>
      <c r="L1211">
        <v>67.900000000000006</v>
      </c>
      <c r="M1211">
        <v>75.400000000000006</v>
      </c>
      <c r="N1211">
        <v>61.7</v>
      </c>
      <c r="O1211">
        <v>62.9</v>
      </c>
      <c r="S1211">
        <f t="shared" si="183"/>
        <v>1</v>
      </c>
      <c r="T1211">
        <f t="shared" si="184"/>
        <v>0</v>
      </c>
      <c r="U1211">
        <f t="shared" si="185"/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24.2</v>
      </c>
      <c r="AG1211">
        <f t="shared" si="186"/>
        <v>1</v>
      </c>
      <c r="AH1211">
        <f t="shared" si="187"/>
        <v>1</v>
      </c>
      <c r="AI1211">
        <f t="shared" si="188"/>
        <v>0</v>
      </c>
      <c r="AJ1211">
        <v>316.5</v>
      </c>
      <c r="AK1211">
        <v>1011.7</v>
      </c>
      <c r="AL1211">
        <v>25.7</v>
      </c>
      <c r="AM1211">
        <v>6.6</v>
      </c>
      <c r="AN1211">
        <v>254.9</v>
      </c>
      <c r="AO1211">
        <v>22</v>
      </c>
      <c r="AP1211">
        <v>8</v>
      </c>
      <c r="AQ1211">
        <v>0</v>
      </c>
      <c r="AR1211" t="s">
        <v>4061</v>
      </c>
      <c r="AS1211" t="s">
        <v>4062</v>
      </c>
      <c r="AT1211">
        <v>0.9</v>
      </c>
      <c r="AU1211" t="s">
        <v>43</v>
      </c>
      <c r="AV1211" t="s">
        <v>44</v>
      </c>
      <c r="AW1211" t="s">
        <v>45</v>
      </c>
      <c r="AX1211" t="s">
        <v>4063</v>
      </c>
      <c r="AY1211" t="s">
        <v>4064</v>
      </c>
      <c r="AZ1211">
        <v>1509.9999999976719</v>
      </c>
      <c r="BA1211">
        <v>1</v>
      </c>
      <c r="BB1211">
        <v>0</v>
      </c>
      <c r="BC1211">
        <v>1.5</v>
      </c>
      <c r="BD1211">
        <v>0</v>
      </c>
      <c r="BE1211">
        <f t="shared" si="189"/>
        <v>1</v>
      </c>
    </row>
    <row r="1212" spans="1:57" x14ac:dyDescent="0.25">
      <c r="A1212" t="s">
        <v>39</v>
      </c>
      <c r="B1212" t="s">
        <v>4065</v>
      </c>
      <c r="C1212">
        <v>78.8</v>
      </c>
      <c r="D1212">
        <v>64.400000000000006</v>
      </c>
      <c r="G1212">
        <f t="shared" si="180"/>
        <v>0</v>
      </c>
      <c r="H1212">
        <f t="shared" si="181"/>
        <v>0</v>
      </c>
      <c r="I1212">
        <f t="shared" si="182"/>
        <v>0</v>
      </c>
      <c r="J1212">
        <v>72.5</v>
      </c>
      <c r="K1212">
        <v>78.8</v>
      </c>
      <c r="L1212">
        <v>64.400000000000006</v>
      </c>
      <c r="M1212">
        <v>72.5</v>
      </c>
      <c r="N1212">
        <v>64.8</v>
      </c>
      <c r="O1212">
        <v>77</v>
      </c>
      <c r="S1212">
        <f t="shared" si="183"/>
        <v>1</v>
      </c>
      <c r="T1212">
        <f t="shared" si="184"/>
        <v>1</v>
      </c>
      <c r="U1212">
        <f t="shared" si="185"/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19.5</v>
      </c>
      <c r="AG1212">
        <f t="shared" si="186"/>
        <v>1</v>
      </c>
      <c r="AH1212">
        <f t="shared" si="187"/>
        <v>1</v>
      </c>
      <c r="AI1212">
        <f t="shared" si="188"/>
        <v>0</v>
      </c>
      <c r="AJ1212">
        <v>305.10000000000002</v>
      </c>
      <c r="AK1212">
        <v>1016.4</v>
      </c>
      <c r="AL1212">
        <v>31.5</v>
      </c>
      <c r="AM1212">
        <v>6.6</v>
      </c>
      <c r="AN1212">
        <v>238.4</v>
      </c>
      <c r="AO1212">
        <v>20.7</v>
      </c>
      <c r="AP1212">
        <v>8</v>
      </c>
      <c r="AQ1212">
        <v>0</v>
      </c>
      <c r="AR1212" t="s">
        <v>4066</v>
      </c>
      <c r="AS1212" t="s">
        <v>4067</v>
      </c>
      <c r="AT1212">
        <v>0.96</v>
      </c>
      <c r="AU1212" t="s">
        <v>43</v>
      </c>
      <c r="AV1212" t="s">
        <v>44</v>
      </c>
      <c r="AW1212" t="s">
        <v>45</v>
      </c>
      <c r="AX1212" t="s">
        <v>2592</v>
      </c>
      <c r="AY1212" t="s">
        <v>4068</v>
      </c>
      <c r="AZ1212">
        <v>6040.0000000011642</v>
      </c>
      <c r="BA1212">
        <v>1</v>
      </c>
      <c r="BB1212">
        <v>10</v>
      </c>
      <c r="BC1212">
        <v>20</v>
      </c>
      <c r="BD1212">
        <v>0</v>
      </c>
      <c r="BE1212">
        <f t="shared" si="189"/>
        <v>1</v>
      </c>
    </row>
    <row r="1213" spans="1:57" x14ac:dyDescent="0.25">
      <c r="A1213" t="s">
        <v>39</v>
      </c>
      <c r="B1213" t="s">
        <v>4065</v>
      </c>
      <c r="C1213">
        <v>78.8</v>
      </c>
      <c r="D1213">
        <v>64.400000000000006</v>
      </c>
      <c r="G1213">
        <f t="shared" si="180"/>
        <v>0</v>
      </c>
      <c r="H1213">
        <f t="shared" si="181"/>
        <v>0</v>
      </c>
      <c r="I1213">
        <f t="shared" si="182"/>
        <v>0</v>
      </c>
      <c r="J1213">
        <v>72.5</v>
      </c>
      <c r="K1213">
        <v>78.8</v>
      </c>
      <c r="L1213">
        <v>64.400000000000006</v>
      </c>
      <c r="M1213">
        <v>72.5</v>
      </c>
      <c r="N1213">
        <v>64.8</v>
      </c>
      <c r="O1213">
        <v>77</v>
      </c>
      <c r="S1213">
        <f t="shared" si="183"/>
        <v>1</v>
      </c>
      <c r="T1213">
        <f t="shared" si="184"/>
        <v>1</v>
      </c>
      <c r="U1213">
        <f t="shared" si="185"/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19.5</v>
      </c>
      <c r="AG1213">
        <f t="shared" si="186"/>
        <v>1</v>
      </c>
      <c r="AH1213">
        <f t="shared" si="187"/>
        <v>1</v>
      </c>
      <c r="AI1213">
        <f t="shared" si="188"/>
        <v>0</v>
      </c>
      <c r="AJ1213">
        <v>305.10000000000002</v>
      </c>
      <c r="AK1213">
        <v>1016.4</v>
      </c>
      <c r="AL1213">
        <v>31.5</v>
      </c>
      <c r="AM1213">
        <v>6.6</v>
      </c>
      <c r="AN1213">
        <v>238.4</v>
      </c>
      <c r="AO1213">
        <v>20.7</v>
      </c>
      <c r="AP1213">
        <v>8</v>
      </c>
      <c r="AQ1213">
        <v>0</v>
      </c>
      <c r="AR1213" t="s">
        <v>4066</v>
      </c>
      <c r="AS1213" t="s">
        <v>4067</v>
      </c>
      <c r="AT1213">
        <v>0.96</v>
      </c>
      <c r="AU1213" t="s">
        <v>43</v>
      </c>
      <c r="AV1213" t="s">
        <v>44</v>
      </c>
      <c r="AW1213" t="s">
        <v>45</v>
      </c>
      <c r="AX1213" t="s">
        <v>2592</v>
      </c>
      <c r="AY1213" t="s">
        <v>4068</v>
      </c>
      <c r="AZ1213">
        <v>6040.0000000011642</v>
      </c>
      <c r="BA1213">
        <v>1</v>
      </c>
      <c r="BB1213">
        <v>10</v>
      </c>
      <c r="BC1213">
        <v>20</v>
      </c>
      <c r="BD1213">
        <v>0</v>
      </c>
      <c r="BE1213">
        <f t="shared" si="189"/>
        <v>1</v>
      </c>
    </row>
    <row r="1214" spans="1:57" x14ac:dyDescent="0.25">
      <c r="A1214" t="s">
        <v>39</v>
      </c>
      <c r="B1214" t="s">
        <v>4069</v>
      </c>
      <c r="C1214">
        <v>64.400000000000006</v>
      </c>
      <c r="D1214">
        <v>62.6</v>
      </c>
      <c r="G1214">
        <f t="shared" si="180"/>
        <v>1</v>
      </c>
      <c r="H1214">
        <f t="shared" si="181"/>
        <v>0</v>
      </c>
      <c r="I1214">
        <f t="shared" si="182"/>
        <v>1</v>
      </c>
      <c r="J1214">
        <v>63</v>
      </c>
      <c r="K1214">
        <v>64.400000000000006</v>
      </c>
      <c r="L1214">
        <v>62.6</v>
      </c>
      <c r="M1214">
        <v>63</v>
      </c>
      <c r="N1214">
        <v>51.1</v>
      </c>
      <c r="O1214">
        <v>65.3</v>
      </c>
      <c r="S1214">
        <f t="shared" si="183"/>
        <v>0</v>
      </c>
      <c r="T1214">
        <f t="shared" si="184"/>
        <v>0</v>
      </c>
      <c r="U1214">
        <f t="shared" si="185"/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28.9</v>
      </c>
      <c r="AG1214">
        <f t="shared" si="186"/>
        <v>1</v>
      </c>
      <c r="AH1214">
        <f t="shared" si="187"/>
        <v>1</v>
      </c>
      <c r="AI1214">
        <f t="shared" si="188"/>
        <v>0</v>
      </c>
      <c r="AJ1214">
        <v>328.7</v>
      </c>
      <c r="AK1214">
        <v>1020.8</v>
      </c>
      <c r="AL1214">
        <v>66.3</v>
      </c>
      <c r="AM1214">
        <v>6.6</v>
      </c>
      <c r="AN1214">
        <v>169.4</v>
      </c>
      <c r="AO1214">
        <v>14.7</v>
      </c>
      <c r="AP1214">
        <v>7</v>
      </c>
      <c r="AQ1214">
        <v>0</v>
      </c>
      <c r="AR1214" t="s">
        <v>4070</v>
      </c>
      <c r="AS1214" t="s">
        <v>4071</v>
      </c>
      <c r="AT1214">
        <v>0.08</v>
      </c>
      <c r="AU1214" t="s">
        <v>43</v>
      </c>
      <c r="AV1214" t="s">
        <v>44</v>
      </c>
      <c r="AW1214" t="s">
        <v>45</v>
      </c>
      <c r="AX1214" t="s">
        <v>2373</v>
      </c>
      <c r="AY1214" t="s">
        <v>4072</v>
      </c>
      <c r="AZ1214">
        <v>194.99999999650751</v>
      </c>
      <c r="BA1214">
        <v>0</v>
      </c>
      <c r="BB1214">
        <v>0</v>
      </c>
      <c r="BC1214">
        <v>0.1</v>
      </c>
      <c r="BD1214">
        <v>0</v>
      </c>
      <c r="BE1214">
        <f t="shared" si="189"/>
        <v>0</v>
      </c>
    </row>
    <row r="1215" spans="1:57" x14ac:dyDescent="0.25">
      <c r="A1215" t="s">
        <v>39</v>
      </c>
      <c r="B1215" t="s">
        <v>4073</v>
      </c>
      <c r="C1215">
        <v>68</v>
      </c>
      <c r="D1215">
        <v>53.6</v>
      </c>
      <c r="G1215">
        <f t="shared" si="180"/>
        <v>1</v>
      </c>
      <c r="H1215">
        <f t="shared" si="181"/>
        <v>1</v>
      </c>
      <c r="I1215">
        <f t="shared" si="182"/>
        <v>0</v>
      </c>
      <c r="J1215">
        <v>60.9</v>
      </c>
      <c r="K1215">
        <v>68</v>
      </c>
      <c r="L1215">
        <v>53.6</v>
      </c>
      <c r="M1215">
        <v>60.9</v>
      </c>
      <c r="N1215">
        <v>50.5</v>
      </c>
      <c r="O1215">
        <v>69.2</v>
      </c>
      <c r="S1215">
        <f t="shared" si="183"/>
        <v>0</v>
      </c>
      <c r="T1215">
        <f t="shared" si="184"/>
        <v>0</v>
      </c>
      <c r="U1215">
        <f t="shared" si="185"/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25.3</v>
      </c>
      <c r="AC1215">
        <v>17.2</v>
      </c>
      <c r="AG1215">
        <f t="shared" si="186"/>
        <v>1</v>
      </c>
      <c r="AH1215">
        <f t="shared" si="187"/>
        <v>0</v>
      </c>
      <c r="AI1215">
        <f t="shared" si="188"/>
        <v>1</v>
      </c>
      <c r="AJ1215">
        <v>189.1</v>
      </c>
      <c r="AK1215">
        <v>1012.1</v>
      </c>
      <c r="AL1215">
        <v>63.9</v>
      </c>
      <c r="AM1215">
        <v>6.6</v>
      </c>
      <c r="AN1215">
        <v>120</v>
      </c>
      <c r="AO1215">
        <v>10.3</v>
      </c>
      <c r="AP1215">
        <v>5</v>
      </c>
      <c r="AQ1215">
        <v>0</v>
      </c>
      <c r="AR1215" t="s">
        <v>4074</v>
      </c>
      <c r="AS1215" t="s">
        <v>4075</v>
      </c>
      <c r="AT1215">
        <v>0.74</v>
      </c>
      <c r="AU1215" t="s">
        <v>43</v>
      </c>
      <c r="AV1215" t="s">
        <v>44</v>
      </c>
      <c r="AW1215" t="s">
        <v>45</v>
      </c>
      <c r="AX1215" t="s">
        <v>2481</v>
      </c>
      <c r="AY1215" t="s">
        <v>4076</v>
      </c>
      <c r="AZ1215">
        <v>69.999999997671694</v>
      </c>
      <c r="BA1215">
        <v>0</v>
      </c>
      <c r="BB1215">
        <v>0</v>
      </c>
      <c r="BC1215">
        <v>0.1</v>
      </c>
      <c r="BD1215">
        <v>0</v>
      </c>
      <c r="BE1215">
        <f t="shared" si="189"/>
        <v>0</v>
      </c>
    </row>
    <row r="1216" spans="1:57" x14ac:dyDescent="0.25">
      <c r="A1216" t="s">
        <v>39</v>
      </c>
      <c r="B1216" t="s">
        <v>4077</v>
      </c>
      <c r="C1216">
        <v>62.6</v>
      </c>
      <c r="D1216">
        <v>45.6</v>
      </c>
      <c r="G1216">
        <f t="shared" si="180"/>
        <v>0</v>
      </c>
      <c r="H1216">
        <f t="shared" si="181"/>
        <v>0</v>
      </c>
      <c r="I1216">
        <f t="shared" si="182"/>
        <v>0</v>
      </c>
      <c r="J1216">
        <v>57.9</v>
      </c>
      <c r="K1216">
        <v>62.6</v>
      </c>
      <c r="L1216">
        <v>44.1</v>
      </c>
      <c r="M1216">
        <v>57.9</v>
      </c>
      <c r="N1216">
        <v>48</v>
      </c>
      <c r="O1216">
        <v>70.2</v>
      </c>
      <c r="S1216">
        <f t="shared" si="183"/>
        <v>1</v>
      </c>
      <c r="T1216">
        <f t="shared" si="184"/>
        <v>1</v>
      </c>
      <c r="U1216">
        <f t="shared" si="185"/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17.2</v>
      </c>
      <c r="AG1216">
        <f t="shared" si="186"/>
        <v>0</v>
      </c>
      <c r="AH1216">
        <f t="shared" si="187"/>
        <v>0</v>
      </c>
      <c r="AI1216">
        <f t="shared" si="188"/>
        <v>0</v>
      </c>
      <c r="AJ1216">
        <v>314.3</v>
      </c>
      <c r="AK1216">
        <v>1023.6</v>
      </c>
      <c r="AL1216">
        <v>33.700000000000003</v>
      </c>
      <c r="AM1216">
        <v>6.6</v>
      </c>
      <c r="AN1216">
        <v>279.39999999999998</v>
      </c>
      <c r="AO1216">
        <v>24</v>
      </c>
      <c r="AP1216">
        <v>9</v>
      </c>
      <c r="AQ1216">
        <v>0</v>
      </c>
      <c r="AR1216" t="s">
        <v>4078</v>
      </c>
      <c r="AS1216" t="s">
        <v>4079</v>
      </c>
      <c r="AT1216">
        <v>0.69</v>
      </c>
      <c r="AU1216" t="s">
        <v>43</v>
      </c>
      <c r="AV1216" t="s">
        <v>44</v>
      </c>
      <c r="AW1216" t="s">
        <v>45</v>
      </c>
      <c r="AX1216" t="s">
        <v>4080</v>
      </c>
      <c r="AY1216" t="s">
        <v>4081</v>
      </c>
      <c r="AZ1216">
        <v>1860.0000000069849</v>
      </c>
      <c r="BA1216">
        <v>1</v>
      </c>
      <c r="BB1216">
        <v>0</v>
      </c>
      <c r="BC1216">
        <v>40</v>
      </c>
      <c r="BD1216">
        <v>0</v>
      </c>
      <c r="BE1216">
        <f t="shared" si="189"/>
        <v>0</v>
      </c>
    </row>
    <row r="1217" spans="1:57" x14ac:dyDescent="0.25">
      <c r="A1217" t="s">
        <v>39</v>
      </c>
      <c r="B1217" t="s">
        <v>4082</v>
      </c>
      <c r="C1217">
        <v>77.099999999999994</v>
      </c>
      <c r="D1217">
        <v>66.2</v>
      </c>
      <c r="G1217">
        <f t="shared" si="180"/>
        <v>1</v>
      </c>
      <c r="H1217">
        <f t="shared" si="181"/>
        <v>0</v>
      </c>
      <c r="I1217">
        <f t="shared" si="182"/>
        <v>1</v>
      </c>
      <c r="J1217">
        <v>73.3</v>
      </c>
      <c r="K1217">
        <v>77.099999999999994</v>
      </c>
      <c r="L1217">
        <v>66.2</v>
      </c>
      <c r="M1217">
        <v>73.3</v>
      </c>
      <c r="N1217">
        <v>63.8</v>
      </c>
      <c r="O1217">
        <v>72.7</v>
      </c>
      <c r="S1217">
        <f t="shared" si="183"/>
        <v>1</v>
      </c>
      <c r="T1217">
        <f t="shared" si="184"/>
        <v>1</v>
      </c>
      <c r="U1217">
        <f t="shared" si="185"/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18.3</v>
      </c>
      <c r="AG1217">
        <f t="shared" si="186"/>
        <v>0</v>
      </c>
      <c r="AH1217">
        <f t="shared" si="187"/>
        <v>0</v>
      </c>
      <c r="AI1217">
        <f t="shared" si="188"/>
        <v>0</v>
      </c>
      <c r="AJ1217">
        <v>308.10000000000002</v>
      </c>
      <c r="AK1217">
        <v>1014.4</v>
      </c>
      <c r="AL1217">
        <v>28.8</v>
      </c>
      <c r="AM1217">
        <v>6.6</v>
      </c>
      <c r="AN1217">
        <v>348</v>
      </c>
      <c r="AO1217">
        <v>29.8</v>
      </c>
      <c r="AP1217">
        <v>10</v>
      </c>
      <c r="AQ1217">
        <v>0</v>
      </c>
      <c r="AR1217" t="s">
        <v>4083</v>
      </c>
      <c r="AS1217" t="s">
        <v>4084</v>
      </c>
      <c r="AT1217">
        <v>0.55000000000000004</v>
      </c>
      <c r="AU1217" t="s">
        <v>43</v>
      </c>
      <c r="AV1217" t="s">
        <v>44</v>
      </c>
      <c r="AW1217" t="s">
        <v>45</v>
      </c>
      <c r="AX1217" t="s">
        <v>4085</v>
      </c>
      <c r="AY1217" t="s">
        <v>4086</v>
      </c>
      <c r="AZ1217">
        <v>90</v>
      </c>
      <c r="BA1217">
        <v>0</v>
      </c>
      <c r="BB1217">
        <v>0</v>
      </c>
      <c r="BC1217">
        <v>0.5</v>
      </c>
      <c r="BD1217">
        <v>0</v>
      </c>
      <c r="BE1217">
        <f t="shared" si="189"/>
        <v>0</v>
      </c>
    </row>
    <row r="1218" spans="1:57" x14ac:dyDescent="0.25">
      <c r="A1218" t="s">
        <v>39</v>
      </c>
      <c r="B1218" t="s">
        <v>4087</v>
      </c>
      <c r="C1218">
        <v>82.4</v>
      </c>
      <c r="D1218">
        <v>71.599999999999994</v>
      </c>
      <c r="G1218">
        <f t="shared" si="180"/>
        <v>1</v>
      </c>
      <c r="H1218">
        <f t="shared" si="181"/>
        <v>1</v>
      </c>
      <c r="I1218">
        <f t="shared" si="182"/>
        <v>0</v>
      </c>
      <c r="J1218">
        <v>77.599999999999994</v>
      </c>
      <c r="K1218">
        <v>84.7</v>
      </c>
      <c r="L1218">
        <v>71.599999999999994</v>
      </c>
      <c r="M1218">
        <v>78.400000000000006</v>
      </c>
      <c r="N1218">
        <v>63.9</v>
      </c>
      <c r="O1218">
        <v>63</v>
      </c>
      <c r="S1218">
        <f t="shared" si="183"/>
        <v>1</v>
      </c>
      <c r="T1218">
        <f t="shared" si="184"/>
        <v>1</v>
      </c>
      <c r="U1218">
        <f t="shared" si="185"/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19.5</v>
      </c>
      <c r="AG1218">
        <f t="shared" si="186"/>
        <v>1</v>
      </c>
      <c r="AH1218">
        <f t="shared" si="187"/>
        <v>1</v>
      </c>
      <c r="AI1218">
        <f t="shared" si="188"/>
        <v>0</v>
      </c>
      <c r="AJ1218">
        <v>299</v>
      </c>
      <c r="AK1218">
        <v>1010.1</v>
      </c>
      <c r="AL1218">
        <v>0</v>
      </c>
      <c r="AM1218">
        <v>6.2</v>
      </c>
      <c r="AN1218">
        <v>372</v>
      </c>
      <c r="AO1218">
        <v>32.299999999999997</v>
      </c>
      <c r="AP1218">
        <v>10</v>
      </c>
      <c r="AQ1218">
        <v>0</v>
      </c>
      <c r="AR1218" t="s">
        <v>4088</v>
      </c>
      <c r="AS1218" t="s">
        <v>4089</v>
      </c>
      <c r="AT1218">
        <v>0.77</v>
      </c>
      <c r="AU1218" t="s">
        <v>74</v>
      </c>
      <c r="AV1218" t="s">
        <v>2955</v>
      </c>
      <c r="AW1218" t="s">
        <v>75</v>
      </c>
      <c r="AX1218" t="s">
        <v>4090</v>
      </c>
      <c r="AY1218" t="s">
        <v>4091</v>
      </c>
      <c r="AZ1218">
        <v>11.00000000442378</v>
      </c>
      <c r="BA1218">
        <v>0</v>
      </c>
      <c r="BB1218">
        <v>0</v>
      </c>
      <c r="BC1218">
        <v>0</v>
      </c>
      <c r="BD1218">
        <v>0.1</v>
      </c>
      <c r="BE1218">
        <f t="shared" si="189"/>
        <v>1</v>
      </c>
    </row>
    <row r="1219" spans="1:57" x14ac:dyDescent="0.25">
      <c r="A1219" t="s">
        <v>39</v>
      </c>
      <c r="B1219" t="s">
        <v>4092</v>
      </c>
      <c r="C1219">
        <v>82.4</v>
      </c>
      <c r="D1219">
        <v>69.8</v>
      </c>
      <c r="G1219">
        <f t="shared" ref="G1219:G1282" si="190">IF(ABS(C1219-INDEX($F$2:$F$13,MONTH(B1219)))&gt;1.8,1,0)</f>
        <v>0</v>
      </c>
      <c r="H1219">
        <f t="shared" ref="H1219:H1282" si="191">IF(C1219&gt;=INDEX($F$2:$F$13,MONTH(B1219))+1.8,1,0)</f>
        <v>0</v>
      </c>
      <c r="I1219">
        <f t="shared" ref="I1219:I1282" si="192">IF(C1219&lt;=INDEX($F$2:$F$13,MONTH(B1219))-1.8,1,0)</f>
        <v>0</v>
      </c>
      <c r="J1219">
        <v>77</v>
      </c>
      <c r="K1219">
        <v>88.3</v>
      </c>
      <c r="L1219">
        <v>69.8</v>
      </c>
      <c r="M1219">
        <v>79</v>
      </c>
      <c r="N1219">
        <v>67.599999999999994</v>
      </c>
      <c r="O1219">
        <v>72.8</v>
      </c>
      <c r="S1219">
        <f t="shared" ref="S1219:S1282" si="193">IF(OR(O1219&lt;INDEX($Q$2:$Q$13,MONTH(B1219)),O1219&gt;INDEX($R$2:$R$13,MONTH(B1219))),1,0)</f>
        <v>1</v>
      </c>
      <c r="T1219">
        <f t="shared" ref="T1219:T1282" si="194">IF(O1219&gt;INDEX($R$2:$R$13,MONTH(B1219)),1,0)</f>
        <v>1</v>
      </c>
      <c r="U1219">
        <f t="shared" ref="U1219:U1282" si="195">IF(O1219&lt;INDEX($Q$2:$Q$13,MONTH(B1219)),1,0)</f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17.2</v>
      </c>
      <c r="AG1219">
        <f t="shared" ref="AG1219:AG1282" si="196">IF(OR(AC1219&lt;INDEX($AE$2:$AE$13,MONTH(B1219)),AC1219&gt;INDEX($AF$2:$AF$13,MONTH(B1219))),1,0)</f>
        <v>0</v>
      </c>
      <c r="AH1219">
        <f t="shared" ref="AH1219:AH1282" si="197">IF(AC1219&gt;INDEX($AF$2:$AF$13,MONTH(B1219)),1,0)</f>
        <v>0</v>
      </c>
      <c r="AI1219">
        <f t="shared" ref="AI1219:AI1282" si="198">IF(AC1219&lt;INDEX($AE$2:$AE$13,MONTH(B1219)),1,0)</f>
        <v>0</v>
      </c>
      <c r="AJ1219">
        <v>313.8</v>
      </c>
      <c r="AK1219">
        <v>1013.8</v>
      </c>
      <c r="AL1219">
        <v>2.2999999999999998</v>
      </c>
      <c r="AM1219">
        <v>6.2</v>
      </c>
      <c r="AN1219">
        <v>356.8</v>
      </c>
      <c r="AO1219">
        <v>30.7</v>
      </c>
      <c r="AP1219">
        <v>10</v>
      </c>
      <c r="AQ1219">
        <v>0</v>
      </c>
      <c r="AR1219" t="s">
        <v>4093</v>
      </c>
      <c r="AS1219" t="s">
        <v>4094</v>
      </c>
      <c r="AT1219">
        <v>0.28999999999999998</v>
      </c>
      <c r="AU1219" t="s">
        <v>74</v>
      </c>
      <c r="AV1219" t="s">
        <v>2955</v>
      </c>
      <c r="AW1219" t="s">
        <v>75</v>
      </c>
      <c r="AX1219" t="s">
        <v>4095</v>
      </c>
      <c r="AY1219" t="s">
        <v>4096</v>
      </c>
      <c r="AZ1219">
        <v>2409.9999999976721</v>
      </c>
      <c r="BA1219">
        <v>1</v>
      </c>
      <c r="BB1219">
        <v>0</v>
      </c>
      <c r="BC1219">
        <v>50</v>
      </c>
      <c r="BD1219">
        <v>0</v>
      </c>
      <c r="BE1219">
        <f t="shared" ref="BE1219:BE1282" si="199">IF((3*AH1219+3*H1219+2*U1219+2*BA1219-(2*(1-T1219)+2*(1-I1219)+2*(1-AI1219)))&gt;=1,1,0)</f>
        <v>0</v>
      </c>
    </row>
    <row r="1220" spans="1:57" x14ac:dyDescent="0.25">
      <c r="A1220" t="s">
        <v>39</v>
      </c>
      <c r="B1220" t="s">
        <v>4097</v>
      </c>
      <c r="C1220">
        <v>84.2</v>
      </c>
      <c r="D1220">
        <v>73.400000000000006</v>
      </c>
      <c r="G1220">
        <f t="shared" si="190"/>
        <v>0</v>
      </c>
      <c r="H1220">
        <f t="shared" si="191"/>
        <v>0</v>
      </c>
      <c r="I1220">
        <f t="shared" si="192"/>
        <v>0</v>
      </c>
      <c r="J1220">
        <v>80.099999999999994</v>
      </c>
      <c r="K1220">
        <v>91</v>
      </c>
      <c r="L1220">
        <v>73.400000000000006</v>
      </c>
      <c r="M1220">
        <v>82.7</v>
      </c>
      <c r="N1220">
        <v>70</v>
      </c>
      <c r="O1220">
        <v>71.5</v>
      </c>
      <c r="S1220">
        <f t="shared" si="193"/>
        <v>1</v>
      </c>
      <c r="T1220">
        <f t="shared" si="194"/>
        <v>1</v>
      </c>
      <c r="U1220">
        <f t="shared" si="195"/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19.5</v>
      </c>
      <c r="AG1220">
        <f t="shared" si="196"/>
        <v>1</v>
      </c>
      <c r="AH1220">
        <f t="shared" si="197"/>
        <v>1</v>
      </c>
      <c r="AI1220">
        <f t="shared" si="198"/>
        <v>0</v>
      </c>
      <c r="AJ1220">
        <v>309.2</v>
      </c>
      <c r="AK1220">
        <v>1011</v>
      </c>
      <c r="AL1220">
        <v>9.3000000000000007</v>
      </c>
      <c r="AM1220">
        <v>6.3</v>
      </c>
      <c r="AN1220">
        <v>350.2</v>
      </c>
      <c r="AO1220">
        <v>30.2</v>
      </c>
      <c r="AP1220">
        <v>10</v>
      </c>
      <c r="AQ1220">
        <v>0</v>
      </c>
      <c r="AR1220" t="s">
        <v>4098</v>
      </c>
      <c r="AS1220" t="s">
        <v>4099</v>
      </c>
      <c r="AT1220">
        <v>0.5</v>
      </c>
      <c r="AU1220" t="s">
        <v>74</v>
      </c>
      <c r="AV1220" t="s">
        <v>2955</v>
      </c>
      <c r="AW1220" t="s">
        <v>75</v>
      </c>
      <c r="AX1220" t="s">
        <v>4100</v>
      </c>
      <c r="AY1220" t="s">
        <v>4101</v>
      </c>
      <c r="AZ1220">
        <v>20.99999999511056</v>
      </c>
      <c r="BA1220">
        <v>0</v>
      </c>
      <c r="BB1220">
        <v>0</v>
      </c>
      <c r="BC1220">
        <v>0.1</v>
      </c>
      <c r="BD1220">
        <v>0</v>
      </c>
      <c r="BE1220">
        <f t="shared" si="199"/>
        <v>0</v>
      </c>
    </row>
    <row r="1221" spans="1:57" x14ac:dyDescent="0.25">
      <c r="A1221" t="s">
        <v>39</v>
      </c>
      <c r="B1221" t="s">
        <v>4102</v>
      </c>
      <c r="C1221">
        <v>89.6</v>
      </c>
      <c r="D1221">
        <v>71.599999999999994</v>
      </c>
      <c r="G1221">
        <f t="shared" si="190"/>
        <v>1</v>
      </c>
      <c r="H1221">
        <f t="shared" si="191"/>
        <v>1</v>
      </c>
      <c r="I1221">
        <f t="shared" si="192"/>
        <v>0</v>
      </c>
      <c r="J1221">
        <v>81.8</v>
      </c>
      <c r="K1221">
        <v>94.9</v>
      </c>
      <c r="L1221">
        <v>71.599999999999994</v>
      </c>
      <c r="M1221">
        <v>84.8</v>
      </c>
      <c r="N1221">
        <v>69.599999999999994</v>
      </c>
      <c r="O1221">
        <v>67.3</v>
      </c>
      <c r="S1221">
        <f t="shared" si="193"/>
        <v>1</v>
      </c>
      <c r="T1221">
        <f t="shared" si="194"/>
        <v>1</v>
      </c>
      <c r="U1221">
        <f t="shared" si="195"/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11.4</v>
      </c>
      <c r="AG1221">
        <f t="shared" si="196"/>
        <v>1</v>
      </c>
      <c r="AH1221">
        <f t="shared" si="197"/>
        <v>0</v>
      </c>
      <c r="AI1221">
        <f t="shared" si="198"/>
        <v>1</v>
      </c>
      <c r="AJ1221">
        <v>342.6</v>
      </c>
      <c r="AK1221">
        <v>1006.3</v>
      </c>
      <c r="AL1221">
        <v>0</v>
      </c>
      <c r="AM1221">
        <v>6.2</v>
      </c>
      <c r="AN1221">
        <v>351.9</v>
      </c>
      <c r="AO1221">
        <v>30.4</v>
      </c>
      <c r="AP1221">
        <v>10</v>
      </c>
      <c r="AQ1221">
        <v>0</v>
      </c>
      <c r="AR1221" t="s">
        <v>4103</v>
      </c>
      <c r="AS1221" t="s">
        <v>4104</v>
      </c>
      <c r="AT1221">
        <v>0.56999999999999995</v>
      </c>
      <c r="AU1221" t="s">
        <v>74</v>
      </c>
      <c r="AV1221" t="s">
        <v>2955</v>
      </c>
      <c r="AW1221" t="s">
        <v>75</v>
      </c>
      <c r="AX1221" t="s">
        <v>4105</v>
      </c>
      <c r="AY1221" t="s">
        <v>4106</v>
      </c>
      <c r="AZ1221">
        <v>55.000000001164153</v>
      </c>
      <c r="BA1221">
        <v>0</v>
      </c>
      <c r="BB1221">
        <v>0</v>
      </c>
      <c r="BC1221">
        <v>0.1</v>
      </c>
      <c r="BD1221">
        <v>0</v>
      </c>
      <c r="BE1221">
        <f t="shared" si="199"/>
        <v>1</v>
      </c>
    </row>
    <row r="1222" spans="1:57" x14ac:dyDescent="0.25">
      <c r="A1222" t="s">
        <v>39</v>
      </c>
      <c r="B1222" t="s">
        <v>4107</v>
      </c>
      <c r="C1222">
        <v>91.4</v>
      </c>
      <c r="D1222">
        <v>75.2</v>
      </c>
      <c r="G1222">
        <f t="shared" si="190"/>
        <v>1</v>
      </c>
      <c r="H1222">
        <f t="shared" si="191"/>
        <v>1</v>
      </c>
      <c r="I1222">
        <f t="shared" si="192"/>
        <v>0</v>
      </c>
      <c r="J1222">
        <v>83.6</v>
      </c>
      <c r="K1222">
        <v>102.7</v>
      </c>
      <c r="L1222">
        <v>75.2</v>
      </c>
      <c r="M1222">
        <v>88.5</v>
      </c>
      <c r="N1222">
        <v>70.400000000000006</v>
      </c>
      <c r="O1222">
        <v>65.2</v>
      </c>
      <c r="S1222">
        <f t="shared" si="193"/>
        <v>1</v>
      </c>
      <c r="T1222">
        <f t="shared" si="194"/>
        <v>1</v>
      </c>
      <c r="U1222">
        <f t="shared" si="195"/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9.1999999999999993</v>
      </c>
      <c r="AG1222">
        <f t="shared" si="196"/>
        <v>1</v>
      </c>
      <c r="AH1222">
        <f t="shared" si="197"/>
        <v>0</v>
      </c>
      <c r="AI1222">
        <f t="shared" si="198"/>
        <v>1</v>
      </c>
      <c r="AJ1222">
        <v>344.2</v>
      </c>
      <c r="AK1222">
        <v>1005.4</v>
      </c>
      <c r="AL1222">
        <v>0</v>
      </c>
      <c r="AM1222">
        <v>6.2</v>
      </c>
      <c r="AN1222">
        <v>339.5</v>
      </c>
      <c r="AO1222">
        <v>29.3</v>
      </c>
      <c r="AP1222">
        <v>10</v>
      </c>
      <c r="AQ1222">
        <v>0</v>
      </c>
      <c r="AR1222" t="s">
        <v>4108</v>
      </c>
      <c r="AS1222" t="s">
        <v>4109</v>
      </c>
      <c r="AT1222">
        <v>0.66</v>
      </c>
      <c r="AU1222" t="s">
        <v>74</v>
      </c>
      <c r="AV1222" t="s">
        <v>2955</v>
      </c>
      <c r="AW1222" t="s">
        <v>75</v>
      </c>
      <c r="AX1222" t="s">
        <v>4110</v>
      </c>
      <c r="AY1222" t="s">
        <v>4111</v>
      </c>
      <c r="AZ1222">
        <v>135.99999999278231</v>
      </c>
      <c r="BA1222">
        <v>0</v>
      </c>
      <c r="BB1222">
        <v>0</v>
      </c>
      <c r="BC1222">
        <v>0.3</v>
      </c>
      <c r="BD1222">
        <v>0</v>
      </c>
      <c r="BE1222">
        <f t="shared" si="199"/>
        <v>1</v>
      </c>
    </row>
    <row r="1223" spans="1:57" x14ac:dyDescent="0.25">
      <c r="A1223" t="s">
        <v>39</v>
      </c>
      <c r="B1223" t="s">
        <v>4112</v>
      </c>
      <c r="C1223">
        <v>84.2</v>
      </c>
      <c r="D1223">
        <v>71.3</v>
      </c>
      <c r="G1223">
        <f t="shared" si="190"/>
        <v>0</v>
      </c>
      <c r="H1223">
        <f t="shared" si="191"/>
        <v>0</v>
      </c>
      <c r="I1223">
        <f t="shared" si="192"/>
        <v>0</v>
      </c>
      <c r="J1223">
        <v>78.599999999999994</v>
      </c>
      <c r="K1223">
        <v>92.5</v>
      </c>
      <c r="L1223">
        <v>71.3</v>
      </c>
      <c r="M1223">
        <v>81.900000000000006</v>
      </c>
      <c r="N1223">
        <v>69.5</v>
      </c>
      <c r="O1223">
        <v>74</v>
      </c>
      <c r="S1223">
        <f t="shared" si="193"/>
        <v>1</v>
      </c>
      <c r="T1223">
        <f t="shared" si="194"/>
        <v>1</v>
      </c>
      <c r="U1223">
        <f t="shared" si="195"/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23</v>
      </c>
      <c r="AG1223">
        <f t="shared" si="196"/>
        <v>1</v>
      </c>
      <c r="AH1223">
        <f t="shared" si="197"/>
        <v>1</v>
      </c>
      <c r="AI1223">
        <f t="shared" si="198"/>
        <v>0</v>
      </c>
      <c r="AJ1223">
        <v>314</v>
      </c>
      <c r="AK1223">
        <v>1008.9</v>
      </c>
      <c r="AL1223">
        <v>12.7</v>
      </c>
      <c r="AM1223">
        <v>6.4</v>
      </c>
      <c r="AN1223">
        <v>335.1</v>
      </c>
      <c r="AO1223">
        <v>29</v>
      </c>
      <c r="AP1223">
        <v>10</v>
      </c>
      <c r="AQ1223">
        <v>0</v>
      </c>
      <c r="AR1223" t="s">
        <v>4113</v>
      </c>
      <c r="AS1223" t="s">
        <v>4114</v>
      </c>
      <c r="AT1223">
        <v>0.09</v>
      </c>
      <c r="AU1223" t="s">
        <v>74</v>
      </c>
      <c r="AV1223" t="s">
        <v>2955</v>
      </c>
      <c r="AW1223" t="s">
        <v>75</v>
      </c>
      <c r="AX1223" t="s">
        <v>2539</v>
      </c>
      <c r="AY1223" t="s">
        <v>4115</v>
      </c>
      <c r="AZ1223">
        <v>100.0000000011642</v>
      </c>
      <c r="BA1223">
        <v>0</v>
      </c>
      <c r="BB1223">
        <v>0</v>
      </c>
      <c r="BC1223">
        <v>0</v>
      </c>
      <c r="BD1223">
        <v>0.1</v>
      </c>
      <c r="BE1223">
        <f t="shared" si="199"/>
        <v>0</v>
      </c>
    </row>
    <row r="1224" spans="1:57" x14ac:dyDescent="0.25">
      <c r="A1224" t="s">
        <v>39</v>
      </c>
      <c r="B1224" t="s">
        <v>4116</v>
      </c>
      <c r="C1224">
        <v>86</v>
      </c>
      <c r="D1224">
        <v>77</v>
      </c>
      <c r="G1224">
        <f t="shared" si="190"/>
        <v>1</v>
      </c>
      <c r="H1224">
        <f t="shared" si="191"/>
        <v>1</v>
      </c>
      <c r="I1224">
        <f t="shared" si="192"/>
        <v>0</v>
      </c>
      <c r="J1224">
        <v>81.3</v>
      </c>
      <c r="K1224">
        <v>92</v>
      </c>
      <c r="L1224">
        <v>77</v>
      </c>
      <c r="M1224">
        <v>83.6</v>
      </c>
      <c r="N1224">
        <v>69.7</v>
      </c>
      <c r="O1224">
        <v>68.2</v>
      </c>
      <c r="S1224">
        <f t="shared" si="193"/>
        <v>1</v>
      </c>
      <c r="T1224">
        <f t="shared" si="194"/>
        <v>1</v>
      </c>
      <c r="U1224">
        <f t="shared" si="195"/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27.5</v>
      </c>
      <c r="AC1224">
        <v>19.5</v>
      </c>
      <c r="AG1224">
        <f t="shared" si="196"/>
        <v>1</v>
      </c>
      <c r="AH1224">
        <f t="shared" si="197"/>
        <v>1</v>
      </c>
      <c r="AI1224">
        <f t="shared" si="198"/>
        <v>0</v>
      </c>
      <c r="AJ1224">
        <v>308.3</v>
      </c>
      <c r="AK1224">
        <v>1010.3</v>
      </c>
      <c r="AL1224">
        <v>21</v>
      </c>
      <c r="AM1224">
        <v>6.4</v>
      </c>
      <c r="AN1224">
        <v>336.7</v>
      </c>
      <c r="AO1224">
        <v>29</v>
      </c>
      <c r="AP1224">
        <v>10</v>
      </c>
      <c r="AQ1224">
        <v>0</v>
      </c>
      <c r="AR1224" t="s">
        <v>4117</v>
      </c>
      <c r="AS1224" t="s">
        <v>4118</v>
      </c>
      <c r="AT1224">
        <v>0.16</v>
      </c>
      <c r="AU1224" t="s">
        <v>43</v>
      </c>
      <c r="AV1224" t="s">
        <v>44</v>
      </c>
      <c r="AW1224" t="s">
        <v>45</v>
      </c>
      <c r="AX1224" t="s">
        <v>2565</v>
      </c>
      <c r="AY1224" t="s">
        <v>4119</v>
      </c>
      <c r="AZ1224">
        <v>7705.0000000011642</v>
      </c>
      <c r="BA1224">
        <v>1</v>
      </c>
      <c r="BB1224">
        <v>0</v>
      </c>
      <c r="BC1224">
        <v>250</v>
      </c>
      <c r="BD1224">
        <v>0</v>
      </c>
      <c r="BE1224">
        <f t="shared" si="199"/>
        <v>1</v>
      </c>
    </row>
    <row r="1225" spans="1:57" x14ac:dyDescent="0.25">
      <c r="A1225" t="s">
        <v>39</v>
      </c>
      <c r="B1225" t="s">
        <v>4120</v>
      </c>
      <c r="C1225">
        <v>82.4</v>
      </c>
      <c r="D1225">
        <v>75.2</v>
      </c>
      <c r="G1225">
        <f t="shared" si="190"/>
        <v>0</v>
      </c>
      <c r="H1225">
        <f t="shared" si="191"/>
        <v>0</v>
      </c>
      <c r="I1225">
        <f t="shared" si="192"/>
        <v>0</v>
      </c>
      <c r="J1225">
        <v>78.400000000000006</v>
      </c>
      <c r="K1225">
        <v>85.4</v>
      </c>
      <c r="L1225">
        <v>75.2</v>
      </c>
      <c r="M1225">
        <v>79.3</v>
      </c>
      <c r="N1225">
        <v>67.099999999999994</v>
      </c>
      <c r="O1225">
        <v>68.599999999999994</v>
      </c>
      <c r="S1225">
        <f t="shared" si="193"/>
        <v>1</v>
      </c>
      <c r="T1225">
        <f t="shared" si="194"/>
        <v>1</v>
      </c>
      <c r="U1225">
        <f t="shared" si="195"/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25.3</v>
      </c>
      <c r="AC1225">
        <v>20.8</v>
      </c>
      <c r="AG1225">
        <f t="shared" si="196"/>
        <v>1</v>
      </c>
      <c r="AH1225">
        <f t="shared" si="197"/>
        <v>1</v>
      </c>
      <c r="AI1225">
        <f t="shared" si="198"/>
        <v>0</v>
      </c>
      <c r="AJ1225">
        <v>308.5</v>
      </c>
      <c r="AK1225">
        <v>1006.7</v>
      </c>
      <c r="AL1225">
        <v>26.2</v>
      </c>
      <c r="AM1225">
        <v>6.6</v>
      </c>
      <c r="AN1225">
        <v>323.89999999999998</v>
      </c>
      <c r="AO1225">
        <v>28</v>
      </c>
      <c r="AP1225">
        <v>10</v>
      </c>
      <c r="AQ1225">
        <v>0</v>
      </c>
      <c r="AR1225" t="s">
        <v>4121</v>
      </c>
      <c r="AS1225" t="s">
        <v>4122</v>
      </c>
      <c r="AT1225">
        <v>0.5</v>
      </c>
      <c r="AU1225" t="s">
        <v>43</v>
      </c>
      <c r="AV1225" t="s">
        <v>44</v>
      </c>
      <c r="AW1225" t="s">
        <v>45</v>
      </c>
      <c r="AX1225" t="s">
        <v>2795</v>
      </c>
      <c r="AY1225" t="s">
        <v>4123</v>
      </c>
      <c r="AZ1225">
        <v>405</v>
      </c>
      <c r="BA1225">
        <v>1</v>
      </c>
      <c r="BB1225">
        <v>0</v>
      </c>
      <c r="BC1225">
        <v>1</v>
      </c>
      <c r="BD1225">
        <v>0</v>
      </c>
      <c r="BE1225">
        <f t="shared" si="199"/>
        <v>1</v>
      </c>
    </row>
    <row r="1226" spans="1:57" x14ac:dyDescent="0.25">
      <c r="A1226" t="s">
        <v>39</v>
      </c>
      <c r="B1226" t="s">
        <v>4124</v>
      </c>
      <c r="C1226">
        <v>82.4</v>
      </c>
      <c r="D1226">
        <v>73.400000000000006</v>
      </c>
      <c r="G1226">
        <f t="shared" si="190"/>
        <v>0</v>
      </c>
      <c r="H1226">
        <f t="shared" si="191"/>
        <v>0</v>
      </c>
      <c r="I1226">
        <f t="shared" si="192"/>
        <v>0</v>
      </c>
      <c r="J1226">
        <v>79</v>
      </c>
      <c r="K1226">
        <v>86.2</v>
      </c>
      <c r="L1226">
        <v>73.400000000000006</v>
      </c>
      <c r="M1226">
        <v>80.5</v>
      </c>
      <c r="N1226">
        <v>67.2</v>
      </c>
      <c r="O1226">
        <v>67.3</v>
      </c>
      <c r="S1226">
        <f t="shared" si="193"/>
        <v>1</v>
      </c>
      <c r="T1226">
        <f t="shared" si="194"/>
        <v>1</v>
      </c>
      <c r="U1226">
        <f t="shared" si="195"/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20.8</v>
      </c>
      <c r="AG1226">
        <f t="shared" si="196"/>
        <v>1</v>
      </c>
      <c r="AH1226">
        <f t="shared" si="197"/>
        <v>1</v>
      </c>
      <c r="AI1226">
        <f t="shared" si="198"/>
        <v>0</v>
      </c>
      <c r="AJ1226">
        <v>304.60000000000002</v>
      </c>
      <c r="AK1226">
        <v>1007.7</v>
      </c>
      <c r="AL1226">
        <v>17.399999999999999</v>
      </c>
      <c r="AM1226">
        <v>6.5</v>
      </c>
      <c r="AN1226">
        <v>328.3</v>
      </c>
      <c r="AO1226">
        <v>28.5</v>
      </c>
      <c r="AP1226">
        <v>10</v>
      </c>
      <c r="AQ1226">
        <v>0</v>
      </c>
      <c r="AR1226" t="s">
        <v>4125</v>
      </c>
      <c r="AS1226" t="s">
        <v>4126</v>
      </c>
      <c r="AT1226">
        <v>0.52</v>
      </c>
      <c r="AU1226" t="s">
        <v>74</v>
      </c>
      <c r="AV1226" t="s">
        <v>2955</v>
      </c>
      <c r="AW1226" t="s">
        <v>75</v>
      </c>
      <c r="AX1226" t="s">
        <v>4127</v>
      </c>
      <c r="AY1226" t="s">
        <v>4128</v>
      </c>
      <c r="AZ1226">
        <v>341.00000000093132</v>
      </c>
      <c r="BA1226">
        <v>0</v>
      </c>
      <c r="BB1226">
        <v>0</v>
      </c>
      <c r="BC1226">
        <v>2</v>
      </c>
      <c r="BD1226">
        <v>0</v>
      </c>
      <c r="BE1226">
        <f t="shared" si="199"/>
        <v>0</v>
      </c>
    </row>
    <row r="1227" spans="1:57" x14ac:dyDescent="0.25">
      <c r="A1227" t="s">
        <v>39</v>
      </c>
      <c r="B1227" t="s">
        <v>4129</v>
      </c>
      <c r="C1227">
        <v>82.4</v>
      </c>
      <c r="D1227">
        <v>68</v>
      </c>
      <c r="G1227">
        <f t="shared" si="190"/>
        <v>0</v>
      </c>
      <c r="H1227">
        <f t="shared" si="191"/>
        <v>0</v>
      </c>
      <c r="I1227">
        <f t="shared" si="192"/>
        <v>0</v>
      </c>
      <c r="J1227">
        <v>76.7</v>
      </c>
      <c r="K1227">
        <v>88.3</v>
      </c>
      <c r="L1227">
        <v>68</v>
      </c>
      <c r="M1227">
        <v>78.400000000000006</v>
      </c>
      <c r="N1227">
        <v>67.099999999999994</v>
      </c>
      <c r="O1227">
        <v>72.400000000000006</v>
      </c>
      <c r="S1227">
        <f t="shared" si="193"/>
        <v>1</v>
      </c>
      <c r="T1227">
        <f t="shared" si="194"/>
        <v>1</v>
      </c>
      <c r="U1227">
        <f t="shared" si="195"/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26.4</v>
      </c>
      <c r="AC1227">
        <v>23</v>
      </c>
      <c r="AG1227">
        <f t="shared" si="196"/>
        <v>1</v>
      </c>
      <c r="AH1227">
        <f t="shared" si="197"/>
        <v>1</v>
      </c>
      <c r="AI1227">
        <f t="shared" si="198"/>
        <v>0</v>
      </c>
      <c r="AJ1227">
        <v>309.3</v>
      </c>
      <c r="AK1227">
        <v>1011</v>
      </c>
      <c r="AL1227">
        <v>3.6</v>
      </c>
      <c r="AM1227">
        <v>6.3</v>
      </c>
      <c r="AN1227">
        <v>311.7</v>
      </c>
      <c r="AO1227">
        <v>26.9</v>
      </c>
      <c r="AP1227">
        <v>10</v>
      </c>
      <c r="AQ1227">
        <v>0</v>
      </c>
      <c r="AR1227" t="s">
        <v>4130</v>
      </c>
      <c r="AS1227" t="s">
        <v>4131</v>
      </c>
      <c r="AT1227">
        <v>0.75</v>
      </c>
      <c r="AU1227" t="s">
        <v>74</v>
      </c>
      <c r="AV1227" t="s">
        <v>2955</v>
      </c>
      <c r="AW1227" t="s">
        <v>75</v>
      </c>
      <c r="AX1227" t="s">
        <v>4132</v>
      </c>
      <c r="AY1227" t="s">
        <v>4133</v>
      </c>
      <c r="AZ1227">
        <v>7740</v>
      </c>
      <c r="BA1227">
        <v>1</v>
      </c>
      <c r="BB1227">
        <v>0</v>
      </c>
      <c r="BC1227">
        <v>1300</v>
      </c>
      <c r="BD1227">
        <v>0</v>
      </c>
      <c r="BE1227">
        <f t="shared" si="199"/>
        <v>1</v>
      </c>
    </row>
    <row r="1228" spans="1:57" x14ac:dyDescent="0.25">
      <c r="A1228" t="s">
        <v>39</v>
      </c>
      <c r="B1228" t="s">
        <v>4065</v>
      </c>
      <c r="C1228">
        <v>78.8</v>
      </c>
      <c r="D1228">
        <v>64.400000000000006</v>
      </c>
      <c r="G1228">
        <f t="shared" si="190"/>
        <v>0</v>
      </c>
      <c r="H1228">
        <f t="shared" si="191"/>
        <v>0</v>
      </c>
      <c r="I1228">
        <f t="shared" si="192"/>
        <v>0</v>
      </c>
      <c r="J1228">
        <v>72.5</v>
      </c>
      <c r="K1228">
        <v>78.8</v>
      </c>
      <c r="L1228">
        <v>64.400000000000006</v>
      </c>
      <c r="M1228">
        <v>72.5</v>
      </c>
      <c r="N1228">
        <v>64.8</v>
      </c>
      <c r="O1228">
        <v>77</v>
      </c>
      <c r="S1228">
        <f t="shared" si="193"/>
        <v>1</v>
      </c>
      <c r="T1228">
        <f t="shared" si="194"/>
        <v>1</v>
      </c>
      <c r="U1228">
        <f t="shared" si="195"/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19.5</v>
      </c>
      <c r="AG1228">
        <f t="shared" si="196"/>
        <v>1</v>
      </c>
      <c r="AH1228">
        <f t="shared" si="197"/>
        <v>1</v>
      </c>
      <c r="AI1228">
        <f t="shared" si="198"/>
        <v>0</v>
      </c>
      <c r="AJ1228">
        <v>305.10000000000002</v>
      </c>
      <c r="AK1228">
        <v>1016.4</v>
      </c>
      <c r="AL1228">
        <v>31.5</v>
      </c>
      <c r="AM1228">
        <v>6.6</v>
      </c>
      <c r="AN1228">
        <v>238.4</v>
      </c>
      <c r="AO1228">
        <v>20.7</v>
      </c>
      <c r="AP1228">
        <v>8</v>
      </c>
      <c r="AQ1228">
        <v>0</v>
      </c>
      <c r="AR1228" t="s">
        <v>4066</v>
      </c>
      <c r="AS1228" t="s">
        <v>4067</v>
      </c>
      <c r="AT1228">
        <v>0.96</v>
      </c>
      <c r="AU1228" t="s">
        <v>43</v>
      </c>
      <c r="AV1228" t="s">
        <v>44</v>
      </c>
      <c r="AW1228" t="s">
        <v>45</v>
      </c>
      <c r="AX1228" t="s">
        <v>4134</v>
      </c>
      <c r="AY1228" t="s">
        <v>4135</v>
      </c>
      <c r="AZ1228">
        <v>74.999999993015081</v>
      </c>
      <c r="BA1228">
        <v>0</v>
      </c>
      <c r="BB1228">
        <v>0</v>
      </c>
      <c r="BC1228">
        <v>0.2</v>
      </c>
      <c r="BD1228">
        <v>0</v>
      </c>
      <c r="BE1228">
        <f t="shared" si="199"/>
        <v>0</v>
      </c>
    </row>
    <row r="1229" spans="1:57" x14ac:dyDescent="0.25">
      <c r="A1229" t="s">
        <v>39</v>
      </c>
      <c r="B1229" t="s">
        <v>4136</v>
      </c>
      <c r="C1229">
        <v>75.2</v>
      </c>
      <c r="D1229">
        <v>68</v>
      </c>
      <c r="G1229">
        <f t="shared" si="190"/>
        <v>1</v>
      </c>
      <c r="H1229">
        <f t="shared" si="191"/>
        <v>0</v>
      </c>
      <c r="I1229">
        <f t="shared" si="192"/>
        <v>1</v>
      </c>
      <c r="J1229">
        <v>72.599999999999994</v>
      </c>
      <c r="K1229">
        <v>75.2</v>
      </c>
      <c r="L1229">
        <v>68</v>
      </c>
      <c r="M1229">
        <v>72.599999999999994</v>
      </c>
      <c r="N1229">
        <v>63.7</v>
      </c>
      <c r="O1229">
        <v>73.900000000000006</v>
      </c>
      <c r="S1229">
        <f t="shared" si="193"/>
        <v>1</v>
      </c>
      <c r="T1229">
        <f t="shared" si="194"/>
        <v>1</v>
      </c>
      <c r="U1229">
        <f t="shared" si="195"/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17.2</v>
      </c>
      <c r="AG1229">
        <f t="shared" si="196"/>
        <v>0</v>
      </c>
      <c r="AH1229">
        <f t="shared" si="197"/>
        <v>0</v>
      </c>
      <c r="AI1229">
        <f t="shared" si="198"/>
        <v>0</v>
      </c>
      <c r="AJ1229">
        <v>325.10000000000002</v>
      </c>
      <c r="AK1229">
        <v>1014.9</v>
      </c>
      <c r="AL1229">
        <v>59.1</v>
      </c>
      <c r="AM1229">
        <v>6.6</v>
      </c>
      <c r="AN1229">
        <v>238.5</v>
      </c>
      <c r="AO1229">
        <v>20.8</v>
      </c>
      <c r="AP1229">
        <v>8</v>
      </c>
      <c r="AQ1229">
        <v>0</v>
      </c>
      <c r="AR1229" t="s">
        <v>4137</v>
      </c>
      <c r="AS1229" t="s">
        <v>4138</v>
      </c>
      <c r="AT1229">
        <v>7.0000000000000007E-2</v>
      </c>
      <c r="AU1229" t="s">
        <v>43</v>
      </c>
      <c r="AV1229" t="s">
        <v>44</v>
      </c>
      <c r="AW1229" t="s">
        <v>45</v>
      </c>
      <c r="AX1229" t="s">
        <v>2373</v>
      </c>
      <c r="AY1229" t="s">
        <v>4139</v>
      </c>
      <c r="AZ1229">
        <v>3449.9999999930151</v>
      </c>
      <c r="BA1229">
        <v>1</v>
      </c>
      <c r="BB1229">
        <v>0</v>
      </c>
      <c r="BC1229">
        <v>30</v>
      </c>
      <c r="BD1229">
        <v>0</v>
      </c>
      <c r="BE1229">
        <f t="shared" si="199"/>
        <v>0</v>
      </c>
    </row>
    <row r="1230" spans="1:57" x14ac:dyDescent="0.25">
      <c r="A1230" t="s">
        <v>39</v>
      </c>
      <c r="B1230" t="s">
        <v>4140</v>
      </c>
      <c r="C1230">
        <v>64.400000000000006</v>
      </c>
      <c r="D1230">
        <v>60.8</v>
      </c>
      <c r="G1230">
        <f t="shared" si="190"/>
        <v>1</v>
      </c>
      <c r="H1230">
        <f t="shared" si="191"/>
        <v>0</v>
      </c>
      <c r="I1230">
        <f t="shared" si="192"/>
        <v>1</v>
      </c>
      <c r="J1230">
        <v>61.3</v>
      </c>
      <c r="K1230">
        <v>64.400000000000006</v>
      </c>
      <c r="L1230">
        <v>60.8</v>
      </c>
      <c r="M1230">
        <v>61.3</v>
      </c>
      <c r="N1230">
        <v>47.9</v>
      </c>
      <c r="O1230">
        <v>61.5</v>
      </c>
      <c r="S1230">
        <f t="shared" si="193"/>
        <v>1</v>
      </c>
      <c r="T1230">
        <f t="shared" si="194"/>
        <v>0</v>
      </c>
      <c r="U1230">
        <f t="shared" si="195"/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21.9</v>
      </c>
      <c r="AG1230">
        <f t="shared" si="196"/>
        <v>1</v>
      </c>
      <c r="AH1230">
        <f t="shared" si="197"/>
        <v>1</v>
      </c>
      <c r="AI1230">
        <f t="shared" si="198"/>
        <v>0</v>
      </c>
      <c r="AJ1230">
        <v>341.5</v>
      </c>
      <c r="AK1230">
        <v>1017.7</v>
      </c>
      <c r="AL1230">
        <v>59.8</v>
      </c>
      <c r="AM1230">
        <v>6.6</v>
      </c>
      <c r="AN1230">
        <v>180.4</v>
      </c>
      <c r="AO1230">
        <v>15.6</v>
      </c>
      <c r="AP1230">
        <v>7</v>
      </c>
      <c r="AQ1230">
        <v>0</v>
      </c>
      <c r="AR1230" t="s">
        <v>4141</v>
      </c>
      <c r="AS1230" t="s">
        <v>4142</v>
      </c>
      <c r="AT1230">
        <v>0.28999999999999998</v>
      </c>
      <c r="AU1230" t="s">
        <v>43</v>
      </c>
      <c r="AV1230" t="s">
        <v>44</v>
      </c>
      <c r="AW1230" t="s">
        <v>45</v>
      </c>
      <c r="AX1230" t="s">
        <v>4143</v>
      </c>
      <c r="AY1230" t="s">
        <v>4144</v>
      </c>
      <c r="AZ1230">
        <v>50.000000005820773</v>
      </c>
      <c r="BA1230">
        <v>0</v>
      </c>
      <c r="BB1230">
        <v>0</v>
      </c>
      <c r="BC1230">
        <v>0.2</v>
      </c>
      <c r="BD1230">
        <v>0</v>
      </c>
      <c r="BE1230">
        <f t="shared" si="199"/>
        <v>1</v>
      </c>
    </row>
    <row r="1231" spans="1:57" x14ac:dyDescent="0.25">
      <c r="A1231" t="s">
        <v>39</v>
      </c>
      <c r="B1231" t="s">
        <v>4145</v>
      </c>
      <c r="C1231">
        <v>68</v>
      </c>
      <c r="D1231">
        <v>55.4</v>
      </c>
      <c r="G1231">
        <f t="shared" si="190"/>
        <v>0</v>
      </c>
      <c r="H1231">
        <f t="shared" si="191"/>
        <v>0</v>
      </c>
      <c r="I1231">
        <f t="shared" si="192"/>
        <v>0</v>
      </c>
      <c r="J1231">
        <v>62.2</v>
      </c>
      <c r="K1231">
        <v>68</v>
      </c>
      <c r="L1231">
        <v>55.4</v>
      </c>
      <c r="M1231">
        <v>62.2</v>
      </c>
      <c r="N1231">
        <v>56.9</v>
      </c>
      <c r="O1231">
        <v>83.2</v>
      </c>
      <c r="S1231">
        <f t="shared" si="193"/>
        <v>1</v>
      </c>
      <c r="T1231">
        <f t="shared" si="194"/>
        <v>1</v>
      </c>
      <c r="U1231">
        <f t="shared" si="195"/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10.3</v>
      </c>
      <c r="AG1231">
        <f t="shared" si="196"/>
        <v>1</v>
      </c>
      <c r="AH1231">
        <f t="shared" si="197"/>
        <v>0</v>
      </c>
      <c r="AI1231">
        <f t="shared" si="198"/>
        <v>1</v>
      </c>
      <c r="AJ1231">
        <v>290.5</v>
      </c>
      <c r="AK1231">
        <v>1015.8</v>
      </c>
      <c r="AL1231">
        <v>79.099999999999994</v>
      </c>
      <c r="AM1231">
        <v>6.6</v>
      </c>
      <c r="AN1231">
        <v>120</v>
      </c>
      <c r="AO1231">
        <v>10.4</v>
      </c>
      <c r="AP1231">
        <v>5</v>
      </c>
      <c r="AQ1231">
        <v>0</v>
      </c>
      <c r="AR1231" t="s">
        <v>4146</v>
      </c>
      <c r="AS1231" t="s">
        <v>4147</v>
      </c>
      <c r="AT1231">
        <v>0.5</v>
      </c>
      <c r="AU1231" t="s">
        <v>43</v>
      </c>
      <c r="AV1231" t="s">
        <v>44</v>
      </c>
      <c r="AW1231" t="s">
        <v>45</v>
      </c>
      <c r="AX1231" t="s">
        <v>4148</v>
      </c>
      <c r="AY1231" t="s">
        <v>4149</v>
      </c>
      <c r="AZ1231">
        <v>147.00000000768341</v>
      </c>
      <c r="BA1231">
        <v>0</v>
      </c>
      <c r="BB1231">
        <v>0.1</v>
      </c>
      <c r="BC1231">
        <v>0</v>
      </c>
      <c r="BD1231">
        <v>0</v>
      </c>
      <c r="BE1231">
        <f t="shared" si="199"/>
        <v>0</v>
      </c>
    </row>
    <row r="1232" spans="1:57" x14ac:dyDescent="0.25">
      <c r="A1232" t="s">
        <v>39</v>
      </c>
      <c r="B1232" t="s">
        <v>4150</v>
      </c>
      <c r="C1232">
        <v>64.400000000000006</v>
      </c>
      <c r="D1232">
        <v>51.8</v>
      </c>
      <c r="G1232">
        <f t="shared" si="190"/>
        <v>1</v>
      </c>
      <c r="H1232">
        <f t="shared" si="191"/>
        <v>0</v>
      </c>
      <c r="I1232">
        <f t="shared" si="192"/>
        <v>1</v>
      </c>
      <c r="J1232">
        <v>57.4</v>
      </c>
      <c r="K1232">
        <v>64.400000000000006</v>
      </c>
      <c r="L1232">
        <v>51.8</v>
      </c>
      <c r="M1232">
        <v>57.4</v>
      </c>
      <c r="N1232">
        <v>52.5</v>
      </c>
      <c r="O1232">
        <v>83.7</v>
      </c>
      <c r="S1232">
        <f t="shared" si="193"/>
        <v>1</v>
      </c>
      <c r="T1232">
        <f t="shared" si="194"/>
        <v>1</v>
      </c>
      <c r="U1232">
        <f t="shared" si="195"/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8.1</v>
      </c>
      <c r="AG1232">
        <f t="shared" si="196"/>
        <v>1</v>
      </c>
      <c r="AH1232">
        <f t="shared" si="197"/>
        <v>0</v>
      </c>
      <c r="AI1232">
        <f t="shared" si="198"/>
        <v>1</v>
      </c>
      <c r="AJ1232">
        <v>106.8</v>
      </c>
      <c r="AK1232">
        <v>1023</v>
      </c>
      <c r="AL1232">
        <v>85.9</v>
      </c>
      <c r="AM1232">
        <v>6.6</v>
      </c>
      <c r="AN1232">
        <v>52.7</v>
      </c>
      <c r="AO1232">
        <v>4.5999999999999996</v>
      </c>
      <c r="AP1232">
        <v>2</v>
      </c>
      <c r="AQ1232">
        <v>0</v>
      </c>
      <c r="AR1232" t="s">
        <v>4151</v>
      </c>
      <c r="AS1232" t="s">
        <v>4152</v>
      </c>
      <c r="AT1232">
        <v>0.94</v>
      </c>
      <c r="AU1232" t="s">
        <v>43</v>
      </c>
      <c r="AV1232" t="s">
        <v>44</v>
      </c>
      <c r="AW1232" t="s">
        <v>45</v>
      </c>
      <c r="AX1232" t="s">
        <v>2443</v>
      </c>
      <c r="AY1232" t="s">
        <v>4153</v>
      </c>
      <c r="AZ1232">
        <v>84.999999994179234</v>
      </c>
      <c r="BA1232">
        <v>0</v>
      </c>
      <c r="BB1232">
        <v>0</v>
      </c>
      <c r="BC1232">
        <v>0.5</v>
      </c>
      <c r="BD1232">
        <v>0</v>
      </c>
      <c r="BE1232">
        <f t="shared" si="199"/>
        <v>0</v>
      </c>
    </row>
    <row r="1233" spans="1:57" x14ac:dyDescent="0.25">
      <c r="A1233" t="s">
        <v>39</v>
      </c>
      <c r="B1233" t="s">
        <v>4154</v>
      </c>
      <c r="C1233">
        <v>62.7</v>
      </c>
      <c r="D1233">
        <v>50</v>
      </c>
      <c r="G1233">
        <f t="shared" si="190"/>
        <v>1</v>
      </c>
      <c r="H1233">
        <f t="shared" si="191"/>
        <v>1</v>
      </c>
      <c r="I1233">
        <f t="shared" si="192"/>
        <v>0</v>
      </c>
      <c r="J1233">
        <v>57.8</v>
      </c>
      <c r="K1233">
        <v>62.7</v>
      </c>
      <c r="L1233">
        <v>50</v>
      </c>
      <c r="M1233">
        <v>57.8</v>
      </c>
      <c r="N1233">
        <v>50.8</v>
      </c>
      <c r="O1233">
        <v>77.8</v>
      </c>
      <c r="S1233">
        <f t="shared" si="193"/>
        <v>1</v>
      </c>
      <c r="T1233">
        <f t="shared" si="194"/>
        <v>1</v>
      </c>
      <c r="U1233">
        <f t="shared" si="195"/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16.100000000000001</v>
      </c>
      <c r="AG1233">
        <f t="shared" si="196"/>
        <v>1</v>
      </c>
      <c r="AH1233">
        <f t="shared" si="197"/>
        <v>0</v>
      </c>
      <c r="AI1233">
        <f t="shared" si="198"/>
        <v>1</v>
      </c>
      <c r="AJ1233">
        <v>306</v>
      </c>
      <c r="AK1233">
        <v>1017.9</v>
      </c>
      <c r="AL1233">
        <v>38.200000000000003</v>
      </c>
      <c r="AM1233">
        <v>6.6</v>
      </c>
      <c r="AN1233">
        <v>180.5</v>
      </c>
      <c r="AO1233">
        <v>15.6</v>
      </c>
      <c r="AP1233">
        <v>7</v>
      </c>
      <c r="AQ1233">
        <v>0</v>
      </c>
      <c r="AR1233" t="s">
        <v>4155</v>
      </c>
      <c r="AS1233" t="s">
        <v>4156</v>
      </c>
      <c r="AT1233">
        <v>0.17</v>
      </c>
      <c r="AU1233" t="s">
        <v>43</v>
      </c>
      <c r="AV1233" t="s">
        <v>44</v>
      </c>
      <c r="AW1233" t="s">
        <v>45</v>
      </c>
      <c r="AX1233" t="s">
        <v>4157</v>
      </c>
      <c r="AY1233" t="s">
        <v>4158</v>
      </c>
      <c r="AZ1233">
        <v>189.9999999906868</v>
      </c>
      <c r="BA1233">
        <v>0</v>
      </c>
      <c r="BB1233">
        <v>0</v>
      </c>
      <c r="BC1233">
        <v>9</v>
      </c>
      <c r="BD1233">
        <v>0</v>
      </c>
      <c r="BE1233">
        <f t="shared" si="199"/>
        <v>1</v>
      </c>
    </row>
    <row r="1234" spans="1:57" x14ac:dyDescent="0.25">
      <c r="A1234" t="s">
        <v>39</v>
      </c>
      <c r="B1234" t="s">
        <v>4159</v>
      </c>
      <c r="C1234">
        <v>71.599999999999994</v>
      </c>
      <c r="D1234">
        <v>57.2</v>
      </c>
      <c r="G1234">
        <f t="shared" si="190"/>
        <v>1</v>
      </c>
      <c r="H1234">
        <f t="shared" si="191"/>
        <v>1</v>
      </c>
      <c r="I1234">
        <f t="shared" si="192"/>
        <v>0</v>
      </c>
      <c r="J1234">
        <v>61.9</v>
      </c>
      <c r="K1234">
        <v>71.599999999999994</v>
      </c>
      <c r="L1234">
        <v>57.2</v>
      </c>
      <c r="M1234">
        <v>61.9</v>
      </c>
      <c r="N1234">
        <v>52.6</v>
      </c>
      <c r="O1234">
        <v>71.8</v>
      </c>
      <c r="S1234">
        <f t="shared" si="193"/>
        <v>1</v>
      </c>
      <c r="T1234">
        <f t="shared" si="194"/>
        <v>1</v>
      </c>
      <c r="U1234">
        <f t="shared" si="195"/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21.9</v>
      </c>
      <c r="AG1234">
        <f t="shared" si="196"/>
        <v>1</v>
      </c>
      <c r="AH1234">
        <f t="shared" si="197"/>
        <v>1</v>
      </c>
      <c r="AI1234">
        <f t="shared" si="198"/>
        <v>0</v>
      </c>
      <c r="AJ1234">
        <v>240.8</v>
      </c>
      <c r="AK1234">
        <v>1011</v>
      </c>
      <c r="AL1234">
        <v>45.4</v>
      </c>
      <c r="AM1234">
        <v>6.6</v>
      </c>
      <c r="AN1234">
        <v>295.60000000000002</v>
      </c>
      <c r="AO1234">
        <v>25.4</v>
      </c>
      <c r="AP1234">
        <v>9</v>
      </c>
      <c r="AQ1234">
        <v>0</v>
      </c>
      <c r="AR1234" t="s">
        <v>4160</v>
      </c>
      <c r="AS1234" t="s">
        <v>4161</v>
      </c>
      <c r="AT1234">
        <v>0.37</v>
      </c>
      <c r="AU1234" t="s">
        <v>43</v>
      </c>
      <c r="AV1234" t="s">
        <v>44</v>
      </c>
      <c r="AW1234" t="s">
        <v>45</v>
      </c>
      <c r="AX1234" t="s">
        <v>2725</v>
      </c>
      <c r="AY1234" t="s">
        <v>4162</v>
      </c>
      <c r="AZ1234">
        <v>171.0000000020955</v>
      </c>
      <c r="BA1234">
        <v>0</v>
      </c>
      <c r="BB1234">
        <v>0</v>
      </c>
      <c r="BC1234">
        <v>0.3</v>
      </c>
      <c r="BD1234">
        <v>0</v>
      </c>
      <c r="BE1234">
        <f t="shared" si="199"/>
        <v>1</v>
      </c>
    </row>
    <row r="1235" spans="1:57" x14ac:dyDescent="0.25">
      <c r="A1235" t="s">
        <v>39</v>
      </c>
      <c r="B1235" t="s">
        <v>4163</v>
      </c>
      <c r="C1235">
        <v>68.099999999999994</v>
      </c>
      <c r="D1235">
        <v>55.4</v>
      </c>
      <c r="G1235">
        <f t="shared" si="190"/>
        <v>1</v>
      </c>
      <c r="H1235">
        <f t="shared" si="191"/>
        <v>0</v>
      </c>
      <c r="I1235">
        <f t="shared" si="192"/>
        <v>1</v>
      </c>
      <c r="J1235">
        <v>62.9</v>
      </c>
      <c r="K1235">
        <v>68.099999999999994</v>
      </c>
      <c r="L1235">
        <v>55.4</v>
      </c>
      <c r="M1235">
        <v>62.9</v>
      </c>
      <c r="N1235">
        <v>57.6</v>
      </c>
      <c r="O1235">
        <v>83.2</v>
      </c>
      <c r="S1235">
        <f t="shared" si="193"/>
        <v>1</v>
      </c>
      <c r="T1235">
        <f t="shared" si="194"/>
        <v>1</v>
      </c>
      <c r="U1235">
        <f t="shared" si="195"/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9.1999999999999993</v>
      </c>
      <c r="AG1235">
        <f t="shared" si="196"/>
        <v>1</v>
      </c>
      <c r="AH1235">
        <f t="shared" si="197"/>
        <v>0</v>
      </c>
      <c r="AI1235">
        <f t="shared" si="198"/>
        <v>1</v>
      </c>
      <c r="AJ1235">
        <v>29</v>
      </c>
      <c r="AK1235">
        <v>1014.3</v>
      </c>
      <c r="AL1235">
        <v>55.6</v>
      </c>
      <c r="AM1235">
        <v>5.9</v>
      </c>
      <c r="AN1235">
        <v>331.7</v>
      </c>
      <c r="AO1235">
        <v>28.6</v>
      </c>
      <c r="AP1235">
        <v>10</v>
      </c>
      <c r="AQ1235">
        <v>0</v>
      </c>
      <c r="AR1235" t="s">
        <v>4164</v>
      </c>
      <c r="AS1235" t="s">
        <v>4165</v>
      </c>
      <c r="AT1235">
        <v>0.21</v>
      </c>
      <c r="AU1235" t="s">
        <v>43</v>
      </c>
      <c r="AV1235" t="s">
        <v>44</v>
      </c>
      <c r="AW1235" t="s">
        <v>45</v>
      </c>
      <c r="AX1235" t="s">
        <v>2356</v>
      </c>
      <c r="AY1235" t="s">
        <v>4166</v>
      </c>
      <c r="AZ1235">
        <v>410.00000000582082</v>
      </c>
      <c r="BA1235">
        <v>1</v>
      </c>
      <c r="BB1235">
        <v>0</v>
      </c>
      <c r="BC1235">
        <v>5</v>
      </c>
      <c r="BD1235">
        <v>0</v>
      </c>
      <c r="BE1235">
        <f t="shared" si="199"/>
        <v>1</v>
      </c>
    </row>
    <row r="1236" spans="1:57" x14ac:dyDescent="0.25">
      <c r="A1236" t="s">
        <v>39</v>
      </c>
      <c r="B1236" t="s">
        <v>4167</v>
      </c>
      <c r="C1236">
        <v>84.2</v>
      </c>
      <c r="D1236">
        <v>69.8</v>
      </c>
      <c r="G1236">
        <f t="shared" si="190"/>
        <v>0</v>
      </c>
      <c r="H1236">
        <f t="shared" si="191"/>
        <v>0</v>
      </c>
      <c r="I1236">
        <f t="shared" si="192"/>
        <v>0</v>
      </c>
      <c r="J1236">
        <v>78</v>
      </c>
      <c r="K1236">
        <v>89.6</v>
      </c>
      <c r="L1236">
        <v>69.8</v>
      </c>
      <c r="M1236">
        <v>79.900000000000006</v>
      </c>
      <c r="N1236">
        <v>66.900000000000006</v>
      </c>
      <c r="O1236">
        <v>68.900000000000006</v>
      </c>
      <c r="S1236">
        <f t="shared" si="193"/>
        <v>1</v>
      </c>
      <c r="T1236">
        <f t="shared" si="194"/>
        <v>1</v>
      </c>
      <c r="U1236">
        <f t="shared" si="195"/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25.3</v>
      </c>
      <c r="AG1236">
        <f t="shared" si="196"/>
        <v>1</v>
      </c>
      <c r="AH1236">
        <f t="shared" si="197"/>
        <v>1</v>
      </c>
      <c r="AI1236">
        <f t="shared" si="198"/>
        <v>0</v>
      </c>
      <c r="AJ1236">
        <v>318.3</v>
      </c>
      <c r="AK1236">
        <v>1011.7</v>
      </c>
      <c r="AL1236">
        <v>0</v>
      </c>
      <c r="AM1236">
        <v>6.2</v>
      </c>
      <c r="AN1236">
        <v>358</v>
      </c>
      <c r="AO1236">
        <v>30.9</v>
      </c>
      <c r="AP1236">
        <v>10</v>
      </c>
      <c r="AQ1236">
        <v>0</v>
      </c>
      <c r="AR1236" t="s">
        <v>4168</v>
      </c>
      <c r="AS1236" t="s">
        <v>4169</v>
      </c>
      <c r="AT1236">
        <v>0.32</v>
      </c>
      <c r="AU1236" t="s">
        <v>74</v>
      </c>
      <c r="AV1236" t="s">
        <v>2955</v>
      </c>
      <c r="AW1236" t="s">
        <v>75</v>
      </c>
      <c r="AX1236" t="s">
        <v>4170</v>
      </c>
      <c r="AY1236" t="s">
        <v>4171</v>
      </c>
      <c r="AZ1236">
        <v>1609.9999999988361</v>
      </c>
      <c r="BA1236">
        <v>1</v>
      </c>
      <c r="BB1236">
        <v>0</v>
      </c>
      <c r="BC1236">
        <v>40</v>
      </c>
      <c r="BD1236">
        <v>0</v>
      </c>
      <c r="BE1236">
        <f t="shared" si="199"/>
        <v>1</v>
      </c>
    </row>
    <row r="1237" spans="1:57" x14ac:dyDescent="0.25">
      <c r="A1237" t="s">
        <v>39</v>
      </c>
      <c r="B1237" t="s">
        <v>4172</v>
      </c>
      <c r="C1237">
        <v>82.4</v>
      </c>
      <c r="D1237">
        <v>69.8</v>
      </c>
      <c r="G1237">
        <f t="shared" si="190"/>
        <v>0</v>
      </c>
      <c r="H1237">
        <f t="shared" si="191"/>
        <v>0</v>
      </c>
      <c r="I1237">
        <f t="shared" si="192"/>
        <v>0</v>
      </c>
      <c r="J1237">
        <v>78.400000000000006</v>
      </c>
      <c r="K1237">
        <v>87.2</v>
      </c>
      <c r="L1237">
        <v>69.8</v>
      </c>
      <c r="M1237">
        <v>80.5</v>
      </c>
      <c r="N1237">
        <v>66.8</v>
      </c>
      <c r="O1237">
        <v>67.8</v>
      </c>
      <c r="S1237">
        <f t="shared" si="193"/>
        <v>1</v>
      </c>
      <c r="T1237">
        <f t="shared" si="194"/>
        <v>1</v>
      </c>
      <c r="U1237">
        <f t="shared" si="195"/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25.3</v>
      </c>
      <c r="AG1237">
        <f t="shared" si="196"/>
        <v>1</v>
      </c>
      <c r="AH1237">
        <f t="shared" si="197"/>
        <v>1</v>
      </c>
      <c r="AI1237">
        <f t="shared" si="198"/>
        <v>0</v>
      </c>
      <c r="AJ1237">
        <v>305.3</v>
      </c>
      <c r="AK1237">
        <v>1008.6</v>
      </c>
      <c r="AL1237">
        <v>0</v>
      </c>
      <c r="AM1237">
        <v>6.2</v>
      </c>
      <c r="AN1237">
        <v>355.8</v>
      </c>
      <c r="AO1237">
        <v>30.6</v>
      </c>
      <c r="AP1237">
        <v>10</v>
      </c>
      <c r="AQ1237">
        <v>0</v>
      </c>
      <c r="AR1237" t="s">
        <v>4173</v>
      </c>
      <c r="AS1237" t="s">
        <v>4174</v>
      </c>
      <c r="AT1237">
        <v>0.36</v>
      </c>
      <c r="AU1237" t="s">
        <v>74</v>
      </c>
      <c r="AV1237" t="s">
        <v>2955</v>
      </c>
      <c r="AW1237" t="s">
        <v>75</v>
      </c>
      <c r="AX1237" t="s">
        <v>4175</v>
      </c>
      <c r="AY1237" t="s">
        <v>4176</v>
      </c>
      <c r="AZ1237">
        <v>460.00000000116421</v>
      </c>
      <c r="BA1237">
        <v>1</v>
      </c>
      <c r="BB1237">
        <v>0</v>
      </c>
      <c r="BC1237">
        <v>2</v>
      </c>
      <c r="BD1237">
        <v>0</v>
      </c>
      <c r="BE1237">
        <f t="shared" si="199"/>
        <v>1</v>
      </c>
    </row>
    <row r="1238" spans="1:57" x14ac:dyDescent="0.25">
      <c r="A1238" t="s">
        <v>39</v>
      </c>
      <c r="B1238" t="s">
        <v>4177</v>
      </c>
      <c r="C1238">
        <v>86</v>
      </c>
      <c r="D1238">
        <v>73.400000000000006</v>
      </c>
      <c r="G1238">
        <f t="shared" si="190"/>
        <v>1</v>
      </c>
      <c r="H1238">
        <f t="shared" si="191"/>
        <v>1</v>
      </c>
      <c r="I1238">
        <f t="shared" si="192"/>
        <v>0</v>
      </c>
      <c r="J1238">
        <v>80.400000000000006</v>
      </c>
      <c r="K1238">
        <v>91</v>
      </c>
      <c r="L1238">
        <v>73.400000000000006</v>
      </c>
      <c r="M1238">
        <v>83.2</v>
      </c>
      <c r="N1238">
        <v>68.5</v>
      </c>
      <c r="O1238">
        <v>67.2</v>
      </c>
      <c r="S1238">
        <f t="shared" si="193"/>
        <v>1</v>
      </c>
      <c r="T1238">
        <f t="shared" si="194"/>
        <v>1</v>
      </c>
      <c r="U1238">
        <f t="shared" si="195"/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28.9</v>
      </c>
      <c r="AC1238">
        <v>25.3</v>
      </c>
      <c r="AG1238">
        <f t="shared" si="196"/>
        <v>1</v>
      </c>
      <c r="AH1238">
        <f t="shared" si="197"/>
        <v>1</v>
      </c>
      <c r="AI1238">
        <f t="shared" si="198"/>
        <v>0</v>
      </c>
      <c r="AJ1238">
        <v>306.7</v>
      </c>
      <c r="AK1238">
        <v>1010.2</v>
      </c>
      <c r="AL1238">
        <v>12.1</v>
      </c>
      <c r="AM1238">
        <v>6.4</v>
      </c>
      <c r="AN1238">
        <v>303.8</v>
      </c>
      <c r="AO1238">
        <v>26.4</v>
      </c>
      <c r="AP1238">
        <v>9</v>
      </c>
      <c r="AQ1238">
        <v>0</v>
      </c>
      <c r="AR1238" t="s">
        <v>4178</v>
      </c>
      <c r="AS1238" t="s">
        <v>4179</v>
      </c>
      <c r="AT1238">
        <v>0.65</v>
      </c>
      <c r="AU1238" t="s">
        <v>74</v>
      </c>
      <c r="AV1238" t="s">
        <v>2955</v>
      </c>
      <c r="AW1238" t="s">
        <v>75</v>
      </c>
      <c r="AX1238" t="s">
        <v>2692</v>
      </c>
      <c r="AY1238" t="s">
        <v>4180</v>
      </c>
      <c r="AZ1238">
        <v>1780.0000000081491</v>
      </c>
      <c r="BA1238">
        <v>1</v>
      </c>
      <c r="BB1238">
        <v>0</v>
      </c>
      <c r="BC1238">
        <v>30</v>
      </c>
      <c r="BD1238">
        <v>0</v>
      </c>
      <c r="BE1238">
        <f t="shared" si="199"/>
        <v>1</v>
      </c>
    </row>
    <row r="1239" spans="1:57" x14ac:dyDescent="0.25">
      <c r="A1239" t="s">
        <v>39</v>
      </c>
      <c r="B1239" t="s">
        <v>4181</v>
      </c>
      <c r="C1239">
        <v>82.4</v>
      </c>
      <c r="D1239">
        <v>75.2</v>
      </c>
      <c r="G1239">
        <f t="shared" si="190"/>
        <v>0</v>
      </c>
      <c r="H1239">
        <f t="shared" si="191"/>
        <v>0</v>
      </c>
      <c r="I1239">
        <f t="shared" si="192"/>
        <v>0</v>
      </c>
      <c r="J1239">
        <v>78.8</v>
      </c>
      <c r="K1239">
        <v>86.2</v>
      </c>
      <c r="L1239">
        <v>75.2</v>
      </c>
      <c r="M1239">
        <v>80</v>
      </c>
      <c r="N1239">
        <v>66.900000000000006</v>
      </c>
      <c r="O1239">
        <v>67.400000000000006</v>
      </c>
      <c r="S1239">
        <f t="shared" si="193"/>
        <v>1</v>
      </c>
      <c r="T1239">
        <f t="shared" si="194"/>
        <v>1</v>
      </c>
      <c r="U1239">
        <f t="shared" si="195"/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27.5</v>
      </c>
      <c r="AC1239">
        <v>20.8</v>
      </c>
      <c r="AG1239">
        <f t="shared" si="196"/>
        <v>1</v>
      </c>
      <c r="AH1239">
        <f t="shared" si="197"/>
        <v>1</v>
      </c>
      <c r="AI1239">
        <f t="shared" si="198"/>
        <v>0</v>
      </c>
      <c r="AJ1239">
        <v>303.60000000000002</v>
      </c>
      <c r="AK1239">
        <v>1010.4</v>
      </c>
      <c r="AL1239">
        <v>12.8</v>
      </c>
      <c r="AM1239">
        <v>6.5</v>
      </c>
      <c r="AN1239">
        <v>315.89999999999998</v>
      </c>
      <c r="AO1239">
        <v>27.3</v>
      </c>
      <c r="AP1239">
        <v>10</v>
      </c>
      <c r="AQ1239">
        <v>0</v>
      </c>
      <c r="AR1239" t="s">
        <v>4182</v>
      </c>
      <c r="AS1239" t="s">
        <v>4183</v>
      </c>
      <c r="AT1239">
        <v>0.75</v>
      </c>
      <c r="AU1239" t="s">
        <v>74</v>
      </c>
      <c r="AV1239" t="s">
        <v>2955</v>
      </c>
      <c r="AW1239" t="s">
        <v>75</v>
      </c>
      <c r="AX1239" t="s">
        <v>4184</v>
      </c>
      <c r="AY1239" t="s">
        <v>4185</v>
      </c>
      <c r="AZ1239">
        <v>65.000000002328306</v>
      </c>
      <c r="BA1239">
        <v>0</v>
      </c>
      <c r="BB1239">
        <v>0</v>
      </c>
      <c r="BC1239">
        <v>1</v>
      </c>
      <c r="BD1239">
        <v>0</v>
      </c>
      <c r="BE1239">
        <f t="shared" si="199"/>
        <v>0</v>
      </c>
    </row>
    <row r="1240" spans="1:57" x14ac:dyDescent="0.25">
      <c r="A1240" t="s">
        <v>39</v>
      </c>
      <c r="B1240" t="s">
        <v>4136</v>
      </c>
      <c r="C1240">
        <v>75.2</v>
      </c>
      <c r="D1240">
        <v>68</v>
      </c>
      <c r="G1240">
        <f t="shared" si="190"/>
        <v>1</v>
      </c>
      <c r="H1240">
        <f t="shared" si="191"/>
        <v>0</v>
      </c>
      <c r="I1240">
        <f t="shared" si="192"/>
        <v>1</v>
      </c>
      <c r="J1240">
        <v>72.599999999999994</v>
      </c>
      <c r="K1240">
        <v>75.2</v>
      </c>
      <c r="L1240">
        <v>68</v>
      </c>
      <c r="M1240">
        <v>72.599999999999994</v>
      </c>
      <c r="N1240">
        <v>63.7</v>
      </c>
      <c r="O1240">
        <v>73.900000000000006</v>
      </c>
      <c r="S1240">
        <f t="shared" si="193"/>
        <v>1</v>
      </c>
      <c r="T1240">
        <f t="shared" si="194"/>
        <v>1</v>
      </c>
      <c r="U1240">
        <f t="shared" si="195"/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17.2</v>
      </c>
      <c r="AG1240">
        <f t="shared" si="196"/>
        <v>0</v>
      </c>
      <c r="AH1240">
        <f t="shared" si="197"/>
        <v>0</v>
      </c>
      <c r="AI1240">
        <f t="shared" si="198"/>
        <v>0</v>
      </c>
      <c r="AJ1240">
        <v>325.10000000000002</v>
      </c>
      <c r="AK1240">
        <v>1014.9</v>
      </c>
      <c r="AL1240">
        <v>59.1</v>
      </c>
      <c r="AM1240">
        <v>6.6</v>
      </c>
      <c r="AN1240">
        <v>238.5</v>
      </c>
      <c r="AO1240">
        <v>20.8</v>
      </c>
      <c r="AP1240">
        <v>8</v>
      </c>
      <c r="AQ1240">
        <v>0</v>
      </c>
      <c r="AR1240" t="s">
        <v>4137</v>
      </c>
      <c r="AS1240" t="s">
        <v>4138</v>
      </c>
      <c r="AT1240">
        <v>7.0000000000000007E-2</v>
      </c>
      <c r="AU1240" t="s">
        <v>43</v>
      </c>
      <c r="AV1240" t="s">
        <v>44</v>
      </c>
      <c r="AW1240" t="s">
        <v>45</v>
      </c>
      <c r="AX1240" t="s">
        <v>2403</v>
      </c>
      <c r="AY1240" t="s">
        <v>4186</v>
      </c>
      <c r="AZ1240">
        <v>2820.000000003492</v>
      </c>
      <c r="BA1240">
        <v>1</v>
      </c>
      <c r="BB1240">
        <v>0</v>
      </c>
      <c r="BC1240">
        <v>100</v>
      </c>
      <c r="BD1240">
        <v>0</v>
      </c>
      <c r="BE1240">
        <f t="shared" si="199"/>
        <v>0</v>
      </c>
    </row>
    <row r="1241" spans="1:57" x14ac:dyDescent="0.25">
      <c r="A1241" t="s">
        <v>39</v>
      </c>
      <c r="B1241" t="s">
        <v>4187</v>
      </c>
      <c r="C1241">
        <v>64.400000000000006</v>
      </c>
      <c r="D1241">
        <v>56.2</v>
      </c>
      <c r="G1241">
        <f t="shared" si="190"/>
        <v>1</v>
      </c>
      <c r="H1241">
        <f t="shared" si="191"/>
        <v>0</v>
      </c>
      <c r="I1241">
        <f t="shared" si="192"/>
        <v>1</v>
      </c>
      <c r="J1241">
        <v>61.8</v>
      </c>
      <c r="K1241">
        <v>64.400000000000006</v>
      </c>
      <c r="L1241">
        <v>56.2</v>
      </c>
      <c r="M1241">
        <v>61.8</v>
      </c>
      <c r="N1241">
        <v>48.8</v>
      </c>
      <c r="O1241">
        <v>62.4</v>
      </c>
      <c r="S1241">
        <f t="shared" si="193"/>
        <v>1</v>
      </c>
      <c r="T1241">
        <f t="shared" si="194"/>
        <v>0</v>
      </c>
      <c r="U1241">
        <f t="shared" si="195"/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27.5</v>
      </c>
      <c r="AG1241">
        <f t="shared" si="196"/>
        <v>1</v>
      </c>
      <c r="AH1241">
        <f t="shared" si="197"/>
        <v>1</v>
      </c>
      <c r="AI1241">
        <f t="shared" si="198"/>
        <v>0</v>
      </c>
      <c r="AJ1241">
        <v>336</v>
      </c>
      <c r="AK1241">
        <v>1019.8</v>
      </c>
      <c r="AL1241">
        <v>85.8</v>
      </c>
      <c r="AM1241">
        <v>6.6</v>
      </c>
      <c r="AN1241">
        <v>160.9</v>
      </c>
      <c r="AO1241">
        <v>14.5</v>
      </c>
      <c r="AP1241">
        <v>7</v>
      </c>
      <c r="AQ1241">
        <v>0</v>
      </c>
      <c r="AR1241" t="s">
        <v>4188</v>
      </c>
      <c r="AS1241" t="s">
        <v>4189</v>
      </c>
      <c r="AT1241">
        <v>0.12</v>
      </c>
      <c r="AU1241" t="s">
        <v>43</v>
      </c>
      <c r="AV1241" t="s">
        <v>44</v>
      </c>
      <c r="AW1241" t="s">
        <v>45</v>
      </c>
      <c r="AX1241" t="s">
        <v>4190</v>
      </c>
      <c r="AY1241" t="s">
        <v>4191</v>
      </c>
      <c r="AZ1241">
        <v>100.0000000011642</v>
      </c>
      <c r="BA1241">
        <v>0</v>
      </c>
      <c r="BB1241">
        <v>0</v>
      </c>
      <c r="BC1241">
        <v>0.1</v>
      </c>
      <c r="BD1241">
        <v>0</v>
      </c>
      <c r="BE1241">
        <f t="shared" si="199"/>
        <v>1</v>
      </c>
    </row>
    <row r="1242" spans="1:57" x14ac:dyDescent="0.25">
      <c r="A1242" t="s">
        <v>39</v>
      </c>
      <c r="B1242" t="s">
        <v>4192</v>
      </c>
      <c r="C1242">
        <v>62.6</v>
      </c>
      <c r="D1242">
        <v>59</v>
      </c>
      <c r="G1242">
        <f t="shared" si="190"/>
        <v>1</v>
      </c>
      <c r="H1242">
        <f t="shared" si="191"/>
        <v>0</v>
      </c>
      <c r="I1242">
        <f t="shared" si="192"/>
        <v>1</v>
      </c>
      <c r="J1242">
        <v>61.1</v>
      </c>
      <c r="K1242">
        <v>62.6</v>
      </c>
      <c r="L1242">
        <v>59</v>
      </c>
      <c r="M1242">
        <v>61.1</v>
      </c>
      <c r="N1242">
        <v>48.4</v>
      </c>
      <c r="O1242">
        <v>63.1</v>
      </c>
      <c r="S1242">
        <f t="shared" si="193"/>
        <v>1</v>
      </c>
      <c r="T1242">
        <f t="shared" si="194"/>
        <v>0</v>
      </c>
      <c r="U1242">
        <f t="shared" si="195"/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26.4</v>
      </c>
      <c r="AC1242">
        <v>23</v>
      </c>
      <c r="AG1242">
        <f t="shared" si="196"/>
        <v>1</v>
      </c>
      <c r="AH1242">
        <f t="shared" si="197"/>
        <v>1</v>
      </c>
      <c r="AI1242">
        <f t="shared" si="198"/>
        <v>0</v>
      </c>
      <c r="AJ1242">
        <v>344.3</v>
      </c>
      <c r="AK1242">
        <v>1015.9</v>
      </c>
      <c r="AL1242">
        <v>74.400000000000006</v>
      </c>
      <c r="AM1242">
        <v>6.6</v>
      </c>
      <c r="AN1242">
        <v>178.9</v>
      </c>
      <c r="AO1242">
        <v>15.5</v>
      </c>
      <c r="AP1242">
        <v>7</v>
      </c>
      <c r="AQ1242">
        <v>0</v>
      </c>
      <c r="AR1242" t="s">
        <v>4193</v>
      </c>
      <c r="AS1242" t="s">
        <v>4194</v>
      </c>
      <c r="AT1242">
        <v>0.25</v>
      </c>
      <c r="AU1242" t="s">
        <v>43</v>
      </c>
      <c r="AV1242" t="s">
        <v>44</v>
      </c>
      <c r="AW1242" t="s">
        <v>45</v>
      </c>
      <c r="AX1242" t="s">
        <v>2592</v>
      </c>
      <c r="AY1242" t="s">
        <v>4195</v>
      </c>
      <c r="AZ1242">
        <v>470.00000000232831</v>
      </c>
      <c r="BA1242">
        <v>1</v>
      </c>
      <c r="BB1242">
        <v>0</v>
      </c>
      <c r="BC1242">
        <v>4</v>
      </c>
      <c r="BD1242">
        <v>0</v>
      </c>
      <c r="BE1242">
        <f t="shared" si="199"/>
        <v>1</v>
      </c>
    </row>
    <row r="1243" spans="1:57" x14ac:dyDescent="0.25">
      <c r="A1243" t="s">
        <v>39</v>
      </c>
      <c r="B1243" t="s">
        <v>4196</v>
      </c>
      <c r="C1243">
        <v>57.2</v>
      </c>
      <c r="D1243">
        <v>50</v>
      </c>
      <c r="G1243">
        <f t="shared" si="190"/>
        <v>1</v>
      </c>
      <c r="H1243">
        <f t="shared" si="191"/>
        <v>0</v>
      </c>
      <c r="I1243">
        <f t="shared" si="192"/>
        <v>1</v>
      </c>
      <c r="J1243">
        <v>53.7</v>
      </c>
      <c r="K1243">
        <v>57.2</v>
      </c>
      <c r="L1243">
        <v>50</v>
      </c>
      <c r="M1243">
        <v>53.7</v>
      </c>
      <c r="N1243">
        <v>46.6</v>
      </c>
      <c r="O1243">
        <v>76.900000000000006</v>
      </c>
      <c r="S1243">
        <f t="shared" si="193"/>
        <v>1</v>
      </c>
      <c r="T1243">
        <f t="shared" si="194"/>
        <v>1</v>
      </c>
      <c r="U1243">
        <f t="shared" si="195"/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8.1</v>
      </c>
      <c r="AG1243">
        <f t="shared" si="196"/>
        <v>1</v>
      </c>
      <c r="AH1243">
        <f t="shared" si="197"/>
        <v>0</v>
      </c>
      <c r="AI1243">
        <f t="shared" si="198"/>
        <v>1</v>
      </c>
      <c r="AJ1243">
        <v>321.8</v>
      </c>
      <c r="AK1243">
        <v>1022</v>
      </c>
      <c r="AL1243">
        <v>82.6</v>
      </c>
      <c r="AM1243">
        <v>6.6</v>
      </c>
      <c r="AN1243">
        <v>124.3</v>
      </c>
      <c r="AO1243">
        <v>10.7</v>
      </c>
      <c r="AP1243">
        <v>5</v>
      </c>
      <c r="AQ1243">
        <v>0</v>
      </c>
      <c r="AR1243" t="s">
        <v>4197</v>
      </c>
      <c r="AS1243" t="s">
        <v>4198</v>
      </c>
      <c r="AT1243">
        <v>0.15</v>
      </c>
      <c r="AU1243" t="s">
        <v>43</v>
      </c>
      <c r="AV1243" t="s">
        <v>44</v>
      </c>
      <c r="AW1243" t="s">
        <v>45</v>
      </c>
      <c r="AX1243" t="s">
        <v>4049</v>
      </c>
      <c r="AY1243" t="s">
        <v>4199</v>
      </c>
      <c r="AZ1243">
        <v>59.99999999650754</v>
      </c>
      <c r="BA1243">
        <v>0</v>
      </c>
      <c r="BB1243">
        <v>0</v>
      </c>
      <c r="BC1243">
        <v>2</v>
      </c>
      <c r="BD1243">
        <v>0</v>
      </c>
      <c r="BE1243">
        <f t="shared" si="199"/>
        <v>0</v>
      </c>
    </row>
    <row r="1244" spans="1:57" x14ac:dyDescent="0.25">
      <c r="A1244" t="s">
        <v>39</v>
      </c>
      <c r="B1244" t="s">
        <v>4200</v>
      </c>
      <c r="C1244">
        <v>86</v>
      </c>
      <c r="D1244">
        <v>66.2</v>
      </c>
      <c r="G1244">
        <f t="shared" si="190"/>
        <v>1</v>
      </c>
      <c r="H1244">
        <f t="shared" si="191"/>
        <v>1</v>
      </c>
      <c r="I1244">
        <f t="shared" si="192"/>
        <v>0</v>
      </c>
      <c r="J1244">
        <v>77.8</v>
      </c>
      <c r="K1244">
        <v>87.5</v>
      </c>
      <c r="L1244">
        <v>66.2</v>
      </c>
      <c r="M1244">
        <v>78.8</v>
      </c>
      <c r="N1244">
        <v>63.1</v>
      </c>
      <c r="O1244">
        <v>61.1</v>
      </c>
      <c r="S1244">
        <f t="shared" si="193"/>
        <v>0</v>
      </c>
      <c r="T1244">
        <f t="shared" si="194"/>
        <v>0</v>
      </c>
      <c r="U1244">
        <f t="shared" si="195"/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17.2</v>
      </c>
      <c r="AG1244">
        <f t="shared" si="196"/>
        <v>0</v>
      </c>
      <c r="AH1244">
        <f t="shared" si="197"/>
        <v>0</v>
      </c>
      <c r="AI1244">
        <f t="shared" si="198"/>
        <v>0</v>
      </c>
      <c r="AJ1244">
        <v>309.5</v>
      </c>
      <c r="AK1244">
        <v>1007.9</v>
      </c>
      <c r="AL1244">
        <v>0</v>
      </c>
      <c r="AM1244">
        <v>6.2</v>
      </c>
      <c r="AN1244">
        <v>370</v>
      </c>
      <c r="AO1244">
        <v>32.1</v>
      </c>
      <c r="AP1244">
        <v>10</v>
      </c>
      <c r="AQ1244">
        <v>0</v>
      </c>
      <c r="AR1244" t="s">
        <v>4201</v>
      </c>
      <c r="AS1244" t="s">
        <v>4202</v>
      </c>
      <c r="AT1244">
        <v>0.81</v>
      </c>
      <c r="AU1244" t="s">
        <v>74</v>
      </c>
      <c r="AV1244" t="s">
        <v>2955</v>
      </c>
      <c r="AW1244" t="s">
        <v>75</v>
      </c>
      <c r="AX1244" t="s">
        <v>4203</v>
      </c>
      <c r="AY1244" t="s">
        <v>4204</v>
      </c>
      <c r="AZ1244">
        <v>1069.9999999988361</v>
      </c>
      <c r="BA1244">
        <v>1</v>
      </c>
      <c r="BB1244">
        <v>0</v>
      </c>
      <c r="BC1244">
        <v>2.5</v>
      </c>
      <c r="BD1244">
        <v>0</v>
      </c>
      <c r="BE1244">
        <f t="shared" si="199"/>
        <v>0</v>
      </c>
    </row>
    <row r="1245" spans="1:57" x14ac:dyDescent="0.25">
      <c r="A1245" t="s">
        <v>39</v>
      </c>
      <c r="B1245" t="s">
        <v>4205</v>
      </c>
      <c r="C1245">
        <v>59</v>
      </c>
      <c r="D1245">
        <v>56.7</v>
      </c>
      <c r="G1245">
        <f t="shared" si="190"/>
        <v>1</v>
      </c>
      <c r="H1245">
        <f t="shared" si="191"/>
        <v>0</v>
      </c>
      <c r="I1245">
        <f t="shared" si="192"/>
        <v>1</v>
      </c>
      <c r="J1245">
        <v>57.4</v>
      </c>
      <c r="K1245">
        <v>59</v>
      </c>
      <c r="L1245">
        <v>56.7</v>
      </c>
      <c r="M1245">
        <v>57.4</v>
      </c>
      <c r="N1245">
        <v>44.1</v>
      </c>
      <c r="O1245">
        <v>61.2</v>
      </c>
      <c r="S1245">
        <f t="shared" si="193"/>
        <v>1</v>
      </c>
      <c r="T1245">
        <f t="shared" si="194"/>
        <v>0</v>
      </c>
      <c r="U1245">
        <f t="shared" si="195"/>
        <v>1</v>
      </c>
      <c r="V1245">
        <v>3.9E-2</v>
      </c>
      <c r="W1245">
        <v>100</v>
      </c>
      <c r="X1245">
        <v>4.17</v>
      </c>
      <c r="Y1245" t="s">
        <v>103</v>
      </c>
      <c r="Z1245">
        <v>0</v>
      </c>
      <c r="AA1245">
        <v>0</v>
      </c>
      <c r="AB1245">
        <v>32.200000000000003</v>
      </c>
      <c r="AC1245">
        <v>25.3</v>
      </c>
      <c r="AG1245">
        <f t="shared" si="196"/>
        <v>1</v>
      </c>
      <c r="AH1245">
        <f t="shared" si="197"/>
        <v>1</v>
      </c>
      <c r="AI1245">
        <f t="shared" si="198"/>
        <v>0</v>
      </c>
      <c r="AJ1245">
        <v>332.2</v>
      </c>
      <c r="AK1245">
        <v>1017.4</v>
      </c>
      <c r="AL1245">
        <v>93.1</v>
      </c>
      <c r="AM1245">
        <v>6.6</v>
      </c>
      <c r="AN1245">
        <v>85.9</v>
      </c>
      <c r="AO1245">
        <v>7.5</v>
      </c>
      <c r="AP1245">
        <v>4</v>
      </c>
      <c r="AQ1245">
        <v>0</v>
      </c>
      <c r="AR1245" t="s">
        <v>4206</v>
      </c>
      <c r="AS1245" t="s">
        <v>4207</v>
      </c>
      <c r="AT1245">
        <v>0.69</v>
      </c>
      <c r="AU1245" t="s">
        <v>1357</v>
      </c>
      <c r="AV1245" t="s">
        <v>1803</v>
      </c>
      <c r="AW1245" t="s">
        <v>103</v>
      </c>
      <c r="AX1245" t="s">
        <v>4208</v>
      </c>
      <c r="AY1245" t="s">
        <v>4209</v>
      </c>
      <c r="AZ1245">
        <v>245.00000000232831</v>
      </c>
      <c r="BA1245">
        <v>0</v>
      </c>
      <c r="BB1245">
        <v>0</v>
      </c>
      <c r="BC1245">
        <v>2</v>
      </c>
      <c r="BD1245">
        <v>0</v>
      </c>
      <c r="BE1245">
        <f t="shared" si="199"/>
        <v>1</v>
      </c>
    </row>
    <row r="1246" spans="1:57" x14ac:dyDescent="0.25">
      <c r="A1246" t="s">
        <v>39</v>
      </c>
      <c r="B1246" t="s">
        <v>4210</v>
      </c>
      <c r="C1246">
        <v>60.8</v>
      </c>
      <c r="D1246">
        <v>51.8</v>
      </c>
      <c r="G1246">
        <f t="shared" si="190"/>
        <v>1</v>
      </c>
      <c r="H1246">
        <f t="shared" si="191"/>
        <v>0</v>
      </c>
      <c r="I1246">
        <f t="shared" si="192"/>
        <v>1</v>
      </c>
      <c r="J1246">
        <v>56.3</v>
      </c>
      <c r="K1246">
        <v>60.8</v>
      </c>
      <c r="L1246">
        <v>51.8</v>
      </c>
      <c r="M1246">
        <v>56.3</v>
      </c>
      <c r="N1246">
        <v>46.1</v>
      </c>
      <c r="O1246">
        <v>69.099999999999994</v>
      </c>
      <c r="S1246">
        <f t="shared" si="193"/>
        <v>1</v>
      </c>
      <c r="T1246">
        <f t="shared" si="194"/>
        <v>1</v>
      </c>
      <c r="U1246">
        <f t="shared" si="195"/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20.8</v>
      </c>
      <c r="AG1246">
        <f t="shared" si="196"/>
        <v>1</v>
      </c>
      <c r="AH1246">
        <f t="shared" si="197"/>
        <v>1</v>
      </c>
      <c r="AI1246">
        <f t="shared" si="198"/>
        <v>0</v>
      </c>
      <c r="AJ1246">
        <v>309.7</v>
      </c>
      <c r="AK1246">
        <v>1021.1</v>
      </c>
      <c r="AL1246">
        <v>49.1</v>
      </c>
      <c r="AM1246">
        <v>6.6</v>
      </c>
      <c r="AN1246">
        <v>157</v>
      </c>
      <c r="AO1246">
        <v>13.6</v>
      </c>
      <c r="AP1246">
        <v>6</v>
      </c>
      <c r="AQ1246">
        <v>0</v>
      </c>
      <c r="AR1246" t="s">
        <v>4211</v>
      </c>
      <c r="AS1246" t="s">
        <v>4212</v>
      </c>
      <c r="AT1246">
        <v>0.83</v>
      </c>
      <c r="AU1246" t="s">
        <v>43</v>
      </c>
      <c r="AV1246" t="s">
        <v>44</v>
      </c>
      <c r="AW1246" t="s">
        <v>45</v>
      </c>
      <c r="AX1246" t="s">
        <v>2378</v>
      </c>
      <c r="AY1246" t="s">
        <v>4213</v>
      </c>
      <c r="AZ1246">
        <v>280.00000000116421</v>
      </c>
      <c r="BA1246">
        <v>0</v>
      </c>
      <c r="BB1246">
        <v>0</v>
      </c>
      <c r="BC1246">
        <v>5</v>
      </c>
      <c r="BD1246">
        <v>0</v>
      </c>
      <c r="BE1246">
        <f t="shared" si="199"/>
        <v>1</v>
      </c>
    </row>
    <row r="1247" spans="1:57" x14ac:dyDescent="0.25">
      <c r="A1247" t="s">
        <v>39</v>
      </c>
      <c r="B1247" t="s">
        <v>4003</v>
      </c>
      <c r="C1247">
        <v>62.6</v>
      </c>
      <c r="D1247">
        <v>46.4</v>
      </c>
      <c r="G1247">
        <f t="shared" si="190"/>
        <v>1</v>
      </c>
      <c r="H1247">
        <f t="shared" si="191"/>
        <v>1</v>
      </c>
      <c r="I1247">
        <f t="shared" si="192"/>
        <v>0</v>
      </c>
      <c r="J1247">
        <v>54.7</v>
      </c>
      <c r="K1247">
        <v>62.6</v>
      </c>
      <c r="L1247">
        <v>43.5</v>
      </c>
      <c r="M1247">
        <v>53.8</v>
      </c>
      <c r="N1247">
        <v>48.8</v>
      </c>
      <c r="O1247">
        <v>81.2</v>
      </c>
      <c r="S1247">
        <f t="shared" si="193"/>
        <v>1</v>
      </c>
      <c r="T1247">
        <f t="shared" si="194"/>
        <v>1</v>
      </c>
      <c r="U1247">
        <f t="shared" si="195"/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17.2</v>
      </c>
      <c r="AG1247">
        <f t="shared" si="196"/>
        <v>1</v>
      </c>
      <c r="AH1247">
        <f t="shared" si="197"/>
        <v>0</v>
      </c>
      <c r="AI1247">
        <f t="shared" si="198"/>
        <v>1</v>
      </c>
      <c r="AJ1247">
        <v>295.2</v>
      </c>
      <c r="AK1247">
        <v>1019.4</v>
      </c>
      <c r="AL1247">
        <v>33.6</v>
      </c>
      <c r="AM1247">
        <v>6.6</v>
      </c>
      <c r="AN1247">
        <v>179.7</v>
      </c>
      <c r="AO1247">
        <v>15.5</v>
      </c>
      <c r="AP1247">
        <v>7</v>
      </c>
      <c r="AQ1247">
        <v>0</v>
      </c>
      <c r="AR1247" t="s">
        <v>4004</v>
      </c>
      <c r="AS1247" t="s">
        <v>4005</v>
      </c>
      <c r="AT1247">
        <v>0.14000000000000001</v>
      </c>
      <c r="AU1247" t="s">
        <v>43</v>
      </c>
      <c r="AV1247" t="s">
        <v>44</v>
      </c>
      <c r="AW1247" t="s">
        <v>45</v>
      </c>
      <c r="AX1247" t="s">
        <v>2346</v>
      </c>
      <c r="AY1247" t="s">
        <v>4214</v>
      </c>
      <c r="AZ1247">
        <v>220.00000000465661</v>
      </c>
      <c r="BA1247">
        <v>0</v>
      </c>
      <c r="BB1247">
        <v>1</v>
      </c>
      <c r="BC1247">
        <v>2</v>
      </c>
      <c r="BD1247">
        <v>0</v>
      </c>
      <c r="BE1247">
        <f t="shared" si="199"/>
        <v>1</v>
      </c>
    </row>
    <row r="1248" spans="1:57" x14ac:dyDescent="0.25">
      <c r="A1248" t="s">
        <v>39</v>
      </c>
      <c r="B1248" t="s">
        <v>4077</v>
      </c>
      <c r="C1248">
        <v>62.6</v>
      </c>
      <c r="D1248">
        <v>45.6</v>
      </c>
      <c r="G1248">
        <f t="shared" si="190"/>
        <v>0</v>
      </c>
      <c r="H1248">
        <f t="shared" si="191"/>
        <v>0</v>
      </c>
      <c r="I1248">
        <f t="shared" si="192"/>
        <v>0</v>
      </c>
      <c r="J1248">
        <v>57.9</v>
      </c>
      <c r="K1248">
        <v>62.6</v>
      </c>
      <c r="L1248">
        <v>44.1</v>
      </c>
      <c r="M1248">
        <v>57.9</v>
      </c>
      <c r="N1248">
        <v>48</v>
      </c>
      <c r="O1248">
        <v>70.2</v>
      </c>
      <c r="S1248">
        <f t="shared" si="193"/>
        <v>1</v>
      </c>
      <c r="T1248">
        <f t="shared" si="194"/>
        <v>1</v>
      </c>
      <c r="U1248">
        <f t="shared" si="195"/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17.2</v>
      </c>
      <c r="AG1248">
        <f t="shared" si="196"/>
        <v>0</v>
      </c>
      <c r="AH1248">
        <f t="shared" si="197"/>
        <v>0</v>
      </c>
      <c r="AI1248">
        <f t="shared" si="198"/>
        <v>0</v>
      </c>
      <c r="AJ1248">
        <v>314.3</v>
      </c>
      <c r="AK1248">
        <v>1023.6</v>
      </c>
      <c r="AL1248">
        <v>33.700000000000003</v>
      </c>
      <c r="AM1248">
        <v>6.6</v>
      </c>
      <c r="AN1248">
        <v>279.39999999999998</v>
      </c>
      <c r="AO1248">
        <v>24</v>
      </c>
      <c r="AP1248">
        <v>9</v>
      </c>
      <c r="AQ1248">
        <v>0</v>
      </c>
      <c r="AR1248" t="s">
        <v>4078</v>
      </c>
      <c r="AS1248" t="s">
        <v>4079</v>
      </c>
      <c r="AT1248">
        <v>0.69</v>
      </c>
      <c r="AU1248" t="s">
        <v>43</v>
      </c>
      <c r="AV1248" t="s">
        <v>44</v>
      </c>
      <c r="AW1248" t="s">
        <v>45</v>
      </c>
      <c r="AX1248" t="s">
        <v>2675</v>
      </c>
      <c r="AY1248" t="s">
        <v>4215</v>
      </c>
      <c r="AZ1248">
        <v>140.00000000582079</v>
      </c>
      <c r="BA1248">
        <v>0</v>
      </c>
      <c r="BB1248">
        <v>0</v>
      </c>
      <c r="BC1248">
        <v>1</v>
      </c>
      <c r="BD1248">
        <v>0</v>
      </c>
      <c r="BE1248">
        <f t="shared" si="199"/>
        <v>0</v>
      </c>
    </row>
    <row r="1249" spans="1:57" x14ac:dyDescent="0.25">
      <c r="A1249" t="s">
        <v>39</v>
      </c>
      <c r="B1249" t="s">
        <v>4216</v>
      </c>
      <c r="C1249">
        <v>73.5</v>
      </c>
      <c r="D1249">
        <v>60.8</v>
      </c>
      <c r="G1249">
        <f t="shared" si="190"/>
        <v>0</v>
      </c>
      <c r="H1249">
        <f t="shared" si="191"/>
        <v>0</v>
      </c>
      <c r="I1249">
        <f t="shared" si="192"/>
        <v>0</v>
      </c>
      <c r="J1249">
        <v>66.900000000000006</v>
      </c>
      <c r="K1249">
        <v>73.5</v>
      </c>
      <c r="L1249">
        <v>60.8</v>
      </c>
      <c r="M1249">
        <v>66.900000000000006</v>
      </c>
      <c r="N1249">
        <v>61.5</v>
      </c>
      <c r="O1249">
        <v>83.2</v>
      </c>
      <c r="S1249">
        <f t="shared" si="193"/>
        <v>1</v>
      </c>
      <c r="T1249">
        <f t="shared" si="194"/>
        <v>1</v>
      </c>
      <c r="U1249">
        <f t="shared" si="195"/>
        <v>0</v>
      </c>
      <c r="V1249">
        <v>1.2E-2</v>
      </c>
      <c r="W1249">
        <v>100</v>
      </c>
      <c r="X1249">
        <v>4.17</v>
      </c>
      <c r="Y1249" t="s">
        <v>103</v>
      </c>
      <c r="Z1249">
        <v>0</v>
      </c>
      <c r="AA1249">
        <v>0</v>
      </c>
      <c r="AB1249">
        <v>0</v>
      </c>
      <c r="AC1249">
        <v>11.4</v>
      </c>
      <c r="AG1249">
        <f t="shared" si="196"/>
        <v>1</v>
      </c>
      <c r="AH1249">
        <f t="shared" si="197"/>
        <v>0</v>
      </c>
      <c r="AI1249">
        <f t="shared" si="198"/>
        <v>1</v>
      </c>
      <c r="AJ1249">
        <v>268.60000000000002</v>
      </c>
      <c r="AK1249">
        <v>1015.2</v>
      </c>
      <c r="AL1249">
        <v>58.5</v>
      </c>
      <c r="AM1249">
        <v>6.5</v>
      </c>
      <c r="AN1249">
        <v>283.8</v>
      </c>
      <c r="AO1249">
        <v>24.6</v>
      </c>
      <c r="AP1249">
        <v>8</v>
      </c>
      <c r="AQ1249">
        <v>0</v>
      </c>
      <c r="AR1249" t="s">
        <v>4217</v>
      </c>
      <c r="AS1249" t="s">
        <v>4218</v>
      </c>
      <c r="AT1249">
        <v>0.75</v>
      </c>
      <c r="AU1249" t="s">
        <v>106</v>
      </c>
      <c r="AV1249" t="s">
        <v>438</v>
      </c>
      <c r="AW1249" t="s">
        <v>103</v>
      </c>
      <c r="AX1249" t="s">
        <v>2514</v>
      </c>
      <c r="AY1249" t="s">
        <v>4219</v>
      </c>
      <c r="AZ1249">
        <v>214.99999999883579</v>
      </c>
      <c r="BA1249">
        <v>0</v>
      </c>
      <c r="BB1249">
        <v>0</v>
      </c>
      <c r="BC1249">
        <v>1</v>
      </c>
      <c r="BD1249">
        <v>0</v>
      </c>
      <c r="BE1249">
        <f t="shared" si="199"/>
        <v>0</v>
      </c>
    </row>
    <row r="1250" spans="1:57" x14ac:dyDescent="0.25">
      <c r="A1250" t="s">
        <v>39</v>
      </c>
      <c r="B1250" t="s">
        <v>4220</v>
      </c>
      <c r="C1250">
        <v>80.599999999999994</v>
      </c>
      <c r="D1250">
        <v>73.400000000000006</v>
      </c>
      <c r="G1250">
        <f t="shared" si="190"/>
        <v>0</v>
      </c>
      <c r="H1250">
        <f t="shared" si="191"/>
        <v>0</v>
      </c>
      <c r="I1250">
        <f t="shared" si="192"/>
        <v>0</v>
      </c>
      <c r="J1250">
        <v>76.2</v>
      </c>
      <c r="K1250">
        <v>83.3</v>
      </c>
      <c r="L1250">
        <v>73.400000000000006</v>
      </c>
      <c r="M1250">
        <v>76.3</v>
      </c>
      <c r="N1250">
        <v>65.099999999999994</v>
      </c>
      <c r="O1250">
        <v>68.599999999999994</v>
      </c>
      <c r="S1250">
        <f t="shared" si="193"/>
        <v>1</v>
      </c>
      <c r="T1250">
        <f t="shared" si="194"/>
        <v>1</v>
      </c>
      <c r="U1250">
        <f t="shared" si="195"/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21.9</v>
      </c>
      <c r="AG1250">
        <f t="shared" si="196"/>
        <v>1</v>
      </c>
      <c r="AH1250">
        <f t="shared" si="197"/>
        <v>1</v>
      </c>
      <c r="AI1250">
        <f t="shared" si="198"/>
        <v>0</v>
      </c>
      <c r="AJ1250">
        <v>301.5</v>
      </c>
      <c r="AK1250">
        <v>1012.3</v>
      </c>
      <c r="AL1250">
        <v>14.1</v>
      </c>
      <c r="AM1250">
        <v>6.4</v>
      </c>
      <c r="AN1250">
        <v>363.7</v>
      </c>
      <c r="AO1250">
        <v>31.3</v>
      </c>
      <c r="AP1250">
        <v>10</v>
      </c>
      <c r="AQ1250">
        <v>0</v>
      </c>
      <c r="AR1250" t="s">
        <v>4221</v>
      </c>
      <c r="AS1250" t="s">
        <v>4222</v>
      </c>
      <c r="AT1250">
        <v>0.75</v>
      </c>
      <c r="AU1250" t="s">
        <v>74</v>
      </c>
      <c r="AV1250" t="s">
        <v>2955</v>
      </c>
      <c r="AW1250" t="s">
        <v>75</v>
      </c>
      <c r="AX1250" t="s">
        <v>4223</v>
      </c>
      <c r="AY1250" t="s">
        <v>4224</v>
      </c>
      <c r="AZ1250">
        <v>100.0000000011642</v>
      </c>
      <c r="BA1250">
        <v>0</v>
      </c>
      <c r="BB1250">
        <v>0</v>
      </c>
      <c r="BC1250">
        <v>1</v>
      </c>
      <c r="BD1250">
        <v>0</v>
      </c>
      <c r="BE1250">
        <f t="shared" si="199"/>
        <v>0</v>
      </c>
    </row>
    <row r="1251" spans="1:57" x14ac:dyDescent="0.25">
      <c r="A1251" t="s">
        <v>39</v>
      </c>
      <c r="B1251" t="s">
        <v>4225</v>
      </c>
      <c r="C1251">
        <v>78.8</v>
      </c>
      <c r="D1251">
        <v>71.599999999999994</v>
      </c>
      <c r="G1251">
        <f t="shared" si="190"/>
        <v>0</v>
      </c>
      <c r="H1251">
        <f t="shared" si="191"/>
        <v>0</v>
      </c>
      <c r="I1251">
        <f t="shared" si="192"/>
        <v>0</v>
      </c>
      <c r="J1251">
        <v>75.7</v>
      </c>
      <c r="K1251">
        <v>78.8</v>
      </c>
      <c r="L1251">
        <v>71.599999999999994</v>
      </c>
      <c r="M1251">
        <v>75.7</v>
      </c>
      <c r="N1251">
        <v>64.3</v>
      </c>
      <c r="O1251">
        <v>68.2</v>
      </c>
      <c r="S1251">
        <f t="shared" si="193"/>
        <v>1</v>
      </c>
      <c r="T1251">
        <f t="shared" si="194"/>
        <v>1</v>
      </c>
      <c r="U1251">
        <f t="shared" si="195"/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25.3</v>
      </c>
      <c r="AG1251">
        <f t="shared" si="196"/>
        <v>1</v>
      </c>
      <c r="AH1251">
        <f t="shared" si="197"/>
        <v>1</v>
      </c>
      <c r="AI1251">
        <f t="shared" si="198"/>
        <v>0</v>
      </c>
      <c r="AJ1251">
        <v>325.10000000000002</v>
      </c>
      <c r="AK1251">
        <v>1009.2</v>
      </c>
      <c r="AL1251">
        <v>42.3</v>
      </c>
      <c r="AM1251">
        <v>6.5</v>
      </c>
      <c r="AN1251">
        <v>352.5</v>
      </c>
      <c r="AO1251">
        <v>30.3</v>
      </c>
      <c r="AP1251">
        <v>10</v>
      </c>
      <c r="AQ1251">
        <v>0</v>
      </c>
      <c r="AR1251" t="s">
        <v>4226</v>
      </c>
      <c r="AS1251" t="s">
        <v>4227</v>
      </c>
      <c r="AT1251">
        <v>0.84</v>
      </c>
      <c r="AU1251" t="s">
        <v>43</v>
      </c>
      <c r="AV1251" t="s">
        <v>44</v>
      </c>
      <c r="AW1251" t="s">
        <v>45</v>
      </c>
      <c r="AX1251" t="s">
        <v>4228</v>
      </c>
      <c r="AY1251" t="s">
        <v>4229</v>
      </c>
      <c r="AZ1251">
        <v>1280.0000000023281</v>
      </c>
      <c r="BA1251">
        <v>1</v>
      </c>
      <c r="BB1251">
        <v>0</v>
      </c>
      <c r="BC1251">
        <v>50</v>
      </c>
      <c r="BD1251">
        <v>0</v>
      </c>
      <c r="BE1251">
        <f t="shared" si="199"/>
        <v>1</v>
      </c>
    </row>
    <row r="1252" spans="1:57" x14ac:dyDescent="0.25">
      <c r="A1252" t="s">
        <v>39</v>
      </c>
      <c r="B1252" t="s">
        <v>4230</v>
      </c>
      <c r="C1252">
        <v>78.8</v>
      </c>
      <c r="D1252">
        <v>62.6</v>
      </c>
      <c r="G1252">
        <f t="shared" si="190"/>
        <v>0</v>
      </c>
      <c r="H1252">
        <f t="shared" si="191"/>
        <v>0</v>
      </c>
      <c r="I1252">
        <f t="shared" si="192"/>
        <v>0</v>
      </c>
      <c r="J1252">
        <v>72.5</v>
      </c>
      <c r="K1252">
        <v>78.8</v>
      </c>
      <c r="L1252">
        <v>62.6</v>
      </c>
      <c r="M1252">
        <v>72.5</v>
      </c>
      <c r="N1252">
        <v>61</v>
      </c>
      <c r="O1252">
        <v>67.599999999999994</v>
      </c>
      <c r="S1252">
        <f t="shared" si="193"/>
        <v>1</v>
      </c>
      <c r="T1252">
        <f t="shared" si="194"/>
        <v>1</v>
      </c>
      <c r="U1252">
        <f t="shared" si="195"/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11.4</v>
      </c>
      <c r="AG1252">
        <f t="shared" si="196"/>
        <v>1</v>
      </c>
      <c r="AH1252">
        <f t="shared" si="197"/>
        <v>0</v>
      </c>
      <c r="AI1252">
        <f t="shared" si="198"/>
        <v>1</v>
      </c>
      <c r="AJ1252">
        <v>281.10000000000002</v>
      </c>
      <c r="AK1252">
        <v>1008.5</v>
      </c>
      <c r="AL1252">
        <v>34.299999999999997</v>
      </c>
      <c r="AM1252">
        <v>6.6</v>
      </c>
      <c r="AN1252">
        <v>351.3</v>
      </c>
      <c r="AO1252">
        <v>30.3</v>
      </c>
      <c r="AP1252">
        <v>10</v>
      </c>
      <c r="AQ1252">
        <v>0</v>
      </c>
      <c r="AR1252" t="s">
        <v>4231</v>
      </c>
      <c r="AS1252" t="s">
        <v>4232</v>
      </c>
      <c r="AT1252">
        <v>0.94</v>
      </c>
      <c r="AU1252" t="s">
        <v>43</v>
      </c>
      <c r="AV1252" t="s">
        <v>44</v>
      </c>
      <c r="AW1252" t="s">
        <v>45</v>
      </c>
      <c r="AX1252" t="s">
        <v>2413</v>
      </c>
      <c r="AY1252" t="s">
        <v>4233</v>
      </c>
      <c r="AZ1252">
        <v>210.00000000349249</v>
      </c>
      <c r="BA1252">
        <v>0</v>
      </c>
      <c r="BB1252">
        <v>0</v>
      </c>
      <c r="BC1252">
        <v>5</v>
      </c>
      <c r="BD1252">
        <v>0</v>
      </c>
      <c r="BE1252">
        <f t="shared" si="199"/>
        <v>0</v>
      </c>
    </row>
    <row r="1253" spans="1:57" x14ac:dyDescent="0.25">
      <c r="A1253" t="s">
        <v>39</v>
      </c>
      <c r="B1253" t="s">
        <v>4234</v>
      </c>
      <c r="C1253">
        <v>82.4</v>
      </c>
      <c r="D1253">
        <v>68</v>
      </c>
      <c r="G1253">
        <f t="shared" si="190"/>
        <v>0</v>
      </c>
      <c r="H1253">
        <f t="shared" si="191"/>
        <v>0</v>
      </c>
      <c r="I1253">
        <f t="shared" si="192"/>
        <v>0</v>
      </c>
      <c r="J1253">
        <v>75.400000000000006</v>
      </c>
      <c r="K1253">
        <v>85.4</v>
      </c>
      <c r="L1253">
        <v>68</v>
      </c>
      <c r="M1253">
        <v>76.2</v>
      </c>
      <c r="N1253">
        <v>68.7</v>
      </c>
      <c r="O1253">
        <v>80.400000000000006</v>
      </c>
      <c r="S1253">
        <f t="shared" si="193"/>
        <v>1</v>
      </c>
      <c r="T1253">
        <f t="shared" si="194"/>
        <v>1</v>
      </c>
      <c r="U1253">
        <f t="shared" si="195"/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12.8</v>
      </c>
      <c r="AG1253">
        <f t="shared" si="196"/>
        <v>1</v>
      </c>
      <c r="AH1253">
        <f t="shared" si="197"/>
        <v>0</v>
      </c>
      <c r="AI1253">
        <f t="shared" si="198"/>
        <v>1</v>
      </c>
      <c r="AJ1253">
        <v>3.7</v>
      </c>
      <c r="AK1253">
        <v>1009.5</v>
      </c>
      <c r="AL1253">
        <v>19.899999999999999</v>
      </c>
      <c r="AM1253">
        <v>6.5</v>
      </c>
      <c r="AN1253">
        <v>364.9</v>
      </c>
      <c r="AO1253">
        <v>31.4</v>
      </c>
      <c r="AP1253">
        <v>10</v>
      </c>
      <c r="AQ1253">
        <v>0</v>
      </c>
      <c r="AR1253" t="s">
        <v>4235</v>
      </c>
      <c r="AS1253" t="s">
        <v>4236</v>
      </c>
      <c r="AT1253">
        <v>7.0000000000000007E-2</v>
      </c>
      <c r="AU1253" t="s">
        <v>74</v>
      </c>
      <c r="AV1253" t="s">
        <v>2955</v>
      </c>
      <c r="AW1253" t="s">
        <v>75</v>
      </c>
      <c r="AX1253" t="s">
        <v>2730</v>
      </c>
      <c r="AY1253" t="s">
        <v>4237</v>
      </c>
      <c r="AZ1253">
        <v>894.99999999417923</v>
      </c>
      <c r="BA1253">
        <v>1</v>
      </c>
      <c r="BB1253">
        <v>0</v>
      </c>
      <c r="BC1253">
        <v>5</v>
      </c>
      <c r="BD1253">
        <v>0</v>
      </c>
      <c r="BE1253">
        <f t="shared" si="199"/>
        <v>0</v>
      </c>
    </row>
    <row r="1254" spans="1:57" x14ac:dyDescent="0.25">
      <c r="A1254" t="s">
        <v>39</v>
      </c>
      <c r="B1254" t="s">
        <v>4234</v>
      </c>
      <c r="C1254">
        <v>82.4</v>
      </c>
      <c r="D1254">
        <v>68</v>
      </c>
      <c r="G1254">
        <f t="shared" si="190"/>
        <v>0</v>
      </c>
      <c r="H1254">
        <f t="shared" si="191"/>
        <v>0</v>
      </c>
      <c r="I1254">
        <f t="shared" si="192"/>
        <v>0</v>
      </c>
      <c r="J1254">
        <v>75.400000000000006</v>
      </c>
      <c r="K1254">
        <v>85.4</v>
      </c>
      <c r="L1254">
        <v>68</v>
      </c>
      <c r="M1254">
        <v>76.2</v>
      </c>
      <c r="N1254">
        <v>68.7</v>
      </c>
      <c r="O1254">
        <v>80.400000000000006</v>
      </c>
      <c r="S1254">
        <f t="shared" si="193"/>
        <v>1</v>
      </c>
      <c r="T1254">
        <f t="shared" si="194"/>
        <v>1</v>
      </c>
      <c r="U1254">
        <f t="shared" si="195"/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12.8</v>
      </c>
      <c r="AG1254">
        <f t="shared" si="196"/>
        <v>1</v>
      </c>
      <c r="AH1254">
        <f t="shared" si="197"/>
        <v>0</v>
      </c>
      <c r="AI1254">
        <f t="shared" si="198"/>
        <v>1</v>
      </c>
      <c r="AJ1254">
        <v>3.7</v>
      </c>
      <c r="AK1254">
        <v>1009.5</v>
      </c>
      <c r="AL1254">
        <v>19.899999999999999</v>
      </c>
      <c r="AM1254">
        <v>6.5</v>
      </c>
      <c r="AN1254">
        <v>364.9</v>
      </c>
      <c r="AO1254">
        <v>31.4</v>
      </c>
      <c r="AP1254">
        <v>10</v>
      </c>
      <c r="AQ1254">
        <v>0</v>
      </c>
      <c r="AR1254" t="s">
        <v>4235</v>
      </c>
      <c r="AS1254" t="s">
        <v>4236</v>
      </c>
      <c r="AT1254">
        <v>7.0000000000000007E-2</v>
      </c>
      <c r="AU1254" t="s">
        <v>74</v>
      </c>
      <c r="AV1254" t="s">
        <v>2955</v>
      </c>
      <c r="AW1254" t="s">
        <v>75</v>
      </c>
      <c r="AX1254" t="s">
        <v>2572</v>
      </c>
      <c r="AY1254" t="s">
        <v>4238</v>
      </c>
      <c r="AZ1254">
        <v>64.999999991850927</v>
      </c>
      <c r="BA1254">
        <v>0</v>
      </c>
      <c r="BB1254">
        <v>0</v>
      </c>
      <c r="BC1254">
        <v>1</v>
      </c>
      <c r="BD1254">
        <v>0</v>
      </c>
      <c r="BE1254">
        <f t="shared" si="199"/>
        <v>0</v>
      </c>
    </row>
    <row r="1255" spans="1:57" x14ac:dyDescent="0.25">
      <c r="A1255" t="s">
        <v>39</v>
      </c>
      <c r="B1255" t="s">
        <v>4239</v>
      </c>
      <c r="C1255">
        <v>82.4</v>
      </c>
      <c r="D1255">
        <v>69.8</v>
      </c>
      <c r="G1255">
        <f t="shared" si="190"/>
        <v>0</v>
      </c>
      <c r="H1255">
        <f t="shared" si="191"/>
        <v>0</v>
      </c>
      <c r="I1255">
        <f t="shared" si="192"/>
        <v>0</v>
      </c>
      <c r="J1255">
        <v>77.8</v>
      </c>
      <c r="K1255">
        <v>88.3</v>
      </c>
      <c r="L1255">
        <v>69.8</v>
      </c>
      <c r="M1255">
        <v>79.8</v>
      </c>
      <c r="N1255">
        <v>66.8</v>
      </c>
      <c r="O1255">
        <v>69.400000000000006</v>
      </c>
      <c r="S1255">
        <f t="shared" si="193"/>
        <v>1</v>
      </c>
      <c r="T1255">
        <f t="shared" si="194"/>
        <v>1</v>
      </c>
      <c r="U1255">
        <f t="shared" si="195"/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9.1999999999999993</v>
      </c>
      <c r="AG1255">
        <f t="shared" si="196"/>
        <v>1</v>
      </c>
      <c r="AH1255">
        <f t="shared" si="197"/>
        <v>0</v>
      </c>
      <c r="AI1255">
        <f t="shared" si="198"/>
        <v>1</v>
      </c>
      <c r="AJ1255">
        <v>50.2</v>
      </c>
      <c r="AK1255">
        <v>1010</v>
      </c>
      <c r="AL1255">
        <v>4.7</v>
      </c>
      <c r="AM1255">
        <v>6.3</v>
      </c>
      <c r="AN1255">
        <v>352.2</v>
      </c>
      <c r="AO1255">
        <v>30.4</v>
      </c>
      <c r="AP1255">
        <v>10</v>
      </c>
      <c r="AQ1255">
        <v>0</v>
      </c>
      <c r="AR1255" t="s">
        <v>4240</v>
      </c>
      <c r="AS1255" t="s">
        <v>4241</v>
      </c>
      <c r="AT1255">
        <v>0.22</v>
      </c>
      <c r="AU1255" t="s">
        <v>74</v>
      </c>
      <c r="AV1255" t="s">
        <v>2955</v>
      </c>
      <c r="AW1255" t="s">
        <v>75</v>
      </c>
      <c r="AX1255" t="s">
        <v>4242</v>
      </c>
      <c r="AY1255" t="s">
        <v>4243</v>
      </c>
      <c r="AZ1255">
        <v>595.00000000116415</v>
      </c>
      <c r="BA1255">
        <v>1</v>
      </c>
      <c r="BB1255">
        <v>0</v>
      </c>
      <c r="BC1255">
        <v>10</v>
      </c>
      <c r="BD1255">
        <v>0</v>
      </c>
      <c r="BE1255">
        <f t="shared" si="199"/>
        <v>0</v>
      </c>
    </row>
    <row r="1256" spans="1:57" x14ac:dyDescent="0.25">
      <c r="A1256" t="s">
        <v>39</v>
      </c>
      <c r="B1256" t="s">
        <v>4244</v>
      </c>
      <c r="C1256">
        <v>82.4</v>
      </c>
      <c r="D1256">
        <v>78.8</v>
      </c>
      <c r="G1256">
        <f t="shared" si="190"/>
        <v>0</v>
      </c>
      <c r="H1256">
        <f t="shared" si="191"/>
        <v>0</v>
      </c>
      <c r="I1256">
        <f t="shared" si="192"/>
        <v>0</v>
      </c>
      <c r="J1256">
        <v>80.5</v>
      </c>
      <c r="K1256">
        <v>87.2</v>
      </c>
      <c r="L1256">
        <v>78.8</v>
      </c>
      <c r="M1256">
        <v>82.4</v>
      </c>
      <c r="N1256">
        <v>67.599999999999994</v>
      </c>
      <c r="O1256">
        <v>64.8</v>
      </c>
      <c r="S1256">
        <f t="shared" si="193"/>
        <v>1</v>
      </c>
      <c r="T1256">
        <f t="shared" si="194"/>
        <v>1</v>
      </c>
      <c r="U1256">
        <f t="shared" si="195"/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20.8</v>
      </c>
      <c r="AG1256">
        <f t="shared" si="196"/>
        <v>1</v>
      </c>
      <c r="AH1256">
        <f t="shared" si="197"/>
        <v>1</v>
      </c>
      <c r="AI1256">
        <f t="shared" si="198"/>
        <v>0</v>
      </c>
      <c r="AJ1256">
        <v>303.39999999999998</v>
      </c>
      <c r="AK1256">
        <v>1007.6</v>
      </c>
      <c r="AL1256">
        <v>13</v>
      </c>
      <c r="AM1256">
        <v>6.4</v>
      </c>
      <c r="AN1256">
        <v>356</v>
      </c>
      <c r="AO1256">
        <v>30.7</v>
      </c>
      <c r="AP1256">
        <v>10</v>
      </c>
      <c r="AQ1256">
        <v>0</v>
      </c>
      <c r="AR1256" t="s">
        <v>4245</v>
      </c>
      <c r="AS1256" t="s">
        <v>4246</v>
      </c>
      <c r="AT1256">
        <v>0.4</v>
      </c>
      <c r="AU1256" t="s">
        <v>74</v>
      </c>
      <c r="AV1256" t="s">
        <v>2955</v>
      </c>
      <c r="AW1256" t="s">
        <v>75</v>
      </c>
      <c r="AX1256" t="s">
        <v>4143</v>
      </c>
      <c r="AY1256" t="s">
        <v>4247</v>
      </c>
      <c r="AZ1256">
        <v>1820.0000000023281</v>
      </c>
      <c r="BA1256">
        <v>1</v>
      </c>
      <c r="BB1256">
        <v>0</v>
      </c>
      <c r="BC1256">
        <v>150</v>
      </c>
      <c r="BD1256">
        <v>0</v>
      </c>
      <c r="BE1256">
        <f t="shared" si="199"/>
        <v>1</v>
      </c>
    </row>
    <row r="1257" spans="1:57" x14ac:dyDescent="0.25">
      <c r="A1257" t="s">
        <v>39</v>
      </c>
      <c r="B1257" t="s">
        <v>4244</v>
      </c>
      <c r="C1257">
        <v>82.4</v>
      </c>
      <c r="D1257">
        <v>78.8</v>
      </c>
      <c r="G1257">
        <f t="shared" si="190"/>
        <v>0</v>
      </c>
      <c r="H1257">
        <f t="shared" si="191"/>
        <v>0</v>
      </c>
      <c r="I1257">
        <f t="shared" si="192"/>
        <v>0</v>
      </c>
      <c r="J1257">
        <v>80.5</v>
      </c>
      <c r="K1257">
        <v>87.2</v>
      </c>
      <c r="L1257">
        <v>78.8</v>
      </c>
      <c r="M1257">
        <v>82.4</v>
      </c>
      <c r="N1257">
        <v>67.599999999999994</v>
      </c>
      <c r="O1257">
        <v>64.8</v>
      </c>
      <c r="S1257">
        <f t="shared" si="193"/>
        <v>1</v>
      </c>
      <c r="T1257">
        <f t="shared" si="194"/>
        <v>1</v>
      </c>
      <c r="U1257">
        <f t="shared" si="195"/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20.8</v>
      </c>
      <c r="AG1257">
        <f t="shared" si="196"/>
        <v>1</v>
      </c>
      <c r="AH1257">
        <f t="shared" si="197"/>
        <v>1</v>
      </c>
      <c r="AI1257">
        <f t="shared" si="198"/>
        <v>0</v>
      </c>
      <c r="AJ1257">
        <v>303.39999999999998</v>
      </c>
      <c r="AK1257">
        <v>1007.6</v>
      </c>
      <c r="AL1257">
        <v>13</v>
      </c>
      <c r="AM1257">
        <v>6.4</v>
      </c>
      <c r="AN1257">
        <v>356</v>
      </c>
      <c r="AO1257">
        <v>30.7</v>
      </c>
      <c r="AP1257">
        <v>10</v>
      </c>
      <c r="AQ1257">
        <v>0</v>
      </c>
      <c r="AR1257" t="s">
        <v>4245</v>
      </c>
      <c r="AS1257" t="s">
        <v>4246</v>
      </c>
      <c r="AT1257">
        <v>0.4</v>
      </c>
      <c r="AU1257" t="s">
        <v>74</v>
      </c>
      <c r="AV1257" t="s">
        <v>2955</v>
      </c>
      <c r="AW1257" t="s">
        <v>75</v>
      </c>
      <c r="AX1257" t="s">
        <v>4143</v>
      </c>
      <c r="AY1257" t="s">
        <v>4247</v>
      </c>
      <c r="AZ1257">
        <v>1820.0000000023281</v>
      </c>
      <c r="BA1257">
        <v>1</v>
      </c>
      <c r="BB1257">
        <v>0</v>
      </c>
      <c r="BC1257">
        <v>150</v>
      </c>
      <c r="BD1257">
        <v>0</v>
      </c>
      <c r="BE1257">
        <f t="shared" si="199"/>
        <v>1</v>
      </c>
    </row>
    <row r="1258" spans="1:57" x14ac:dyDescent="0.25">
      <c r="A1258" t="s">
        <v>39</v>
      </c>
      <c r="B1258" t="s">
        <v>4244</v>
      </c>
      <c r="C1258">
        <v>82.4</v>
      </c>
      <c r="D1258">
        <v>78.8</v>
      </c>
      <c r="G1258">
        <f t="shared" si="190"/>
        <v>0</v>
      </c>
      <c r="H1258">
        <f t="shared" si="191"/>
        <v>0</v>
      </c>
      <c r="I1258">
        <f t="shared" si="192"/>
        <v>0</v>
      </c>
      <c r="J1258">
        <v>80.5</v>
      </c>
      <c r="K1258">
        <v>87.2</v>
      </c>
      <c r="L1258">
        <v>78.8</v>
      </c>
      <c r="M1258">
        <v>82.4</v>
      </c>
      <c r="N1258">
        <v>67.599999999999994</v>
      </c>
      <c r="O1258">
        <v>64.8</v>
      </c>
      <c r="S1258">
        <f t="shared" si="193"/>
        <v>1</v>
      </c>
      <c r="T1258">
        <f t="shared" si="194"/>
        <v>1</v>
      </c>
      <c r="U1258">
        <f t="shared" si="195"/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20.8</v>
      </c>
      <c r="AG1258">
        <f t="shared" si="196"/>
        <v>1</v>
      </c>
      <c r="AH1258">
        <f t="shared" si="197"/>
        <v>1</v>
      </c>
      <c r="AI1258">
        <f t="shared" si="198"/>
        <v>0</v>
      </c>
      <c r="AJ1258">
        <v>303.39999999999998</v>
      </c>
      <c r="AK1258">
        <v>1007.6</v>
      </c>
      <c r="AL1258">
        <v>13</v>
      </c>
      <c r="AM1258">
        <v>6.4</v>
      </c>
      <c r="AN1258">
        <v>356</v>
      </c>
      <c r="AO1258">
        <v>30.7</v>
      </c>
      <c r="AP1258">
        <v>10</v>
      </c>
      <c r="AQ1258">
        <v>0</v>
      </c>
      <c r="AR1258" t="s">
        <v>4245</v>
      </c>
      <c r="AS1258" t="s">
        <v>4246</v>
      </c>
      <c r="AT1258">
        <v>0.4</v>
      </c>
      <c r="AU1258" t="s">
        <v>74</v>
      </c>
      <c r="AV1258" t="s">
        <v>2955</v>
      </c>
      <c r="AW1258" t="s">
        <v>75</v>
      </c>
      <c r="AX1258" t="s">
        <v>4248</v>
      </c>
      <c r="AY1258" t="s">
        <v>4249</v>
      </c>
      <c r="AZ1258">
        <v>220.00000000465661</v>
      </c>
      <c r="BA1258">
        <v>0</v>
      </c>
      <c r="BB1258">
        <v>0</v>
      </c>
      <c r="BC1258">
        <v>4</v>
      </c>
      <c r="BD1258">
        <v>0</v>
      </c>
      <c r="BE1258">
        <f t="shared" si="199"/>
        <v>0</v>
      </c>
    </row>
    <row r="1259" spans="1:57" x14ac:dyDescent="0.25">
      <c r="A1259" t="s">
        <v>39</v>
      </c>
      <c r="B1259" t="s">
        <v>4250</v>
      </c>
      <c r="C1259">
        <v>84.2</v>
      </c>
      <c r="D1259">
        <v>78.8</v>
      </c>
      <c r="G1259">
        <f t="shared" si="190"/>
        <v>0</v>
      </c>
      <c r="H1259">
        <f t="shared" si="191"/>
        <v>0</v>
      </c>
      <c r="I1259">
        <f t="shared" si="192"/>
        <v>0</v>
      </c>
      <c r="J1259">
        <v>81</v>
      </c>
      <c r="K1259">
        <v>89.6</v>
      </c>
      <c r="L1259">
        <v>78.8</v>
      </c>
      <c r="M1259">
        <v>83.4</v>
      </c>
      <c r="N1259">
        <v>68.8</v>
      </c>
      <c r="O1259">
        <v>66.7</v>
      </c>
      <c r="S1259">
        <f t="shared" si="193"/>
        <v>1</v>
      </c>
      <c r="T1259">
        <f t="shared" si="194"/>
        <v>1</v>
      </c>
      <c r="U1259">
        <f t="shared" si="195"/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21.9</v>
      </c>
      <c r="AG1259">
        <f t="shared" si="196"/>
        <v>1</v>
      </c>
      <c r="AH1259">
        <f t="shared" si="197"/>
        <v>1</v>
      </c>
      <c r="AI1259">
        <f t="shared" si="198"/>
        <v>0</v>
      </c>
      <c r="AJ1259">
        <v>302</v>
      </c>
      <c r="AK1259">
        <v>1007.4</v>
      </c>
      <c r="AL1259">
        <v>0.3</v>
      </c>
      <c r="AM1259">
        <v>6.2</v>
      </c>
      <c r="AN1259">
        <v>346.9</v>
      </c>
      <c r="AO1259">
        <v>29.8</v>
      </c>
      <c r="AP1259">
        <v>10</v>
      </c>
      <c r="AQ1259">
        <v>0</v>
      </c>
      <c r="AR1259" t="s">
        <v>4251</v>
      </c>
      <c r="AS1259" t="s">
        <v>4252</v>
      </c>
      <c r="AT1259">
        <v>0.43</v>
      </c>
      <c r="AU1259" t="s">
        <v>74</v>
      </c>
      <c r="AV1259" t="s">
        <v>2955</v>
      </c>
      <c r="AW1259" t="s">
        <v>75</v>
      </c>
      <c r="AX1259" t="s">
        <v>2651</v>
      </c>
      <c r="AY1259" t="s">
        <v>4253</v>
      </c>
      <c r="AZ1259">
        <v>835.00000000814907</v>
      </c>
      <c r="BA1259">
        <v>1</v>
      </c>
      <c r="BB1259">
        <v>0</v>
      </c>
      <c r="BC1259">
        <v>20</v>
      </c>
      <c r="BD1259">
        <v>0</v>
      </c>
      <c r="BE1259">
        <f t="shared" si="199"/>
        <v>1</v>
      </c>
    </row>
    <row r="1260" spans="1:57" x14ac:dyDescent="0.25">
      <c r="A1260" t="s">
        <v>39</v>
      </c>
      <c r="B1260" t="s">
        <v>4102</v>
      </c>
      <c r="C1260">
        <v>89.6</v>
      </c>
      <c r="D1260">
        <v>71.599999999999994</v>
      </c>
      <c r="G1260">
        <f t="shared" si="190"/>
        <v>1</v>
      </c>
      <c r="H1260">
        <f t="shared" si="191"/>
        <v>1</v>
      </c>
      <c r="I1260">
        <f t="shared" si="192"/>
        <v>0</v>
      </c>
      <c r="J1260">
        <v>81.8</v>
      </c>
      <c r="K1260">
        <v>94.9</v>
      </c>
      <c r="L1260">
        <v>71.599999999999994</v>
      </c>
      <c r="M1260">
        <v>84.8</v>
      </c>
      <c r="N1260">
        <v>69.599999999999994</v>
      </c>
      <c r="O1260">
        <v>67.3</v>
      </c>
      <c r="S1260">
        <f t="shared" si="193"/>
        <v>1</v>
      </c>
      <c r="T1260">
        <f t="shared" si="194"/>
        <v>1</v>
      </c>
      <c r="U1260">
        <f t="shared" si="195"/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11.4</v>
      </c>
      <c r="AG1260">
        <f t="shared" si="196"/>
        <v>1</v>
      </c>
      <c r="AH1260">
        <f t="shared" si="197"/>
        <v>0</v>
      </c>
      <c r="AI1260">
        <f t="shared" si="198"/>
        <v>1</v>
      </c>
      <c r="AJ1260">
        <v>342.6</v>
      </c>
      <c r="AK1260">
        <v>1006.3</v>
      </c>
      <c r="AL1260">
        <v>0</v>
      </c>
      <c r="AM1260">
        <v>6.2</v>
      </c>
      <c r="AN1260">
        <v>351.9</v>
      </c>
      <c r="AO1260">
        <v>30.4</v>
      </c>
      <c r="AP1260">
        <v>10</v>
      </c>
      <c r="AQ1260">
        <v>0</v>
      </c>
      <c r="AR1260" t="s">
        <v>4103</v>
      </c>
      <c r="AS1260" t="s">
        <v>4104</v>
      </c>
      <c r="AT1260">
        <v>0.56999999999999995</v>
      </c>
      <c r="AU1260" t="s">
        <v>74</v>
      </c>
      <c r="AV1260" t="s">
        <v>2955</v>
      </c>
      <c r="AW1260" t="s">
        <v>75</v>
      </c>
      <c r="AX1260" t="s">
        <v>4254</v>
      </c>
      <c r="AY1260" t="s">
        <v>4255</v>
      </c>
      <c r="AZ1260">
        <v>45</v>
      </c>
      <c r="BA1260">
        <v>0</v>
      </c>
      <c r="BB1260">
        <v>0</v>
      </c>
      <c r="BC1260">
        <v>1</v>
      </c>
      <c r="BD1260">
        <v>0</v>
      </c>
      <c r="BE1260">
        <f t="shared" si="199"/>
        <v>1</v>
      </c>
    </row>
    <row r="1261" spans="1:57" x14ac:dyDescent="0.25">
      <c r="A1261" t="s">
        <v>39</v>
      </c>
      <c r="B1261" t="s">
        <v>4256</v>
      </c>
      <c r="C1261">
        <v>86</v>
      </c>
      <c r="D1261">
        <v>75.2</v>
      </c>
      <c r="G1261">
        <f t="shared" si="190"/>
        <v>1</v>
      </c>
      <c r="H1261">
        <f t="shared" si="191"/>
        <v>1</v>
      </c>
      <c r="I1261">
        <f t="shared" si="192"/>
        <v>0</v>
      </c>
      <c r="J1261">
        <v>81.400000000000006</v>
      </c>
      <c r="K1261">
        <v>93.5</v>
      </c>
      <c r="L1261">
        <v>75.2</v>
      </c>
      <c r="M1261">
        <v>85</v>
      </c>
      <c r="N1261">
        <v>68.900000000000006</v>
      </c>
      <c r="O1261">
        <v>66.3</v>
      </c>
      <c r="S1261">
        <f t="shared" si="193"/>
        <v>1</v>
      </c>
      <c r="T1261">
        <f t="shared" si="194"/>
        <v>1</v>
      </c>
      <c r="U1261">
        <f t="shared" si="195"/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24.2</v>
      </c>
      <c r="AG1261">
        <f t="shared" si="196"/>
        <v>1</v>
      </c>
      <c r="AH1261">
        <f t="shared" si="197"/>
        <v>1</v>
      </c>
      <c r="AI1261">
        <f t="shared" si="198"/>
        <v>0</v>
      </c>
      <c r="AJ1261">
        <v>319.3</v>
      </c>
      <c r="AK1261">
        <v>1004.1</v>
      </c>
      <c r="AL1261">
        <v>0.1</v>
      </c>
      <c r="AM1261">
        <v>6.2</v>
      </c>
      <c r="AN1261">
        <v>354.3</v>
      </c>
      <c r="AO1261">
        <v>30.5</v>
      </c>
      <c r="AP1261">
        <v>10</v>
      </c>
      <c r="AQ1261">
        <v>0</v>
      </c>
      <c r="AR1261" t="s">
        <v>4257</v>
      </c>
      <c r="AS1261" t="s">
        <v>4258</v>
      </c>
      <c r="AT1261">
        <v>0.6</v>
      </c>
      <c r="AU1261" t="s">
        <v>74</v>
      </c>
      <c r="AV1261" t="s">
        <v>2955</v>
      </c>
      <c r="AW1261" t="s">
        <v>75</v>
      </c>
      <c r="AX1261" t="s">
        <v>4025</v>
      </c>
      <c r="AY1261" t="s">
        <v>4259</v>
      </c>
      <c r="AZ1261">
        <v>110.00000000232831</v>
      </c>
      <c r="BA1261">
        <v>0</v>
      </c>
      <c r="BB1261">
        <v>0</v>
      </c>
      <c r="BC1261">
        <v>1</v>
      </c>
      <c r="BD1261">
        <v>0</v>
      </c>
      <c r="BE1261">
        <f t="shared" si="199"/>
        <v>1</v>
      </c>
    </row>
    <row r="1262" spans="1:57" x14ac:dyDescent="0.25">
      <c r="A1262" t="s">
        <v>39</v>
      </c>
      <c r="B1262" t="s">
        <v>4260</v>
      </c>
      <c r="C1262">
        <v>84.2</v>
      </c>
      <c r="D1262">
        <v>69.8</v>
      </c>
      <c r="G1262">
        <f t="shared" si="190"/>
        <v>0</v>
      </c>
      <c r="H1262">
        <f t="shared" si="191"/>
        <v>0</v>
      </c>
      <c r="I1262">
        <f t="shared" si="192"/>
        <v>0</v>
      </c>
      <c r="J1262">
        <v>78.099999999999994</v>
      </c>
      <c r="K1262">
        <v>91</v>
      </c>
      <c r="L1262">
        <v>69.8</v>
      </c>
      <c r="M1262">
        <v>80.5</v>
      </c>
      <c r="N1262">
        <v>68.8</v>
      </c>
      <c r="O1262">
        <v>73.3</v>
      </c>
      <c r="S1262">
        <f t="shared" si="193"/>
        <v>1</v>
      </c>
      <c r="T1262">
        <f t="shared" si="194"/>
        <v>1</v>
      </c>
      <c r="U1262">
        <f t="shared" si="195"/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20.8</v>
      </c>
      <c r="AG1262">
        <f t="shared" si="196"/>
        <v>1</v>
      </c>
      <c r="AH1262">
        <f t="shared" si="197"/>
        <v>1</v>
      </c>
      <c r="AI1262">
        <f t="shared" si="198"/>
        <v>0</v>
      </c>
      <c r="AJ1262">
        <v>299.7</v>
      </c>
      <c r="AK1262">
        <v>1006.4</v>
      </c>
      <c r="AL1262">
        <v>0.1</v>
      </c>
      <c r="AM1262">
        <v>6.2</v>
      </c>
      <c r="AN1262">
        <v>355.7</v>
      </c>
      <c r="AO1262">
        <v>30.8</v>
      </c>
      <c r="AP1262">
        <v>10</v>
      </c>
      <c r="AQ1262">
        <v>0</v>
      </c>
      <c r="AR1262" t="s">
        <v>4261</v>
      </c>
      <c r="AS1262" t="s">
        <v>4262</v>
      </c>
      <c r="AT1262">
        <v>0.73</v>
      </c>
      <c r="AU1262" t="s">
        <v>74</v>
      </c>
      <c r="AV1262" t="s">
        <v>2955</v>
      </c>
      <c r="AW1262" t="s">
        <v>75</v>
      </c>
      <c r="AX1262" t="s">
        <v>4263</v>
      </c>
      <c r="AY1262" t="s">
        <v>4264</v>
      </c>
      <c r="AZ1262">
        <v>2170.0000000011642</v>
      </c>
      <c r="BA1262">
        <v>1</v>
      </c>
      <c r="BB1262">
        <v>0</v>
      </c>
      <c r="BC1262">
        <v>500</v>
      </c>
      <c r="BD1262">
        <v>0</v>
      </c>
      <c r="BE1262">
        <f t="shared" si="199"/>
        <v>1</v>
      </c>
    </row>
    <row r="1263" spans="1:57" x14ac:dyDescent="0.25">
      <c r="A1263" t="s">
        <v>39</v>
      </c>
      <c r="B1263" t="s">
        <v>4260</v>
      </c>
      <c r="C1263">
        <v>84.2</v>
      </c>
      <c r="D1263">
        <v>69.8</v>
      </c>
      <c r="G1263">
        <f t="shared" si="190"/>
        <v>0</v>
      </c>
      <c r="H1263">
        <f t="shared" si="191"/>
        <v>0</v>
      </c>
      <c r="I1263">
        <f t="shared" si="192"/>
        <v>0</v>
      </c>
      <c r="J1263">
        <v>78.099999999999994</v>
      </c>
      <c r="K1263">
        <v>91</v>
      </c>
      <c r="L1263">
        <v>69.8</v>
      </c>
      <c r="M1263">
        <v>80.5</v>
      </c>
      <c r="N1263">
        <v>68.8</v>
      </c>
      <c r="O1263">
        <v>73.3</v>
      </c>
      <c r="S1263">
        <f t="shared" si="193"/>
        <v>1</v>
      </c>
      <c r="T1263">
        <f t="shared" si="194"/>
        <v>1</v>
      </c>
      <c r="U1263">
        <f t="shared" si="195"/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20.8</v>
      </c>
      <c r="AG1263">
        <f t="shared" si="196"/>
        <v>1</v>
      </c>
      <c r="AH1263">
        <f t="shared" si="197"/>
        <v>1</v>
      </c>
      <c r="AI1263">
        <f t="shared" si="198"/>
        <v>0</v>
      </c>
      <c r="AJ1263">
        <v>299.7</v>
      </c>
      <c r="AK1263">
        <v>1006.4</v>
      </c>
      <c r="AL1263">
        <v>0.1</v>
      </c>
      <c r="AM1263">
        <v>6.2</v>
      </c>
      <c r="AN1263">
        <v>355.7</v>
      </c>
      <c r="AO1263">
        <v>30.8</v>
      </c>
      <c r="AP1263">
        <v>10</v>
      </c>
      <c r="AQ1263">
        <v>0</v>
      </c>
      <c r="AR1263" t="s">
        <v>4261</v>
      </c>
      <c r="AS1263" t="s">
        <v>4262</v>
      </c>
      <c r="AT1263">
        <v>0.73</v>
      </c>
      <c r="AU1263" t="s">
        <v>74</v>
      </c>
      <c r="AV1263" t="s">
        <v>2955</v>
      </c>
      <c r="AW1263" t="s">
        <v>75</v>
      </c>
      <c r="AX1263" t="s">
        <v>2761</v>
      </c>
      <c r="AY1263" t="s">
        <v>4265</v>
      </c>
      <c r="AZ1263">
        <v>699.99999999767169</v>
      </c>
      <c r="BA1263">
        <v>1</v>
      </c>
      <c r="BB1263">
        <v>0</v>
      </c>
      <c r="BC1263">
        <v>200</v>
      </c>
      <c r="BD1263">
        <v>0</v>
      </c>
      <c r="BE1263">
        <f t="shared" si="199"/>
        <v>1</v>
      </c>
    </row>
    <row r="1264" spans="1:57" x14ac:dyDescent="0.25">
      <c r="A1264" t="s">
        <v>39</v>
      </c>
      <c r="B1264" t="s">
        <v>4266</v>
      </c>
      <c r="C1264">
        <v>88.6</v>
      </c>
      <c r="D1264">
        <v>73.400000000000006</v>
      </c>
      <c r="G1264">
        <f t="shared" si="190"/>
        <v>1</v>
      </c>
      <c r="H1264">
        <f t="shared" si="191"/>
        <v>1</v>
      </c>
      <c r="I1264">
        <f t="shared" si="192"/>
        <v>0</v>
      </c>
      <c r="J1264">
        <v>82</v>
      </c>
      <c r="K1264">
        <v>95.2</v>
      </c>
      <c r="L1264">
        <v>73.400000000000006</v>
      </c>
      <c r="M1264">
        <v>85.2</v>
      </c>
      <c r="N1264">
        <v>66.099999999999994</v>
      </c>
      <c r="O1264">
        <v>59.8</v>
      </c>
      <c r="S1264">
        <f t="shared" si="193"/>
        <v>0</v>
      </c>
      <c r="T1264">
        <f t="shared" si="194"/>
        <v>0</v>
      </c>
      <c r="U1264">
        <f t="shared" si="195"/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21.9</v>
      </c>
      <c r="AG1264">
        <f t="shared" si="196"/>
        <v>1</v>
      </c>
      <c r="AH1264">
        <f t="shared" si="197"/>
        <v>1</v>
      </c>
      <c r="AI1264">
        <f t="shared" si="198"/>
        <v>0</v>
      </c>
      <c r="AJ1264">
        <v>325.5</v>
      </c>
      <c r="AK1264">
        <v>1002</v>
      </c>
      <c r="AL1264">
        <v>1.2</v>
      </c>
      <c r="AM1264">
        <v>6.2</v>
      </c>
      <c r="AN1264">
        <v>341.8</v>
      </c>
      <c r="AO1264">
        <v>29.6</v>
      </c>
      <c r="AP1264">
        <v>10</v>
      </c>
      <c r="AQ1264">
        <v>0</v>
      </c>
      <c r="AR1264" t="s">
        <v>4267</v>
      </c>
      <c r="AS1264" t="s">
        <v>4268</v>
      </c>
      <c r="AT1264">
        <v>0.79</v>
      </c>
      <c r="AU1264" t="s">
        <v>74</v>
      </c>
      <c r="AV1264" t="s">
        <v>2955</v>
      </c>
      <c r="AW1264" t="s">
        <v>75</v>
      </c>
      <c r="AX1264" t="s">
        <v>4269</v>
      </c>
      <c r="AY1264" t="s">
        <v>4270</v>
      </c>
      <c r="AZ1264">
        <v>949.99999999534339</v>
      </c>
      <c r="BA1264">
        <v>1</v>
      </c>
      <c r="BB1264">
        <v>0</v>
      </c>
      <c r="BC1264">
        <v>5</v>
      </c>
      <c r="BD1264">
        <v>0</v>
      </c>
      <c r="BE1264">
        <f t="shared" si="199"/>
        <v>1</v>
      </c>
    </row>
    <row r="1265" spans="1:57" x14ac:dyDescent="0.25">
      <c r="A1265" t="s">
        <v>39</v>
      </c>
      <c r="B1265" t="s">
        <v>4271</v>
      </c>
      <c r="C1265">
        <v>87.8</v>
      </c>
      <c r="D1265">
        <v>72.599999999999994</v>
      </c>
      <c r="G1265">
        <f t="shared" si="190"/>
        <v>1</v>
      </c>
      <c r="H1265">
        <f t="shared" si="191"/>
        <v>1</v>
      </c>
      <c r="I1265">
        <f t="shared" si="192"/>
        <v>0</v>
      </c>
      <c r="J1265">
        <v>80.5</v>
      </c>
      <c r="K1265">
        <v>97.8</v>
      </c>
      <c r="L1265">
        <v>72.599999999999994</v>
      </c>
      <c r="M1265">
        <v>83.3</v>
      </c>
      <c r="N1265">
        <v>67.7</v>
      </c>
      <c r="O1265">
        <v>65.900000000000006</v>
      </c>
      <c r="S1265">
        <f t="shared" si="193"/>
        <v>1</v>
      </c>
      <c r="T1265">
        <f t="shared" si="194"/>
        <v>1</v>
      </c>
      <c r="U1265">
        <f t="shared" si="195"/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17.2</v>
      </c>
      <c r="AG1265">
        <f t="shared" si="196"/>
        <v>0</v>
      </c>
      <c r="AH1265">
        <f t="shared" si="197"/>
        <v>0</v>
      </c>
      <c r="AI1265">
        <f t="shared" si="198"/>
        <v>0</v>
      </c>
      <c r="AJ1265">
        <v>326.8</v>
      </c>
      <c r="AK1265">
        <v>1007.3</v>
      </c>
      <c r="AL1265">
        <v>0</v>
      </c>
      <c r="AM1265">
        <v>6.2</v>
      </c>
      <c r="AN1265">
        <v>339.3</v>
      </c>
      <c r="AO1265">
        <v>29.4</v>
      </c>
      <c r="AP1265">
        <v>10</v>
      </c>
      <c r="AQ1265">
        <v>0</v>
      </c>
      <c r="AR1265" t="s">
        <v>4272</v>
      </c>
      <c r="AS1265" t="s">
        <v>4273</v>
      </c>
      <c r="AT1265">
        <v>0.95</v>
      </c>
      <c r="AU1265" t="s">
        <v>74</v>
      </c>
      <c r="AV1265" t="s">
        <v>2955</v>
      </c>
      <c r="AW1265" t="s">
        <v>75</v>
      </c>
      <c r="AX1265" t="s">
        <v>4049</v>
      </c>
      <c r="AY1265" t="s">
        <v>4274</v>
      </c>
      <c r="AZ1265">
        <v>85.000000004656613</v>
      </c>
      <c r="BA1265">
        <v>0</v>
      </c>
      <c r="BB1265">
        <v>0</v>
      </c>
      <c r="BC1265">
        <v>1</v>
      </c>
      <c r="BD1265">
        <v>0</v>
      </c>
      <c r="BE1265">
        <f t="shared" si="199"/>
        <v>0</v>
      </c>
    </row>
    <row r="1266" spans="1:57" x14ac:dyDescent="0.25">
      <c r="A1266" t="s">
        <v>39</v>
      </c>
      <c r="B1266" t="s">
        <v>4275</v>
      </c>
      <c r="C1266">
        <v>87.8</v>
      </c>
      <c r="D1266">
        <v>71.599999999999994</v>
      </c>
      <c r="G1266">
        <f t="shared" si="190"/>
        <v>1</v>
      </c>
      <c r="H1266">
        <f t="shared" si="191"/>
        <v>1</v>
      </c>
      <c r="I1266">
        <f t="shared" si="192"/>
        <v>0</v>
      </c>
      <c r="J1266">
        <v>78.900000000000006</v>
      </c>
      <c r="K1266">
        <v>92</v>
      </c>
      <c r="L1266">
        <v>71.599999999999994</v>
      </c>
      <c r="M1266">
        <v>81.2</v>
      </c>
      <c r="N1266">
        <v>66.5</v>
      </c>
      <c r="O1266">
        <v>66.599999999999994</v>
      </c>
      <c r="S1266">
        <f t="shared" si="193"/>
        <v>1</v>
      </c>
      <c r="T1266">
        <f t="shared" si="194"/>
        <v>1</v>
      </c>
      <c r="U1266">
        <f t="shared" si="195"/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23</v>
      </c>
      <c r="AG1266">
        <f t="shared" si="196"/>
        <v>1</v>
      </c>
      <c r="AH1266">
        <f t="shared" si="197"/>
        <v>1</v>
      </c>
      <c r="AI1266">
        <f t="shared" si="198"/>
        <v>0</v>
      </c>
      <c r="AJ1266">
        <v>318.8</v>
      </c>
      <c r="AK1266">
        <v>1006.2</v>
      </c>
      <c r="AL1266">
        <v>3.5</v>
      </c>
      <c r="AM1266">
        <v>6.3</v>
      </c>
      <c r="AN1266">
        <v>347.1</v>
      </c>
      <c r="AO1266">
        <v>30.1</v>
      </c>
      <c r="AP1266">
        <v>10</v>
      </c>
      <c r="AQ1266">
        <v>0</v>
      </c>
      <c r="AR1266" t="s">
        <v>4276</v>
      </c>
      <c r="AS1266" t="s">
        <v>4277</v>
      </c>
      <c r="AT1266">
        <v>0</v>
      </c>
      <c r="AU1266" t="s">
        <v>74</v>
      </c>
      <c r="AV1266" t="s">
        <v>2955</v>
      </c>
      <c r="AW1266" t="s">
        <v>75</v>
      </c>
      <c r="AX1266" t="s">
        <v>2592</v>
      </c>
      <c r="AY1266" t="s">
        <v>4278</v>
      </c>
      <c r="AZ1266">
        <v>1610.000000009313</v>
      </c>
      <c r="BA1266">
        <v>1</v>
      </c>
      <c r="BB1266">
        <v>0</v>
      </c>
      <c r="BC1266">
        <v>100</v>
      </c>
      <c r="BD1266">
        <v>0</v>
      </c>
      <c r="BE1266">
        <f t="shared" si="199"/>
        <v>1</v>
      </c>
    </row>
    <row r="1267" spans="1:57" x14ac:dyDescent="0.25">
      <c r="A1267" t="s">
        <v>39</v>
      </c>
      <c r="B1267" t="s">
        <v>4279</v>
      </c>
      <c r="C1267">
        <v>86</v>
      </c>
      <c r="D1267">
        <v>77</v>
      </c>
      <c r="G1267">
        <f t="shared" si="190"/>
        <v>1</v>
      </c>
      <c r="H1267">
        <f t="shared" si="191"/>
        <v>1</v>
      </c>
      <c r="I1267">
        <f t="shared" si="192"/>
        <v>0</v>
      </c>
      <c r="J1267">
        <v>80.900000000000006</v>
      </c>
      <c r="K1267">
        <v>90.6</v>
      </c>
      <c r="L1267">
        <v>77</v>
      </c>
      <c r="M1267">
        <v>83</v>
      </c>
      <c r="N1267">
        <v>67.400000000000006</v>
      </c>
      <c r="O1267">
        <v>63.8</v>
      </c>
      <c r="S1267">
        <f t="shared" si="193"/>
        <v>1</v>
      </c>
      <c r="T1267">
        <f t="shared" si="194"/>
        <v>1</v>
      </c>
      <c r="U1267">
        <f t="shared" si="195"/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20.8</v>
      </c>
      <c r="AG1267">
        <f t="shared" si="196"/>
        <v>1</v>
      </c>
      <c r="AH1267">
        <f t="shared" si="197"/>
        <v>1</v>
      </c>
      <c r="AI1267">
        <f t="shared" si="198"/>
        <v>0</v>
      </c>
      <c r="AJ1267">
        <v>304.10000000000002</v>
      </c>
      <c r="AK1267">
        <v>1010.4</v>
      </c>
      <c r="AL1267">
        <v>17.399999999999999</v>
      </c>
      <c r="AM1267">
        <v>6.5</v>
      </c>
      <c r="AN1267">
        <v>335.7</v>
      </c>
      <c r="AO1267">
        <v>28.9</v>
      </c>
      <c r="AP1267">
        <v>10</v>
      </c>
      <c r="AQ1267">
        <v>0</v>
      </c>
      <c r="AR1267" t="s">
        <v>4280</v>
      </c>
      <c r="AS1267" t="s">
        <v>4281</v>
      </c>
      <c r="AT1267">
        <v>0.31</v>
      </c>
      <c r="AU1267" t="s">
        <v>74</v>
      </c>
      <c r="AV1267" t="s">
        <v>2955</v>
      </c>
      <c r="AW1267" t="s">
        <v>75</v>
      </c>
      <c r="AX1267" t="s">
        <v>4282</v>
      </c>
      <c r="AY1267" t="s">
        <v>4283</v>
      </c>
      <c r="AZ1267">
        <v>44127.999999996973</v>
      </c>
      <c r="BA1267">
        <v>1</v>
      </c>
      <c r="BB1267">
        <v>0</v>
      </c>
      <c r="BC1267">
        <v>10</v>
      </c>
      <c r="BD1267">
        <v>0</v>
      </c>
      <c r="BE1267">
        <f t="shared" si="199"/>
        <v>1</v>
      </c>
    </row>
    <row r="1268" spans="1:57" x14ac:dyDescent="0.25">
      <c r="A1268" t="s">
        <v>39</v>
      </c>
      <c r="B1268" t="s">
        <v>4181</v>
      </c>
      <c r="C1268">
        <v>82.4</v>
      </c>
      <c r="D1268">
        <v>75.2</v>
      </c>
      <c r="G1268">
        <f t="shared" si="190"/>
        <v>0</v>
      </c>
      <c r="H1268">
        <f t="shared" si="191"/>
        <v>0</v>
      </c>
      <c r="I1268">
        <f t="shared" si="192"/>
        <v>0</v>
      </c>
      <c r="J1268">
        <v>78.8</v>
      </c>
      <c r="K1268">
        <v>86.2</v>
      </c>
      <c r="L1268">
        <v>75.2</v>
      </c>
      <c r="M1268">
        <v>80</v>
      </c>
      <c r="N1268">
        <v>66.900000000000006</v>
      </c>
      <c r="O1268">
        <v>67.400000000000006</v>
      </c>
      <c r="S1268">
        <f t="shared" si="193"/>
        <v>1</v>
      </c>
      <c r="T1268">
        <f t="shared" si="194"/>
        <v>1</v>
      </c>
      <c r="U1268">
        <f t="shared" si="195"/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27.5</v>
      </c>
      <c r="AC1268">
        <v>20.8</v>
      </c>
      <c r="AG1268">
        <f t="shared" si="196"/>
        <v>1</v>
      </c>
      <c r="AH1268">
        <f t="shared" si="197"/>
        <v>1</v>
      </c>
      <c r="AI1268">
        <f t="shared" si="198"/>
        <v>0</v>
      </c>
      <c r="AJ1268">
        <v>303.60000000000002</v>
      </c>
      <c r="AK1268">
        <v>1010.4</v>
      </c>
      <c r="AL1268">
        <v>12.8</v>
      </c>
      <c r="AM1268">
        <v>6.5</v>
      </c>
      <c r="AN1268">
        <v>315.89999999999998</v>
      </c>
      <c r="AO1268">
        <v>27.3</v>
      </c>
      <c r="AP1268">
        <v>10</v>
      </c>
      <c r="AQ1268">
        <v>0</v>
      </c>
      <c r="AR1268" t="s">
        <v>4182</v>
      </c>
      <c r="AS1268" t="s">
        <v>4183</v>
      </c>
      <c r="AT1268">
        <v>0.75</v>
      </c>
      <c r="AU1268" t="s">
        <v>74</v>
      </c>
      <c r="AV1268" t="s">
        <v>2955</v>
      </c>
      <c r="AW1268" t="s">
        <v>75</v>
      </c>
      <c r="AX1268" t="s">
        <v>2486</v>
      </c>
      <c r="AY1268" t="s">
        <v>4284</v>
      </c>
      <c r="AZ1268">
        <v>1100.0000000023281</v>
      </c>
      <c r="BA1268">
        <v>1</v>
      </c>
      <c r="BB1268">
        <v>0</v>
      </c>
      <c r="BC1268">
        <v>250</v>
      </c>
      <c r="BD1268">
        <v>0</v>
      </c>
      <c r="BE1268">
        <f t="shared" si="199"/>
        <v>1</v>
      </c>
    </row>
    <row r="1269" spans="1:57" x14ac:dyDescent="0.25">
      <c r="A1269" t="s">
        <v>39</v>
      </c>
      <c r="B1269" t="s">
        <v>4285</v>
      </c>
      <c r="C1269">
        <v>82.4</v>
      </c>
      <c r="D1269">
        <v>69.8</v>
      </c>
      <c r="G1269">
        <f t="shared" si="190"/>
        <v>1</v>
      </c>
      <c r="H1269">
        <f t="shared" si="191"/>
        <v>1</v>
      </c>
      <c r="I1269">
        <f t="shared" si="192"/>
        <v>0</v>
      </c>
      <c r="J1269">
        <v>77</v>
      </c>
      <c r="K1269">
        <v>89.5</v>
      </c>
      <c r="L1269">
        <v>69.8</v>
      </c>
      <c r="M1269">
        <v>79</v>
      </c>
      <c r="N1269">
        <v>68.5</v>
      </c>
      <c r="O1269">
        <v>75.400000000000006</v>
      </c>
      <c r="S1269">
        <f t="shared" si="193"/>
        <v>1</v>
      </c>
      <c r="T1269">
        <f t="shared" si="194"/>
        <v>1</v>
      </c>
      <c r="U1269">
        <f t="shared" si="195"/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15</v>
      </c>
      <c r="AG1269">
        <f t="shared" si="196"/>
        <v>1</v>
      </c>
      <c r="AH1269">
        <f t="shared" si="197"/>
        <v>0</v>
      </c>
      <c r="AI1269">
        <f t="shared" si="198"/>
        <v>1</v>
      </c>
      <c r="AJ1269">
        <v>305</v>
      </c>
      <c r="AK1269">
        <v>1013.4</v>
      </c>
      <c r="AL1269">
        <v>0</v>
      </c>
      <c r="AM1269">
        <v>6.2</v>
      </c>
      <c r="AN1269">
        <v>281.8</v>
      </c>
      <c r="AO1269">
        <v>24.4</v>
      </c>
      <c r="AP1269">
        <v>9</v>
      </c>
      <c r="AQ1269">
        <v>0</v>
      </c>
      <c r="AR1269" t="s">
        <v>4286</v>
      </c>
      <c r="AS1269" t="s">
        <v>4287</v>
      </c>
      <c r="AT1269">
        <v>0.43</v>
      </c>
      <c r="AU1269" t="s">
        <v>74</v>
      </c>
      <c r="AV1269" t="s">
        <v>2955</v>
      </c>
      <c r="AW1269" t="s">
        <v>75</v>
      </c>
      <c r="AX1269" t="s">
        <v>2534</v>
      </c>
      <c r="AY1269" t="s">
        <v>4288</v>
      </c>
      <c r="AZ1269">
        <v>3009.9999999941788</v>
      </c>
      <c r="BA1269">
        <v>1</v>
      </c>
      <c r="BB1269">
        <v>0</v>
      </c>
      <c r="BC1269">
        <v>50</v>
      </c>
      <c r="BD1269">
        <v>0</v>
      </c>
      <c r="BE1269">
        <f t="shared" si="199"/>
        <v>1</v>
      </c>
    </row>
    <row r="1270" spans="1:57" x14ac:dyDescent="0.25">
      <c r="A1270" t="s">
        <v>39</v>
      </c>
      <c r="B1270" t="s">
        <v>4285</v>
      </c>
      <c r="C1270">
        <v>82.4</v>
      </c>
      <c r="D1270">
        <v>69.8</v>
      </c>
      <c r="G1270">
        <f t="shared" si="190"/>
        <v>1</v>
      </c>
      <c r="H1270">
        <f t="shared" si="191"/>
        <v>1</v>
      </c>
      <c r="I1270">
        <f t="shared" si="192"/>
        <v>0</v>
      </c>
      <c r="J1270">
        <v>77</v>
      </c>
      <c r="K1270">
        <v>89.5</v>
      </c>
      <c r="L1270">
        <v>69.8</v>
      </c>
      <c r="M1270">
        <v>79</v>
      </c>
      <c r="N1270">
        <v>68.5</v>
      </c>
      <c r="O1270">
        <v>75.400000000000006</v>
      </c>
      <c r="S1270">
        <f t="shared" si="193"/>
        <v>1</v>
      </c>
      <c r="T1270">
        <f t="shared" si="194"/>
        <v>1</v>
      </c>
      <c r="U1270">
        <f t="shared" si="195"/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15</v>
      </c>
      <c r="AG1270">
        <f t="shared" si="196"/>
        <v>1</v>
      </c>
      <c r="AH1270">
        <f t="shared" si="197"/>
        <v>0</v>
      </c>
      <c r="AI1270">
        <f t="shared" si="198"/>
        <v>1</v>
      </c>
      <c r="AJ1270">
        <v>305</v>
      </c>
      <c r="AK1270">
        <v>1013.4</v>
      </c>
      <c r="AL1270">
        <v>0</v>
      </c>
      <c r="AM1270">
        <v>6.2</v>
      </c>
      <c r="AN1270">
        <v>281.8</v>
      </c>
      <c r="AO1270">
        <v>24.4</v>
      </c>
      <c r="AP1270">
        <v>9</v>
      </c>
      <c r="AQ1270">
        <v>0</v>
      </c>
      <c r="AR1270" t="s">
        <v>4286</v>
      </c>
      <c r="AS1270" t="s">
        <v>4287</v>
      </c>
      <c r="AT1270">
        <v>0.43</v>
      </c>
      <c r="AU1270" t="s">
        <v>74</v>
      </c>
      <c r="AV1270" t="s">
        <v>2955</v>
      </c>
      <c r="AW1270" t="s">
        <v>75</v>
      </c>
      <c r="AX1270" t="s">
        <v>2529</v>
      </c>
      <c r="AY1270" t="s">
        <v>4289</v>
      </c>
      <c r="AZ1270">
        <v>1924.9999999988361</v>
      </c>
      <c r="BA1270">
        <v>1</v>
      </c>
      <c r="BB1270">
        <v>0</v>
      </c>
      <c r="BC1270">
        <v>20</v>
      </c>
      <c r="BD1270">
        <v>0</v>
      </c>
      <c r="BE1270">
        <f t="shared" si="199"/>
        <v>1</v>
      </c>
    </row>
    <row r="1271" spans="1:57" x14ac:dyDescent="0.25">
      <c r="A1271" t="s">
        <v>39</v>
      </c>
      <c r="B1271" t="s">
        <v>4285</v>
      </c>
      <c r="C1271">
        <v>82.4</v>
      </c>
      <c r="D1271">
        <v>69.8</v>
      </c>
      <c r="G1271">
        <f t="shared" si="190"/>
        <v>1</v>
      </c>
      <c r="H1271">
        <f t="shared" si="191"/>
        <v>1</v>
      </c>
      <c r="I1271">
        <f t="shared" si="192"/>
        <v>0</v>
      </c>
      <c r="J1271">
        <v>77</v>
      </c>
      <c r="K1271">
        <v>89.5</v>
      </c>
      <c r="L1271">
        <v>69.8</v>
      </c>
      <c r="M1271">
        <v>79</v>
      </c>
      <c r="N1271">
        <v>68.5</v>
      </c>
      <c r="O1271">
        <v>75.400000000000006</v>
      </c>
      <c r="S1271">
        <f t="shared" si="193"/>
        <v>1</v>
      </c>
      <c r="T1271">
        <f t="shared" si="194"/>
        <v>1</v>
      </c>
      <c r="U1271">
        <f t="shared" si="195"/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15</v>
      </c>
      <c r="AG1271">
        <f t="shared" si="196"/>
        <v>1</v>
      </c>
      <c r="AH1271">
        <f t="shared" si="197"/>
        <v>0</v>
      </c>
      <c r="AI1271">
        <f t="shared" si="198"/>
        <v>1</v>
      </c>
      <c r="AJ1271">
        <v>305</v>
      </c>
      <c r="AK1271">
        <v>1013.4</v>
      </c>
      <c r="AL1271">
        <v>0</v>
      </c>
      <c r="AM1271">
        <v>6.2</v>
      </c>
      <c r="AN1271">
        <v>281.8</v>
      </c>
      <c r="AO1271">
        <v>24.4</v>
      </c>
      <c r="AP1271">
        <v>9</v>
      </c>
      <c r="AQ1271">
        <v>0</v>
      </c>
      <c r="AR1271" t="s">
        <v>4286</v>
      </c>
      <c r="AS1271" t="s">
        <v>4287</v>
      </c>
      <c r="AT1271">
        <v>0.43</v>
      </c>
      <c r="AU1271" t="s">
        <v>74</v>
      </c>
      <c r="AV1271" t="s">
        <v>2955</v>
      </c>
      <c r="AW1271" t="s">
        <v>75</v>
      </c>
      <c r="AX1271" t="s">
        <v>2529</v>
      </c>
      <c r="AY1271" t="s">
        <v>4289</v>
      </c>
      <c r="AZ1271">
        <v>1924.9999999988361</v>
      </c>
      <c r="BA1271">
        <v>1</v>
      </c>
      <c r="BB1271">
        <v>0</v>
      </c>
      <c r="BC1271">
        <v>20</v>
      </c>
      <c r="BD1271">
        <v>0</v>
      </c>
      <c r="BE1271">
        <f t="shared" si="199"/>
        <v>1</v>
      </c>
    </row>
    <row r="1272" spans="1:57" x14ac:dyDescent="0.25">
      <c r="A1272" t="s">
        <v>39</v>
      </c>
      <c r="B1272" t="s">
        <v>4285</v>
      </c>
      <c r="C1272">
        <v>82.4</v>
      </c>
      <c r="D1272">
        <v>69.8</v>
      </c>
      <c r="G1272">
        <f t="shared" si="190"/>
        <v>1</v>
      </c>
      <c r="H1272">
        <f t="shared" si="191"/>
        <v>1</v>
      </c>
      <c r="I1272">
        <f t="shared" si="192"/>
        <v>0</v>
      </c>
      <c r="J1272">
        <v>77</v>
      </c>
      <c r="K1272">
        <v>89.5</v>
      </c>
      <c r="L1272">
        <v>69.8</v>
      </c>
      <c r="M1272">
        <v>79</v>
      </c>
      <c r="N1272">
        <v>68.5</v>
      </c>
      <c r="O1272">
        <v>75.400000000000006</v>
      </c>
      <c r="S1272">
        <f t="shared" si="193"/>
        <v>1</v>
      </c>
      <c r="T1272">
        <f t="shared" si="194"/>
        <v>1</v>
      </c>
      <c r="U1272">
        <f t="shared" si="195"/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15</v>
      </c>
      <c r="AG1272">
        <f t="shared" si="196"/>
        <v>1</v>
      </c>
      <c r="AH1272">
        <f t="shared" si="197"/>
        <v>0</v>
      </c>
      <c r="AI1272">
        <f t="shared" si="198"/>
        <v>1</v>
      </c>
      <c r="AJ1272">
        <v>305</v>
      </c>
      <c r="AK1272">
        <v>1013.4</v>
      </c>
      <c r="AL1272">
        <v>0</v>
      </c>
      <c r="AM1272">
        <v>6.2</v>
      </c>
      <c r="AN1272">
        <v>281.8</v>
      </c>
      <c r="AO1272">
        <v>24.4</v>
      </c>
      <c r="AP1272">
        <v>9</v>
      </c>
      <c r="AQ1272">
        <v>0</v>
      </c>
      <c r="AR1272" t="s">
        <v>4286</v>
      </c>
      <c r="AS1272" t="s">
        <v>4287</v>
      </c>
      <c r="AT1272">
        <v>0.43</v>
      </c>
      <c r="AU1272" t="s">
        <v>74</v>
      </c>
      <c r="AV1272" t="s">
        <v>2955</v>
      </c>
      <c r="AW1272" t="s">
        <v>75</v>
      </c>
      <c r="AX1272" t="s">
        <v>4290</v>
      </c>
      <c r="AY1272" t="s">
        <v>4291</v>
      </c>
      <c r="AZ1272">
        <v>2800.0000000011642</v>
      </c>
      <c r="BA1272">
        <v>1</v>
      </c>
      <c r="BB1272">
        <v>0</v>
      </c>
      <c r="BC1272">
        <v>15</v>
      </c>
      <c r="BD1272">
        <v>0</v>
      </c>
      <c r="BE1272">
        <f t="shared" si="199"/>
        <v>1</v>
      </c>
    </row>
    <row r="1273" spans="1:57" x14ac:dyDescent="0.25">
      <c r="A1273" t="s">
        <v>39</v>
      </c>
      <c r="B1273" t="s">
        <v>4285</v>
      </c>
      <c r="C1273">
        <v>82.4</v>
      </c>
      <c r="D1273">
        <v>69.8</v>
      </c>
      <c r="G1273">
        <f t="shared" si="190"/>
        <v>1</v>
      </c>
      <c r="H1273">
        <f t="shared" si="191"/>
        <v>1</v>
      </c>
      <c r="I1273">
        <f t="shared" si="192"/>
        <v>0</v>
      </c>
      <c r="J1273">
        <v>77</v>
      </c>
      <c r="K1273">
        <v>89.5</v>
      </c>
      <c r="L1273">
        <v>69.8</v>
      </c>
      <c r="M1273">
        <v>79</v>
      </c>
      <c r="N1273">
        <v>68.5</v>
      </c>
      <c r="O1273">
        <v>75.400000000000006</v>
      </c>
      <c r="S1273">
        <f t="shared" si="193"/>
        <v>1</v>
      </c>
      <c r="T1273">
        <f t="shared" si="194"/>
        <v>1</v>
      </c>
      <c r="U1273">
        <f t="shared" si="195"/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15</v>
      </c>
      <c r="AG1273">
        <f t="shared" si="196"/>
        <v>1</v>
      </c>
      <c r="AH1273">
        <f t="shared" si="197"/>
        <v>0</v>
      </c>
      <c r="AI1273">
        <f t="shared" si="198"/>
        <v>1</v>
      </c>
      <c r="AJ1273">
        <v>305</v>
      </c>
      <c r="AK1273">
        <v>1013.4</v>
      </c>
      <c r="AL1273">
        <v>0</v>
      </c>
      <c r="AM1273">
        <v>6.2</v>
      </c>
      <c r="AN1273">
        <v>281.8</v>
      </c>
      <c r="AO1273">
        <v>24.4</v>
      </c>
      <c r="AP1273">
        <v>9</v>
      </c>
      <c r="AQ1273">
        <v>0</v>
      </c>
      <c r="AR1273" t="s">
        <v>4286</v>
      </c>
      <c r="AS1273" t="s">
        <v>4287</v>
      </c>
      <c r="AT1273">
        <v>0.43</v>
      </c>
      <c r="AU1273" t="s">
        <v>74</v>
      </c>
      <c r="AV1273" t="s">
        <v>2955</v>
      </c>
      <c r="AW1273" t="s">
        <v>75</v>
      </c>
      <c r="AX1273" t="s">
        <v>4290</v>
      </c>
      <c r="AY1273" t="s">
        <v>4291</v>
      </c>
      <c r="AZ1273">
        <v>2800.0000000011642</v>
      </c>
      <c r="BA1273">
        <v>1</v>
      </c>
      <c r="BB1273">
        <v>0</v>
      </c>
      <c r="BC1273">
        <v>15</v>
      </c>
      <c r="BD1273">
        <v>0</v>
      </c>
      <c r="BE1273">
        <f t="shared" si="199"/>
        <v>1</v>
      </c>
    </row>
    <row r="1274" spans="1:57" x14ac:dyDescent="0.25">
      <c r="A1274" t="s">
        <v>39</v>
      </c>
      <c r="B1274" t="s">
        <v>4056</v>
      </c>
      <c r="C1274">
        <v>82.4</v>
      </c>
      <c r="D1274">
        <v>68</v>
      </c>
      <c r="G1274">
        <f t="shared" si="190"/>
        <v>1</v>
      </c>
      <c r="H1274">
        <f t="shared" si="191"/>
        <v>1</v>
      </c>
      <c r="I1274">
        <f t="shared" si="192"/>
        <v>0</v>
      </c>
      <c r="J1274">
        <v>75.599999999999994</v>
      </c>
      <c r="K1274">
        <v>86.2</v>
      </c>
      <c r="L1274">
        <v>68</v>
      </c>
      <c r="M1274">
        <v>76.900000000000006</v>
      </c>
      <c r="N1274">
        <v>67.3</v>
      </c>
      <c r="O1274">
        <v>76</v>
      </c>
      <c r="S1274">
        <f t="shared" si="193"/>
        <v>1</v>
      </c>
      <c r="T1274">
        <f t="shared" si="194"/>
        <v>1</v>
      </c>
      <c r="U1274">
        <f t="shared" si="195"/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25.3</v>
      </c>
      <c r="AG1274">
        <f t="shared" si="196"/>
        <v>1</v>
      </c>
      <c r="AH1274">
        <f t="shared" si="197"/>
        <v>1</v>
      </c>
      <c r="AI1274">
        <f t="shared" si="198"/>
        <v>0</v>
      </c>
      <c r="AJ1274">
        <v>306.60000000000002</v>
      </c>
      <c r="AK1274">
        <v>1008.5</v>
      </c>
      <c r="AL1274">
        <v>20.2</v>
      </c>
      <c r="AM1274">
        <v>6.5</v>
      </c>
      <c r="AN1274">
        <v>259</v>
      </c>
      <c r="AO1274">
        <v>22.4</v>
      </c>
      <c r="AP1274">
        <v>9</v>
      </c>
      <c r="AQ1274">
        <v>0</v>
      </c>
      <c r="AR1274" t="s">
        <v>4057</v>
      </c>
      <c r="AS1274" t="s">
        <v>4058</v>
      </c>
      <c r="AT1274">
        <v>0.7</v>
      </c>
      <c r="AU1274" t="s">
        <v>43</v>
      </c>
      <c r="AV1274" t="s">
        <v>44</v>
      </c>
      <c r="AW1274" t="s">
        <v>45</v>
      </c>
      <c r="AX1274" t="s">
        <v>2423</v>
      </c>
      <c r="AY1274" t="s">
        <v>4292</v>
      </c>
      <c r="AZ1274">
        <v>149.99999999650751</v>
      </c>
      <c r="BA1274">
        <v>0</v>
      </c>
      <c r="BB1274">
        <v>0</v>
      </c>
      <c r="BC1274">
        <v>1</v>
      </c>
      <c r="BD1274">
        <v>0</v>
      </c>
      <c r="BE1274">
        <f t="shared" si="199"/>
        <v>1</v>
      </c>
    </row>
    <row r="1275" spans="1:57" x14ac:dyDescent="0.25">
      <c r="A1275" t="s">
        <v>39</v>
      </c>
      <c r="B1275" t="s">
        <v>4293</v>
      </c>
      <c r="C1275">
        <v>77</v>
      </c>
      <c r="D1275">
        <v>69.8</v>
      </c>
      <c r="G1275">
        <f t="shared" si="190"/>
        <v>1</v>
      </c>
      <c r="H1275">
        <f t="shared" si="191"/>
        <v>0</v>
      </c>
      <c r="I1275">
        <f t="shared" si="192"/>
        <v>1</v>
      </c>
      <c r="J1275">
        <v>72.900000000000006</v>
      </c>
      <c r="K1275">
        <v>77</v>
      </c>
      <c r="L1275">
        <v>69.8</v>
      </c>
      <c r="M1275">
        <v>72.900000000000006</v>
      </c>
      <c r="N1275">
        <v>64.099999999999994</v>
      </c>
      <c r="O1275">
        <v>74.3</v>
      </c>
      <c r="S1275">
        <f t="shared" si="193"/>
        <v>1</v>
      </c>
      <c r="T1275">
        <f t="shared" si="194"/>
        <v>1</v>
      </c>
      <c r="U1275">
        <f t="shared" si="195"/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17.2</v>
      </c>
      <c r="AG1275">
        <f t="shared" si="196"/>
        <v>0</v>
      </c>
      <c r="AH1275">
        <f t="shared" si="197"/>
        <v>0</v>
      </c>
      <c r="AI1275">
        <f t="shared" si="198"/>
        <v>0</v>
      </c>
      <c r="AJ1275">
        <v>320.7</v>
      </c>
      <c r="AK1275">
        <v>1017.6</v>
      </c>
      <c r="AL1275">
        <v>46.3</v>
      </c>
      <c r="AM1275">
        <v>6.6</v>
      </c>
      <c r="AN1275">
        <v>241.1</v>
      </c>
      <c r="AO1275">
        <v>20.9</v>
      </c>
      <c r="AP1275">
        <v>8</v>
      </c>
      <c r="AQ1275">
        <v>0</v>
      </c>
      <c r="AR1275" t="s">
        <v>4294</v>
      </c>
      <c r="AS1275" t="s">
        <v>4295</v>
      </c>
      <c r="AT1275">
        <v>0</v>
      </c>
      <c r="AU1275" t="s">
        <v>43</v>
      </c>
      <c r="AV1275" t="s">
        <v>44</v>
      </c>
      <c r="AW1275" t="s">
        <v>45</v>
      </c>
      <c r="AX1275" t="s">
        <v>4296</v>
      </c>
      <c r="AY1275" t="s">
        <v>4297</v>
      </c>
      <c r="AZ1275">
        <v>1659.999999994179</v>
      </c>
      <c r="BA1275">
        <v>1</v>
      </c>
      <c r="BB1275">
        <v>0</v>
      </c>
      <c r="BC1275">
        <v>50</v>
      </c>
      <c r="BD1275">
        <v>0</v>
      </c>
      <c r="BE1275">
        <f t="shared" si="199"/>
        <v>0</v>
      </c>
    </row>
    <row r="1276" spans="1:57" x14ac:dyDescent="0.25">
      <c r="A1276" t="s">
        <v>39</v>
      </c>
      <c r="B1276" t="s">
        <v>4298</v>
      </c>
      <c r="C1276">
        <v>77</v>
      </c>
      <c r="D1276">
        <v>68</v>
      </c>
      <c r="G1276">
        <f t="shared" si="190"/>
        <v>1</v>
      </c>
      <c r="H1276">
        <f t="shared" si="191"/>
        <v>0</v>
      </c>
      <c r="I1276">
        <f t="shared" si="192"/>
        <v>1</v>
      </c>
      <c r="J1276">
        <v>72.7</v>
      </c>
      <c r="K1276">
        <v>77</v>
      </c>
      <c r="L1276">
        <v>68</v>
      </c>
      <c r="M1276">
        <v>72.7</v>
      </c>
      <c r="N1276">
        <v>62.9</v>
      </c>
      <c r="O1276">
        <v>71.5</v>
      </c>
      <c r="S1276">
        <f t="shared" si="193"/>
        <v>1</v>
      </c>
      <c r="T1276">
        <f t="shared" si="194"/>
        <v>1</v>
      </c>
      <c r="U1276">
        <f t="shared" si="195"/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18.3</v>
      </c>
      <c r="AG1276">
        <f t="shared" si="196"/>
        <v>1</v>
      </c>
      <c r="AH1276">
        <f t="shared" si="197"/>
        <v>1</v>
      </c>
      <c r="AI1276">
        <f t="shared" si="198"/>
        <v>0</v>
      </c>
      <c r="AJ1276">
        <v>339.3</v>
      </c>
      <c r="AK1276">
        <v>1016.5</v>
      </c>
      <c r="AL1276">
        <v>39.799999999999997</v>
      </c>
      <c r="AM1276">
        <v>6.6</v>
      </c>
      <c r="AN1276">
        <v>240</v>
      </c>
      <c r="AO1276">
        <v>20.7</v>
      </c>
      <c r="AP1276">
        <v>8</v>
      </c>
      <c r="AQ1276">
        <v>0</v>
      </c>
      <c r="AR1276" t="s">
        <v>4299</v>
      </c>
      <c r="AS1276" t="s">
        <v>4300</v>
      </c>
      <c r="AT1276">
        <v>0.03</v>
      </c>
      <c r="AU1276" t="s">
        <v>43</v>
      </c>
      <c r="AV1276" t="s">
        <v>44</v>
      </c>
      <c r="AW1276" t="s">
        <v>45</v>
      </c>
      <c r="AX1276" t="s">
        <v>4301</v>
      </c>
      <c r="AY1276" t="s">
        <v>4302</v>
      </c>
      <c r="AZ1276">
        <v>4095</v>
      </c>
      <c r="BA1276">
        <v>1</v>
      </c>
      <c r="BB1276">
        <v>0</v>
      </c>
      <c r="BC1276">
        <v>1000</v>
      </c>
      <c r="BD1276">
        <v>0</v>
      </c>
      <c r="BE1276">
        <f t="shared" si="199"/>
        <v>1</v>
      </c>
    </row>
    <row r="1277" spans="1:57" x14ac:dyDescent="0.25">
      <c r="A1277" t="s">
        <v>39</v>
      </c>
      <c r="B1277" t="s">
        <v>4303</v>
      </c>
      <c r="C1277">
        <v>77</v>
      </c>
      <c r="D1277">
        <v>68</v>
      </c>
      <c r="G1277">
        <f t="shared" si="190"/>
        <v>1</v>
      </c>
      <c r="H1277">
        <f t="shared" si="191"/>
        <v>0</v>
      </c>
      <c r="I1277">
        <f t="shared" si="192"/>
        <v>1</v>
      </c>
      <c r="J1277">
        <v>73.2</v>
      </c>
      <c r="K1277">
        <v>77</v>
      </c>
      <c r="L1277">
        <v>68</v>
      </c>
      <c r="M1277">
        <v>73.2</v>
      </c>
      <c r="N1277">
        <v>62.9</v>
      </c>
      <c r="O1277">
        <v>70.599999999999994</v>
      </c>
      <c r="S1277">
        <f t="shared" si="193"/>
        <v>1</v>
      </c>
      <c r="T1277">
        <f t="shared" si="194"/>
        <v>1</v>
      </c>
      <c r="U1277">
        <f t="shared" si="195"/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30</v>
      </c>
      <c r="AC1277">
        <v>25.3</v>
      </c>
      <c r="AG1277">
        <f t="shared" si="196"/>
        <v>1</v>
      </c>
      <c r="AH1277">
        <f t="shared" si="197"/>
        <v>1</v>
      </c>
      <c r="AI1277">
        <f t="shared" si="198"/>
        <v>0</v>
      </c>
      <c r="AJ1277">
        <v>322.60000000000002</v>
      </c>
      <c r="AK1277">
        <v>1015.7</v>
      </c>
      <c r="AL1277">
        <v>43.4</v>
      </c>
      <c r="AM1277">
        <v>6.6</v>
      </c>
      <c r="AN1277">
        <v>245</v>
      </c>
      <c r="AO1277">
        <v>21.2</v>
      </c>
      <c r="AP1277">
        <v>8</v>
      </c>
      <c r="AQ1277">
        <v>0</v>
      </c>
      <c r="AR1277" t="s">
        <v>4304</v>
      </c>
      <c r="AS1277" t="s">
        <v>4305</v>
      </c>
      <c r="AT1277">
        <v>0.1</v>
      </c>
      <c r="AU1277" t="s">
        <v>43</v>
      </c>
      <c r="AV1277" t="s">
        <v>44</v>
      </c>
      <c r="AW1277" t="s">
        <v>45</v>
      </c>
      <c r="AX1277" t="s">
        <v>4306</v>
      </c>
      <c r="AY1277" t="s">
        <v>4307</v>
      </c>
      <c r="AZ1277">
        <v>69.999999997671694</v>
      </c>
      <c r="BA1277">
        <v>0</v>
      </c>
      <c r="BB1277">
        <v>0</v>
      </c>
      <c r="BC1277">
        <v>1</v>
      </c>
      <c r="BD1277">
        <v>0</v>
      </c>
      <c r="BE1277">
        <f t="shared" si="199"/>
        <v>1</v>
      </c>
    </row>
    <row r="1278" spans="1:57" x14ac:dyDescent="0.25">
      <c r="A1278" t="s">
        <v>39</v>
      </c>
      <c r="B1278" t="s">
        <v>4308</v>
      </c>
      <c r="C1278">
        <v>77.099999999999994</v>
      </c>
      <c r="D1278">
        <v>60.8</v>
      </c>
      <c r="G1278">
        <f t="shared" si="190"/>
        <v>1</v>
      </c>
      <c r="H1278">
        <f t="shared" si="191"/>
        <v>1</v>
      </c>
      <c r="I1278">
        <f t="shared" si="192"/>
        <v>0</v>
      </c>
      <c r="J1278">
        <v>68.8</v>
      </c>
      <c r="K1278">
        <v>77.099999999999994</v>
      </c>
      <c r="L1278">
        <v>60.8</v>
      </c>
      <c r="M1278">
        <v>68.8</v>
      </c>
      <c r="N1278">
        <v>58.7</v>
      </c>
      <c r="O1278">
        <v>71.400000000000006</v>
      </c>
      <c r="S1278">
        <f t="shared" si="193"/>
        <v>1</v>
      </c>
      <c r="T1278">
        <f t="shared" si="194"/>
        <v>1</v>
      </c>
      <c r="U1278">
        <f t="shared" si="195"/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8.1</v>
      </c>
      <c r="AG1278">
        <f t="shared" si="196"/>
        <v>1</v>
      </c>
      <c r="AH1278">
        <f t="shared" si="197"/>
        <v>0</v>
      </c>
      <c r="AI1278">
        <f t="shared" si="198"/>
        <v>1</v>
      </c>
      <c r="AJ1278">
        <v>241.7</v>
      </c>
      <c r="AK1278">
        <v>1019</v>
      </c>
      <c r="AL1278">
        <v>17.8</v>
      </c>
      <c r="AM1278">
        <v>6.4</v>
      </c>
      <c r="AN1278">
        <v>229.4</v>
      </c>
      <c r="AO1278">
        <v>19.899999999999999</v>
      </c>
      <c r="AP1278">
        <v>8</v>
      </c>
      <c r="AQ1278">
        <v>0</v>
      </c>
      <c r="AR1278" t="s">
        <v>4309</v>
      </c>
      <c r="AS1278" t="s">
        <v>4310</v>
      </c>
      <c r="AT1278">
        <v>0.3</v>
      </c>
      <c r="AU1278" t="s">
        <v>74</v>
      </c>
      <c r="AV1278" t="s">
        <v>2955</v>
      </c>
      <c r="AW1278" t="s">
        <v>75</v>
      </c>
      <c r="AX1278" t="s">
        <v>4311</v>
      </c>
      <c r="AY1278" t="s">
        <v>4312</v>
      </c>
      <c r="AZ1278">
        <v>765</v>
      </c>
      <c r="BA1278">
        <v>1</v>
      </c>
      <c r="BB1278">
        <v>0</v>
      </c>
      <c r="BC1278">
        <v>30</v>
      </c>
      <c r="BD1278">
        <v>0</v>
      </c>
      <c r="BE1278">
        <f t="shared" si="199"/>
        <v>1</v>
      </c>
    </row>
    <row r="1279" spans="1:57" x14ac:dyDescent="0.25">
      <c r="A1279" t="s">
        <v>39</v>
      </c>
      <c r="B1279" t="s">
        <v>4313</v>
      </c>
      <c r="C1279">
        <v>73.400000000000006</v>
      </c>
      <c r="D1279">
        <v>56.4</v>
      </c>
      <c r="G1279">
        <f t="shared" si="190"/>
        <v>0</v>
      </c>
      <c r="H1279">
        <f t="shared" si="191"/>
        <v>0</v>
      </c>
      <c r="I1279">
        <f t="shared" si="192"/>
        <v>0</v>
      </c>
      <c r="J1279">
        <v>65</v>
      </c>
      <c r="K1279">
        <v>73.400000000000006</v>
      </c>
      <c r="L1279">
        <v>56.4</v>
      </c>
      <c r="M1279">
        <v>65</v>
      </c>
      <c r="N1279">
        <v>56.3</v>
      </c>
      <c r="O1279">
        <v>73.900000000000006</v>
      </c>
      <c r="S1279">
        <f t="shared" si="193"/>
        <v>1</v>
      </c>
      <c r="T1279">
        <f t="shared" si="194"/>
        <v>1</v>
      </c>
      <c r="U1279">
        <f t="shared" si="195"/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13.9</v>
      </c>
      <c r="AG1279">
        <f t="shared" si="196"/>
        <v>1</v>
      </c>
      <c r="AH1279">
        <f t="shared" si="197"/>
        <v>0</v>
      </c>
      <c r="AI1279">
        <f t="shared" si="198"/>
        <v>1</v>
      </c>
      <c r="AJ1279">
        <v>268.39999999999998</v>
      </c>
      <c r="AK1279">
        <v>1015.7</v>
      </c>
      <c r="AL1279">
        <v>22</v>
      </c>
      <c r="AM1279">
        <v>6.5</v>
      </c>
      <c r="AN1279">
        <v>220.8</v>
      </c>
      <c r="AO1279">
        <v>19.2</v>
      </c>
      <c r="AP1279">
        <v>8</v>
      </c>
      <c r="AQ1279">
        <v>0</v>
      </c>
      <c r="AR1279" t="s">
        <v>4314</v>
      </c>
      <c r="AS1279" t="s">
        <v>4315</v>
      </c>
      <c r="AT1279">
        <v>0.54</v>
      </c>
      <c r="AU1279" t="s">
        <v>43</v>
      </c>
      <c r="AV1279" t="s">
        <v>44</v>
      </c>
      <c r="AW1279" t="s">
        <v>45</v>
      </c>
      <c r="AX1279" t="s">
        <v>4316</v>
      </c>
      <c r="AY1279" t="s">
        <v>4317</v>
      </c>
      <c r="AZ1279">
        <v>1575</v>
      </c>
      <c r="BA1279">
        <v>1</v>
      </c>
      <c r="BB1279">
        <v>0</v>
      </c>
      <c r="BC1279">
        <v>20</v>
      </c>
      <c r="BD1279">
        <v>0</v>
      </c>
      <c r="BE1279">
        <f t="shared" si="199"/>
        <v>0</v>
      </c>
    </row>
    <row r="1280" spans="1:57" x14ac:dyDescent="0.25">
      <c r="A1280" t="s">
        <v>39</v>
      </c>
      <c r="B1280" t="s">
        <v>4318</v>
      </c>
      <c r="C1280">
        <v>71.599999999999994</v>
      </c>
      <c r="D1280">
        <v>60.3</v>
      </c>
      <c r="G1280">
        <f t="shared" si="190"/>
        <v>1</v>
      </c>
      <c r="H1280">
        <f t="shared" si="191"/>
        <v>0</v>
      </c>
      <c r="I1280">
        <f t="shared" si="192"/>
        <v>1</v>
      </c>
      <c r="J1280">
        <v>65.8</v>
      </c>
      <c r="K1280">
        <v>71.599999999999994</v>
      </c>
      <c r="L1280">
        <v>60.3</v>
      </c>
      <c r="M1280">
        <v>65.8</v>
      </c>
      <c r="N1280">
        <v>56.3</v>
      </c>
      <c r="O1280">
        <v>71.8</v>
      </c>
      <c r="S1280">
        <f t="shared" si="193"/>
        <v>1</v>
      </c>
      <c r="T1280">
        <f t="shared" si="194"/>
        <v>1</v>
      </c>
      <c r="U1280">
        <f t="shared" si="195"/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16.100000000000001</v>
      </c>
      <c r="AG1280">
        <f t="shared" si="196"/>
        <v>0</v>
      </c>
      <c r="AH1280">
        <f t="shared" si="197"/>
        <v>0</v>
      </c>
      <c r="AI1280">
        <f t="shared" si="198"/>
        <v>0</v>
      </c>
      <c r="AJ1280">
        <v>333.5</v>
      </c>
      <c r="AK1280">
        <v>1015.8</v>
      </c>
      <c r="AL1280">
        <v>79.3</v>
      </c>
      <c r="AM1280">
        <v>6.6</v>
      </c>
      <c r="AN1280">
        <v>181.5</v>
      </c>
      <c r="AO1280">
        <v>15.6</v>
      </c>
      <c r="AP1280">
        <v>7</v>
      </c>
      <c r="AQ1280">
        <v>0</v>
      </c>
      <c r="AR1280" t="s">
        <v>4319</v>
      </c>
      <c r="AS1280" t="s">
        <v>4320</v>
      </c>
      <c r="AT1280">
        <v>0.92</v>
      </c>
      <c r="AU1280" t="s">
        <v>43</v>
      </c>
      <c r="AV1280" t="s">
        <v>44</v>
      </c>
      <c r="AW1280" t="s">
        <v>45</v>
      </c>
      <c r="AX1280" t="s">
        <v>4203</v>
      </c>
      <c r="AY1280" t="s">
        <v>4321</v>
      </c>
      <c r="AZ1280">
        <v>90</v>
      </c>
      <c r="BA1280">
        <v>0</v>
      </c>
      <c r="BB1280">
        <v>0</v>
      </c>
      <c r="BC1280">
        <v>1</v>
      </c>
      <c r="BD1280">
        <v>0</v>
      </c>
      <c r="BE1280">
        <f t="shared" si="199"/>
        <v>0</v>
      </c>
    </row>
    <row r="1281" spans="1:57" x14ac:dyDescent="0.25">
      <c r="A1281" t="s">
        <v>39</v>
      </c>
      <c r="B1281" t="s">
        <v>4322</v>
      </c>
      <c r="C1281">
        <v>68</v>
      </c>
      <c r="D1281">
        <v>60</v>
      </c>
      <c r="G1281">
        <f t="shared" si="190"/>
        <v>1</v>
      </c>
      <c r="H1281">
        <f t="shared" si="191"/>
        <v>0</v>
      </c>
      <c r="I1281">
        <f t="shared" si="192"/>
        <v>1</v>
      </c>
      <c r="J1281">
        <v>65.2</v>
      </c>
      <c r="K1281">
        <v>68</v>
      </c>
      <c r="L1281">
        <v>60</v>
      </c>
      <c r="M1281">
        <v>65.2</v>
      </c>
      <c r="N1281">
        <v>56.6</v>
      </c>
      <c r="O1281">
        <v>73.900000000000006</v>
      </c>
      <c r="S1281">
        <f t="shared" si="193"/>
        <v>1</v>
      </c>
      <c r="T1281">
        <f t="shared" si="194"/>
        <v>1</v>
      </c>
      <c r="U1281">
        <f t="shared" si="195"/>
        <v>0</v>
      </c>
      <c r="V1281">
        <v>0.02</v>
      </c>
      <c r="W1281">
        <v>100</v>
      </c>
      <c r="X1281">
        <v>4.17</v>
      </c>
      <c r="Y1281" t="s">
        <v>103</v>
      </c>
      <c r="Z1281">
        <v>0</v>
      </c>
      <c r="AA1281">
        <v>0</v>
      </c>
      <c r="AB1281">
        <v>0</v>
      </c>
      <c r="AC1281">
        <v>23</v>
      </c>
      <c r="AG1281">
        <f t="shared" si="196"/>
        <v>1</v>
      </c>
      <c r="AH1281">
        <f t="shared" si="197"/>
        <v>1</v>
      </c>
      <c r="AI1281">
        <f t="shared" si="198"/>
        <v>0</v>
      </c>
      <c r="AJ1281">
        <v>348.6</v>
      </c>
      <c r="AK1281">
        <v>1016.7</v>
      </c>
      <c r="AL1281">
        <v>72.099999999999994</v>
      </c>
      <c r="AM1281">
        <v>6.6</v>
      </c>
      <c r="AN1281">
        <v>194.3</v>
      </c>
      <c r="AO1281">
        <v>16.8</v>
      </c>
      <c r="AP1281">
        <v>7</v>
      </c>
      <c r="AQ1281">
        <v>0</v>
      </c>
      <c r="AR1281" t="s">
        <v>4323</v>
      </c>
      <c r="AS1281" t="s">
        <v>4324</v>
      </c>
      <c r="AT1281">
        <v>0</v>
      </c>
      <c r="AU1281" t="s">
        <v>106</v>
      </c>
      <c r="AV1281" t="s">
        <v>296</v>
      </c>
      <c r="AW1281" t="s">
        <v>103</v>
      </c>
      <c r="AX1281" t="s">
        <v>2555</v>
      </c>
      <c r="AY1281" t="s">
        <v>4325</v>
      </c>
      <c r="AZ1281">
        <v>235.00000000116421</v>
      </c>
      <c r="BA1281">
        <v>0</v>
      </c>
      <c r="BB1281">
        <v>0</v>
      </c>
      <c r="BC1281">
        <v>25</v>
      </c>
      <c r="BD1281">
        <v>0</v>
      </c>
      <c r="BE1281">
        <f t="shared" si="199"/>
        <v>1</v>
      </c>
    </row>
    <row r="1282" spans="1:57" x14ac:dyDescent="0.25">
      <c r="A1282" t="s">
        <v>39</v>
      </c>
      <c r="B1282" t="s">
        <v>4187</v>
      </c>
      <c r="C1282">
        <v>64.400000000000006</v>
      </c>
      <c r="D1282">
        <v>56.2</v>
      </c>
      <c r="G1282">
        <f t="shared" si="190"/>
        <v>1</v>
      </c>
      <c r="H1282">
        <f t="shared" si="191"/>
        <v>0</v>
      </c>
      <c r="I1282">
        <f t="shared" si="192"/>
        <v>1</v>
      </c>
      <c r="J1282">
        <v>61.8</v>
      </c>
      <c r="K1282">
        <v>64.400000000000006</v>
      </c>
      <c r="L1282">
        <v>56.2</v>
      </c>
      <c r="M1282">
        <v>61.8</v>
      </c>
      <c r="N1282">
        <v>48.8</v>
      </c>
      <c r="O1282">
        <v>62.4</v>
      </c>
      <c r="S1282">
        <f t="shared" si="193"/>
        <v>1</v>
      </c>
      <c r="T1282">
        <f t="shared" si="194"/>
        <v>0</v>
      </c>
      <c r="U1282">
        <f t="shared" si="195"/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27.5</v>
      </c>
      <c r="AG1282">
        <f t="shared" si="196"/>
        <v>1</v>
      </c>
      <c r="AH1282">
        <f t="shared" si="197"/>
        <v>1</v>
      </c>
      <c r="AI1282">
        <f t="shared" si="198"/>
        <v>0</v>
      </c>
      <c r="AJ1282">
        <v>336</v>
      </c>
      <c r="AK1282">
        <v>1019.8</v>
      </c>
      <c r="AL1282">
        <v>85.8</v>
      </c>
      <c r="AM1282">
        <v>6.6</v>
      </c>
      <c r="AN1282">
        <v>160.9</v>
      </c>
      <c r="AO1282">
        <v>14.5</v>
      </c>
      <c r="AP1282">
        <v>7</v>
      </c>
      <c r="AQ1282">
        <v>0</v>
      </c>
      <c r="AR1282" t="s">
        <v>4188</v>
      </c>
      <c r="AS1282" t="s">
        <v>4189</v>
      </c>
      <c r="AT1282">
        <v>0.12</v>
      </c>
      <c r="AU1282" t="s">
        <v>43</v>
      </c>
      <c r="AV1282" t="s">
        <v>44</v>
      </c>
      <c r="AW1282" t="s">
        <v>45</v>
      </c>
      <c r="AX1282" t="s">
        <v>2567</v>
      </c>
      <c r="AY1282" t="s">
        <v>4326</v>
      </c>
      <c r="AZ1282">
        <v>50.000000005820773</v>
      </c>
      <c r="BA1282">
        <v>0</v>
      </c>
      <c r="BB1282">
        <v>0</v>
      </c>
      <c r="BC1282">
        <v>2</v>
      </c>
      <c r="BD1282">
        <v>0</v>
      </c>
      <c r="BE1282">
        <f t="shared" si="199"/>
        <v>1</v>
      </c>
    </row>
    <row r="1283" spans="1:57" x14ac:dyDescent="0.25">
      <c r="A1283" t="s">
        <v>39</v>
      </c>
      <c r="B1283" t="s">
        <v>4187</v>
      </c>
      <c r="C1283">
        <v>64.400000000000006</v>
      </c>
      <c r="D1283">
        <v>56.2</v>
      </c>
      <c r="G1283">
        <f t="shared" ref="G1283:G1346" si="200">IF(ABS(C1283-INDEX($F$2:$F$13,MONTH(B1283)))&gt;1.8,1,0)</f>
        <v>1</v>
      </c>
      <c r="H1283">
        <f t="shared" ref="H1283:H1346" si="201">IF(C1283&gt;=INDEX($F$2:$F$13,MONTH(B1283))+1.8,1,0)</f>
        <v>0</v>
      </c>
      <c r="I1283">
        <f t="shared" ref="I1283:I1346" si="202">IF(C1283&lt;=INDEX($F$2:$F$13,MONTH(B1283))-1.8,1,0)</f>
        <v>1</v>
      </c>
      <c r="J1283">
        <v>61.8</v>
      </c>
      <c r="K1283">
        <v>64.400000000000006</v>
      </c>
      <c r="L1283">
        <v>56.2</v>
      </c>
      <c r="M1283">
        <v>61.8</v>
      </c>
      <c r="N1283">
        <v>48.8</v>
      </c>
      <c r="O1283">
        <v>62.4</v>
      </c>
      <c r="S1283">
        <f t="shared" ref="S1283:S1346" si="203">IF(OR(O1283&lt;INDEX($Q$2:$Q$13,MONTH(B1283)),O1283&gt;INDEX($R$2:$R$13,MONTH(B1283))),1,0)</f>
        <v>1</v>
      </c>
      <c r="T1283">
        <f t="shared" ref="T1283:T1346" si="204">IF(O1283&gt;INDEX($R$2:$R$13,MONTH(B1283)),1,0)</f>
        <v>0</v>
      </c>
      <c r="U1283">
        <f t="shared" ref="U1283:U1346" si="205">IF(O1283&lt;INDEX($Q$2:$Q$13,MONTH(B1283)),1,0)</f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27.5</v>
      </c>
      <c r="AG1283">
        <f t="shared" ref="AG1283:AG1346" si="206">IF(OR(AC1283&lt;INDEX($AE$2:$AE$13,MONTH(B1283)),AC1283&gt;INDEX($AF$2:$AF$13,MONTH(B1283))),1,0)</f>
        <v>1</v>
      </c>
      <c r="AH1283">
        <f t="shared" ref="AH1283:AH1346" si="207">IF(AC1283&gt;INDEX($AF$2:$AF$13,MONTH(B1283)),1,0)</f>
        <v>1</v>
      </c>
      <c r="AI1283">
        <f t="shared" ref="AI1283:AI1346" si="208">IF(AC1283&lt;INDEX($AE$2:$AE$13,MONTH(B1283)),1,0)</f>
        <v>0</v>
      </c>
      <c r="AJ1283">
        <v>336</v>
      </c>
      <c r="AK1283">
        <v>1019.8</v>
      </c>
      <c r="AL1283">
        <v>85.8</v>
      </c>
      <c r="AM1283">
        <v>6.6</v>
      </c>
      <c r="AN1283">
        <v>160.9</v>
      </c>
      <c r="AO1283">
        <v>14.5</v>
      </c>
      <c r="AP1283">
        <v>7</v>
      </c>
      <c r="AQ1283">
        <v>0</v>
      </c>
      <c r="AR1283" t="s">
        <v>4188</v>
      </c>
      <c r="AS1283" t="s">
        <v>4189</v>
      </c>
      <c r="AT1283">
        <v>0.12</v>
      </c>
      <c r="AU1283" t="s">
        <v>43</v>
      </c>
      <c r="AV1283" t="s">
        <v>44</v>
      </c>
      <c r="AW1283" t="s">
        <v>45</v>
      </c>
      <c r="AX1283" t="s">
        <v>4327</v>
      </c>
      <c r="AY1283" t="s">
        <v>4328</v>
      </c>
      <c r="AZ1283">
        <v>55.000000001164153</v>
      </c>
      <c r="BA1283">
        <v>0</v>
      </c>
      <c r="BB1283">
        <v>0</v>
      </c>
      <c r="BC1283">
        <v>1</v>
      </c>
      <c r="BD1283">
        <v>0</v>
      </c>
      <c r="BE1283">
        <f t="shared" ref="BE1283:BE1346" si="209">IF((3*AH1283+3*H1283+2*U1283+2*BA1283-(2*(1-T1283)+2*(1-I1283)+2*(1-AI1283)))&gt;=1,1,0)</f>
        <v>1</v>
      </c>
    </row>
    <row r="1284" spans="1:57" x14ac:dyDescent="0.25">
      <c r="A1284" t="s">
        <v>39</v>
      </c>
      <c r="B1284" t="s">
        <v>4329</v>
      </c>
      <c r="C1284">
        <v>64.400000000000006</v>
      </c>
      <c r="D1284">
        <v>60.8</v>
      </c>
      <c r="G1284">
        <f t="shared" si="200"/>
        <v>1</v>
      </c>
      <c r="H1284">
        <f t="shared" si="201"/>
        <v>0</v>
      </c>
      <c r="I1284">
        <f t="shared" si="202"/>
        <v>1</v>
      </c>
      <c r="J1284">
        <v>61.6</v>
      </c>
      <c r="K1284">
        <v>64.400000000000006</v>
      </c>
      <c r="L1284">
        <v>60.8</v>
      </c>
      <c r="M1284">
        <v>61.6</v>
      </c>
      <c r="N1284">
        <v>49.6</v>
      </c>
      <c r="O1284">
        <v>64.8</v>
      </c>
      <c r="S1284">
        <f t="shared" si="203"/>
        <v>0</v>
      </c>
      <c r="T1284">
        <f t="shared" si="204"/>
        <v>0</v>
      </c>
      <c r="U1284">
        <f t="shared" si="205"/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20.8</v>
      </c>
      <c r="AG1284">
        <f t="shared" si="206"/>
        <v>1</v>
      </c>
      <c r="AH1284">
        <f t="shared" si="207"/>
        <v>1</v>
      </c>
      <c r="AI1284">
        <f t="shared" si="208"/>
        <v>0</v>
      </c>
      <c r="AJ1284">
        <v>344.7</v>
      </c>
      <c r="AK1284">
        <v>1019.4</v>
      </c>
      <c r="AL1284">
        <v>82.6</v>
      </c>
      <c r="AM1284">
        <v>6.6</v>
      </c>
      <c r="AN1284">
        <v>159.1</v>
      </c>
      <c r="AO1284">
        <v>14</v>
      </c>
      <c r="AP1284">
        <v>7</v>
      </c>
      <c r="AQ1284">
        <v>0</v>
      </c>
      <c r="AR1284" t="s">
        <v>4330</v>
      </c>
      <c r="AS1284" t="s">
        <v>4331</v>
      </c>
      <c r="AT1284">
        <v>0.15</v>
      </c>
      <c r="AU1284" t="s">
        <v>43</v>
      </c>
      <c r="AV1284" t="s">
        <v>44</v>
      </c>
      <c r="AW1284" t="s">
        <v>45</v>
      </c>
      <c r="AX1284" t="s">
        <v>4311</v>
      </c>
      <c r="AY1284" t="s">
        <v>4332</v>
      </c>
      <c r="AZ1284">
        <v>794.99999999301508</v>
      </c>
      <c r="BA1284">
        <v>1</v>
      </c>
      <c r="BB1284">
        <v>0</v>
      </c>
      <c r="BC1284">
        <v>60</v>
      </c>
      <c r="BD1284">
        <v>0</v>
      </c>
      <c r="BE1284">
        <f t="shared" si="209"/>
        <v>1</v>
      </c>
    </row>
    <row r="1285" spans="1:57" x14ac:dyDescent="0.25">
      <c r="A1285" t="s">
        <v>39</v>
      </c>
      <c r="B1285" t="s">
        <v>4329</v>
      </c>
      <c r="C1285">
        <v>64.400000000000006</v>
      </c>
      <c r="D1285">
        <v>60.8</v>
      </c>
      <c r="G1285">
        <f t="shared" si="200"/>
        <v>1</v>
      </c>
      <c r="H1285">
        <f t="shared" si="201"/>
        <v>0</v>
      </c>
      <c r="I1285">
        <f t="shared" si="202"/>
        <v>1</v>
      </c>
      <c r="J1285">
        <v>61.6</v>
      </c>
      <c r="K1285">
        <v>64.400000000000006</v>
      </c>
      <c r="L1285">
        <v>60.8</v>
      </c>
      <c r="M1285">
        <v>61.6</v>
      </c>
      <c r="N1285">
        <v>49.6</v>
      </c>
      <c r="O1285">
        <v>64.8</v>
      </c>
      <c r="S1285">
        <f t="shared" si="203"/>
        <v>0</v>
      </c>
      <c r="T1285">
        <f t="shared" si="204"/>
        <v>0</v>
      </c>
      <c r="U1285">
        <f t="shared" si="205"/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20.8</v>
      </c>
      <c r="AG1285">
        <f t="shared" si="206"/>
        <v>1</v>
      </c>
      <c r="AH1285">
        <f t="shared" si="207"/>
        <v>1</v>
      </c>
      <c r="AI1285">
        <f t="shared" si="208"/>
        <v>0</v>
      </c>
      <c r="AJ1285">
        <v>344.7</v>
      </c>
      <c r="AK1285">
        <v>1019.4</v>
      </c>
      <c r="AL1285">
        <v>82.6</v>
      </c>
      <c r="AM1285">
        <v>6.6</v>
      </c>
      <c r="AN1285">
        <v>159.1</v>
      </c>
      <c r="AO1285">
        <v>14</v>
      </c>
      <c r="AP1285">
        <v>7</v>
      </c>
      <c r="AQ1285">
        <v>0</v>
      </c>
      <c r="AR1285" t="s">
        <v>4330</v>
      </c>
      <c r="AS1285" t="s">
        <v>4331</v>
      </c>
      <c r="AT1285">
        <v>0.15</v>
      </c>
      <c r="AU1285" t="s">
        <v>43</v>
      </c>
      <c r="AV1285" t="s">
        <v>44</v>
      </c>
      <c r="AW1285" t="s">
        <v>45</v>
      </c>
      <c r="AX1285" t="s">
        <v>4333</v>
      </c>
      <c r="AY1285" t="s">
        <v>4334</v>
      </c>
      <c r="AZ1285">
        <v>1021.000000006752</v>
      </c>
      <c r="BA1285">
        <v>1</v>
      </c>
      <c r="BB1285">
        <v>0</v>
      </c>
      <c r="BC1285">
        <v>90</v>
      </c>
      <c r="BD1285">
        <v>0</v>
      </c>
      <c r="BE1285">
        <f t="shared" si="209"/>
        <v>1</v>
      </c>
    </row>
    <row r="1286" spans="1:57" x14ac:dyDescent="0.25">
      <c r="A1286" t="s">
        <v>39</v>
      </c>
      <c r="B1286" t="s">
        <v>4335</v>
      </c>
      <c r="C1286">
        <v>60.8</v>
      </c>
      <c r="D1286">
        <v>57.2</v>
      </c>
      <c r="G1286">
        <f t="shared" si="200"/>
        <v>1</v>
      </c>
      <c r="H1286">
        <f t="shared" si="201"/>
        <v>0</v>
      </c>
      <c r="I1286">
        <f t="shared" si="202"/>
        <v>1</v>
      </c>
      <c r="J1286">
        <v>59.2</v>
      </c>
      <c r="K1286">
        <v>60.8</v>
      </c>
      <c r="L1286">
        <v>57.2</v>
      </c>
      <c r="M1286">
        <v>59.2</v>
      </c>
      <c r="N1286">
        <v>53.2</v>
      </c>
      <c r="O1286">
        <v>81</v>
      </c>
      <c r="S1286">
        <f t="shared" si="203"/>
        <v>1</v>
      </c>
      <c r="T1286">
        <f t="shared" si="204"/>
        <v>1</v>
      </c>
      <c r="U1286">
        <f t="shared" si="205"/>
        <v>0</v>
      </c>
      <c r="V1286">
        <v>0.11799999999999999</v>
      </c>
      <c r="W1286">
        <v>100</v>
      </c>
      <c r="X1286">
        <v>8.33</v>
      </c>
      <c r="Y1286" t="s">
        <v>103</v>
      </c>
      <c r="Z1286">
        <v>0</v>
      </c>
      <c r="AA1286">
        <v>0</v>
      </c>
      <c r="AB1286">
        <v>0</v>
      </c>
      <c r="AC1286">
        <v>13.9</v>
      </c>
      <c r="AG1286">
        <f t="shared" si="206"/>
        <v>1</v>
      </c>
      <c r="AH1286">
        <f t="shared" si="207"/>
        <v>0</v>
      </c>
      <c r="AI1286">
        <f t="shared" si="208"/>
        <v>1</v>
      </c>
      <c r="AJ1286">
        <v>334.8</v>
      </c>
      <c r="AK1286">
        <v>1018</v>
      </c>
      <c r="AL1286">
        <v>96.8</v>
      </c>
      <c r="AM1286">
        <v>6.5</v>
      </c>
      <c r="AN1286">
        <v>66.8</v>
      </c>
      <c r="AO1286">
        <v>5.8</v>
      </c>
      <c r="AP1286">
        <v>3</v>
      </c>
      <c r="AQ1286">
        <v>0</v>
      </c>
      <c r="AR1286" t="s">
        <v>4336</v>
      </c>
      <c r="AS1286" t="s">
        <v>4337</v>
      </c>
      <c r="AT1286">
        <v>0.25</v>
      </c>
      <c r="AU1286" t="s">
        <v>1357</v>
      </c>
      <c r="AV1286" t="s">
        <v>1442</v>
      </c>
      <c r="AW1286" t="s">
        <v>103</v>
      </c>
      <c r="AX1286" t="s">
        <v>4170</v>
      </c>
      <c r="AY1286" t="s">
        <v>4338</v>
      </c>
      <c r="AZ1286">
        <v>270</v>
      </c>
      <c r="BA1286">
        <v>0</v>
      </c>
      <c r="BB1286">
        <v>0</v>
      </c>
      <c r="BC1286">
        <v>5</v>
      </c>
      <c r="BD1286">
        <v>0</v>
      </c>
      <c r="BE1286">
        <f t="shared" si="209"/>
        <v>0</v>
      </c>
    </row>
    <row r="1287" spans="1:57" x14ac:dyDescent="0.25">
      <c r="A1287" t="s">
        <v>39</v>
      </c>
      <c r="B1287" t="s">
        <v>4140</v>
      </c>
      <c r="C1287">
        <v>64.400000000000006</v>
      </c>
      <c r="D1287">
        <v>60.8</v>
      </c>
      <c r="G1287">
        <f t="shared" si="200"/>
        <v>1</v>
      </c>
      <c r="H1287">
        <f t="shared" si="201"/>
        <v>0</v>
      </c>
      <c r="I1287">
        <f t="shared" si="202"/>
        <v>1</v>
      </c>
      <c r="J1287">
        <v>61.3</v>
      </c>
      <c r="K1287">
        <v>64.400000000000006</v>
      </c>
      <c r="L1287">
        <v>60.8</v>
      </c>
      <c r="M1287">
        <v>61.3</v>
      </c>
      <c r="N1287">
        <v>47.9</v>
      </c>
      <c r="O1287">
        <v>61.5</v>
      </c>
      <c r="S1287">
        <f t="shared" si="203"/>
        <v>1</v>
      </c>
      <c r="T1287">
        <f t="shared" si="204"/>
        <v>0</v>
      </c>
      <c r="U1287">
        <f t="shared" si="205"/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21.9</v>
      </c>
      <c r="AG1287">
        <f t="shared" si="206"/>
        <v>1</v>
      </c>
      <c r="AH1287">
        <f t="shared" si="207"/>
        <v>1</v>
      </c>
      <c r="AI1287">
        <f t="shared" si="208"/>
        <v>0</v>
      </c>
      <c r="AJ1287">
        <v>341.5</v>
      </c>
      <c r="AK1287">
        <v>1017.7</v>
      </c>
      <c r="AL1287">
        <v>59.8</v>
      </c>
      <c r="AM1287">
        <v>6.6</v>
      </c>
      <c r="AN1287">
        <v>180.4</v>
      </c>
      <c r="AO1287">
        <v>15.6</v>
      </c>
      <c r="AP1287">
        <v>7</v>
      </c>
      <c r="AQ1287">
        <v>0</v>
      </c>
      <c r="AR1287" t="s">
        <v>4141</v>
      </c>
      <c r="AS1287" t="s">
        <v>4142</v>
      </c>
      <c r="AT1287">
        <v>0.28999999999999998</v>
      </c>
      <c r="AU1287" t="s">
        <v>43</v>
      </c>
      <c r="AV1287" t="s">
        <v>44</v>
      </c>
      <c r="AW1287" t="s">
        <v>45</v>
      </c>
      <c r="AX1287" t="s">
        <v>4339</v>
      </c>
      <c r="AY1287" t="s">
        <v>4340</v>
      </c>
      <c r="AZ1287">
        <v>34.999999998835847</v>
      </c>
      <c r="BA1287">
        <v>0</v>
      </c>
      <c r="BB1287">
        <v>0</v>
      </c>
      <c r="BC1287">
        <v>1</v>
      </c>
      <c r="BD1287">
        <v>0</v>
      </c>
      <c r="BE1287">
        <f t="shared" si="209"/>
        <v>1</v>
      </c>
    </row>
    <row r="1288" spans="1:57" x14ac:dyDescent="0.25">
      <c r="A1288" t="s">
        <v>39</v>
      </c>
      <c r="B1288" t="s">
        <v>4341</v>
      </c>
      <c r="C1288">
        <v>66.2</v>
      </c>
      <c r="D1288">
        <v>55.4</v>
      </c>
      <c r="G1288">
        <f t="shared" si="200"/>
        <v>0</v>
      </c>
      <c r="H1288">
        <f t="shared" si="201"/>
        <v>0</v>
      </c>
      <c r="I1288">
        <f t="shared" si="202"/>
        <v>0</v>
      </c>
      <c r="J1288">
        <v>60.8</v>
      </c>
      <c r="K1288">
        <v>66.2</v>
      </c>
      <c r="L1288">
        <v>55.4</v>
      </c>
      <c r="M1288">
        <v>60.8</v>
      </c>
      <c r="N1288">
        <v>55.3</v>
      </c>
      <c r="O1288">
        <v>82.8</v>
      </c>
      <c r="S1288">
        <f t="shared" si="203"/>
        <v>1</v>
      </c>
      <c r="T1288">
        <f t="shared" si="204"/>
        <v>1</v>
      </c>
      <c r="U1288">
        <f t="shared" si="205"/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11.4</v>
      </c>
      <c r="AG1288">
        <f t="shared" si="206"/>
        <v>1</v>
      </c>
      <c r="AH1288">
        <f t="shared" si="207"/>
        <v>0</v>
      </c>
      <c r="AI1288">
        <f t="shared" si="208"/>
        <v>1</v>
      </c>
      <c r="AJ1288">
        <v>339.4</v>
      </c>
      <c r="AK1288">
        <v>1025.2</v>
      </c>
      <c r="AL1288">
        <v>61.2</v>
      </c>
      <c r="AM1288">
        <v>6.6</v>
      </c>
      <c r="AN1288">
        <v>125.7</v>
      </c>
      <c r="AO1288">
        <v>10.9</v>
      </c>
      <c r="AP1288">
        <v>6</v>
      </c>
      <c r="AQ1288">
        <v>0</v>
      </c>
      <c r="AR1288" t="s">
        <v>4342</v>
      </c>
      <c r="AS1288" t="s">
        <v>4343</v>
      </c>
      <c r="AT1288">
        <v>0.42</v>
      </c>
      <c r="AU1288" t="s">
        <v>43</v>
      </c>
      <c r="AV1288" t="s">
        <v>44</v>
      </c>
      <c r="AW1288" t="s">
        <v>45</v>
      </c>
      <c r="AX1288" t="s">
        <v>4157</v>
      </c>
      <c r="AY1288" t="s">
        <v>4344</v>
      </c>
      <c r="AZ1288">
        <v>1009.999999991851</v>
      </c>
      <c r="BA1288">
        <v>1</v>
      </c>
      <c r="BB1288">
        <v>0</v>
      </c>
      <c r="BC1288">
        <v>50</v>
      </c>
      <c r="BD1288">
        <v>0</v>
      </c>
      <c r="BE1288">
        <f t="shared" si="209"/>
        <v>0</v>
      </c>
    </row>
    <row r="1289" spans="1:57" x14ac:dyDescent="0.25">
      <c r="A1289" t="s">
        <v>39</v>
      </c>
      <c r="B1289" t="s">
        <v>4345</v>
      </c>
      <c r="C1289">
        <v>64.400000000000006</v>
      </c>
      <c r="D1289">
        <v>55.4</v>
      </c>
      <c r="G1289">
        <f t="shared" si="200"/>
        <v>1</v>
      </c>
      <c r="H1289">
        <f t="shared" si="201"/>
        <v>0</v>
      </c>
      <c r="I1289">
        <f t="shared" si="202"/>
        <v>1</v>
      </c>
      <c r="J1289">
        <v>58.5</v>
      </c>
      <c r="K1289">
        <v>64.400000000000006</v>
      </c>
      <c r="L1289">
        <v>55.4</v>
      </c>
      <c r="M1289">
        <v>58.5</v>
      </c>
      <c r="N1289">
        <v>47.9</v>
      </c>
      <c r="O1289">
        <v>67.7</v>
      </c>
      <c r="S1289">
        <f t="shared" si="203"/>
        <v>0</v>
      </c>
      <c r="T1289">
        <f t="shared" si="204"/>
        <v>0</v>
      </c>
      <c r="U1289">
        <f t="shared" si="205"/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25.3</v>
      </c>
      <c r="AC1289">
        <v>24.2</v>
      </c>
      <c r="AG1289">
        <f t="shared" si="206"/>
        <v>1</v>
      </c>
      <c r="AH1289">
        <f t="shared" si="207"/>
        <v>1</v>
      </c>
      <c r="AI1289">
        <f t="shared" si="208"/>
        <v>0</v>
      </c>
      <c r="AJ1289">
        <v>357</v>
      </c>
      <c r="AK1289">
        <v>1020.7</v>
      </c>
      <c r="AL1289">
        <v>90.6</v>
      </c>
      <c r="AM1289">
        <v>6.6</v>
      </c>
      <c r="AN1289">
        <v>107.4</v>
      </c>
      <c r="AO1289">
        <v>9.1999999999999993</v>
      </c>
      <c r="AP1289">
        <v>4</v>
      </c>
      <c r="AQ1289">
        <v>0</v>
      </c>
      <c r="AR1289" t="s">
        <v>4346</v>
      </c>
      <c r="AS1289" t="s">
        <v>4347</v>
      </c>
      <c r="AT1289">
        <v>0.55000000000000004</v>
      </c>
      <c r="AU1289" t="s">
        <v>275</v>
      </c>
      <c r="AV1289" t="s">
        <v>276</v>
      </c>
      <c r="AW1289" t="s">
        <v>277</v>
      </c>
      <c r="AX1289" t="s">
        <v>4348</v>
      </c>
      <c r="AY1289" t="s">
        <v>4349</v>
      </c>
      <c r="AZ1289">
        <v>911.99999999720603</v>
      </c>
      <c r="BA1289">
        <v>1</v>
      </c>
      <c r="BB1289">
        <v>0</v>
      </c>
      <c r="BC1289">
        <v>15</v>
      </c>
      <c r="BD1289">
        <v>0</v>
      </c>
      <c r="BE1289">
        <f t="shared" si="209"/>
        <v>1</v>
      </c>
    </row>
    <row r="1290" spans="1:57" x14ac:dyDescent="0.25">
      <c r="A1290" t="s">
        <v>39</v>
      </c>
      <c r="B1290" t="s">
        <v>4350</v>
      </c>
      <c r="C1290">
        <v>57.3</v>
      </c>
      <c r="D1290">
        <v>53.6</v>
      </c>
      <c r="G1290">
        <f t="shared" si="200"/>
        <v>1</v>
      </c>
      <c r="H1290">
        <f t="shared" si="201"/>
        <v>0</v>
      </c>
      <c r="I1290">
        <f t="shared" si="202"/>
        <v>1</v>
      </c>
      <c r="J1290">
        <v>55.9</v>
      </c>
      <c r="K1290">
        <v>57.3</v>
      </c>
      <c r="L1290">
        <v>53.6</v>
      </c>
      <c r="M1290">
        <v>55.9</v>
      </c>
      <c r="N1290">
        <v>44.6</v>
      </c>
      <c r="O1290">
        <v>65.900000000000006</v>
      </c>
      <c r="S1290">
        <f t="shared" si="203"/>
        <v>0</v>
      </c>
      <c r="T1290">
        <f t="shared" si="204"/>
        <v>0</v>
      </c>
      <c r="U1290">
        <f t="shared" si="205"/>
        <v>0</v>
      </c>
      <c r="V1290">
        <v>3.1E-2</v>
      </c>
      <c r="W1290">
        <v>100</v>
      </c>
      <c r="X1290">
        <v>4.17</v>
      </c>
      <c r="Y1290" t="s">
        <v>103</v>
      </c>
      <c r="Z1290">
        <v>0</v>
      </c>
      <c r="AA1290">
        <v>0</v>
      </c>
      <c r="AB1290">
        <v>27.5</v>
      </c>
      <c r="AC1290">
        <v>26.4</v>
      </c>
      <c r="AG1290">
        <f t="shared" si="206"/>
        <v>1</v>
      </c>
      <c r="AH1290">
        <f t="shared" si="207"/>
        <v>1</v>
      </c>
      <c r="AI1290">
        <f t="shared" si="208"/>
        <v>0</v>
      </c>
      <c r="AJ1290">
        <v>345.6</v>
      </c>
      <c r="AK1290">
        <v>1017.2</v>
      </c>
      <c r="AL1290">
        <v>91.9</v>
      </c>
      <c r="AM1290">
        <v>6.6</v>
      </c>
      <c r="AN1290">
        <v>111.1</v>
      </c>
      <c r="AO1290">
        <v>9.5</v>
      </c>
      <c r="AP1290">
        <v>4</v>
      </c>
      <c r="AQ1290">
        <v>0</v>
      </c>
      <c r="AR1290" t="s">
        <v>4351</v>
      </c>
      <c r="AS1290" t="s">
        <v>4352</v>
      </c>
      <c r="AT1290">
        <v>0.59</v>
      </c>
      <c r="AU1290" t="s">
        <v>1357</v>
      </c>
      <c r="AV1290" t="s">
        <v>1803</v>
      </c>
      <c r="AW1290" t="s">
        <v>103</v>
      </c>
      <c r="AX1290" t="s">
        <v>2481</v>
      </c>
      <c r="AY1290" t="s">
        <v>4353</v>
      </c>
      <c r="AZ1290">
        <v>100.0000000011642</v>
      </c>
      <c r="BA1290">
        <v>0</v>
      </c>
      <c r="BB1290">
        <v>0</v>
      </c>
      <c r="BC1290">
        <v>10</v>
      </c>
      <c r="BD1290">
        <v>0</v>
      </c>
      <c r="BE1290">
        <f t="shared" si="209"/>
        <v>0</v>
      </c>
    </row>
    <row r="1291" spans="1:57" x14ac:dyDescent="0.25">
      <c r="A1291" t="s">
        <v>39</v>
      </c>
      <c r="B1291" t="s">
        <v>4354</v>
      </c>
      <c r="C1291">
        <v>57.2</v>
      </c>
      <c r="D1291">
        <v>53.6</v>
      </c>
      <c r="G1291">
        <f t="shared" si="200"/>
        <v>1</v>
      </c>
      <c r="H1291">
        <f t="shared" si="201"/>
        <v>0</v>
      </c>
      <c r="I1291">
        <f t="shared" si="202"/>
        <v>1</v>
      </c>
      <c r="J1291">
        <v>54.4</v>
      </c>
      <c r="K1291">
        <v>57.2</v>
      </c>
      <c r="L1291">
        <v>53.6</v>
      </c>
      <c r="M1291">
        <v>54.4</v>
      </c>
      <c r="N1291">
        <v>48</v>
      </c>
      <c r="O1291">
        <v>79</v>
      </c>
      <c r="S1291">
        <f t="shared" si="203"/>
        <v>1</v>
      </c>
      <c r="T1291">
        <f t="shared" si="204"/>
        <v>1</v>
      </c>
      <c r="U1291">
        <f t="shared" si="205"/>
        <v>0</v>
      </c>
      <c r="V1291">
        <v>0.35899999999999999</v>
      </c>
      <c r="W1291">
        <v>100</v>
      </c>
      <c r="X1291">
        <v>8.33</v>
      </c>
      <c r="Y1291" t="s">
        <v>103</v>
      </c>
      <c r="Z1291">
        <v>0</v>
      </c>
      <c r="AA1291">
        <v>0</v>
      </c>
      <c r="AB1291">
        <v>39.1</v>
      </c>
      <c r="AC1291">
        <v>25.3</v>
      </c>
      <c r="AG1291">
        <f t="shared" si="206"/>
        <v>1</v>
      </c>
      <c r="AH1291">
        <f t="shared" si="207"/>
        <v>1</v>
      </c>
      <c r="AI1291">
        <f t="shared" si="208"/>
        <v>0</v>
      </c>
      <c r="AJ1291">
        <v>351.6</v>
      </c>
      <c r="AK1291">
        <v>1012</v>
      </c>
      <c r="AL1291">
        <v>97.7</v>
      </c>
      <c r="AM1291">
        <v>6.5</v>
      </c>
      <c r="AN1291">
        <v>46.7</v>
      </c>
      <c r="AO1291">
        <v>4</v>
      </c>
      <c r="AP1291">
        <v>2</v>
      </c>
      <c r="AQ1291">
        <v>0</v>
      </c>
      <c r="AR1291" t="s">
        <v>4355</v>
      </c>
      <c r="AS1291" t="s">
        <v>4356</v>
      </c>
      <c r="AT1291">
        <v>0.62</v>
      </c>
      <c r="AU1291" t="s">
        <v>1357</v>
      </c>
      <c r="AV1291" t="s">
        <v>1358</v>
      </c>
      <c r="AW1291" t="s">
        <v>103</v>
      </c>
      <c r="AX1291" t="s">
        <v>4357</v>
      </c>
      <c r="AY1291" t="s">
        <v>4358</v>
      </c>
      <c r="AZ1291">
        <v>90</v>
      </c>
      <c r="BA1291">
        <v>0</v>
      </c>
      <c r="BB1291">
        <v>0</v>
      </c>
      <c r="BC1291">
        <v>1</v>
      </c>
      <c r="BD1291">
        <v>0</v>
      </c>
      <c r="BE1291">
        <f t="shared" si="209"/>
        <v>1</v>
      </c>
    </row>
    <row r="1292" spans="1:57" x14ac:dyDescent="0.25">
      <c r="A1292" t="s">
        <v>39</v>
      </c>
      <c r="B1292" t="s">
        <v>4354</v>
      </c>
      <c r="C1292">
        <v>57.2</v>
      </c>
      <c r="D1292">
        <v>53.6</v>
      </c>
      <c r="G1292">
        <f t="shared" si="200"/>
        <v>1</v>
      </c>
      <c r="H1292">
        <f t="shared" si="201"/>
        <v>0</v>
      </c>
      <c r="I1292">
        <f t="shared" si="202"/>
        <v>1</v>
      </c>
      <c r="J1292">
        <v>54.4</v>
      </c>
      <c r="K1292">
        <v>57.2</v>
      </c>
      <c r="L1292">
        <v>53.6</v>
      </c>
      <c r="M1292">
        <v>54.4</v>
      </c>
      <c r="N1292">
        <v>48</v>
      </c>
      <c r="O1292">
        <v>79</v>
      </c>
      <c r="S1292">
        <f t="shared" si="203"/>
        <v>1</v>
      </c>
      <c r="T1292">
        <f t="shared" si="204"/>
        <v>1</v>
      </c>
      <c r="U1292">
        <f t="shared" si="205"/>
        <v>0</v>
      </c>
      <c r="V1292">
        <v>0.35899999999999999</v>
      </c>
      <c r="W1292">
        <v>100</v>
      </c>
      <c r="X1292">
        <v>8.33</v>
      </c>
      <c r="Y1292" t="s">
        <v>103</v>
      </c>
      <c r="Z1292">
        <v>0</v>
      </c>
      <c r="AA1292">
        <v>0</v>
      </c>
      <c r="AB1292">
        <v>39.1</v>
      </c>
      <c r="AC1292">
        <v>25.3</v>
      </c>
      <c r="AG1292">
        <f t="shared" si="206"/>
        <v>1</v>
      </c>
      <c r="AH1292">
        <f t="shared" si="207"/>
        <v>1</v>
      </c>
      <c r="AI1292">
        <f t="shared" si="208"/>
        <v>0</v>
      </c>
      <c r="AJ1292">
        <v>351.6</v>
      </c>
      <c r="AK1292">
        <v>1012</v>
      </c>
      <c r="AL1292">
        <v>97.7</v>
      </c>
      <c r="AM1292">
        <v>6.5</v>
      </c>
      <c r="AN1292">
        <v>46.7</v>
      </c>
      <c r="AO1292">
        <v>4</v>
      </c>
      <c r="AP1292">
        <v>2</v>
      </c>
      <c r="AQ1292">
        <v>0</v>
      </c>
      <c r="AR1292" t="s">
        <v>4355</v>
      </c>
      <c r="AS1292" t="s">
        <v>4356</v>
      </c>
      <c r="AT1292">
        <v>0.62</v>
      </c>
      <c r="AU1292" t="s">
        <v>1357</v>
      </c>
      <c r="AV1292" t="s">
        <v>1358</v>
      </c>
      <c r="AW1292" t="s">
        <v>103</v>
      </c>
      <c r="AX1292" t="s">
        <v>2471</v>
      </c>
      <c r="AY1292" t="s">
        <v>4359</v>
      </c>
      <c r="AZ1292">
        <v>159.99999999767169</v>
      </c>
      <c r="BA1292">
        <v>0</v>
      </c>
      <c r="BB1292">
        <v>0</v>
      </c>
      <c r="BC1292">
        <v>10</v>
      </c>
      <c r="BD1292">
        <v>0</v>
      </c>
      <c r="BE1292">
        <f t="shared" si="209"/>
        <v>1</v>
      </c>
    </row>
    <row r="1293" spans="1:57" x14ac:dyDescent="0.25">
      <c r="A1293" t="s">
        <v>39</v>
      </c>
      <c r="B1293" t="s">
        <v>4354</v>
      </c>
      <c r="C1293">
        <v>57.2</v>
      </c>
      <c r="D1293">
        <v>53.6</v>
      </c>
      <c r="G1293">
        <f t="shared" si="200"/>
        <v>1</v>
      </c>
      <c r="H1293">
        <f t="shared" si="201"/>
        <v>0</v>
      </c>
      <c r="I1293">
        <f t="shared" si="202"/>
        <v>1</v>
      </c>
      <c r="J1293">
        <v>54.4</v>
      </c>
      <c r="K1293">
        <v>57.2</v>
      </c>
      <c r="L1293">
        <v>53.6</v>
      </c>
      <c r="M1293">
        <v>54.4</v>
      </c>
      <c r="N1293">
        <v>48</v>
      </c>
      <c r="O1293">
        <v>79</v>
      </c>
      <c r="S1293">
        <f t="shared" si="203"/>
        <v>1</v>
      </c>
      <c r="T1293">
        <f t="shared" si="204"/>
        <v>1</v>
      </c>
      <c r="U1293">
        <f t="shared" si="205"/>
        <v>0</v>
      </c>
      <c r="V1293">
        <v>0.35899999999999999</v>
      </c>
      <c r="W1293">
        <v>100</v>
      </c>
      <c r="X1293">
        <v>8.33</v>
      </c>
      <c r="Y1293" t="s">
        <v>103</v>
      </c>
      <c r="Z1293">
        <v>0</v>
      </c>
      <c r="AA1293">
        <v>0</v>
      </c>
      <c r="AB1293">
        <v>39.1</v>
      </c>
      <c r="AC1293">
        <v>25.3</v>
      </c>
      <c r="AG1293">
        <f t="shared" si="206"/>
        <v>1</v>
      </c>
      <c r="AH1293">
        <f t="shared" si="207"/>
        <v>1</v>
      </c>
      <c r="AI1293">
        <f t="shared" si="208"/>
        <v>0</v>
      </c>
      <c r="AJ1293">
        <v>351.6</v>
      </c>
      <c r="AK1293">
        <v>1012</v>
      </c>
      <c r="AL1293">
        <v>97.7</v>
      </c>
      <c r="AM1293">
        <v>6.5</v>
      </c>
      <c r="AN1293">
        <v>46.7</v>
      </c>
      <c r="AO1293">
        <v>4</v>
      </c>
      <c r="AP1293">
        <v>2</v>
      </c>
      <c r="AQ1293">
        <v>0</v>
      </c>
      <c r="AR1293" t="s">
        <v>4355</v>
      </c>
      <c r="AS1293" t="s">
        <v>4356</v>
      </c>
      <c r="AT1293">
        <v>0.62</v>
      </c>
      <c r="AU1293" t="s">
        <v>1357</v>
      </c>
      <c r="AV1293" t="s">
        <v>1358</v>
      </c>
      <c r="AW1293" t="s">
        <v>103</v>
      </c>
      <c r="AX1293" t="s">
        <v>4360</v>
      </c>
      <c r="AY1293" t="s">
        <v>4361</v>
      </c>
      <c r="AZ1293">
        <v>304.99999999883579</v>
      </c>
      <c r="BA1293">
        <v>0</v>
      </c>
      <c r="BB1293">
        <v>0</v>
      </c>
      <c r="BC1293">
        <v>30</v>
      </c>
      <c r="BD1293">
        <v>0</v>
      </c>
      <c r="BE1293">
        <f t="shared" si="209"/>
        <v>1</v>
      </c>
    </row>
    <row r="1294" spans="1:57" x14ac:dyDescent="0.25">
      <c r="A1294" t="s">
        <v>39</v>
      </c>
      <c r="B1294" t="s">
        <v>4362</v>
      </c>
      <c r="C1294">
        <v>57.2</v>
      </c>
      <c r="D1294">
        <v>53.6</v>
      </c>
      <c r="G1294">
        <f t="shared" si="200"/>
        <v>1</v>
      </c>
      <c r="H1294">
        <f t="shared" si="201"/>
        <v>0</v>
      </c>
      <c r="I1294">
        <f t="shared" si="202"/>
        <v>1</v>
      </c>
      <c r="J1294">
        <v>54.9</v>
      </c>
      <c r="K1294">
        <v>57.2</v>
      </c>
      <c r="L1294">
        <v>53.6</v>
      </c>
      <c r="M1294">
        <v>54.9</v>
      </c>
      <c r="N1294">
        <v>46.3</v>
      </c>
      <c r="O1294">
        <v>72.900000000000006</v>
      </c>
      <c r="S1294">
        <f t="shared" si="203"/>
        <v>1</v>
      </c>
      <c r="T1294">
        <f t="shared" si="204"/>
        <v>1</v>
      </c>
      <c r="U1294">
        <f t="shared" si="205"/>
        <v>0</v>
      </c>
      <c r="V1294">
        <v>0.24</v>
      </c>
      <c r="W1294">
        <v>100</v>
      </c>
      <c r="X1294">
        <v>8.33</v>
      </c>
      <c r="Y1294" t="s">
        <v>103</v>
      </c>
      <c r="Z1294">
        <v>0</v>
      </c>
      <c r="AA1294">
        <v>0</v>
      </c>
      <c r="AB1294">
        <v>36.9</v>
      </c>
      <c r="AC1294">
        <v>26.4</v>
      </c>
      <c r="AG1294">
        <f t="shared" si="206"/>
        <v>1</v>
      </c>
      <c r="AH1294">
        <f t="shared" si="207"/>
        <v>1</v>
      </c>
      <c r="AI1294">
        <f t="shared" si="208"/>
        <v>0</v>
      </c>
      <c r="AJ1294">
        <v>338</v>
      </c>
      <c r="AK1294">
        <v>1012.1</v>
      </c>
      <c r="AL1294">
        <v>99.1</v>
      </c>
      <c r="AM1294">
        <v>6.4</v>
      </c>
      <c r="AN1294">
        <v>93.3</v>
      </c>
      <c r="AO1294">
        <v>8.1999999999999993</v>
      </c>
      <c r="AP1294">
        <v>4</v>
      </c>
      <c r="AQ1294">
        <v>0</v>
      </c>
      <c r="AR1294" t="s">
        <v>4363</v>
      </c>
      <c r="AS1294" t="s">
        <v>4364</v>
      </c>
      <c r="AT1294">
        <v>0.66</v>
      </c>
      <c r="AU1294" t="s">
        <v>1357</v>
      </c>
      <c r="AV1294" t="s">
        <v>4365</v>
      </c>
      <c r="AW1294" t="s">
        <v>103</v>
      </c>
      <c r="AX1294" t="s">
        <v>4366</v>
      </c>
      <c r="AY1294" t="s">
        <v>4367</v>
      </c>
      <c r="AZ1294">
        <v>1125</v>
      </c>
      <c r="BA1294">
        <v>1</v>
      </c>
      <c r="BB1294">
        <v>0</v>
      </c>
      <c r="BC1294">
        <v>80</v>
      </c>
      <c r="BD1294">
        <v>0</v>
      </c>
      <c r="BE1294">
        <f t="shared" si="209"/>
        <v>1</v>
      </c>
    </row>
    <row r="1295" spans="1:57" x14ac:dyDescent="0.25">
      <c r="A1295" t="s">
        <v>39</v>
      </c>
      <c r="B1295" t="s">
        <v>4368</v>
      </c>
      <c r="C1295">
        <v>55.4</v>
      </c>
      <c r="D1295">
        <v>51.2</v>
      </c>
      <c r="G1295">
        <f t="shared" si="200"/>
        <v>1</v>
      </c>
      <c r="H1295">
        <f t="shared" si="201"/>
        <v>0</v>
      </c>
      <c r="I1295">
        <f t="shared" si="202"/>
        <v>1</v>
      </c>
      <c r="J1295">
        <v>54.9</v>
      </c>
      <c r="K1295">
        <v>55.4</v>
      </c>
      <c r="L1295">
        <v>51.2</v>
      </c>
      <c r="M1295">
        <v>54.9</v>
      </c>
      <c r="N1295">
        <v>42.1</v>
      </c>
      <c r="O1295">
        <v>62.2</v>
      </c>
      <c r="S1295">
        <f t="shared" si="203"/>
        <v>1</v>
      </c>
      <c r="T1295">
        <f t="shared" si="204"/>
        <v>0</v>
      </c>
      <c r="U1295">
        <f t="shared" si="205"/>
        <v>1</v>
      </c>
      <c r="V1295">
        <v>1.2E-2</v>
      </c>
      <c r="W1295">
        <v>100</v>
      </c>
      <c r="X1295">
        <v>4.17</v>
      </c>
      <c r="Y1295" t="s">
        <v>103</v>
      </c>
      <c r="Z1295">
        <v>0</v>
      </c>
      <c r="AA1295">
        <v>0</v>
      </c>
      <c r="AB1295">
        <v>34.4</v>
      </c>
      <c r="AC1295">
        <v>23</v>
      </c>
      <c r="AG1295">
        <f t="shared" si="206"/>
        <v>1</v>
      </c>
      <c r="AH1295">
        <f t="shared" si="207"/>
        <v>1</v>
      </c>
      <c r="AI1295">
        <f t="shared" si="208"/>
        <v>0</v>
      </c>
      <c r="AJ1295">
        <v>333.4</v>
      </c>
      <c r="AK1295">
        <v>1020.8</v>
      </c>
      <c r="AL1295">
        <v>81.8</v>
      </c>
      <c r="AM1295">
        <v>6.6</v>
      </c>
      <c r="AN1295">
        <v>148.80000000000001</v>
      </c>
      <c r="AO1295">
        <v>12.9</v>
      </c>
      <c r="AP1295">
        <v>6</v>
      </c>
      <c r="AQ1295">
        <v>0</v>
      </c>
      <c r="AR1295" t="s">
        <v>4369</v>
      </c>
      <c r="AS1295" t="s">
        <v>4370</v>
      </c>
      <c r="AT1295">
        <v>0.75</v>
      </c>
      <c r="AU1295" t="s">
        <v>106</v>
      </c>
      <c r="AV1295" t="s">
        <v>296</v>
      </c>
      <c r="AW1295" t="s">
        <v>103</v>
      </c>
      <c r="AX1295" t="s">
        <v>4371</v>
      </c>
      <c r="AY1295" t="s">
        <v>4372</v>
      </c>
      <c r="AZ1295">
        <v>136.0000000032596</v>
      </c>
      <c r="BA1295">
        <v>0</v>
      </c>
      <c r="BB1295">
        <v>0</v>
      </c>
      <c r="BC1295">
        <v>3</v>
      </c>
      <c r="BD1295">
        <v>0</v>
      </c>
      <c r="BE1295">
        <f t="shared" si="209"/>
        <v>1</v>
      </c>
    </row>
    <row r="1296" spans="1:57" x14ac:dyDescent="0.25">
      <c r="A1296" t="s">
        <v>39</v>
      </c>
      <c r="B1296" t="s">
        <v>4373</v>
      </c>
      <c r="C1296">
        <v>59</v>
      </c>
      <c r="D1296">
        <v>53.6</v>
      </c>
      <c r="G1296">
        <f t="shared" si="200"/>
        <v>1</v>
      </c>
      <c r="H1296">
        <f t="shared" si="201"/>
        <v>0</v>
      </c>
      <c r="I1296">
        <f t="shared" si="202"/>
        <v>1</v>
      </c>
      <c r="J1296">
        <v>56.2</v>
      </c>
      <c r="K1296">
        <v>59</v>
      </c>
      <c r="L1296">
        <v>53.6</v>
      </c>
      <c r="M1296">
        <v>56.2</v>
      </c>
      <c r="N1296">
        <v>43.2</v>
      </c>
      <c r="O1296">
        <v>61.8</v>
      </c>
      <c r="S1296">
        <f t="shared" si="203"/>
        <v>1</v>
      </c>
      <c r="T1296">
        <f t="shared" si="204"/>
        <v>0</v>
      </c>
      <c r="U1296">
        <f t="shared" si="205"/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20.8</v>
      </c>
      <c r="AG1296">
        <f t="shared" si="206"/>
        <v>1</v>
      </c>
      <c r="AH1296">
        <f t="shared" si="207"/>
        <v>1</v>
      </c>
      <c r="AI1296">
        <f t="shared" si="208"/>
        <v>0</v>
      </c>
      <c r="AJ1296">
        <v>323.39999999999998</v>
      </c>
      <c r="AK1296">
        <v>1021.1</v>
      </c>
      <c r="AL1296">
        <v>82.6</v>
      </c>
      <c r="AM1296">
        <v>6.6</v>
      </c>
      <c r="AN1296">
        <v>110.5</v>
      </c>
      <c r="AO1296">
        <v>9.5</v>
      </c>
      <c r="AP1296">
        <v>5</v>
      </c>
      <c r="AQ1296">
        <v>0</v>
      </c>
      <c r="AR1296" t="s">
        <v>4374</v>
      </c>
      <c r="AS1296" t="s">
        <v>4375</v>
      </c>
      <c r="AT1296">
        <v>0.8</v>
      </c>
      <c r="AU1296" t="s">
        <v>43</v>
      </c>
      <c r="AV1296" t="s">
        <v>44</v>
      </c>
      <c r="AW1296" t="s">
        <v>45</v>
      </c>
      <c r="AX1296" t="s">
        <v>4376</v>
      </c>
      <c r="AY1296" t="s">
        <v>4377</v>
      </c>
      <c r="AZ1296">
        <v>120.0000000034925</v>
      </c>
      <c r="BA1296">
        <v>0</v>
      </c>
      <c r="BB1296">
        <v>0</v>
      </c>
      <c r="BC1296">
        <v>1</v>
      </c>
      <c r="BD1296">
        <v>0</v>
      </c>
      <c r="BE1296">
        <f t="shared" si="209"/>
        <v>1</v>
      </c>
    </row>
    <row r="1297" spans="1:57" x14ac:dyDescent="0.25">
      <c r="A1297" t="s">
        <v>39</v>
      </c>
      <c r="B1297" t="s">
        <v>4378</v>
      </c>
      <c r="C1297">
        <v>60.8</v>
      </c>
      <c r="D1297">
        <v>46.4</v>
      </c>
      <c r="G1297">
        <f t="shared" si="200"/>
        <v>1</v>
      </c>
      <c r="H1297">
        <f t="shared" si="201"/>
        <v>0</v>
      </c>
      <c r="I1297">
        <f t="shared" si="202"/>
        <v>1</v>
      </c>
      <c r="J1297">
        <v>53.8</v>
      </c>
      <c r="K1297">
        <v>60.8</v>
      </c>
      <c r="L1297">
        <v>42.9</v>
      </c>
      <c r="M1297">
        <v>52.6</v>
      </c>
      <c r="N1297">
        <v>46.8</v>
      </c>
      <c r="O1297">
        <v>77.8</v>
      </c>
      <c r="S1297">
        <f t="shared" si="203"/>
        <v>1</v>
      </c>
      <c r="T1297">
        <f t="shared" si="204"/>
        <v>1</v>
      </c>
      <c r="U1297">
        <f t="shared" si="205"/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8.1</v>
      </c>
      <c r="AG1297">
        <f t="shared" si="206"/>
        <v>1</v>
      </c>
      <c r="AH1297">
        <f t="shared" si="207"/>
        <v>0</v>
      </c>
      <c r="AI1297">
        <f t="shared" si="208"/>
        <v>1</v>
      </c>
      <c r="AJ1297">
        <v>182.6</v>
      </c>
      <c r="AK1297">
        <v>1022.9</v>
      </c>
      <c r="AL1297">
        <v>66.3</v>
      </c>
      <c r="AM1297">
        <v>6.6</v>
      </c>
      <c r="AN1297">
        <v>57.1</v>
      </c>
      <c r="AO1297">
        <v>5</v>
      </c>
      <c r="AP1297">
        <v>2</v>
      </c>
      <c r="AQ1297">
        <v>0</v>
      </c>
      <c r="AR1297" t="s">
        <v>4379</v>
      </c>
      <c r="AS1297" t="s">
        <v>4380</v>
      </c>
      <c r="AT1297">
        <v>0.9</v>
      </c>
      <c r="AU1297" t="s">
        <v>43</v>
      </c>
      <c r="AV1297" t="s">
        <v>44</v>
      </c>
      <c r="AW1297" t="s">
        <v>45</v>
      </c>
      <c r="AX1297" t="s">
        <v>4381</v>
      </c>
      <c r="AY1297" t="s">
        <v>4382</v>
      </c>
      <c r="AZ1297">
        <v>170.9999999916181</v>
      </c>
      <c r="BA1297">
        <v>0</v>
      </c>
      <c r="BB1297">
        <v>0</v>
      </c>
      <c r="BC1297">
        <v>4</v>
      </c>
      <c r="BD1297">
        <v>0</v>
      </c>
      <c r="BE1297">
        <f t="shared" si="209"/>
        <v>0</v>
      </c>
    </row>
    <row r="1298" spans="1:57" x14ac:dyDescent="0.25">
      <c r="A1298" t="s">
        <v>39</v>
      </c>
      <c r="B1298" t="s">
        <v>4383</v>
      </c>
      <c r="C1298">
        <v>60.8</v>
      </c>
      <c r="D1298">
        <v>57.2</v>
      </c>
      <c r="G1298">
        <f t="shared" si="200"/>
        <v>1</v>
      </c>
      <c r="H1298">
        <f t="shared" si="201"/>
        <v>0</v>
      </c>
      <c r="I1298">
        <f t="shared" si="202"/>
        <v>1</v>
      </c>
      <c r="J1298">
        <v>59</v>
      </c>
      <c r="K1298">
        <v>60.8</v>
      </c>
      <c r="L1298">
        <v>57.2</v>
      </c>
      <c r="M1298">
        <v>59</v>
      </c>
      <c r="N1298">
        <v>49.9</v>
      </c>
      <c r="O1298">
        <v>71.900000000000006</v>
      </c>
      <c r="S1298">
        <f t="shared" si="203"/>
        <v>1</v>
      </c>
      <c r="T1298">
        <f t="shared" si="204"/>
        <v>1</v>
      </c>
      <c r="U1298">
        <f t="shared" si="205"/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16.100000000000001</v>
      </c>
      <c r="AG1298">
        <f t="shared" si="206"/>
        <v>0</v>
      </c>
      <c r="AH1298">
        <f t="shared" si="207"/>
        <v>0</v>
      </c>
      <c r="AI1298">
        <f t="shared" si="208"/>
        <v>0</v>
      </c>
      <c r="AJ1298">
        <v>341.7</v>
      </c>
      <c r="AK1298">
        <v>1023.5</v>
      </c>
      <c r="AL1298">
        <v>84.2</v>
      </c>
      <c r="AM1298">
        <v>6.6</v>
      </c>
      <c r="AN1298">
        <v>141.30000000000001</v>
      </c>
      <c r="AO1298">
        <v>12</v>
      </c>
      <c r="AP1298">
        <v>6</v>
      </c>
      <c r="AQ1298">
        <v>0</v>
      </c>
      <c r="AR1298" t="s">
        <v>4384</v>
      </c>
      <c r="AS1298" t="s">
        <v>4385</v>
      </c>
      <c r="AT1298">
        <v>0.97</v>
      </c>
      <c r="AU1298" t="s">
        <v>43</v>
      </c>
      <c r="AV1298" t="s">
        <v>44</v>
      </c>
      <c r="AW1298" t="s">
        <v>45</v>
      </c>
      <c r="AX1298" t="s">
        <v>4386</v>
      </c>
      <c r="AY1298" t="s">
        <v>4387</v>
      </c>
      <c r="AZ1298">
        <v>474.99999999767169</v>
      </c>
      <c r="BA1298">
        <v>1</v>
      </c>
      <c r="BB1298">
        <v>0</v>
      </c>
      <c r="BC1298">
        <v>35</v>
      </c>
      <c r="BD1298">
        <v>0</v>
      </c>
      <c r="BE1298">
        <f t="shared" si="209"/>
        <v>0</v>
      </c>
    </row>
    <row r="1299" spans="1:57" x14ac:dyDescent="0.25">
      <c r="A1299" t="s">
        <v>39</v>
      </c>
      <c r="B1299" t="s">
        <v>4388</v>
      </c>
      <c r="C1299">
        <v>57.2</v>
      </c>
      <c r="D1299">
        <v>50.3</v>
      </c>
      <c r="G1299">
        <f t="shared" si="200"/>
        <v>1</v>
      </c>
      <c r="H1299">
        <f t="shared" si="201"/>
        <v>0</v>
      </c>
      <c r="I1299">
        <f t="shared" si="202"/>
        <v>1</v>
      </c>
      <c r="J1299">
        <v>55.8</v>
      </c>
      <c r="K1299">
        <v>57.2</v>
      </c>
      <c r="L1299">
        <v>50.3</v>
      </c>
      <c r="M1299">
        <v>55.8</v>
      </c>
      <c r="N1299">
        <v>42.9</v>
      </c>
      <c r="O1299">
        <v>62</v>
      </c>
      <c r="S1299">
        <f t="shared" si="203"/>
        <v>1</v>
      </c>
      <c r="T1299">
        <f t="shared" si="204"/>
        <v>0</v>
      </c>
      <c r="U1299">
        <f t="shared" si="205"/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25.3</v>
      </c>
      <c r="AC1299">
        <v>20.8</v>
      </c>
      <c r="AG1299">
        <f t="shared" si="206"/>
        <v>1</v>
      </c>
      <c r="AH1299">
        <f t="shared" si="207"/>
        <v>1</v>
      </c>
      <c r="AI1299">
        <f t="shared" si="208"/>
        <v>0</v>
      </c>
      <c r="AJ1299">
        <v>327.39999999999998</v>
      </c>
      <c r="AK1299">
        <v>1023.4</v>
      </c>
      <c r="AL1299">
        <v>88.7</v>
      </c>
      <c r="AM1299">
        <v>6.6</v>
      </c>
      <c r="AN1299">
        <v>124.2</v>
      </c>
      <c r="AO1299">
        <v>10.8</v>
      </c>
      <c r="AP1299">
        <v>5</v>
      </c>
      <c r="AQ1299">
        <v>0</v>
      </c>
      <c r="AR1299" t="s">
        <v>4389</v>
      </c>
      <c r="AS1299" t="s">
        <v>4390</v>
      </c>
      <c r="AT1299">
        <v>0.04</v>
      </c>
      <c r="AU1299" t="s">
        <v>43</v>
      </c>
      <c r="AV1299" t="s">
        <v>44</v>
      </c>
      <c r="AW1299" t="s">
        <v>45</v>
      </c>
      <c r="AX1299" t="s">
        <v>4391</v>
      </c>
      <c r="AY1299" t="s">
        <v>4392</v>
      </c>
      <c r="AZ1299">
        <v>50.000000005820773</v>
      </c>
      <c r="BA1299">
        <v>0</v>
      </c>
      <c r="BB1299">
        <v>0</v>
      </c>
      <c r="BC1299">
        <v>1</v>
      </c>
      <c r="BD1299">
        <v>0</v>
      </c>
      <c r="BE1299">
        <f t="shared" si="209"/>
        <v>1</v>
      </c>
    </row>
    <row r="1300" spans="1:57" x14ac:dyDescent="0.25">
      <c r="A1300" t="s">
        <v>39</v>
      </c>
      <c r="B1300" t="s">
        <v>4393</v>
      </c>
      <c r="C1300">
        <v>60.8</v>
      </c>
      <c r="D1300">
        <v>48.2</v>
      </c>
      <c r="G1300">
        <f t="shared" si="200"/>
        <v>1</v>
      </c>
      <c r="H1300">
        <f t="shared" si="201"/>
        <v>0</v>
      </c>
      <c r="I1300">
        <f t="shared" si="202"/>
        <v>1</v>
      </c>
      <c r="J1300">
        <v>54.2</v>
      </c>
      <c r="K1300">
        <v>60.8</v>
      </c>
      <c r="L1300">
        <v>45.6</v>
      </c>
      <c r="M1300">
        <v>53.8</v>
      </c>
      <c r="N1300">
        <v>47.2</v>
      </c>
      <c r="O1300">
        <v>77.7</v>
      </c>
      <c r="S1300">
        <f t="shared" si="203"/>
        <v>1</v>
      </c>
      <c r="T1300">
        <f t="shared" si="204"/>
        <v>1</v>
      </c>
      <c r="U1300">
        <f t="shared" si="205"/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13.9</v>
      </c>
      <c r="AG1300">
        <f t="shared" si="206"/>
        <v>1</v>
      </c>
      <c r="AH1300">
        <f t="shared" si="207"/>
        <v>0</v>
      </c>
      <c r="AI1300">
        <f t="shared" si="208"/>
        <v>1</v>
      </c>
      <c r="AJ1300">
        <v>267.7</v>
      </c>
      <c r="AK1300">
        <v>1023.4</v>
      </c>
      <c r="AL1300">
        <v>39.9</v>
      </c>
      <c r="AM1300">
        <v>6.6</v>
      </c>
      <c r="AN1300">
        <v>143.9</v>
      </c>
      <c r="AO1300">
        <v>12.4</v>
      </c>
      <c r="AP1300">
        <v>6</v>
      </c>
      <c r="AQ1300">
        <v>0</v>
      </c>
      <c r="AR1300" t="s">
        <v>4394</v>
      </c>
      <c r="AS1300" t="s">
        <v>4395</v>
      </c>
      <c r="AT1300">
        <v>0.14000000000000001</v>
      </c>
      <c r="AU1300" t="s">
        <v>43</v>
      </c>
      <c r="AV1300" t="s">
        <v>44</v>
      </c>
      <c r="AW1300" t="s">
        <v>45</v>
      </c>
      <c r="AX1300" t="s">
        <v>4396</v>
      </c>
      <c r="AY1300" t="s">
        <v>4397</v>
      </c>
      <c r="AZ1300">
        <v>45</v>
      </c>
      <c r="BA1300">
        <v>0</v>
      </c>
      <c r="BB1300">
        <v>0</v>
      </c>
      <c r="BC1300">
        <v>1</v>
      </c>
      <c r="BD1300">
        <v>0</v>
      </c>
      <c r="BE1300">
        <f t="shared" si="209"/>
        <v>0</v>
      </c>
    </row>
    <row r="1301" spans="1:57" x14ac:dyDescent="0.25">
      <c r="A1301" t="s">
        <v>39</v>
      </c>
      <c r="B1301" t="s">
        <v>4398</v>
      </c>
      <c r="C1301">
        <v>68</v>
      </c>
      <c r="D1301">
        <v>43.8</v>
      </c>
      <c r="G1301">
        <f t="shared" si="200"/>
        <v>1</v>
      </c>
      <c r="H1301">
        <f t="shared" si="201"/>
        <v>1</v>
      </c>
      <c r="I1301">
        <f t="shared" si="202"/>
        <v>0</v>
      </c>
      <c r="J1301">
        <v>55.1</v>
      </c>
      <c r="K1301">
        <v>68</v>
      </c>
      <c r="L1301">
        <v>41.9</v>
      </c>
      <c r="M1301">
        <v>53.8</v>
      </c>
      <c r="N1301">
        <v>45.9</v>
      </c>
      <c r="O1301">
        <v>72.099999999999994</v>
      </c>
      <c r="S1301">
        <f t="shared" si="203"/>
        <v>1</v>
      </c>
      <c r="T1301">
        <f t="shared" si="204"/>
        <v>1</v>
      </c>
      <c r="U1301">
        <f t="shared" si="205"/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11.4</v>
      </c>
      <c r="AG1301">
        <f t="shared" si="206"/>
        <v>1</v>
      </c>
      <c r="AH1301">
        <f t="shared" si="207"/>
        <v>0</v>
      </c>
      <c r="AI1301">
        <f t="shared" si="208"/>
        <v>1</v>
      </c>
      <c r="AJ1301">
        <v>177</v>
      </c>
      <c r="AK1301">
        <v>1024.2</v>
      </c>
      <c r="AL1301">
        <v>55.4</v>
      </c>
      <c r="AM1301">
        <v>6.4</v>
      </c>
      <c r="AN1301">
        <v>134.69999999999999</v>
      </c>
      <c r="AO1301">
        <v>11.7</v>
      </c>
      <c r="AP1301">
        <v>6</v>
      </c>
      <c r="AQ1301">
        <v>0</v>
      </c>
      <c r="AR1301" t="s">
        <v>4399</v>
      </c>
      <c r="AS1301" t="s">
        <v>4400</v>
      </c>
      <c r="AT1301">
        <v>0.3</v>
      </c>
      <c r="AU1301" t="s">
        <v>43</v>
      </c>
      <c r="AV1301" t="s">
        <v>44</v>
      </c>
      <c r="AW1301" t="s">
        <v>45</v>
      </c>
      <c r="AX1301" t="s">
        <v>4401</v>
      </c>
      <c r="AY1301" t="s">
        <v>4402</v>
      </c>
      <c r="AZ1301">
        <v>915.00000000698492</v>
      </c>
      <c r="BA1301">
        <v>1</v>
      </c>
      <c r="BB1301">
        <v>0</v>
      </c>
      <c r="BC1301">
        <v>30</v>
      </c>
      <c r="BD1301">
        <v>0</v>
      </c>
      <c r="BE1301">
        <f t="shared" si="209"/>
        <v>1</v>
      </c>
    </row>
    <row r="1302" spans="1:57" x14ac:dyDescent="0.25">
      <c r="A1302" t="s">
        <v>39</v>
      </c>
      <c r="B1302" t="s">
        <v>4398</v>
      </c>
      <c r="C1302">
        <v>68</v>
      </c>
      <c r="D1302">
        <v>43.8</v>
      </c>
      <c r="G1302">
        <f t="shared" si="200"/>
        <v>1</v>
      </c>
      <c r="H1302">
        <f t="shared" si="201"/>
        <v>1</v>
      </c>
      <c r="I1302">
        <f t="shared" si="202"/>
        <v>0</v>
      </c>
      <c r="J1302">
        <v>55.1</v>
      </c>
      <c r="K1302">
        <v>68</v>
      </c>
      <c r="L1302">
        <v>41.9</v>
      </c>
      <c r="M1302">
        <v>53.8</v>
      </c>
      <c r="N1302">
        <v>45.9</v>
      </c>
      <c r="O1302">
        <v>72.099999999999994</v>
      </c>
      <c r="S1302">
        <f t="shared" si="203"/>
        <v>1</v>
      </c>
      <c r="T1302">
        <f t="shared" si="204"/>
        <v>1</v>
      </c>
      <c r="U1302">
        <f t="shared" si="205"/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11.4</v>
      </c>
      <c r="AG1302">
        <f t="shared" si="206"/>
        <v>1</v>
      </c>
      <c r="AH1302">
        <f t="shared" si="207"/>
        <v>0</v>
      </c>
      <c r="AI1302">
        <f t="shared" si="208"/>
        <v>1</v>
      </c>
      <c r="AJ1302">
        <v>177</v>
      </c>
      <c r="AK1302">
        <v>1024.2</v>
      </c>
      <c r="AL1302">
        <v>55.4</v>
      </c>
      <c r="AM1302">
        <v>6.4</v>
      </c>
      <c r="AN1302">
        <v>134.69999999999999</v>
      </c>
      <c r="AO1302">
        <v>11.7</v>
      </c>
      <c r="AP1302">
        <v>6</v>
      </c>
      <c r="AQ1302">
        <v>0</v>
      </c>
      <c r="AR1302" t="s">
        <v>4399</v>
      </c>
      <c r="AS1302" t="s">
        <v>4400</v>
      </c>
      <c r="AT1302">
        <v>0.3</v>
      </c>
      <c r="AU1302" t="s">
        <v>43</v>
      </c>
      <c r="AV1302" t="s">
        <v>44</v>
      </c>
      <c r="AW1302" t="s">
        <v>45</v>
      </c>
      <c r="AX1302" t="s">
        <v>4223</v>
      </c>
      <c r="AY1302" t="s">
        <v>4403</v>
      </c>
      <c r="AZ1302">
        <v>104.9999999965075</v>
      </c>
      <c r="BA1302">
        <v>0</v>
      </c>
      <c r="BB1302">
        <v>0</v>
      </c>
      <c r="BC1302">
        <v>3</v>
      </c>
      <c r="BD1302">
        <v>0</v>
      </c>
      <c r="BE1302">
        <f t="shared" si="209"/>
        <v>1</v>
      </c>
    </row>
    <row r="1303" spans="1:57" x14ac:dyDescent="0.25">
      <c r="A1303" t="s">
        <v>39</v>
      </c>
      <c r="B1303" t="s">
        <v>4398</v>
      </c>
      <c r="C1303">
        <v>68</v>
      </c>
      <c r="D1303">
        <v>43.8</v>
      </c>
      <c r="G1303">
        <f t="shared" si="200"/>
        <v>1</v>
      </c>
      <c r="H1303">
        <f t="shared" si="201"/>
        <v>1</v>
      </c>
      <c r="I1303">
        <f t="shared" si="202"/>
        <v>0</v>
      </c>
      <c r="J1303">
        <v>55.1</v>
      </c>
      <c r="K1303">
        <v>68</v>
      </c>
      <c r="L1303">
        <v>41.9</v>
      </c>
      <c r="M1303">
        <v>53.8</v>
      </c>
      <c r="N1303">
        <v>45.9</v>
      </c>
      <c r="O1303">
        <v>72.099999999999994</v>
      </c>
      <c r="S1303">
        <f t="shared" si="203"/>
        <v>1</v>
      </c>
      <c r="T1303">
        <f t="shared" si="204"/>
        <v>1</v>
      </c>
      <c r="U1303">
        <f t="shared" si="205"/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11.4</v>
      </c>
      <c r="AG1303">
        <f t="shared" si="206"/>
        <v>1</v>
      </c>
      <c r="AH1303">
        <f t="shared" si="207"/>
        <v>0</v>
      </c>
      <c r="AI1303">
        <f t="shared" si="208"/>
        <v>1</v>
      </c>
      <c r="AJ1303">
        <v>177</v>
      </c>
      <c r="AK1303">
        <v>1024.2</v>
      </c>
      <c r="AL1303">
        <v>55.4</v>
      </c>
      <c r="AM1303">
        <v>6.4</v>
      </c>
      <c r="AN1303">
        <v>134.69999999999999</v>
      </c>
      <c r="AO1303">
        <v>11.7</v>
      </c>
      <c r="AP1303">
        <v>6</v>
      </c>
      <c r="AQ1303">
        <v>0</v>
      </c>
      <c r="AR1303" t="s">
        <v>4399</v>
      </c>
      <c r="AS1303" t="s">
        <v>4400</v>
      </c>
      <c r="AT1303">
        <v>0.3</v>
      </c>
      <c r="AU1303" t="s">
        <v>43</v>
      </c>
      <c r="AV1303" t="s">
        <v>44</v>
      </c>
      <c r="AW1303" t="s">
        <v>45</v>
      </c>
      <c r="AX1303" t="s">
        <v>4404</v>
      </c>
      <c r="AY1303" t="s">
        <v>4405</v>
      </c>
      <c r="AZ1303">
        <v>30.00000000349246</v>
      </c>
      <c r="BA1303">
        <v>0</v>
      </c>
      <c r="BB1303">
        <v>0</v>
      </c>
      <c r="BC1303">
        <v>1</v>
      </c>
      <c r="BD1303">
        <v>0</v>
      </c>
      <c r="BE1303">
        <f t="shared" si="209"/>
        <v>1</v>
      </c>
    </row>
    <row r="1304" spans="1:57" x14ac:dyDescent="0.25">
      <c r="A1304" t="s">
        <v>39</v>
      </c>
      <c r="B1304" t="s">
        <v>4406</v>
      </c>
      <c r="C1304">
        <v>64.400000000000006</v>
      </c>
      <c r="D1304">
        <v>48.2</v>
      </c>
      <c r="G1304">
        <f t="shared" si="200"/>
        <v>1</v>
      </c>
      <c r="H1304">
        <f t="shared" si="201"/>
        <v>1</v>
      </c>
      <c r="I1304">
        <f t="shared" si="202"/>
        <v>0</v>
      </c>
      <c r="J1304">
        <v>56.3</v>
      </c>
      <c r="K1304">
        <v>64.400000000000006</v>
      </c>
      <c r="L1304">
        <v>44.1</v>
      </c>
      <c r="M1304">
        <v>56.1</v>
      </c>
      <c r="N1304">
        <v>49.4</v>
      </c>
      <c r="O1304">
        <v>78.400000000000006</v>
      </c>
      <c r="S1304">
        <f t="shared" si="203"/>
        <v>1</v>
      </c>
      <c r="T1304">
        <f t="shared" si="204"/>
        <v>1</v>
      </c>
      <c r="U1304">
        <f t="shared" si="205"/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13.9</v>
      </c>
      <c r="AG1304">
        <f t="shared" si="206"/>
        <v>1</v>
      </c>
      <c r="AH1304">
        <f t="shared" si="207"/>
        <v>0</v>
      </c>
      <c r="AI1304">
        <f t="shared" si="208"/>
        <v>1</v>
      </c>
      <c r="AJ1304">
        <v>206</v>
      </c>
      <c r="AK1304">
        <v>1022.8</v>
      </c>
      <c r="AL1304">
        <v>35.4</v>
      </c>
      <c r="AM1304">
        <v>6.6</v>
      </c>
      <c r="AN1304">
        <v>137.30000000000001</v>
      </c>
      <c r="AO1304">
        <v>11.6</v>
      </c>
      <c r="AP1304">
        <v>6</v>
      </c>
      <c r="AQ1304">
        <v>0</v>
      </c>
      <c r="AR1304" t="s">
        <v>4407</v>
      </c>
      <c r="AS1304" t="s">
        <v>4408</v>
      </c>
      <c r="AT1304">
        <v>0.67</v>
      </c>
      <c r="AU1304" t="s">
        <v>43</v>
      </c>
      <c r="AV1304" t="s">
        <v>44</v>
      </c>
      <c r="AW1304" t="s">
        <v>45</v>
      </c>
      <c r="AX1304" t="s">
        <v>4409</v>
      </c>
      <c r="AY1304" t="s">
        <v>4410</v>
      </c>
      <c r="AZ1304">
        <v>171.0000000020955</v>
      </c>
      <c r="BA1304">
        <v>0</v>
      </c>
      <c r="BB1304">
        <v>0</v>
      </c>
      <c r="BC1304">
        <v>1</v>
      </c>
      <c r="BD1304">
        <v>0</v>
      </c>
      <c r="BE1304">
        <f t="shared" si="209"/>
        <v>1</v>
      </c>
    </row>
    <row r="1305" spans="1:57" x14ac:dyDescent="0.25">
      <c r="A1305" t="s">
        <v>39</v>
      </c>
      <c r="B1305" t="s">
        <v>4411</v>
      </c>
      <c r="C1305">
        <v>86</v>
      </c>
      <c r="D1305">
        <v>73.400000000000006</v>
      </c>
      <c r="G1305">
        <f t="shared" si="200"/>
        <v>1</v>
      </c>
      <c r="H1305">
        <f t="shared" si="201"/>
        <v>1</v>
      </c>
      <c r="I1305">
        <f t="shared" si="202"/>
        <v>0</v>
      </c>
      <c r="J1305">
        <v>81.400000000000006</v>
      </c>
      <c r="K1305">
        <v>90.6</v>
      </c>
      <c r="L1305">
        <v>73.400000000000006</v>
      </c>
      <c r="M1305">
        <v>83.7</v>
      </c>
      <c r="N1305">
        <v>67.900000000000006</v>
      </c>
      <c r="O1305">
        <v>64.099999999999994</v>
      </c>
      <c r="S1305">
        <f t="shared" si="203"/>
        <v>1</v>
      </c>
      <c r="T1305">
        <f t="shared" si="204"/>
        <v>1</v>
      </c>
      <c r="U1305">
        <f t="shared" si="205"/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19.5</v>
      </c>
      <c r="AG1305">
        <f t="shared" si="206"/>
        <v>1</v>
      </c>
      <c r="AH1305">
        <f t="shared" si="207"/>
        <v>1</v>
      </c>
      <c r="AI1305">
        <f t="shared" si="208"/>
        <v>0</v>
      </c>
      <c r="AJ1305">
        <v>306.10000000000002</v>
      </c>
      <c r="AK1305">
        <v>1009.6</v>
      </c>
      <c r="AL1305">
        <v>0</v>
      </c>
      <c r="AM1305">
        <v>6.2</v>
      </c>
      <c r="AN1305">
        <v>358.2</v>
      </c>
      <c r="AO1305">
        <v>30.8</v>
      </c>
      <c r="AP1305">
        <v>10</v>
      </c>
      <c r="AQ1305">
        <v>0</v>
      </c>
      <c r="AR1305" t="s">
        <v>4412</v>
      </c>
      <c r="AS1305" t="s">
        <v>4413</v>
      </c>
      <c r="AT1305">
        <v>0.54</v>
      </c>
      <c r="AU1305" t="s">
        <v>74</v>
      </c>
      <c r="AV1305" t="s">
        <v>2955</v>
      </c>
      <c r="AW1305" t="s">
        <v>75</v>
      </c>
      <c r="AX1305" t="s">
        <v>2534</v>
      </c>
      <c r="AY1305" t="s">
        <v>4414</v>
      </c>
      <c r="AZ1305">
        <v>3970.0000000011642</v>
      </c>
      <c r="BA1305">
        <v>1</v>
      </c>
      <c r="BB1305">
        <v>0</v>
      </c>
      <c r="BC1305">
        <v>2</v>
      </c>
      <c r="BD1305">
        <v>0</v>
      </c>
      <c r="BE1305">
        <f t="shared" si="209"/>
        <v>1</v>
      </c>
    </row>
    <row r="1306" spans="1:57" x14ac:dyDescent="0.25">
      <c r="A1306" t="s">
        <v>39</v>
      </c>
      <c r="B1306" t="s">
        <v>4266</v>
      </c>
      <c r="C1306">
        <v>88.6</v>
      </c>
      <c r="D1306">
        <v>73.400000000000006</v>
      </c>
      <c r="G1306">
        <f t="shared" si="200"/>
        <v>1</v>
      </c>
      <c r="H1306">
        <f t="shared" si="201"/>
        <v>1</v>
      </c>
      <c r="I1306">
        <f t="shared" si="202"/>
        <v>0</v>
      </c>
      <c r="J1306">
        <v>82</v>
      </c>
      <c r="K1306">
        <v>95.2</v>
      </c>
      <c r="L1306">
        <v>73.400000000000006</v>
      </c>
      <c r="M1306">
        <v>85.2</v>
      </c>
      <c r="N1306">
        <v>66.099999999999994</v>
      </c>
      <c r="O1306">
        <v>59.8</v>
      </c>
      <c r="S1306">
        <f t="shared" si="203"/>
        <v>0</v>
      </c>
      <c r="T1306">
        <f t="shared" si="204"/>
        <v>0</v>
      </c>
      <c r="U1306">
        <f t="shared" si="205"/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21.9</v>
      </c>
      <c r="AG1306">
        <f t="shared" si="206"/>
        <v>1</v>
      </c>
      <c r="AH1306">
        <f t="shared" si="207"/>
        <v>1</v>
      </c>
      <c r="AI1306">
        <f t="shared" si="208"/>
        <v>0</v>
      </c>
      <c r="AJ1306">
        <v>325.5</v>
      </c>
      <c r="AK1306">
        <v>1002</v>
      </c>
      <c r="AL1306">
        <v>1.2</v>
      </c>
      <c r="AM1306">
        <v>6.2</v>
      </c>
      <c r="AN1306">
        <v>341.8</v>
      </c>
      <c r="AO1306">
        <v>29.6</v>
      </c>
      <c r="AP1306">
        <v>10</v>
      </c>
      <c r="AQ1306">
        <v>0</v>
      </c>
      <c r="AR1306" t="s">
        <v>4267</v>
      </c>
      <c r="AS1306" t="s">
        <v>4268</v>
      </c>
      <c r="AT1306">
        <v>0.79</v>
      </c>
      <c r="AU1306" t="s">
        <v>74</v>
      </c>
      <c r="AV1306" t="s">
        <v>2955</v>
      </c>
      <c r="AW1306" t="s">
        <v>75</v>
      </c>
      <c r="AX1306" t="s">
        <v>2413</v>
      </c>
      <c r="AY1306" t="s">
        <v>4415</v>
      </c>
      <c r="AZ1306">
        <v>120.0000000034925</v>
      </c>
      <c r="BA1306">
        <v>0</v>
      </c>
      <c r="BB1306">
        <v>0</v>
      </c>
      <c r="BC1306">
        <v>0.5</v>
      </c>
      <c r="BD1306">
        <v>0</v>
      </c>
      <c r="BE1306">
        <f t="shared" si="209"/>
        <v>0</v>
      </c>
    </row>
    <row r="1307" spans="1:57" x14ac:dyDescent="0.25">
      <c r="A1307" t="s">
        <v>39</v>
      </c>
      <c r="B1307" t="s">
        <v>4416</v>
      </c>
      <c r="C1307">
        <v>86</v>
      </c>
      <c r="D1307">
        <v>66.2</v>
      </c>
      <c r="G1307">
        <f t="shared" si="200"/>
        <v>1</v>
      </c>
      <c r="H1307">
        <f t="shared" si="201"/>
        <v>1</v>
      </c>
      <c r="I1307">
        <f t="shared" si="202"/>
        <v>0</v>
      </c>
      <c r="J1307">
        <v>75.400000000000006</v>
      </c>
      <c r="K1307">
        <v>88.4</v>
      </c>
      <c r="L1307">
        <v>66.2</v>
      </c>
      <c r="M1307">
        <v>76.3</v>
      </c>
      <c r="N1307">
        <v>64</v>
      </c>
      <c r="O1307">
        <v>68.599999999999994</v>
      </c>
      <c r="S1307">
        <f t="shared" si="203"/>
        <v>0</v>
      </c>
      <c r="T1307">
        <f t="shared" si="204"/>
        <v>0</v>
      </c>
      <c r="U1307">
        <f t="shared" si="205"/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16.100000000000001</v>
      </c>
      <c r="AG1307">
        <f t="shared" si="206"/>
        <v>0</v>
      </c>
      <c r="AH1307">
        <f t="shared" si="207"/>
        <v>0</v>
      </c>
      <c r="AI1307">
        <f t="shared" si="208"/>
        <v>0</v>
      </c>
      <c r="AJ1307">
        <v>307.60000000000002</v>
      </c>
      <c r="AK1307">
        <v>1011.1</v>
      </c>
      <c r="AL1307">
        <v>0</v>
      </c>
      <c r="AM1307">
        <v>6.2</v>
      </c>
      <c r="AN1307">
        <v>283.60000000000002</v>
      </c>
      <c r="AO1307">
        <v>24.5</v>
      </c>
      <c r="AP1307">
        <v>9</v>
      </c>
      <c r="AQ1307">
        <v>0</v>
      </c>
      <c r="AR1307" t="s">
        <v>4417</v>
      </c>
      <c r="AS1307" t="s">
        <v>4418</v>
      </c>
      <c r="AT1307">
        <v>0.6</v>
      </c>
      <c r="AU1307" t="s">
        <v>74</v>
      </c>
      <c r="AV1307" t="s">
        <v>2955</v>
      </c>
      <c r="AW1307" t="s">
        <v>75</v>
      </c>
      <c r="AX1307" t="s">
        <v>4419</v>
      </c>
      <c r="AY1307" t="s">
        <v>4420</v>
      </c>
      <c r="AZ1307">
        <v>1634.999999996508</v>
      </c>
      <c r="BA1307">
        <v>1</v>
      </c>
      <c r="BB1307">
        <v>0</v>
      </c>
      <c r="BC1307">
        <v>5</v>
      </c>
      <c r="BD1307">
        <v>0</v>
      </c>
      <c r="BE1307">
        <f t="shared" si="209"/>
        <v>0</v>
      </c>
    </row>
    <row r="1308" spans="1:57" x14ac:dyDescent="0.25">
      <c r="A1308" t="s">
        <v>39</v>
      </c>
      <c r="B1308" t="s">
        <v>4308</v>
      </c>
      <c r="C1308">
        <v>77.099999999999994</v>
      </c>
      <c r="D1308">
        <v>60.8</v>
      </c>
      <c r="G1308">
        <f t="shared" si="200"/>
        <v>1</v>
      </c>
      <c r="H1308">
        <f t="shared" si="201"/>
        <v>1</v>
      </c>
      <c r="I1308">
        <f t="shared" si="202"/>
        <v>0</v>
      </c>
      <c r="J1308">
        <v>68.8</v>
      </c>
      <c r="K1308">
        <v>77.099999999999994</v>
      </c>
      <c r="L1308">
        <v>60.8</v>
      </c>
      <c r="M1308">
        <v>68.8</v>
      </c>
      <c r="N1308">
        <v>58.7</v>
      </c>
      <c r="O1308">
        <v>71.400000000000006</v>
      </c>
      <c r="S1308">
        <f t="shared" si="203"/>
        <v>1</v>
      </c>
      <c r="T1308">
        <f t="shared" si="204"/>
        <v>1</v>
      </c>
      <c r="U1308">
        <f t="shared" si="205"/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8.1</v>
      </c>
      <c r="AG1308">
        <f t="shared" si="206"/>
        <v>1</v>
      </c>
      <c r="AH1308">
        <f t="shared" si="207"/>
        <v>0</v>
      </c>
      <c r="AI1308">
        <f t="shared" si="208"/>
        <v>1</v>
      </c>
      <c r="AJ1308">
        <v>241.7</v>
      </c>
      <c r="AK1308">
        <v>1019</v>
      </c>
      <c r="AL1308">
        <v>17.8</v>
      </c>
      <c r="AM1308">
        <v>6.4</v>
      </c>
      <c r="AN1308">
        <v>229.4</v>
      </c>
      <c r="AO1308">
        <v>19.899999999999999</v>
      </c>
      <c r="AP1308">
        <v>8</v>
      </c>
      <c r="AQ1308">
        <v>0</v>
      </c>
      <c r="AR1308" t="s">
        <v>4309</v>
      </c>
      <c r="AS1308" t="s">
        <v>4310</v>
      </c>
      <c r="AT1308">
        <v>0.3</v>
      </c>
      <c r="AU1308" t="s">
        <v>74</v>
      </c>
      <c r="AV1308" t="s">
        <v>2955</v>
      </c>
      <c r="AW1308" t="s">
        <v>75</v>
      </c>
      <c r="AX1308" t="s">
        <v>4421</v>
      </c>
      <c r="AY1308" t="s">
        <v>4422</v>
      </c>
      <c r="AZ1308">
        <v>885.00000000349246</v>
      </c>
      <c r="BA1308">
        <v>1</v>
      </c>
      <c r="BB1308">
        <v>0</v>
      </c>
      <c r="BC1308">
        <v>20</v>
      </c>
      <c r="BD1308">
        <v>0</v>
      </c>
      <c r="BE1308">
        <f t="shared" si="209"/>
        <v>1</v>
      </c>
    </row>
    <row r="1309" spans="1:57" x14ac:dyDescent="0.25">
      <c r="A1309" t="s">
        <v>39</v>
      </c>
      <c r="B1309" t="s">
        <v>4423</v>
      </c>
      <c r="C1309">
        <v>59</v>
      </c>
      <c r="D1309">
        <v>48.2</v>
      </c>
      <c r="G1309">
        <f t="shared" si="200"/>
        <v>1</v>
      </c>
      <c r="H1309">
        <f t="shared" si="201"/>
        <v>0</v>
      </c>
      <c r="I1309">
        <f t="shared" si="202"/>
        <v>1</v>
      </c>
      <c r="J1309">
        <v>54.5</v>
      </c>
      <c r="K1309">
        <v>59</v>
      </c>
      <c r="L1309">
        <v>46.3</v>
      </c>
      <c r="M1309">
        <v>54.3</v>
      </c>
      <c r="N1309">
        <v>44.7</v>
      </c>
      <c r="O1309">
        <v>69.900000000000006</v>
      </c>
      <c r="S1309">
        <f t="shared" si="203"/>
        <v>1</v>
      </c>
      <c r="T1309">
        <f t="shared" si="204"/>
        <v>1</v>
      </c>
      <c r="U1309">
        <f t="shared" si="205"/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16.100000000000001</v>
      </c>
      <c r="AG1309">
        <f t="shared" si="206"/>
        <v>0</v>
      </c>
      <c r="AH1309">
        <f t="shared" si="207"/>
        <v>0</v>
      </c>
      <c r="AI1309">
        <f t="shared" si="208"/>
        <v>0</v>
      </c>
      <c r="AJ1309">
        <v>319.5</v>
      </c>
      <c r="AK1309">
        <v>1023.8</v>
      </c>
      <c r="AL1309">
        <v>36.1</v>
      </c>
      <c r="AM1309">
        <v>6.6</v>
      </c>
      <c r="AN1309">
        <v>148.4</v>
      </c>
      <c r="AO1309">
        <v>12.7</v>
      </c>
      <c r="AP1309">
        <v>6</v>
      </c>
      <c r="AQ1309">
        <v>0</v>
      </c>
      <c r="AR1309" t="s">
        <v>4424</v>
      </c>
      <c r="AS1309" t="s">
        <v>4425</v>
      </c>
      <c r="AT1309">
        <v>0.1</v>
      </c>
      <c r="AU1309" t="s">
        <v>43</v>
      </c>
      <c r="AV1309" t="s">
        <v>44</v>
      </c>
      <c r="AW1309" t="s">
        <v>45</v>
      </c>
      <c r="AX1309" t="s">
        <v>4426</v>
      </c>
      <c r="AY1309" t="s">
        <v>4427</v>
      </c>
      <c r="AZ1309">
        <v>79.999999998835847</v>
      </c>
      <c r="BA1309">
        <v>0</v>
      </c>
      <c r="BB1309">
        <v>0</v>
      </c>
      <c r="BC1309">
        <v>0.1</v>
      </c>
      <c r="BD1309">
        <v>0</v>
      </c>
      <c r="BE1309">
        <f t="shared" si="209"/>
        <v>0</v>
      </c>
    </row>
    <row r="1310" spans="1:57" x14ac:dyDescent="0.25">
      <c r="A1310" t="s">
        <v>39</v>
      </c>
      <c r="B1310" t="s">
        <v>4181</v>
      </c>
      <c r="C1310">
        <v>82.4</v>
      </c>
      <c r="D1310">
        <v>75.2</v>
      </c>
      <c r="G1310">
        <f t="shared" si="200"/>
        <v>0</v>
      </c>
      <c r="H1310">
        <f t="shared" si="201"/>
        <v>0</v>
      </c>
      <c r="I1310">
        <f t="shared" si="202"/>
        <v>0</v>
      </c>
      <c r="J1310">
        <v>78.8</v>
      </c>
      <c r="K1310">
        <v>86.2</v>
      </c>
      <c r="L1310">
        <v>75.2</v>
      </c>
      <c r="M1310">
        <v>80</v>
      </c>
      <c r="N1310">
        <v>66.900000000000006</v>
      </c>
      <c r="O1310">
        <v>67.400000000000006</v>
      </c>
      <c r="S1310">
        <f t="shared" si="203"/>
        <v>1</v>
      </c>
      <c r="T1310">
        <f t="shared" si="204"/>
        <v>1</v>
      </c>
      <c r="U1310">
        <f t="shared" si="205"/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27.5</v>
      </c>
      <c r="AC1310">
        <v>20.8</v>
      </c>
      <c r="AG1310">
        <f t="shared" si="206"/>
        <v>1</v>
      </c>
      <c r="AH1310">
        <f t="shared" si="207"/>
        <v>1</v>
      </c>
      <c r="AI1310">
        <f t="shared" si="208"/>
        <v>0</v>
      </c>
      <c r="AJ1310">
        <v>303.60000000000002</v>
      </c>
      <c r="AK1310">
        <v>1010.4</v>
      </c>
      <c r="AL1310">
        <v>12.8</v>
      </c>
      <c r="AM1310">
        <v>6.5</v>
      </c>
      <c r="AN1310">
        <v>315.89999999999998</v>
      </c>
      <c r="AO1310">
        <v>27.3</v>
      </c>
      <c r="AP1310">
        <v>10</v>
      </c>
      <c r="AQ1310">
        <v>0</v>
      </c>
      <c r="AR1310" t="s">
        <v>4182</v>
      </c>
      <c r="AS1310" t="s">
        <v>4183</v>
      </c>
      <c r="AT1310">
        <v>0.75</v>
      </c>
      <c r="AU1310" t="s">
        <v>74</v>
      </c>
      <c r="AV1310" t="s">
        <v>2955</v>
      </c>
      <c r="AW1310" t="s">
        <v>75</v>
      </c>
      <c r="AX1310" t="s">
        <v>4428</v>
      </c>
      <c r="AY1310" t="s">
        <v>4429</v>
      </c>
      <c r="AZ1310">
        <v>197.0000000030268</v>
      </c>
      <c r="BA1310">
        <v>0</v>
      </c>
      <c r="BB1310">
        <v>0</v>
      </c>
      <c r="BC1310">
        <v>2</v>
      </c>
      <c r="BD1310">
        <v>0</v>
      </c>
      <c r="BE1310">
        <f t="shared" si="209"/>
        <v>0</v>
      </c>
    </row>
    <row r="1311" spans="1:57" x14ac:dyDescent="0.25">
      <c r="A1311" t="s">
        <v>39</v>
      </c>
      <c r="B1311" t="s">
        <v>4187</v>
      </c>
      <c r="C1311">
        <v>64.400000000000006</v>
      </c>
      <c r="D1311">
        <v>56.2</v>
      </c>
      <c r="G1311">
        <f t="shared" si="200"/>
        <v>1</v>
      </c>
      <c r="H1311">
        <f t="shared" si="201"/>
        <v>0</v>
      </c>
      <c r="I1311">
        <f t="shared" si="202"/>
        <v>1</v>
      </c>
      <c r="J1311">
        <v>61.8</v>
      </c>
      <c r="K1311">
        <v>64.400000000000006</v>
      </c>
      <c r="L1311">
        <v>56.2</v>
      </c>
      <c r="M1311">
        <v>61.8</v>
      </c>
      <c r="N1311">
        <v>48.8</v>
      </c>
      <c r="O1311">
        <v>62.4</v>
      </c>
      <c r="S1311">
        <f t="shared" si="203"/>
        <v>1</v>
      </c>
      <c r="T1311">
        <f t="shared" si="204"/>
        <v>0</v>
      </c>
      <c r="U1311">
        <f t="shared" si="205"/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27.5</v>
      </c>
      <c r="AG1311">
        <f t="shared" si="206"/>
        <v>1</v>
      </c>
      <c r="AH1311">
        <f t="shared" si="207"/>
        <v>1</v>
      </c>
      <c r="AI1311">
        <f t="shared" si="208"/>
        <v>0</v>
      </c>
      <c r="AJ1311">
        <v>336</v>
      </c>
      <c r="AK1311">
        <v>1019.8</v>
      </c>
      <c r="AL1311">
        <v>85.8</v>
      </c>
      <c r="AM1311">
        <v>6.6</v>
      </c>
      <c r="AN1311">
        <v>160.9</v>
      </c>
      <c r="AO1311">
        <v>14.5</v>
      </c>
      <c r="AP1311">
        <v>7</v>
      </c>
      <c r="AQ1311">
        <v>0</v>
      </c>
      <c r="AR1311" t="s">
        <v>4188</v>
      </c>
      <c r="AS1311" t="s">
        <v>4189</v>
      </c>
      <c r="AT1311">
        <v>0.12</v>
      </c>
      <c r="AU1311" t="s">
        <v>43</v>
      </c>
      <c r="AV1311" t="s">
        <v>44</v>
      </c>
      <c r="AW1311" t="s">
        <v>45</v>
      </c>
      <c r="AX1311" t="s">
        <v>4132</v>
      </c>
      <c r="AY1311" t="s">
        <v>4430</v>
      </c>
      <c r="AZ1311">
        <v>235.00000000116421</v>
      </c>
      <c r="BA1311">
        <v>0</v>
      </c>
      <c r="BB1311">
        <v>0</v>
      </c>
      <c r="BC1311">
        <v>0.3</v>
      </c>
      <c r="BD1311">
        <v>0</v>
      </c>
      <c r="BE1311">
        <f t="shared" si="209"/>
        <v>1</v>
      </c>
    </row>
    <row r="1312" spans="1:57" x14ac:dyDescent="0.25">
      <c r="A1312" t="s">
        <v>39</v>
      </c>
      <c r="B1312" t="s">
        <v>4250</v>
      </c>
      <c r="C1312">
        <v>84.2</v>
      </c>
      <c r="D1312">
        <v>78.8</v>
      </c>
      <c r="G1312">
        <f t="shared" si="200"/>
        <v>0</v>
      </c>
      <c r="H1312">
        <f t="shared" si="201"/>
        <v>0</v>
      </c>
      <c r="I1312">
        <f t="shared" si="202"/>
        <v>0</v>
      </c>
      <c r="J1312">
        <v>81</v>
      </c>
      <c r="K1312">
        <v>89.6</v>
      </c>
      <c r="L1312">
        <v>78.8</v>
      </c>
      <c r="M1312">
        <v>83.4</v>
      </c>
      <c r="N1312">
        <v>68.8</v>
      </c>
      <c r="O1312">
        <v>66.7</v>
      </c>
      <c r="S1312">
        <f t="shared" si="203"/>
        <v>1</v>
      </c>
      <c r="T1312">
        <f t="shared" si="204"/>
        <v>1</v>
      </c>
      <c r="U1312">
        <f t="shared" si="205"/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21.9</v>
      </c>
      <c r="AG1312">
        <f t="shared" si="206"/>
        <v>1</v>
      </c>
      <c r="AH1312">
        <f t="shared" si="207"/>
        <v>1</v>
      </c>
      <c r="AI1312">
        <f t="shared" si="208"/>
        <v>0</v>
      </c>
      <c r="AJ1312">
        <v>302</v>
      </c>
      <c r="AK1312">
        <v>1007.4</v>
      </c>
      <c r="AL1312">
        <v>0.3</v>
      </c>
      <c r="AM1312">
        <v>6.2</v>
      </c>
      <c r="AN1312">
        <v>346.9</v>
      </c>
      <c r="AO1312">
        <v>29.8</v>
      </c>
      <c r="AP1312">
        <v>10</v>
      </c>
      <c r="AQ1312">
        <v>0</v>
      </c>
      <c r="AR1312" t="s">
        <v>4251</v>
      </c>
      <c r="AS1312" t="s">
        <v>4252</v>
      </c>
      <c r="AT1312">
        <v>0.43</v>
      </c>
      <c r="AU1312" t="s">
        <v>74</v>
      </c>
      <c r="AV1312" t="s">
        <v>2955</v>
      </c>
      <c r="AW1312" t="s">
        <v>75</v>
      </c>
      <c r="AX1312" t="s">
        <v>4431</v>
      </c>
      <c r="AY1312" t="s">
        <v>4432</v>
      </c>
      <c r="AZ1312">
        <v>379.99999999185093</v>
      </c>
      <c r="BA1312">
        <v>1</v>
      </c>
      <c r="BB1312">
        <v>0</v>
      </c>
      <c r="BC1312">
        <v>40</v>
      </c>
      <c r="BD1312">
        <v>0</v>
      </c>
      <c r="BE1312">
        <f t="shared" si="209"/>
        <v>1</v>
      </c>
    </row>
    <row r="1313" spans="1:57" x14ac:dyDescent="0.25">
      <c r="A1313" t="s">
        <v>39</v>
      </c>
      <c r="B1313" t="s">
        <v>4433</v>
      </c>
      <c r="C1313">
        <v>82.4</v>
      </c>
      <c r="D1313">
        <v>75.2</v>
      </c>
      <c r="G1313">
        <f t="shared" si="200"/>
        <v>1</v>
      </c>
      <c r="H1313">
        <f t="shared" si="201"/>
        <v>1</v>
      </c>
      <c r="I1313">
        <f t="shared" si="202"/>
        <v>0</v>
      </c>
      <c r="J1313">
        <v>78.400000000000006</v>
      </c>
      <c r="K1313">
        <v>86.2</v>
      </c>
      <c r="L1313">
        <v>75.2</v>
      </c>
      <c r="M1313">
        <v>79.3</v>
      </c>
      <c r="N1313">
        <v>67.7</v>
      </c>
      <c r="O1313">
        <v>70.3</v>
      </c>
      <c r="S1313">
        <f t="shared" si="203"/>
        <v>1</v>
      </c>
      <c r="T1313">
        <f t="shared" si="204"/>
        <v>1</v>
      </c>
      <c r="U1313">
        <f t="shared" si="205"/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20.8</v>
      </c>
      <c r="AG1313">
        <f t="shared" si="206"/>
        <v>1</v>
      </c>
      <c r="AH1313">
        <f t="shared" si="207"/>
        <v>1</v>
      </c>
      <c r="AI1313">
        <f t="shared" si="208"/>
        <v>0</v>
      </c>
      <c r="AJ1313">
        <v>313.10000000000002</v>
      </c>
      <c r="AK1313">
        <v>1014.4</v>
      </c>
      <c r="AL1313">
        <v>2.2999999999999998</v>
      </c>
      <c r="AM1313">
        <v>6.2</v>
      </c>
      <c r="AN1313">
        <v>284</v>
      </c>
      <c r="AO1313">
        <v>24.6</v>
      </c>
      <c r="AP1313">
        <v>9</v>
      </c>
      <c r="AQ1313">
        <v>0</v>
      </c>
      <c r="AR1313" t="s">
        <v>4434</v>
      </c>
      <c r="AS1313" t="s">
        <v>4435</v>
      </c>
      <c r="AT1313">
        <v>0.46</v>
      </c>
      <c r="AU1313" t="s">
        <v>74</v>
      </c>
      <c r="AV1313" t="s">
        <v>2955</v>
      </c>
      <c r="AW1313" t="s">
        <v>75</v>
      </c>
      <c r="AX1313" t="s">
        <v>4436</v>
      </c>
      <c r="AY1313" t="s">
        <v>4437</v>
      </c>
      <c r="AZ1313">
        <v>2264.999999996508</v>
      </c>
      <c r="BA1313">
        <v>1</v>
      </c>
      <c r="BB1313">
        <v>0</v>
      </c>
      <c r="BC1313">
        <v>3</v>
      </c>
      <c r="BD1313">
        <v>0</v>
      </c>
      <c r="BE1313">
        <f t="shared" si="209"/>
        <v>1</v>
      </c>
    </row>
    <row r="1314" spans="1:57" x14ac:dyDescent="0.25">
      <c r="A1314" t="s">
        <v>39</v>
      </c>
      <c r="B1314" t="s">
        <v>4438</v>
      </c>
      <c r="C1314">
        <v>64.5</v>
      </c>
      <c r="D1314">
        <v>53.6</v>
      </c>
      <c r="G1314">
        <f t="shared" si="200"/>
        <v>1</v>
      </c>
      <c r="H1314">
        <f t="shared" si="201"/>
        <v>0</v>
      </c>
      <c r="I1314">
        <f t="shared" si="202"/>
        <v>1</v>
      </c>
      <c r="J1314">
        <v>60.3</v>
      </c>
      <c r="K1314">
        <v>64.5</v>
      </c>
      <c r="L1314">
        <v>53.6</v>
      </c>
      <c r="M1314">
        <v>60.3</v>
      </c>
      <c r="N1314">
        <v>50.1</v>
      </c>
      <c r="O1314">
        <v>69.3</v>
      </c>
      <c r="S1314">
        <f t="shared" si="203"/>
        <v>1</v>
      </c>
      <c r="T1314">
        <f t="shared" si="204"/>
        <v>1</v>
      </c>
      <c r="U1314">
        <f t="shared" si="205"/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16.100000000000001</v>
      </c>
      <c r="AG1314">
        <f t="shared" si="206"/>
        <v>0</v>
      </c>
      <c r="AH1314">
        <f t="shared" si="207"/>
        <v>0</v>
      </c>
      <c r="AI1314">
        <f t="shared" si="208"/>
        <v>0</v>
      </c>
      <c r="AJ1314">
        <v>322.8</v>
      </c>
      <c r="AK1314">
        <v>1020.2</v>
      </c>
      <c r="AL1314">
        <v>44.4</v>
      </c>
      <c r="AM1314">
        <v>6.6</v>
      </c>
      <c r="AN1314">
        <v>182.4</v>
      </c>
      <c r="AO1314">
        <v>15.8</v>
      </c>
      <c r="AP1314">
        <v>7</v>
      </c>
      <c r="AQ1314">
        <v>0</v>
      </c>
      <c r="AR1314" t="s">
        <v>4439</v>
      </c>
      <c r="AS1314" t="s">
        <v>4440</v>
      </c>
      <c r="AT1314">
        <v>0.32</v>
      </c>
      <c r="AU1314" t="s">
        <v>43</v>
      </c>
      <c r="AV1314" t="s">
        <v>44</v>
      </c>
      <c r="AW1314" t="s">
        <v>45</v>
      </c>
      <c r="AX1314" t="s">
        <v>4327</v>
      </c>
      <c r="AY1314" t="s">
        <v>4441</v>
      </c>
      <c r="AZ1314">
        <v>205.0000000081491</v>
      </c>
      <c r="BA1314">
        <v>0</v>
      </c>
      <c r="BB1314">
        <v>0</v>
      </c>
      <c r="BC1314">
        <v>5</v>
      </c>
      <c r="BD1314">
        <v>0</v>
      </c>
      <c r="BE1314">
        <f t="shared" si="209"/>
        <v>0</v>
      </c>
    </row>
    <row r="1315" spans="1:57" x14ac:dyDescent="0.25">
      <c r="A1315" t="s">
        <v>39</v>
      </c>
      <c r="B1315" t="s">
        <v>4442</v>
      </c>
      <c r="C1315">
        <v>60.8</v>
      </c>
      <c r="D1315">
        <v>46.8</v>
      </c>
      <c r="G1315">
        <f t="shared" si="200"/>
        <v>1</v>
      </c>
      <c r="H1315">
        <f t="shared" si="201"/>
        <v>1</v>
      </c>
      <c r="I1315">
        <f t="shared" si="202"/>
        <v>0</v>
      </c>
      <c r="J1315">
        <v>54.6</v>
      </c>
      <c r="K1315">
        <v>60.8</v>
      </c>
      <c r="L1315">
        <v>45</v>
      </c>
      <c r="M1315">
        <v>54.2</v>
      </c>
      <c r="N1315">
        <v>50</v>
      </c>
      <c r="O1315">
        <v>84.6</v>
      </c>
      <c r="S1315">
        <f t="shared" si="203"/>
        <v>1</v>
      </c>
      <c r="T1315">
        <f t="shared" si="204"/>
        <v>1</v>
      </c>
      <c r="U1315">
        <f t="shared" si="205"/>
        <v>0</v>
      </c>
      <c r="V1315">
        <v>0.11799999999999999</v>
      </c>
      <c r="W1315">
        <v>100</v>
      </c>
      <c r="X1315">
        <v>4.17</v>
      </c>
      <c r="Y1315" t="s">
        <v>103</v>
      </c>
      <c r="Z1315">
        <v>0</v>
      </c>
      <c r="AA1315">
        <v>0</v>
      </c>
      <c r="AB1315">
        <v>0</v>
      </c>
      <c r="AC1315">
        <v>16.100000000000001</v>
      </c>
      <c r="AG1315">
        <f t="shared" si="206"/>
        <v>1</v>
      </c>
      <c r="AH1315">
        <f t="shared" si="207"/>
        <v>0</v>
      </c>
      <c r="AI1315">
        <f t="shared" si="208"/>
        <v>1</v>
      </c>
      <c r="AJ1315">
        <v>265.39999999999998</v>
      </c>
      <c r="AK1315">
        <v>1014.7</v>
      </c>
      <c r="AL1315">
        <v>49.2</v>
      </c>
      <c r="AM1315">
        <v>6.6</v>
      </c>
      <c r="AN1315">
        <v>173.2</v>
      </c>
      <c r="AO1315">
        <v>15</v>
      </c>
      <c r="AP1315">
        <v>7</v>
      </c>
      <c r="AQ1315">
        <v>0</v>
      </c>
      <c r="AR1315" t="s">
        <v>4443</v>
      </c>
      <c r="AS1315" t="s">
        <v>4444</v>
      </c>
      <c r="AT1315">
        <v>0.21</v>
      </c>
      <c r="AU1315" t="s">
        <v>106</v>
      </c>
      <c r="AV1315" t="s">
        <v>438</v>
      </c>
      <c r="AW1315" t="s">
        <v>103</v>
      </c>
      <c r="AX1315" t="s">
        <v>4044</v>
      </c>
      <c r="AY1315" t="s">
        <v>4445</v>
      </c>
      <c r="AZ1315">
        <v>49.999999995343387</v>
      </c>
      <c r="BA1315">
        <v>0</v>
      </c>
      <c r="BB1315">
        <v>0</v>
      </c>
      <c r="BC1315">
        <v>0.2</v>
      </c>
      <c r="BD1315">
        <v>0</v>
      </c>
      <c r="BE1315">
        <f t="shared" si="209"/>
        <v>1</v>
      </c>
    </row>
    <row r="1316" spans="1:57" x14ac:dyDescent="0.25">
      <c r="A1316" t="s">
        <v>39</v>
      </c>
      <c r="B1316" t="s">
        <v>4107</v>
      </c>
      <c r="C1316">
        <v>91.4</v>
      </c>
      <c r="D1316">
        <v>75.2</v>
      </c>
      <c r="G1316">
        <f t="shared" si="200"/>
        <v>1</v>
      </c>
      <c r="H1316">
        <f t="shared" si="201"/>
        <v>1</v>
      </c>
      <c r="I1316">
        <f t="shared" si="202"/>
        <v>0</v>
      </c>
      <c r="J1316">
        <v>83.6</v>
      </c>
      <c r="K1316">
        <v>102.7</v>
      </c>
      <c r="L1316">
        <v>75.2</v>
      </c>
      <c r="M1316">
        <v>88.5</v>
      </c>
      <c r="N1316">
        <v>70.400000000000006</v>
      </c>
      <c r="O1316">
        <v>65.2</v>
      </c>
      <c r="S1316">
        <f t="shared" si="203"/>
        <v>1</v>
      </c>
      <c r="T1316">
        <f t="shared" si="204"/>
        <v>1</v>
      </c>
      <c r="U1316">
        <f t="shared" si="205"/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9.1999999999999993</v>
      </c>
      <c r="AG1316">
        <f t="shared" si="206"/>
        <v>1</v>
      </c>
      <c r="AH1316">
        <f t="shared" si="207"/>
        <v>0</v>
      </c>
      <c r="AI1316">
        <f t="shared" si="208"/>
        <v>1</v>
      </c>
      <c r="AJ1316">
        <v>344.2</v>
      </c>
      <c r="AK1316">
        <v>1005.4</v>
      </c>
      <c r="AL1316">
        <v>0</v>
      </c>
      <c r="AM1316">
        <v>6.2</v>
      </c>
      <c r="AN1316">
        <v>339.5</v>
      </c>
      <c r="AO1316">
        <v>29.3</v>
      </c>
      <c r="AP1316">
        <v>10</v>
      </c>
      <c r="AQ1316">
        <v>0</v>
      </c>
      <c r="AR1316" t="s">
        <v>4108</v>
      </c>
      <c r="AS1316" t="s">
        <v>4109</v>
      </c>
      <c r="AT1316">
        <v>0.66</v>
      </c>
      <c r="AU1316" t="s">
        <v>74</v>
      </c>
      <c r="AV1316" t="s">
        <v>2955</v>
      </c>
      <c r="AW1316" t="s">
        <v>75</v>
      </c>
      <c r="AX1316" t="s">
        <v>2454</v>
      </c>
      <c r="AY1316" t="s">
        <v>4446</v>
      </c>
      <c r="AZ1316">
        <v>209.99999999301511</v>
      </c>
      <c r="BA1316">
        <v>0</v>
      </c>
      <c r="BB1316">
        <v>0</v>
      </c>
      <c r="BC1316">
        <v>5</v>
      </c>
      <c r="BD1316">
        <v>0</v>
      </c>
      <c r="BE1316">
        <f t="shared" si="209"/>
        <v>1</v>
      </c>
    </row>
    <row r="1317" spans="1:57" x14ac:dyDescent="0.25">
      <c r="A1317" t="s">
        <v>39</v>
      </c>
      <c r="B1317" t="s">
        <v>4271</v>
      </c>
      <c r="C1317">
        <v>87.8</v>
      </c>
      <c r="D1317">
        <v>72.599999999999994</v>
      </c>
      <c r="G1317">
        <f t="shared" si="200"/>
        <v>1</v>
      </c>
      <c r="H1317">
        <f t="shared" si="201"/>
        <v>1</v>
      </c>
      <c r="I1317">
        <f t="shared" si="202"/>
        <v>0</v>
      </c>
      <c r="J1317">
        <v>80.5</v>
      </c>
      <c r="K1317">
        <v>97.8</v>
      </c>
      <c r="L1317">
        <v>72.599999999999994</v>
      </c>
      <c r="M1317">
        <v>83.3</v>
      </c>
      <c r="N1317">
        <v>67.7</v>
      </c>
      <c r="O1317">
        <v>65.900000000000006</v>
      </c>
      <c r="S1317">
        <f t="shared" si="203"/>
        <v>1</v>
      </c>
      <c r="T1317">
        <f t="shared" si="204"/>
        <v>1</v>
      </c>
      <c r="U1317">
        <f t="shared" si="205"/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17.2</v>
      </c>
      <c r="AG1317">
        <f t="shared" si="206"/>
        <v>0</v>
      </c>
      <c r="AH1317">
        <f t="shared" si="207"/>
        <v>0</v>
      </c>
      <c r="AI1317">
        <f t="shared" si="208"/>
        <v>0</v>
      </c>
      <c r="AJ1317">
        <v>326.8</v>
      </c>
      <c r="AK1317">
        <v>1007.3</v>
      </c>
      <c r="AL1317">
        <v>0</v>
      </c>
      <c r="AM1317">
        <v>6.2</v>
      </c>
      <c r="AN1317">
        <v>339.3</v>
      </c>
      <c r="AO1317">
        <v>29.4</v>
      </c>
      <c r="AP1317">
        <v>10</v>
      </c>
      <c r="AQ1317">
        <v>0</v>
      </c>
      <c r="AR1317" t="s">
        <v>4272</v>
      </c>
      <c r="AS1317" t="s">
        <v>4273</v>
      </c>
      <c r="AT1317">
        <v>0.95</v>
      </c>
      <c r="AU1317" t="s">
        <v>74</v>
      </c>
      <c r="AV1317" t="s">
        <v>2955</v>
      </c>
      <c r="AW1317" t="s">
        <v>75</v>
      </c>
      <c r="AX1317" t="s">
        <v>2761</v>
      </c>
      <c r="AY1317" t="s">
        <v>4447</v>
      </c>
      <c r="AZ1317">
        <v>214.99999999883579</v>
      </c>
      <c r="BA1317">
        <v>0</v>
      </c>
      <c r="BB1317">
        <v>0</v>
      </c>
      <c r="BC1317">
        <v>1</v>
      </c>
      <c r="BD1317">
        <v>0</v>
      </c>
      <c r="BE1317">
        <f t="shared" si="209"/>
        <v>0</v>
      </c>
    </row>
    <row r="1318" spans="1:57" x14ac:dyDescent="0.25">
      <c r="A1318" t="s">
        <v>39</v>
      </c>
      <c r="B1318" t="s">
        <v>4448</v>
      </c>
      <c r="C1318">
        <v>80.599999999999994</v>
      </c>
      <c r="D1318">
        <v>73.400000000000006</v>
      </c>
      <c r="G1318">
        <f t="shared" si="200"/>
        <v>1</v>
      </c>
      <c r="H1318">
        <f t="shared" si="201"/>
        <v>0</v>
      </c>
      <c r="I1318">
        <f t="shared" si="202"/>
        <v>1</v>
      </c>
      <c r="J1318">
        <v>77.5</v>
      </c>
      <c r="K1318">
        <v>83.9</v>
      </c>
      <c r="L1318">
        <v>73.400000000000006</v>
      </c>
      <c r="M1318">
        <v>78</v>
      </c>
      <c r="N1318">
        <v>67.900000000000006</v>
      </c>
      <c r="O1318">
        <v>72.8</v>
      </c>
      <c r="S1318">
        <f t="shared" si="203"/>
        <v>1</v>
      </c>
      <c r="T1318">
        <f t="shared" si="204"/>
        <v>1</v>
      </c>
      <c r="U1318">
        <f t="shared" si="205"/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28.9</v>
      </c>
      <c r="AC1318">
        <v>20.8</v>
      </c>
      <c r="AG1318">
        <f t="shared" si="206"/>
        <v>1</v>
      </c>
      <c r="AH1318">
        <f t="shared" si="207"/>
        <v>1</v>
      </c>
      <c r="AI1318">
        <f t="shared" si="208"/>
        <v>0</v>
      </c>
      <c r="AJ1318">
        <v>334.6</v>
      </c>
      <c r="AK1318">
        <v>1007.6</v>
      </c>
      <c r="AL1318">
        <v>40.299999999999997</v>
      </c>
      <c r="AM1318">
        <v>6.5</v>
      </c>
      <c r="AN1318">
        <v>316.8</v>
      </c>
      <c r="AO1318">
        <v>27.3</v>
      </c>
      <c r="AP1318">
        <v>10</v>
      </c>
      <c r="AQ1318">
        <v>0</v>
      </c>
      <c r="AR1318" t="s">
        <v>4449</v>
      </c>
      <c r="AS1318" t="s">
        <v>4450</v>
      </c>
      <c r="AT1318">
        <v>0.41</v>
      </c>
      <c r="AU1318" t="s">
        <v>43</v>
      </c>
      <c r="AV1318" t="s">
        <v>44</v>
      </c>
      <c r="AW1318" t="s">
        <v>45</v>
      </c>
      <c r="AX1318" t="s">
        <v>2735</v>
      </c>
      <c r="AY1318" t="s">
        <v>4451</v>
      </c>
      <c r="AZ1318">
        <v>114.99999999767169</v>
      </c>
      <c r="BA1318">
        <v>0</v>
      </c>
      <c r="BB1318">
        <v>0</v>
      </c>
      <c r="BC1318">
        <v>2</v>
      </c>
      <c r="BD1318">
        <v>0</v>
      </c>
      <c r="BE1318">
        <f t="shared" si="209"/>
        <v>1</v>
      </c>
    </row>
    <row r="1319" spans="1:57" x14ac:dyDescent="0.25">
      <c r="A1319" t="s">
        <v>39</v>
      </c>
      <c r="B1319" t="s">
        <v>4181</v>
      </c>
      <c r="C1319">
        <v>82.4</v>
      </c>
      <c r="D1319">
        <v>75.2</v>
      </c>
      <c r="G1319">
        <f t="shared" si="200"/>
        <v>0</v>
      </c>
      <c r="H1319">
        <f t="shared" si="201"/>
        <v>0</v>
      </c>
      <c r="I1319">
        <f t="shared" si="202"/>
        <v>0</v>
      </c>
      <c r="J1319">
        <v>78.8</v>
      </c>
      <c r="K1319">
        <v>86.2</v>
      </c>
      <c r="L1319">
        <v>75.2</v>
      </c>
      <c r="M1319">
        <v>80</v>
      </c>
      <c r="N1319">
        <v>66.900000000000006</v>
      </c>
      <c r="O1319">
        <v>67.400000000000006</v>
      </c>
      <c r="S1319">
        <f t="shared" si="203"/>
        <v>1</v>
      </c>
      <c r="T1319">
        <f t="shared" si="204"/>
        <v>1</v>
      </c>
      <c r="U1319">
        <f t="shared" si="205"/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27.5</v>
      </c>
      <c r="AC1319">
        <v>20.8</v>
      </c>
      <c r="AG1319">
        <f t="shared" si="206"/>
        <v>1</v>
      </c>
      <c r="AH1319">
        <f t="shared" si="207"/>
        <v>1</v>
      </c>
      <c r="AI1319">
        <f t="shared" si="208"/>
        <v>0</v>
      </c>
      <c r="AJ1319">
        <v>303.60000000000002</v>
      </c>
      <c r="AK1319">
        <v>1010.4</v>
      </c>
      <c r="AL1319">
        <v>12.8</v>
      </c>
      <c r="AM1319">
        <v>6.5</v>
      </c>
      <c r="AN1319">
        <v>315.89999999999998</v>
      </c>
      <c r="AO1319">
        <v>27.3</v>
      </c>
      <c r="AP1319">
        <v>10</v>
      </c>
      <c r="AQ1319">
        <v>0</v>
      </c>
      <c r="AR1319" t="s">
        <v>4182</v>
      </c>
      <c r="AS1319" t="s">
        <v>4183</v>
      </c>
      <c r="AT1319">
        <v>0.75</v>
      </c>
      <c r="AU1319" t="s">
        <v>74</v>
      </c>
      <c r="AV1319" t="s">
        <v>2955</v>
      </c>
      <c r="AW1319" t="s">
        <v>75</v>
      </c>
      <c r="AX1319" t="s">
        <v>4452</v>
      </c>
      <c r="AY1319" t="s">
        <v>4453</v>
      </c>
      <c r="AZ1319">
        <v>900</v>
      </c>
      <c r="BA1319">
        <v>1</v>
      </c>
      <c r="BB1319">
        <v>0</v>
      </c>
      <c r="BC1319">
        <v>50</v>
      </c>
      <c r="BD1319">
        <v>0</v>
      </c>
      <c r="BE1319">
        <f t="shared" si="209"/>
        <v>1</v>
      </c>
    </row>
    <row r="1320" spans="1:57" x14ac:dyDescent="0.25">
      <c r="A1320" t="s">
        <v>39</v>
      </c>
      <c r="B1320" t="s">
        <v>4454</v>
      </c>
      <c r="C1320">
        <v>82.4</v>
      </c>
      <c r="D1320">
        <v>66.3</v>
      </c>
      <c r="G1320">
        <f t="shared" si="200"/>
        <v>1</v>
      </c>
      <c r="H1320">
        <f t="shared" si="201"/>
        <v>1</v>
      </c>
      <c r="I1320">
        <f t="shared" si="202"/>
        <v>0</v>
      </c>
      <c r="J1320">
        <v>75.599999999999994</v>
      </c>
      <c r="K1320">
        <v>87.2</v>
      </c>
      <c r="L1320">
        <v>66.3</v>
      </c>
      <c r="M1320">
        <v>76.8</v>
      </c>
      <c r="N1320">
        <v>61.7</v>
      </c>
      <c r="O1320">
        <v>63.2</v>
      </c>
      <c r="S1320">
        <f t="shared" si="203"/>
        <v>1</v>
      </c>
      <c r="T1320">
        <f t="shared" si="204"/>
        <v>0</v>
      </c>
      <c r="U1320">
        <f t="shared" si="205"/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23</v>
      </c>
      <c r="AG1320">
        <f t="shared" si="206"/>
        <v>1</v>
      </c>
      <c r="AH1320">
        <f t="shared" si="207"/>
        <v>1</v>
      </c>
      <c r="AI1320">
        <f t="shared" si="208"/>
        <v>0</v>
      </c>
      <c r="AJ1320">
        <v>320</v>
      </c>
      <c r="AK1320">
        <v>1010.6</v>
      </c>
      <c r="AL1320">
        <v>3.5</v>
      </c>
      <c r="AM1320">
        <v>6.3</v>
      </c>
      <c r="AN1320">
        <v>279.39999999999998</v>
      </c>
      <c r="AO1320">
        <v>24.2</v>
      </c>
      <c r="AP1320">
        <v>9</v>
      </c>
      <c r="AQ1320">
        <v>0</v>
      </c>
      <c r="AR1320" t="s">
        <v>4455</v>
      </c>
      <c r="AS1320" t="s">
        <v>4456</v>
      </c>
      <c r="AT1320">
        <v>0.63</v>
      </c>
      <c r="AU1320" t="s">
        <v>74</v>
      </c>
      <c r="AV1320" t="s">
        <v>2955</v>
      </c>
      <c r="AW1320" t="s">
        <v>75</v>
      </c>
      <c r="AX1320" t="s">
        <v>2461</v>
      </c>
      <c r="AY1320" t="s">
        <v>4457</v>
      </c>
      <c r="AZ1320">
        <v>495</v>
      </c>
      <c r="BA1320">
        <v>1</v>
      </c>
      <c r="BB1320">
        <v>0</v>
      </c>
      <c r="BC1320">
        <v>40</v>
      </c>
      <c r="BD1320">
        <v>0</v>
      </c>
      <c r="BE1320">
        <f t="shared" si="209"/>
        <v>1</v>
      </c>
    </row>
    <row r="1321" spans="1:57" x14ac:dyDescent="0.25">
      <c r="A1321" t="s">
        <v>39</v>
      </c>
      <c r="B1321" t="s">
        <v>4458</v>
      </c>
      <c r="C1321">
        <v>84.2</v>
      </c>
      <c r="D1321">
        <v>66.2</v>
      </c>
      <c r="G1321">
        <f t="shared" si="200"/>
        <v>1</v>
      </c>
      <c r="H1321">
        <f t="shared" si="201"/>
        <v>1</v>
      </c>
      <c r="I1321">
        <f t="shared" si="202"/>
        <v>0</v>
      </c>
      <c r="J1321">
        <v>75.400000000000006</v>
      </c>
      <c r="K1321">
        <v>86.2</v>
      </c>
      <c r="L1321">
        <v>66.2</v>
      </c>
      <c r="M1321">
        <v>76.3</v>
      </c>
      <c r="N1321">
        <v>64.400000000000006</v>
      </c>
      <c r="O1321">
        <v>69.5</v>
      </c>
      <c r="S1321">
        <f t="shared" si="203"/>
        <v>1</v>
      </c>
      <c r="T1321">
        <f t="shared" si="204"/>
        <v>1</v>
      </c>
      <c r="U1321">
        <f t="shared" si="205"/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19.5</v>
      </c>
      <c r="AG1321">
        <f t="shared" si="206"/>
        <v>1</v>
      </c>
      <c r="AH1321">
        <f t="shared" si="207"/>
        <v>1</v>
      </c>
      <c r="AI1321">
        <f t="shared" si="208"/>
        <v>0</v>
      </c>
      <c r="AJ1321">
        <v>297.89999999999998</v>
      </c>
      <c r="AK1321">
        <v>1011.9</v>
      </c>
      <c r="AL1321">
        <v>4.5999999999999996</v>
      </c>
      <c r="AM1321">
        <v>6.3</v>
      </c>
      <c r="AN1321">
        <v>265.5</v>
      </c>
      <c r="AO1321">
        <v>22.8</v>
      </c>
      <c r="AP1321">
        <v>9</v>
      </c>
      <c r="AQ1321">
        <v>0</v>
      </c>
      <c r="AR1321" t="s">
        <v>4459</v>
      </c>
      <c r="AS1321" t="s">
        <v>4460</v>
      </c>
      <c r="AT1321">
        <v>0.73</v>
      </c>
      <c r="AU1321" t="s">
        <v>74</v>
      </c>
      <c r="AV1321" t="s">
        <v>2955</v>
      </c>
      <c r="AW1321" t="s">
        <v>75</v>
      </c>
      <c r="AX1321" t="s">
        <v>4223</v>
      </c>
      <c r="AY1321" t="s">
        <v>4461</v>
      </c>
      <c r="AZ1321">
        <v>374.99999999650748</v>
      </c>
      <c r="BA1321">
        <v>1</v>
      </c>
      <c r="BB1321">
        <v>0</v>
      </c>
      <c r="BC1321">
        <v>10</v>
      </c>
      <c r="BD1321">
        <v>0</v>
      </c>
      <c r="BE1321">
        <f t="shared" si="209"/>
        <v>1</v>
      </c>
    </row>
    <row r="1322" spans="1:57" x14ac:dyDescent="0.25">
      <c r="A1322" t="s">
        <v>39</v>
      </c>
      <c r="B1322" t="s">
        <v>4303</v>
      </c>
      <c r="C1322">
        <v>77</v>
      </c>
      <c r="D1322">
        <v>68</v>
      </c>
      <c r="G1322">
        <f t="shared" si="200"/>
        <v>1</v>
      </c>
      <c r="H1322">
        <f t="shared" si="201"/>
        <v>0</v>
      </c>
      <c r="I1322">
        <f t="shared" si="202"/>
        <v>1</v>
      </c>
      <c r="J1322">
        <v>73.2</v>
      </c>
      <c r="K1322">
        <v>77</v>
      </c>
      <c r="L1322">
        <v>68</v>
      </c>
      <c r="M1322">
        <v>73.2</v>
      </c>
      <c r="N1322">
        <v>62.9</v>
      </c>
      <c r="O1322">
        <v>70.599999999999994</v>
      </c>
      <c r="S1322">
        <f t="shared" si="203"/>
        <v>1</v>
      </c>
      <c r="T1322">
        <f t="shared" si="204"/>
        <v>1</v>
      </c>
      <c r="U1322">
        <f t="shared" si="205"/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30</v>
      </c>
      <c r="AC1322">
        <v>25.3</v>
      </c>
      <c r="AG1322">
        <f t="shared" si="206"/>
        <v>1</v>
      </c>
      <c r="AH1322">
        <f t="shared" si="207"/>
        <v>1</v>
      </c>
      <c r="AI1322">
        <f t="shared" si="208"/>
        <v>0</v>
      </c>
      <c r="AJ1322">
        <v>322.60000000000002</v>
      </c>
      <c r="AK1322">
        <v>1015.7</v>
      </c>
      <c r="AL1322">
        <v>43.4</v>
      </c>
      <c r="AM1322">
        <v>6.6</v>
      </c>
      <c r="AN1322">
        <v>245</v>
      </c>
      <c r="AO1322">
        <v>21.2</v>
      </c>
      <c r="AP1322">
        <v>8</v>
      </c>
      <c r="AQ1322">
        <v>0</v>
      </c>
      <c r="AR1322" t="s">
        <v>4304</v>
      </c>
      <c r="AS1322" t="s">
        <v>4305</v>
      </c>
      <c r="AT1322">
        <v>0.1</v>
      </c>
      <c r="AU1322" t="s">
        <v>43</v>
      </c>
      <c r="AV1322" t="s">
        <v>44</v>
      </c>
      <c r="AW1322" t="s">
        <v>45</v>
      </c>
      <c r="AX1322" t="s">
        <v>4296</v>
      </c>
      <c r="AY1322" t="s">
        <v>4462</v>
      </c>
      <c r="AZ1322">
        <v>429.99999999767169</v>
      </c>
      <c r="BA1322">
        <v>1</v>
      </c>
      <c r="BB1322">
        <v>5</v>
      </c>
      <c r="BC1322">
        <v>0</v>
      </c>
      <c r="BD1322">
        <v>0</v>
      </c>
      <c r="BE1322">
        <f t="shared" si="209"/>
        <v>1</v>
      </c>
    </row>
    <row r="1323" spans="1:57" x14ac:dyDescent="0.25">
      <c r="A1323" t="s">
        <v>39</v>
      </c>
      <c r="B1323" t="s">
        <v>4463</v>
      </c>
      <c r="C1323">
        <v>84.2</v>
      </c>
      <c r="D1323">
        <v>64.400000000000006</v>
      </c>
      <c r="G1323">
        <f t="shared" si="200"/>
        <v>1</v>
      </c>
      <c r="H1323">
        <f t="shared" si="201"/>
        <v>1</v>
      </c>
      <c r="I1323">
        <f t="shared" si="202"/>
        <v>0</v>
      </c>
      <c r="J1323">
        <v>72.8</v>
      </c>
      <c r="K1323">
        <v>84.7</v>
      </c>
      <c r="L1323">
        <v>64.400000000000006</v>
      </c>
      <c r="M1323">
        <v>73.099999999999994</v>
      </c>
      <c r="N1323">
        <v>61.9</v>
      </c>
      <c r="O1323">
        <v>70.8</v>
      </c>
      <c r="S1323">
        <f t="shared" si="203"/>
        <v>1</v>
      </c>
      <c r="T1323">
        <f t="shared" si="204"/>
        <v>1</v>
      </c>
      <c r="U1323">
        <f t="shared" si="205"/>
        <v>0</v>
      </c>
      <c r="V1323">
        <v>0.11799999999999999</v>
      </c>
      <c r="W1323">
        <v>100</v>
      </c>
      <c r="X1323">
        <v>4.17</v>
      </c>
      <c r="Y1323" t="s">
        <v>103</v>
      </c>
      <c r="Z1323">
        <v>0</v>
      </c>
      <c r="AA1323">
        <v>0</v>
      </c>
      <c r="AB1323">
        <v>23</v>
      </c>
      <c r="AC1323">
        <v>17.2</v>
      </c>
      <c r="AG1323">
        <f t="shared" si="206"/>
        <v>0</v>
      </c>
      <c r="AH1323">
        <f t="shared" si="207"/>
        <v>0</v>
      </c>
      <c r="AI1323">
        <f t="shared" si="208"/>
        <v>0</v>
      </c>
      <c r="AJ1323">
        <v>165.1</v>
      </c>
      <c r="AK1323">
        <v>1011.8</v>
      </c>
      <c r="AL1323">
        <v>51</v>
      </c>
      <c r="AM1323">
        <v>6.5</v>
      </c>
      <c r="AN1323">
        <v>202.9</v>
      </c>
      <c r="AO1323">
        <v>17.5</v>
      </c>
      <c r="AP1323">
        <v>7</v>
      </c>
      <c r="AQ1323">
        <v>0</v>
      </c>
      <c r="AR1323" t="s">
        <v>4464</v>
      </c>
      <c r="AS1323" t="s">
        <v>4465</v>
      </c>
      <c r="AT1323">
        <v>0.37</v>
      </c>
      <c r="AU1323" t="s">
        <v>106</v>
      </c>
      <c r="AV1323" t="s">
        <v>4466</v>
      </c>
      <c r="AW1323" t="s">
        <v>103</v>
      </c>
      <c r="AX1323" t="s">
        <v>2670</v>
      </c>
      <c r="AY1323" t="s">
        <v>4467</v>
      </c>
      <c r="AZ1323">
        <v>289.99999999185093</v>
      </c>
      <c r="BA1323">
        <v>0</v>
      </c>
      <c r="BB1323">
        <v>0</v>
      </c>
      <c r="BC1323">
        <v>30</v>
      </c>
      <c r="BD1323">
        <v>0</v>
      </c>
      <c r="BE1323">
        <f t="shared" si="209"/>
        <v>0</v>
      </c>
    </row>
    <row r="1324" spans="1:57" x14ac:dyDescent="0.25">
      <c r="A1324" t="s">
        <v>39</v>
      </c>
      <c r="B1324" t="s">
        <v>4468</v>
      </c>
      <c r="C1324">
        <v>75.2</v>
      </c>
      <c r="D1324">
        <v>59</v>
      </c>
      <c r="G1324">
        <f t="shared" si="200"/>
        <v>0</v>
      </c>
      <c r="H1324">
        <f t="shared" si="201"/>
        <v>0</v>
      </c>
      <c r="I1324">
        <f t="shared" si="202"/>
        <v>0</v>
      </c>
      <c r="J1324">
        <v>66.599999999999994</v>
      </c>
      <c r="K1324">
        <v>75.2</v>
      </c>
      <c r="L1324">
        <v>59</v>
      </c>
      <c r="M1324">
        <v>66.599999999999994</v>
      </c>
      <c r="N1324">
        <v>57.1</v>
      </c>
      <c r="O1324">
        <v>72.900000000000006</v>
      </c>
      <c r="S1324">
        <f t="shared" si="203"/>
        <v>1</v>
      </c>
      <c r="T1324">
        <f t="shared" si="204"/>
        <v>1</v>
      </c>
      <c r="U1324">
        <f t="shared" si="205"/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9.1999999999999993</v>
      </c>
      <c r="AG1324">
        <f t="shared" si="206"/>
        <v>1</v>
      </c>
      <c r="AH1324">
        <f t="shared" si="207"/>
        <v>0</v>
      </c>
      <c r="AI1324">
        <f t="shared" si="208"/>
        <v>1</v>
      </c>
      <c r="AJ1324">
        <v>188.3</v>
      </c>
      <c r="AK1324">
        <v>1015.7</v>
      </c>
      <c r="AL1324">
        <v>37.799999999999997</v>
      </c>
      <c r="AM1324">
        <v>6.4</v>
      </c>
      <c r="AN1324">
        <v>208.2</v>
      </c>
      <c r="AO1324">
        <v>17.8</v>
      </c>
      <c r="AP1324">
        <v>7</v>
      </c>
      <c r="AQ1324">
        <v>0</v>
      </c>
      <c r="AR1324" t="s">
        <v>4469</v>
      </c>
      <c r="AS1324" t="s">
        <v>4470</v>
      </c>
      <c r="AT1324">
        <v>0.57999999999999996</v>
      </c>
      <c r="AU1324" t="s">
        <v>43</v>
      </c>
      <c r="AV1324" t="s">
        <v>44</v>
      </c>
      <c r="AW1324" t="s">
        <v>45</v>
      </c>
      <c r="AX1324" t="s">
        <v>2567</v>
      </c>
      <c r="AY1324" t="s">
        <v>4471</v>
      </c>
      <c r="AZ1324">
        <v>220.00000000465661</v>
      </c>
      <c r="BA1324">
        <v>0</v>
      </c>
      <c r="BB1324">
        <v>2</v>
      </c>
      <c r="BC1324">
        <v>0</v>
      </c>
      <c r="BD1324">
        <v>0</v>
      </c>
      <c r="BE1324">
        <f t="shared" si="209"/>
        <v>0</v>
      </c>
    </row>
    <row r="1325" spans="1:57" x14ac:dyDescent="0.25">
      <c r="A1325" t="s">
        <v>39</v>
      </c>
      <c r="B1325" t="s">
        <v>4472</v>
      </c>
      <c r="C1325">
        <v>86</v>
      </c>
      <c r="D1325">
        <v>77</v>
      </c>
      <c r="G1325">
        <f t="shared" si="200"/>
        <v>1</v>
      </c>
      <c r="H1325">
        <f t="shared" si="201"/>
        <v>1</v>
      </c>
      <c r="I1325">
        <f t="shared" si="202"/>
        <v>0</v>
      </c>
      <c r="J1325">
        <v>81.2</v>
      </c>
      <c r="K1325">
        <v>89.4</v>
      </c>
      <c r="L1325">
        <v>77</v>
      </c>
      <c r="M1325">
        <v>83.3</v>
      </c>
      <c r="N1325">
        <v>69.400000000000006</v>
      </c>
      <c r="O1325">
        <v>67.7</v>
      </c>
      <c r="S1325">
        <f t="shared" si="203"/>
        <v>1</v>
      </c>
      <c r="T1325">
        <f t="shared" si="204"/>
        <v>1</v>
      </c>
      <c r="U1325">
        <f t="shared" si="205"/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25.3</v>
      </c>
      <c r="AG1325">
        <f t="shared" si="206"/>
        <v>1</v>
      </c>
      <c r="AH1325">
        <f t="shared" si="207"/>
        <v>1</v>
      </c>
      <c r="AI1325">
        <f t="shared" si="208"/>
        <v>0</v>
      </c>
      <c r="AJ1325">
        <v>303.3</v>
      </c>
      <c r="AK1325">
        <v>1009.5</v>
      </c>
      <c r="AL1325">
        <v>5.9</v>
      </c>
      <c r="AM1325">
        <v>6.3</v>
      </c>
      <c r="AN1325">
        <v>355.1</v>
      </c>
      <c r="AO1325">
        <v>30.8</v>
      </c>
      <c r="AP1325">
        <v>10</v>
      </c>
      <c r="AQ1325">
        <v>0</v>
      </c>
      <c r="AR1325" t="s">
        <v>4473</v>
      </c>
      <c r="AS1325" t="s">
        <v>4474</v>
      </c>
      <c r="AT1325">
        <v>0.47</v>
      </c>
      <c r="AU1325" t="s">
        <v>74</v>
      </c>
      <c r="AV1325" t="s">
        <v>2955</v>
      </c>
      <c r="AW1325" t="s">
        <v>75</v>
      </c>
      <c r="AX1325" t="s">
        <v>4175</v>
      </c>
      <c r="AY1325" t="s">
        <v>4475</v>
      </c>
      <c r="AZ1325">
        <v>4090.0000000046571</v>
      </c>
      <c r="BA1325">
        <v>1</v>
      </c>
      <c r="BB1325">
        <v>0</v>
      </c>
      <c r="BC1325">
        <v>300</v>
      </c>
      <c r="BD1325">
        <v>0</v>
      </c>
      <c r="BE1325">
        <f t="shared" si="209"/>
        <v>1</v>
      </c>
    </row>
    <row r="1326" spans="1:57" x14ac:dyDescent="0.25">
      <c r="A1326" t="s">
        <v>39</v>
      </c>
      <c r="B1326" t="s">
        <v>4476</v>
      </c>
      <c r="C1326">
        <v>87.8</v>
      </c>
      <c r="D1326">
        <v>71.599999999999994</v>
      </c>
      <c r="G1326">
        <f t="shared" si="200"/>
        <v>1</v>
      </c>
      <c r="H1326">
        <f t="shared" si="201"/>
        <v>1</v>
      </c>
      <c r="I1326">
        <f t="shared" si="202"/>
        <v>0</v>
      </c>
      <c r="J1326">
        <v>80.5</v>
      </c>
      <c r="K1326">
        <v>95.9</v>
      </c>
      <c r="L1326">
        <v>71.599999999999994</v>
      </c>
      <c r="M1326">
        <v>83.8</v>
      </c>
      <c r="N1326">
        <v>69</v>
      </c>
      <c r="O1326">
        <v>68.599999999999994</v>
      </c>
      <c r="S1326">
        <f t="shared" si="203"/>
        <v>1</v>
      </c>
      <c r="T1326">
        <f t="shared" si="204"/>
        <v>1</v>
      </c>
      <c r="U1326">
        <f t="shared" si="205"/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19.5</v>
      </c>
      <c r="AG1326">
        <f t="shared" si="206"/>
        <v>1</v>
      </c>
      <c r="AH1326">
        <f t="shared" si="207"/>
        <v>1</v>
      </c>
      <c r="AI1326">
        <f t="shared" si="208"/>
        <v>0</v>
      </c>
      <c r="AJ1326">
        <v>306.39999999999998</v>
      </c>
      <c r="AK1326">
        <v>1005.8</v>
      </c>
      <c r="AL1326">
        <v>0</v>
      </c>
      <c r="AM1326">
        <v>6.2</v>
      </c>
      <c r="AN1326">
        <v>352.8</v>
      </c>
      <c r="AO1326">
        <v>30.5</v>
      </c>
      <c r="AP1326">
        <v>10</v>
      </c>
      <c r="AQ1326">
        <v>0</v>
      </c>
      <c r="AR1326" t="s">
        <v>4477</v>
      </c>
      <c r="AS1326" t="s">
        <v>4478</v>
      </c>
      <c r="AT1326">
        <v>0.63</v>
      </c>
      <c r="AU1326" t="s">
        <v>74</v>
      </c>
      <c r="AV1326" t="s">
        <v>2955</v>
      </c>
      <c r="AW1326" t="s">
        <v>75</v>
      </c>
      <c r="AX1326" t="s">
        <v>2670</v>
      </c>
      <c r="AY1326" t="s">
        <v>4479</v>
      </c>
      <c r="AZ1326">
        <v>479.99999999301508</v>
      </c>
      <c r="BA1326">
        <v>1</v>
      </c>
      <c r="BB1326">
        <v>0</v>
      </c>
      <c r="BC1326">
        <v>2</v>
      </c>
      <c r="BD1326">
        <v>0</v>
      </c>
      <c r="BE1326">
        <f t="shared" si="209"/>
        <v>1</v>
      </c>
    </row>
    <row r="1327" spans="1:57" x14ac:dyDescent="0.25">
      <c r="A1327" t="s">
        <v>39</v>
      </c>
      <c r="B1327" t="s">
        <v>4480</v>
      </c>
      <c r="C1327">
        <v>86</v>
      </c>
      <c r="D1327">
        <v>69.8</v>
      </c>
      <c r="G1327">
        <f t="shared" si="200"/>
        <v>1</v>
      </c>
      <c r="H1327">
        <f t="shared" si="201"/>
        <v>1</v>
      </c>
      <c r="I1327">
        <f t="shared" si="202"/>
        <v>0</v>
      </c>
      <c r="J1327">
        <v>79.099999999999994</v>
      </c>
      <c r="K1327">
        <v>90.6</v>
      </c>
      <c r="L1327">
        <v>69.8</v>
      </c>
      <c r="M1327">
        <v>81.099999999999994</v>
      </c>
      <c r="N1327">
        <v>64.5</v>
      </c>
      <c r="O1327">
        <v>61.5</v>
      </c>
      <c r="S1327">
        <f t="shared" si="203"/>
        <v>0</v>
      </c>
      <c r="T1327">
        <f t="shared" si="204"/>
        <v>0</v>
      </c>
      <c r="U1327">
        <f t="shared" si="205"/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11.4</v>
      </c>
      <c r="AG1327">
        <f t="shared" si="206"/>
        <v>1</v>
      </c>
      <c r="AH1327">
        <f t="shared" si="207"/>
        <v>0</v>
      </c>
      <c r="AI1327">
        <f t="shared" si="208"/>
        <v>1</v>
      </c>
      <c r="AJ1327">
        <v>322.7</v>
      </c>
      <c r="AK1327">
        <v>1011.8</v>
      </c>
      <c r="AL1327">
        <v>1.2</v>
      </c>
      <c r="AM1327">
        <v>6.2</v>
      </c>
      <c r="AN1327">
        <v>341.4</v>
      </c>
      <c r="AO1327">
        <v>29.4</v>
      </c>
      <c r="AP1327">
        <v>10</v>
      </c>
      <c r="AQ1327">
        <v>0</v>
      </c>
      <c r="AR1327" t="s">
        <v>4481</v>
      </c>
      <c r="AS1327" t="s">
        <v>4482</v>
      </c>
      <c r="AT1327">
        <v>0.92</v>
      </c>
      <c r="AU1327" t="s">
        <v>74</v>
      </c>
      <c r="AV1327" t="s">
        <v>2955</v>
      </c>
      <c r="AW1327" t="s">
        <v>75</v>
      </c>
      <c r="AX1327" t="s">
        <v>4483</v>
      </c>
      <c r="AY1327" t="s">
        <v>4484</v>
      </c>
      <c r="AZ1327">
        <v>15028.99999999674</v>
      </c>
      <c r="BA1327">
        <v>1</v>
      </c>
      <c r="BB1327">
        <v>0</v>
      </c>
      <c r="BC1327">
        <v>2000</v>
      </c>
      <c r="BD1327">
        <v>0</v>
      </c>
      <c r="BE1327">
        <f t="shared" si="209"/>
        <v>1</v>
      </c>
    </row>
    <row r="1328" spans="1:57" x14ac:dyDescent="0.25">
      <c r="A1328" t="s">
        <v>39</v>
      </c>
      <c r="B1328" t="s">
        <v>4485</v>
      </c>
      <c r="C1328">
        <v>84.2</v>
      </c>
      <c r="D1328">
        <v>77</v>
      </c>
      <c r="G1328">
        <f t="shared" si="200"/>
        <v>0</v>
      </c>
      <c r="H1328">
        <f t="shared" si="201"/>
        <v>0</v>
      </c>
      <c r="I1328">
        <f t="shared" si="202"/>
        <v>0</v>
      </c>
      <c r="J1328">
        <v>80.3</v>
      </c>
      <c r="K1328">
        <v>87.4</v>
      </c>
      <c r="L1328">
        <v>77</v>
      </c>
      <c r="M1328">
        <v>82</v>
      </c>
      <c r="N1328">
        <v>68.099999999999994</v>
      </c>
      <c r="O1328">
        <v>67</v>
      </c>
      <c r="S1328">
        <f t="shared" si="203"/>
        <v>1</v>
      </c>
      <c r="T1328">
        <f t="shared" si="204"/>
        <v>1</v>
      </c>
      <c r="U1328">
        <f t="shared" si="205"/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25.3</v>
      </c>
      <c r="AC1328">
        <v>23</v>
      </c>
      <c r="AG1328">
        <f t="shared" si="206"/>
        <v>1</v>
      </c>
      <c r="AH1328">
        <f t="shared" si="207"/>
        <v>1</v>
      </c>
      <c r="AI1328">
        <f t="shared" si="208"/>
        <v>0</v>
      </c>
      <c r="AJ1328">
        <v>305.7</v>
      </c>
      <c r="AK1328">
        <v>1010.3</v>
      </c>
      <c r="AL1328">
        <v>19.8</v>
      </c>
      <c r="AM1328">
        <v>6.5</v>
      </c>
      <c r="AN1328">
        <v>333.7</v>
      </c>
      <c r="AO1328">
        <v>28.8</v>
      </c>
      <c r="AP1328">
        <v>10</v>
      </c>
      <c r="AQ1328">
        <v>0</v>
      </c>
      <c r="AR1328" t="s">
        <v>4486</v>
      </c>
      <c r="AS1328" t="s">
        <v>4487</v>
      </c>
      <c r="AT1328">
        <v>0.27</v>
      </c>
      <c r="AU1328" t="s">
        <v>74</v>
      </c>
      <c r="AV1328" t="s">
        <v>2955</v>
      </c>
      <c r="AW1328" t="s">
        <v>75</v>
      </c>
      <c r="AX1328" t="s">
        <v>2670</v>
      </c>
      <c r="AY1328" t="s">
        <v>4488</v>
      </c>
      <c r="AZ1328">
        <v>1049.999999996508</v>
      </c>
      <c r="BA1328">
        <v>1</v>
      </c>
      <c r="BB1328">
        <v>0</v>
      </c>
      <c r="BC1328">
        <v>20</v>
      </c>
      <c r="BD1328">
        <v>0</v>
      </c>
      <c r="BE1328">
        <f t="shared" si="209"/>
        <v>1</v>
      </c>
    </row>
    <row r="1329" spans="1:57" x14ac:dyDescent="0.25">
      <c r="A1329" t="s">
        <v>39</v>
      </c>
      <c r="B1329" t="s">
        <v>4489</v>
      </c>
      <c r="C1329">
        <v>86</v>
      </c>
      <c r="D1329">
        <v>69.8</v>
      </c>
      <c r="G1329">
        <f t="shared" si="200"/>
        <v>1</v>
      </c>
      <c r="H1329">
        <f t="shared" si="201"/>
        <v>1</v>
      </c>
      <c r="I1329">
        <f t="shared" si="202"/>
        <v>0</v>
      </c>
      <c r="J1329">
        <v>79.099999999999994</v>
      </c>
      <c r="K1329">
        <v>90.6</v>
      </c>
      <c r="L1329">
        <v>69.8</v>
      </c>
      <c r="M1329">
        <v>81.2</v>
      </c>
      <c r="N1329">
        <v>67.2</v>
      </c>
      <c r="O1329">
        <v>67.5</v>
      </c>
      <c r="S1329">
        <f t="shared" si="203"/>
        <v>1</v>
      </c>
      <c r="T1329">
        <f t="shared" si="204"/>
        <v>1</v>
      </c>
      <c r="U1329">
        <f t="shared" si="205"/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17.2</v>
      </c>
      <c r="AG1329">
        <f t="shared" si="206"/>
        <v>0</v>
      </c>
      <c r="AH1329">
        <f t="shared" si="207"/>
        <v>0</v>
      </c>
      <c r="AI1329">
        <f t="shared" si="208"/>
        <v>0</v>
      </c>
      <c r="AJ1329">
        <v>316.89999999999998</v>
      </c>
      <c r="AK1329">
        <v>1009.9</v>
      </c>
      <c r="AL1329">
        <v>0.1</v>
      </c>
      <c r="AM1329">
        <v>6.2</v>
      </c>
      <c r="AN1329">
        <v>322.39999999999998</v>
      </c>
      <c r="AO1329">
        <v>27.8</v>
      </c>
      <c r="AP1329">
        <v>10</v>
      </c>
      <c r="AQ1329">
        <v>0</v>
      </c>
      <c r="AR1329" t="s">
        <v>4490</v>
      </c>
      <c r="AS1329" t="s">
        <v>4491</v>
      </c>
      <c r="AT1329">
        <v>0.57999999999999996</v>
      </c>
      <c r="AU1329" t="s">
        <v>74</v>
      </c>
      <c r="AV1329" t="s">
        <v>2955</v>
      </c>
      <c r="AW1329" t="s">
        <v>75</v>
      </c>
      <c r="AX1329" t="s">
        <v>4492</v>
      </c>
      <c r="AY1329" t="s">
        <v>4493</v>
      </c>
      <c r="AZ1329">
        <v>53.999999997904517</v>
      </c>
      <c r="BA1329">
        <v>0</v>
      </c>
      <c r="BB1329">
        <v>0</v>
      </c>
      <c r="BC1329">
        <v>0.5</v>
      </c>
      <c r="BD1329">
        <v>0</v>
      </c>
      <c r="BE1329">
        <f t="shared" si="209"/>
        <v>0</v>
      </c>
    </row>
    <row r="1330" spans="1:57" x14ac:dyDescent="0.25">
      <c r="A1330" t="s">
        <v>39</v>
      </c>
      <c r="B1330" t="s">
        <v>4494</v>
      </c>
      <c r="C1330">
        <v>66.3</v>
      </c>
      <c r="D1330">
        <v>50</v>
      </c>
      <c r="G1330">
        <f t="shared" si="200"/>
        <v>1</v>
      </c>
      <c r="H1330">
        <f t="shared" si="201"/>
        <v>0</v>
      </c>
      <c r="I1330">
        <f t="shared" si="202"/>
        <v>1</v>
      </c>
      <c r="J1330">
        <v>58.5</v>
      </c>
      <c r="K1330">
        <v>66.3</v>
      </c>
      <c r="L1330">
        <v>50</v>
      </c>
      <c r="M1330">
        <v>58.5</v>
      </c>
      <c r="N1330">
        <v>47.9</v>
      </c>
      <c r="O1330">
        <v>68.7</v>
      </c>
      <c r="S1330">
        <f t="shared" si="203"/>
        <v>0</v>
      </c>
      <c r="T1330">
        <f t="shared" si="204"/>
        <v>0</v>
      </c>
      <c r="U1330">
        <f t="shared" si="205"/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9.1999999999999993</v>
      </c>
      <c r="AG1330">
        <f t="shared" si="206"/>
        <v>1</v>
      </c>
      <c r="AH1330">
        <f t="shared" si="207"/>
        <v>0</v>
      </c>
      <c r="AI1330">
        <f t="shared" si="208"/>
        <v>1</v>
      </c>
      <c r="AJ1330">
        <v>254.2</v>
      </c>
      <c r="AK1330">
        <v>1024.5</v>
      </c>
      <c r="AL1330">
        <v>19.7</v>
      </c>
      <c r="AM1330">
        <v>6.5</v>
      </c>
      <c r="AN1330">
        <v>218.3</v>
      </c>
      <c r="AO1330">
        <v>18.899999999999999</v>
      </c>
      <c r="AP1330">
        <v>8</v>
      </c>
      <c r="AQ1330">
        <v>0</v>
      </c>
      <c r="AR1330" t="s">
        <v>4495</v>
      </c>
      <c r="AS1330" t="s">
        <v>4496</v>
      </c>
      <c r="AT1330">
        <v>0.75</v>
      </c>
      <c r="AU1330" t="s">
        <v>74</v>
      </c>
      <c r="AV1330" t="s">
        <v>2955</v>
      </c>
      <c r="AW1330" t="s">
        <v>75</v>
      </c>
      <c r="AX1330" t="s">
        <v>4175</v>
      </c>
      <c r="AY1330" t="s">
        <v>4497</v>
      </c>
      <c r="AZ1330">
        <v>95.000000005820766</v>
      </c>
      <c r="BA1330">
        <v>0</v>
      </c>
      <c r="BB1330">
        <v>0</v>
      </c>
      <c r="BC1330">
        <v>1.5</v>
      </c>
      <c r="BD1330">
        <v>0</v>
      </c>
      <c r="BE1330">
        <f t="shared" si="209"/>
        <v>0</v>
      </c>
    </row>
    <row r="1331" spans="1:57" x14ac:dyDescent="0.25">
      <c r="A1331" t="s">
        <v>39</v>
      </c>
      <c r="B1331" t="s">
        <v>4498</v>
      </c>
      <c r="C1331">
        <v>57.3</v>
      </c>
      <c r="D1331">
        <v>55.4</v>
      </c>
      <c r="G1331">
        <f t="shared" si="200"/>
        <v>1</v>
      </c>
      <c r="H1331">
        <f t="shared" si="201"/>
        <v>0</v>
      </c>
      <c r="I1331">
        <f t="shared" si="202"/>
        <v>1</v>
      </c>
      <c r="J1331">
        <v>56.1</v>
      </c>
      <c r="K1331">
        <v>57.3</v>
      </c>
      <c r="L1331">
        <v>55.4</v>
      </c>
      <c r="M1331">
        <v>56.1</v>
      </c>
      <c r="N1331">
        <v>42.9</v>
      </c>
      <c r="O1331">
        <v>61.3</v>
      </c>
      <c r="S1331">
        <f t="shared" si="203"/>
        <v>1</v>
      </c>
      <c r="T1331">
        <f t="shared" si="204"/>
        <v>0</v>
      </c>
      <c r="U1331">
        <f t="shared" si="205"/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27.5</v>
      </c>
      <c r="AC1331">
        <v>25.3</v>
      </c>
      <c r="AG1331">
        <f t="shared" si="206"/>
        <v>1</v>
      </c>
      <c r="AH1331">
        <f t="shared" si="207"/>
        <v>1</v>
      </c>
      <c r="AI1331">
        <f t="shared" si="208"/>
        <v>0</v>
      </c>
      <c r="AJ1331">
        <v>331.8</v>
      </c>
      <c r="AK1331">
        <v>1023.2</v>
      </c>
      <c r="AL1331">
        <v>84.3</v>
      </c>
      <c r="AM1331">
        <v>6.6</v>
      </c>
      <c r="AN1331">
        <v>122.9</v>
      </c>
      <c r="AO1331">
        <v>10.6</v>
      </c>
      <c r="AP1331">
        <v>4</v>
      </c>
      <c r="AQ1331">
        <v>0</v>
      </c>
      <c r="AR1331" t="s">
        <v>4499</v>
      </c>
      <c r="AS1331" t="s">
        <v>4500</v>
      </c>
      <c r="AT1331">
        <v>7.0000000000000007E-2</v>
      </c>
      <c r="AU1331" t="s">
        <v>43</v>
      </c>
      <c r="AV1331" t="s">
        <v>44</v>
      </c>
      <c r="AW1331" t="s">
        <v>45</v>
      </c>
      <c r="AX1331" t="s">
        <v>4143</v>
      </c>
      <c r="AY1331" t="s">
        <v>4501</v>
      </c>
      <c r="AZ1331">
        <v>45</v>
      </c>
      <c r="BA1331">
        <v>0</v>
      </c>
      <c r="BB1331">
        <v>0</v>
      </c>
      <c r="BC1331">
        <v>0.1</v>
      </c>
      <c r="BD1331">
        <v>0</v>
      </c>
      <c r="BE1331">
        <f t="shared" si="209"/>
        <v>1</v>
      </c>
    </row>
    <row r="1332" spans="1:57" x14ac:dyDescent="0.25">
      <c r="A1332" t="s">
        <v>39</v>
      </c>
      <c r="B1332" t="s">
        <v>4116</v>
      </c>
      <c r="C1332">
        <v>86</v>
      </c>
      <c r="D1332">
        <v>77</v>
      </c>
      <c r="G1332">
        <f t="shared" si="200"/>
        <v>1</v>
      </c>
      <c r="H1332">
        <f t="shared" si="201"/>
        <v>1</v>
      </c>
      <c r="I1332">
        <f t="shared" si="202"/>
        <v>0</v>
      </c>
      <c r="J1332">
        <v>81.3</v>
      </c>
      <c r="K1332">
        <v>92</v>
      </c>
      <c r="L1332">
        <v>77</v>
      </c>
      <c r="M1332">
        <v>83.6</v>
      </c>
      <c r="N1332">
        <v>69.7</v>
      </c>
      <c r="O1332">
        <v>68.2</v>
      </c>
      <c r="S1332">
        <f t="shared" si="203"/>
        <v>1</v>
      </c>
      <c r="T1332">
        <f t="shared" si="204"/>
        <v>1</v>
      </c>
      <c r="U1332">
        <f t="shared" si="205"/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27.5</v>
      </c>
      <c r="AC1332">
        <v>19.5</v>
      </c>
      <c r="AG1332">
        <f t="shared" si="206"/>
        <v>1</v>
      </c>
      <c r="AH1332">
        <f t="shared" si="207"/>
        <v>1</v>
      </c>
      <c r="AI1332">
        <f t="shared" si="208"/>
        <v>0</v>
      </c>
      <c r="AJ1332">
        <v>308.3</v>
      </c>
      <c r="AK1332">
        <v>1010.3</v>
      </c>
      <c r="AL1332">
        <v>21</v>
      </c>
      <c r="AM1332">
        <v>6.4</v>
      </c>
      <c r="AN1332">
        <v>336.7</v>
      </c>
      <c r="AO1332">
        <v>29</v>
      </c>
      <c r="AP1332">
        <v>10</v>
      </c>
      <c r="AQ1332">
        <v>0</v>
      </c>
      <c r="AR1332" t="s">
        <v>4117</v>
      </c>
      <c r="AS1332" t="s">
        <v>4118</v>
      </c>
      <c r="AT1332">
        <v>0.16</v>
      </c>
      <c r="AU1332" t="s">
        <v>43</v>
      </c>
      <c r="AV1332" t="s">
        <v>44</v>
      </c>
      <c r="AW1332" t="s">
        <v>45</v>
      </c>
      <c r="AX1332" t="s">
        <v>4502</v>
      </c>
      <c r="AY1332" t="s">
        <v>4503</v>
      </c>
      <c r="AZ1332">
        <v>538.99999999674037</v>
      </c>
      <c r="BA1332">
        <v>1</v>
      </c>
      <c r="BB1332">
        <v>0</v>
      </c>
      <c r="BC1332">
        <v>3</v>
      </c>
      <c r="BD1332">
        <v>0</v>
      </c>
      <c r="BE1332">
        <f t="shared" si="209"/>
        <v>1</v>
      </c>
    </row>
    <row r="1333" spans="1:57" x14ac:dyDescent="0.25">
      <c r="A1333" t="s">
        <v>39</v>
      </c>
      <c r="B1333" t="s">
        <v>4433</v>
      </c>
      <c r="C1333">
        <v>82.4</v>
      </c>
      <c r="D1333">
        <v>75.2</v>
      </c>
      <c r="G1333">
        <f t="shared" si="200"/>
        <v>1</v>
      </c>
      <c r="H1333">
        <f t="shared" si="201"/>
        <v>1</v>
      </c>
      <c r="I1333">
        <f t="shared" si="202"/>
        <v>0</v>
      </c>
      <c r="J1333">
        <v>78.400000000000006</v>
      </c>
      <c r="K1333">
        <v>86.2</v>
      </c>
      <c r="L1333">
        <v>75.2</v>
      </c>
      <c r="M1333">
        <v>79.3</v>
      </c>
      <c r="N1333">
        <v>67.7</v>
      </c>
      <c r="O1333">
        <v>70.3</v>
      </c>
      <c r="S1333">
        <f t="shared" si="203"/>
        <v>1</v>
      </c>
      <c r="T1333">
        <f t="shared" si="204"/>
        <v>1</v>
      </c>
      <c r="U1333">
        <f t="shared" si="205"/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20.8</v>
      </c>
      <c r="AG1333">
        <f t="shared" si="206"/>
        <v>1</v>
      </c>
      <c r="AH1333">
        <f t="shared" si="207"/>
        <v>1</v>
      </c>
      <c r="AI1333">
        <f t="shared" si="208"/>
        <v>0</v>
      </c>
      <c r="AJ1333">
        <v>313.10000000000002</v>
      </c>
      <c r="AK1333">
        <v>1014.4</v>
      </c>
      <c r="AL1333">
        <v>2.2999999999999998</v>
      </c>
      <c r="AM1333">
        <v>6.2</v>
      </c>
      <c r="AN1333">
        <v>284</v>
      </c>
      <c r="AO1333">
        <v>24.6</v>
      </c>
      <c r="AP1333">
        <v>9</v>
      </c>
      <c r="AQ1333">
        <v>0</v>
      </c>
      <c r="AR1333" t="s">
        <v>4434</v>
      </c>
      <c r="AS1333" t="s">
        <v>4435</v>
      </c>
      <c r="AT1333">
        <v>0.46</v>
      </c>
      <c r="AU1333" t="s">
        <v>74</v>
      </c>
      <c r="AV1333" t="s">
        <v>2955</v>
      </c>
      <c r="AW1333" t="s">
        <v>75</v>
      </c>
      <c r="AX1333" t="s">
        <v>2452</v>
      </c>
      <c r="AY1333" t="s">
        <v>4504</v>
      </c>
      <c r="AZ1333">
        <v>334.99999999185093</v>
      </c>
      <c r="BA1333">
        <v>0</v>
      </c>
      <c r="BB1333">
        <v>0</v>
      </c>
      <c r="BC1333">
        <v>3</v>
      </c>
      <c r="BD1333">
        <v>0</v>
      </c>
      <c r="BE1333">
        <f t="shared" si="209"/>
        <v>1</v>
      </c>
    </row>
    <row r="1334" spans="1:57" x14ac:dyDescent="0.25">
      <c r="A1334" t="s">
        <v>39</v>
      </c>
      <c r="B1334" t="s">
        <v>4489</v>
      </c>
      <c r="C1334">
        <v>86</v>
      </c>
      <c r="D1334">
        <v>69.8</v>
      </c>
      <c r="G1334">
        <f t="shared" si="200"/>
        <v>1</v>
      </c>
      <c r="H1334">
        <f t="shared" si="201"/>
        <v>1</v>
      </c>
      <c r="I1334">
        <f t="shared" si="202"/>
        <v>0</v>
      </c>
      <c r="J1334">
        <v>79.099999999999994</v>
      </c>
      <c r="K1334">
        <v>90.6</v>
      </c>
      <c r="L1334">
        <v>69.8</v>
      </c>
      <c r="M1334">
        <v>81.2</v>
      </c>
      <c r="N1334">
        <v>67.2</v>
      </c>
      <c r="O1334">
        <v>67.5</v>
      </c>
      <c r="S1334">
        <f t="shared" si="203"/>
        <v>1</v>
      </c>
      <c r="T1334">
        <f t="shared" si="204"/>
        <v>1</v>
      </c>
      <c r="U1334">
        <f t="shared" si="205"/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17.2</v>
      </c>
      <c r="AG1334">
        <f t="shared" si="206"/>
        <v>0</v>
      </c>
      <c r="AH1334">
        <f t="shared" si="207"/>
        <v>0</v>
      </c>
      <c r="AI1334">
        <f t="shared" si="208"/>
        <v>0</v>
      </c>
      <c r="AJ1334">
        <v>316.89999999999998</v>
      </c>
      <c r="AK1334">
        <v>1009.9</v>
      </c>
      <c r="AL1334">
        <v>0.1</v>
      </c>
      <c r="AM1334">
        <v>6.2</v>
      </c>
      <c r="AN1334">
        <v>322.39999999999998</v>
      </c>
      <c r="AO1334">
        <v>27.8</v>
      </c>
      <c r="AP1334">
        <v>10</v>
      </c>
      <c r="AQ1334">
        <v>0</v>
      </c>
      <c r="AR1334" t="s">
        <v>4490</v>
      </c>
      <c r="AS1334" t="s">
        <v>4491</v>
      </c>
      <c r="AT1334">
        <v>0.57999999999999996</v>
      </c>
      <c r="AU1334" t="s">
        <v>74</v>
      </c>
      <c r="AV1334" t="s">
        <v>2955</v>
      </c>
      <c r="AW1334" t="s">
        <v>75</v>
      </c>
      <c r="AX1334" t="s">
        <v>2670</v>
      </c>
      <c r="AY1334" t="s">
        <v>4505</v>
      </c>
      <c r="AZ1334">
        <v>349.99999999883579</v>
      </c>
      <c r="BA1334">
        <v>0</v>
      </c>
      <c r="BB1334">
        <v>0</v>
      </c>
      <c r="BC1334">
        <v>10</v>
      </c>
      <c r="BD1334">
        <v>0</v>
      </c>
      <c r="BE1334">
        <f t="shared" si="209"/>
        <v>0</v>
      </c>
    </row>
    <row r="1335" spans="1:57" x14ac:dyDescent="0.25">
      <c r="A1335" t="s">
        <v>39</v>
      </c>
      <c r="B1335" t="s">
        <v>4506</v>
      </c>
      <c r="C1335">
        <v>80.599999999999994</v>
      </c>
      <c r="D1335">
        <v>64.400000000000006</v>
      </c>
      <c r="G1335">
        <f t="shared" si="200"/>
        <v>1</v>
      </c>
      <c r="H1335">
        <f t="shared" si="201"/>
        <v>1</v>
      </c>
      <c r="I1335">
        <f t="shared" si="202"/>
        <v>0</v>
      </c>
      <c r="J1335">
        <v>71.8</v>
      </c>
      <c r="K1335">
        <v>82.3</v>
      </c>
      <c r="L1335">
        <v>64.400000000000006</v>
      </c>
      <c r="M1335">
        <v>71.900000000000006</v>
      </c>
      <c r="N1335">
        <v>59.7</v>
      </c>
      <c r="O1335">
        <v>66.099999999999994</v>
      </c>
      <c r="S1335">
        <f t="shared" si="203"/>
        <v>0</v>
      </c>
      <c r="T1335">
        <f t="shared" si="204"/>
        <v>0</v>
      </c>
      <c r="U1335">
        <f t="shared" si="205"/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12.8</v>
      </c>
      <c r="AG1335">
        <f t="shared" si="206"/>
        <v>1</v>
      </c>
      <c r="AH1335">
        <f t="shared" si="207"/>
        <v>0</v>
      </c>
      <c r="AI1335">
        <f t="shared" si="208"/>
        <v>1</v>
      </c>
      <c r="AJ1335">
        <v>352.1</v>
      </c>
      <c r="AK1335">
        <v>1015.8</v>
      </c>
      <c r="AL1335">
        <v>58.5</v>
      </c>
      <c r="AM1335">
        <v>6.6</v>
      </c>
      <c r="AN1335">
        <v>227</v>
      </c>
      <c r="AO1335">
        <v>19.600000000000001</v>
      </c>
      <c r="AP1335">
        <v>8</v>
      </c>
      <c r="AQ1335">
        <v>0</v>
      </c>
      <c r="AR1335" t="s">
        <v>4507</v>
      </c>
      <c r="AS1335" t="s">
        <v>4508</v>
      </c>
      <c r="AT1335">
        <v>0.34</v>
      </c>
      <c r="AU1335" t="s">
        <v>43</v>
      </c>
      <c r="AV1335" t="s">
        <v>44</v>
      </c>
      <c r="AW1335" t="s">
        <v>45</v>
      </c>
      <c r="AX1335" t="s">
        <v>4509</v>
      </c>
      <c r="AY1335" t="s">
        <v>4510</v>
      </c>
      <c r="AZ1335">
        <v>518.00000000162981</v>
      </c>
      <c r="BA1335">
        <v>1</v>
      </c>
      <c r="BB1335">
        <v>10</v>
      </c>
      <c r="BC1335">
        <v>0</v>
      </c>
      <c r="BD1335">
        <v>0</v>
      </c>
      <c r="BE1335">
        <f t="shared" si="209"/>
        <v>1</v>
      </c>
    </row>
    <row r="1336" spans="1:57" x14ac:dyDescent="0.25">
      <c r="A1336" t="s">
        <v>39</v>
      </c>
      <c r="B1336" t="s">
        <v>4511</v>
      </c>
      <c r="C1336">
        <v>82.4</v>
      </c>
      <c r="D1336">
        <v>73.400000000000006</v>
      </c>
      <c r="G1336">
        <f t="shared" si="200"/>
        <v>1</v>
      </c>
      <c r="H1336">
        <f t="shared" si="201"/>
        <v>1</v>
      </c>
      <c r="I1336">
        <f t="shared" si="202"/>
        <v>0</v>
      </c>
      <c r="J1336">
        <v>78.3</v>
      </c>
      <c r="K1336">
        <v>84</v>
      </c>
      <c r="L1336">
        <v>73.400000000000006</v>
      </c>
      <c r="M1336">
        <v>79</v>
      </c>
      <c r="N1336">
        <v>66.3</v>
      </c>
      <c r="O1336">
        <v>67</v>
      </c>
      <c r="S1336">
        <f t="shared" si="203"/>
        <v>0</v>
      </c>
      <c r="T1336">
        <f t="shared" si="204"/>
        <v>0</v>
      </c>
      <c r="U1336">
        <f t="shared" si="205"/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23</v>
      </c>
      <c r="AG1336">
        <f t="shared" si="206"/>
        <v>1</v>
      </c>
      <c r="AH1336">
        <f t="shared" si="207"/>
        <v>1</v>
      </c>
      <c r="AI1336">
        <f t="shared" si="208"/>
        <v>0</v>
      </c>
      <c r="AJ1336">
        <v>314.10000000000002</v>
      </c>
      <c r="AK1336">
        <v>1009.7</v>
      </c>
      <c r="AL1336">
        <v>14.9</v>
      </c>
      <c r="AM1336">
        <v>6.5</v>
      </c>
      <c r="AN1336">
        <v>270.2</v>
      </c>
      <c r="AO1336">
        <v>23.6</v>
      </c>
      <c r="AP1336">
        <v>9</v>
      </c>
      <c r="AQ1336">
        <v>0</v>
      </c>
      <c r="AR1336" t="s">
        <v>4512</v>
      </c>
      <c r="AS1336" t="s">
        <v>4513</v>
      </c>
      <c r="AT1336">
        <v>0.32</v>
      </c>
      <c r="AU1336" t="s">
        <v>74</v>
      </c>
      <c r="AV1336" t="s">
        <v>2955</v>
      </c>
      <c r="AW1336" t="s">
        <v>75</v>
      </c>
      <c r="AX1336" t="s">
        <v>4301</v>
      </c>
      <c r="AY1336" t="s">
        <v>4514</v>
      </c>
      <c r="AZ1336">
        <v>180</v>
      </c>
      <c r="BA1336">
        <v>0</v>
      </c>
      <c r="BB1336">
        <v>0</v>
      </c>
      <c r="BC1336">
        <v>1</v>
      </c>
      <c r="BD1336">
        <v>0</v>
      </c>
      <c r="BE1336">
        <f t="shared" si="209"/>
        <v>0</v>
      </c>
    </row>
    <row r="1337" spans="1:57" x14ac:dyDescent="0.25">
      <c r="A1337" t="s">
        <v>39</v>
      </c>
      <c r="B1337" t="s">
        <v>4506</v>
      </c>
      <c r="C1337">
        <v>80.599999999999994</v>
      </c>
      <c r="D1337">
        <v>64.400000000000006</v>
      </c>
      <c r="G1337">
        <f t="shared" si="200"/>
        <v>1</v>
      </c>
      <c r="H1337">
        <f t="shared" si="201"/>
        <v>1</v>
      </c>
      <c r="I1337">
        <f t="shared" si="202"/>
        <v>0</v>
      </c>
      <c r="J1337">
        <v>71.8</v>
      </c>
      <c r="K1337">
        <v>82.3</v>
      </c>
      <c r="L1337">
        <v>64.400000000000006</v>
      </c>
      <c r="M1337">
        <v>71.900000000000006</v>
      </c>
      <c r="N1337">
        <v>59.7</v>
      </c>
      <c r="O1337">
        <v>66.099999999999994</v>
      </c>
      <c r="S1337">
        <f t="shared" si="203"/>
        <v>0</v>
      </c>
      <c r="T1337">
        <f t="shared" si="204"/>
        <v>0</v>
      </c>
      <c r="U1337">
        <f t="shared" si="205"/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12.8</v>
      </c>
      <c r="AG1337">
        <f t="shared" si="206"/>
        <v>1</v>
      </c>
      <c r="AH1337">
        <f t="shared" si="207"/>
        <v>0</v>
      </c>
      <c r="AI1337">
        <f t="shared" si="208"/>
        <v>1</v>
      </c>
      <c r="AJ1337">
        <v>352.1</v>
      </c>
      <c r="AK1337">
        <v>1015.8</v>
      </c>
      <c r="AL1337">
        <v>58.5</v>
      </c>
      <c r="AM1337">
        <v>6.6</v>
      </c>
      <c r="AN1337">
        <v>227</v>
      </c>
      <c r="AO1337">
        <v>19.600000000000001</v>
      </c>
      <c r="AP1337">
        <v>8</v>
      </c>
      <c r="AQ1337">
        <v>0</v>
      </c>
      <c r="AR1337" t="s">
        <v>4507</v>
      </c>
      <c r="AS1337" t="s">
        <v>4508</v>
      </c>
      <c r="AT1337">
        <v>0.34</v>
      </c>
      <c r="AU1337" t="s">
        <v>43</v>
      </c>
      <c r="AV1337" t="s">
        <v>44</v>
      </c>
      <c r="AW1337" t="s">
        <v>45</v>
      </c>
      <c r="AX1337" t="s">
        <v>4515</v>
      </c>
      <c r="AY1337" t="s">
        <v>4516</v>
      </c>
      <c r="AZ1337">
        <v>1130.000000005821</v>
      </c>
      <c r="BA1337">
        <v>1</v>
      </c>
      <c r="BB1337">
        <v>20</v>
      </c>
      <c r="BC1337">
        <v>0</v>
      </c>
      <c r="BD1337">
        <v>0</v>
      </c>
      <c r="BE1337">
        <f t="shared" si="209"/>
        <v>1</v>
      </c>
    </row>
    <row r="1338" spans="1:57" x14ac:dyDescent="0.25">
      <c r="A1338" t="s">
        <v>39</v>
      </c>
      <c r="B1338" t="s">
        <v>4517</v>
      </c>
      <c r="C1338">
        <v>69.8</v>
      </c>
      <c r="D1338">
        <v>53.6</v>
      </c>
      <c r="G1338">
        <f t="shared" si="200"/>
        <v>1</v>
      </c>
      <c r="H1338">
        <f t="shared" si="201"/>
        <v>0</v>
      </c>
      <c r="I1338">
        <f t="shared" si="202"/>
        <v>1</v>
      </c>
      <c r="J1338">
        <v>61</v>
      </c>
      <c r="K1338">
        <v>69.8</v>
      </c>
      <c r="L1338">
        <v>53.6</v>
      </c>
      <c r="M1338">
        <v>61</v>
      </c>
      <c r="N1338">
        <v>53.6</v>
      </c>
      <c r="O1338">
        <v>77.099999999999994</v>
      </c>
      <c r="S1338">
        <f t="shared" si="203"/>
        <v>1</v>
      </c>
      <c r="T1338">
        <f t="shared" si="204"/>
        <v>1</v>
      </c>
      <c r="U1338">
        <f t="shared" si="205"/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9.1999999999999993</v>
      </c>
      <c r="AG1338">
        <f t="shared" si="206"/>
        <v>1</v>
      </c>
      <c r="AH1338">
        <f t="shared" si="207"/>
        <v>0</v>
      </c>
      <c r="AI1338">
        <f t="shared" si="208"/>
        <v>1</v>
      </c>
      <c r="AJ1338">
        <v>258.39999999999998</v>
      </c>
      <c r="AK1338">
        <v>1019.7</v>
      </c>
      <c r="AL1338">
        <v>35.1</v>
      </c>
      <c r="AM1338">
        <v>6.6</v>
      </c>
      <c r="AN1338">
        <v>130.5</v>
      </c>
      <c r="AO1338">
        <v>11.2</v>
      </c>
      <c r="AP1338">
        <v>6</v>
      </c>
      <c r="AQ1338">
        <v>0</v>
      </c>
      <c r="AR1338" t="s">
        <v>4518</v>
      </c>
      <c r="AS1338" t="s">
        <v>4519</v>
      </c>
      <c r="AT1338">
        <v>0.81</v>
      </c>
      <c r="AU1338" t="s">
        <v>43</v>
      </c>
      <c r="AV1338" t="s">
        <v>44</v>
      </c>
      <c r="AW1338" t="s">
        <v>45</v>
      </c>
      <c r="AX1338" t="s">
        <v>4520</v>
      </c>
      <c r="AY1338" t="s">
        <v>4521</v>
      </c>
      <c r="AZ1338">
        <v>147.00000000768341</v>
      </c>
      <c r="BA1338">
        <v>0</v>
      </c>
      <c r="BB1338">
        <v>0</v>
      </c>
      <c r="BC1338">
        <v>1</v>
      </c>
      <c r="BD1338">
        <v>0</v>
      </c>
      <c r="BE1338">
        <f t="shared" si="209"/>
        <v>0</v>
      </c>
    </row>
    <row r="1339" spans="1:57" x14ac:dyDescent="0.25">
      <c r="A1339" t="s">
        <v>39</v>
      </c>
      <c r="B1339" t="s">
        <v>4522</v>
      </c>
      <c r="C1339">
        <v>71.599999999999994</v>
      </c>
      <c r="D1339">
        <v>51.7</v>
      </c>
      <c r="G1339">
        <f t="shared" si="200"/>
        <v>1</v>
      </c>
      <c r="H1339">
        <f t="shared" si="201"/>
        <v>1</v>
      </c>
      <c r="I1339">
        <f t="shared" si="202"/>
        <v>0</v>
      </c>
      <c r="J1339">
        <v>60.7</v>
      </c>
      <c r="K1339">
        <v>71.599999999999994</v>
      </c>
      <c r="L1339">
        <v>51.7</v>
      </c>
      <c r="M1339">
        <v>60.7</v>
      </c>
      <c r="N1339">
        <v>51.6</v>
      </c>
      <c r="O1339">
        <v>72.599999999999994</v>
      </c>
      <c r="S1339">
        <f t="shared" si="203"/>
        <v>1</v>
      </c>
      <c r="T1339">
        <f t="shared" si="204"/>
        <v>1</v>
      </c>
      <c r="U1339">
        <f t="shared" si="205"/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18.3</v>
      </c>
      <c r="AG1339">
        <f t="shared" si="206"/>
        <v>1</v>
      </c>
      <c r="AH1339">
        <f t="shared" si="207"/>
        <v>0</v>
      </c>
      <c r="AI1339">
        <f t="shared" si="208"/>
        <v>1</v>
      </c>
      <c r="AJ1339">
        <v>207.5</v>
      </c>
      <c r="AK1339">
        <v>1017.6</v>
      </c>
      <c r="AL1339">
        <v>46.6</v>
      </c>
      <c r="AM1339">
        <v>6.6</v>
      </c>
      <c r="AN1339">
        <v>72.599999999999994</v>
      </c>
      <c r="AO1339">
        <v>6.2</v>
      </c>
      <c r="AP1339">
        <v>3</v>
      </c>
      <c r="AQ1339">
        <v>0</v>
      </c>
      <c r="AR1339" t="s">
        <v>4523</v>
      </c>
      <c r="AS1339" t="s">
        <v>4524</v>
      </c>
      <c r="AT1339">
        <v>0.71</v>
      </c>
      <c r="AU1339" t="s">
        <v>43</v>
      </c>
      <c r="AV1339" t="s">
        <v>80</v>
      </c>
      <c r="AW1339" t="s">
        <v>45</v>
      </c>
      <c r="AX1339" t="s">
        <v>4525</v>
      </c>
      <c r="AY1339" t="s">
        <v>4526</v>
      </c>
      <c r="AZ1339">
        <v>115.0000000081491</v>
      </c>
      <c r="BA1339">
        <v>0</v>
      </c>
      <c r="BB1339">
        <v>0</v>
      </c>
      <c r="BC1339">
        <v>5</v>
      </c>
      <c r="BD1339">
        <v>0</v>
      </c>
      <c r="BE1339">
        <f t="shared" si="209"/>
        <v>1</v>
      </c>
    </row>
    <row r="1340" spans="1:57" x14ac:dyDescent="0.25">
      <c r="A1340" t="s">
        <v>39</v>
      </c>
      <c r="B1340" t="s">
        <v>4060</v>
      </c>
      <c r="C1340">
        <v>78.8</v>
      </c>
      <c r="D1340">
        <v>67.900000000000006</v>
      </c>
      <c r="G1340">
        <f t="shared" si="200"/>
        <v>0</v>
      </c>
      <c r="H1340">
        <f t="shared" si="201"/>
        <v>0</v>
      </c>
      <c r="I1340">
        <f t="shared" si="202"/>
        <v>0</v>
      </c>
      <c r="J1340">
        <v>75.400000000000006</v>
      </c>
      <c r="K1340">
        <v>78.8</v>
      </c>
      <c r="L1340">
        <v>67.900000000000006</v>
      </c>
      <c r="M1340">
        <v>75.400000000000006</v>
      </c>
      <c r="N1340">
        <v>61.7</v>
      </c>
      <c r="O1340">
        <v>62.9</v>
      </c>
      <c r="S1340">
        <f t="shared" si="203"/>
        <v>1</v>
      </c>
      <c r="T1340">
        <f t="shared" si="204"/>
        <v>0</v>
      </c>
      <c r="U1340">
        <f t="shared" si="205"/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24.2</v>
      </c>
      <c r="AG1340">
        <f t="shared" si="206"/>
        <v>1</v>
      </c>
      <c r="AH1340">
        <f t="shared" si="207"/>
        <v>1</v>
      </c>
      <c r="AI1340">
        <f t="shared" si="208"/>
        <v>0</v>
      </c>
      <c r="AJ1340">
        <v>316.5</v>
      </c>
      <c r="AK1340">
        <v>1011.7</v>
      </c>
      <c r="AL1340">
        <v>25.7</v>
      </c>
      <c r="AM1340">
        <v>6.6</v>
      </c>
      <c r="AN1340">
        <v>254.9</v>
      </c>
      <c r="AO1340">
        <v>22</v>
      </c>
      <c r="AP1340">
        <v>8</v>
      </c>
      <c r="AQ1340">
        <v>0</v>
      </c>
      <c r="AR1340" t="s">
        <v>4061</v>
      </c>
      <c r="AS1340" t="s">
        <v>4062</v>
      </c>
      <c r="AT1340">
        <v>0.9</v>
      </c>
      <c r="AU1340" t="s">
        <v>43</v>
      </c>
      <c r="AV1340" t="s">
        <v>44</v>
      </c>
      <c r="AW1340" t="s">
        <v>45</v>
      </c>
      <c r="AX1340" t="s">
        <v>2341</v>
      </c>
      <c r="AY1340" t="s">
        <v>4527</v>
      </c>
      <c r="AZ1340">
        <v>329.99999999650748</v>
      </c>
      <c r="BA1340">
        <v>0</v>
      </c>
      <c r="BB1340">
        <v>0</v>
      </c>
      <c r="BC1340">
        <v>1</v>
      </c>
      <c r="BD1340">
        <v>0</v>
      </c>
      <c r="BE1340">
        <f t="shared" si="209"/>
        <v>0</v>
      </c>
    </row>
    <row r="1341" spans="1:57" x14ac:dyDescent="0.25">
      <c r="A1341" t="s">
        <v>39</v>
      </c>
      <c r="B1341" t="s">
        <v>4494</v>
      </c>
      <c r="C1341">
        <v>66.3</v>
      </c>
      <c r="D1341">
        <v>50</v>
      </c>
      <c r="G1341">
        <f t="shared" si="200"/>
        <v>1</v>
      </c>
      <c r="H1341">
        <f t="shared" si="201"/>
        <v>0</v>
      </c>
      <c r="I1341">
        <f t="shared" si="202"/>
        <v>1</v>
      </c>
      <c r="J1341">
        <v>58.5</v>
      </c>
      <c r="K1341">
        <v>66.3</v>
      </c>
      <c r="L1341">
        <v>50</v>
      </c>
      <c r="M1341">
        <v>58.5</v>
      </c>
      <c r="N1341">
        <v>47.9</v>
      </c>
      <c r="O1341">
        <v>68.7</v>
      </c>
      <c r="S1341">
        <f t="shared" si="203"/>
        <v>0</v>
      </c>
      <c r="T1341">
        <f t="shared" si="204"/>
        <v>0</v>
      </c>
      <c r="U1341">
        <f t="shared" si="205"/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9.1999999999999993</v>
      </c>
      <c r="AG1341">
        <f t="shared" si="206"/>
        <v>1</v>
      </c>
      <c r="AH1341">
        <f t="shared" si="207"/>
        <v>0</v>
      </c>
      <c r="AI1341">
        <f t="shared" si="208"/>
        <v>1</v>
      </c>
      <c r="AJ1341">
        <v>254.2</v>
      </c>
      <c r="AK1341">
        <v>1024.5</v>
      </c>
      <c r="AL1341">
        <v>19.7</v>
      </c>
      <c r="AM1341">
        <v>6.5</v>
      </c>
      <c r="AN1341">
        <v>218.3</v>
      </c>
      <c r="AO1341">
        <v>18.899999999999999</v>
      </c>
      <c r="AP1341">
        <v>8</v>
      </c>
      <c r="AQ1341">
        <v>0</v>
      </c>
      <c r="AR1341" t="s">
        <v>4495</v>
      </c>
      <c r="AS1341" t="s">
        <v>4496</v>
      </c>
      <c r="AT1341">
        <v>0.75</v>
      </c>
      <c r="AU1341" t="s">
        <v>74</v>
      </c>
      <c r="AV1341" t="s">
        <v>2955</v>
      </c>
      <c r="AW1341" t="s">
        <v>75</v>
      </c>
      <c r="AX1341" t="s">
        <v>2754</v>
      </c>
      <c r="AY1341" t="s">
        <v>4528</v>
      </c>
      <c r="AZ1341">
        <v>94.999999995343387</v>
      </c>
      <c r="BA1341">
        <v>0</v>
      </c>
      <c r="BB1341">
        <v>0</v>
      </c>
      <c r="BC1341">
        <v>0.5</v>
      </c>
      <c r="BD1341">
        <v>0</v>
      </c>
      <c r="BE1341">
        <f t="shared" si="209"/>
        <v>0</v>
      </c>
    </row>
    <row r="1342" spans="1:57" x14ac:dyDescent="0.25">
      <c r="A1342" t="s">
        <v>39</v>
      </c>
      <c r="B1342" t="s">
        <v>4476</v>
      </c>
      <c r="C1342">
        <v>87.8</v>
      </c>
      <c r="D1342">
        <v>71.599999999999994</v>
      </c>
      <c r="G1342">
        <f t="shared" si="200"/>
        <v>1</v>
      </c>
      <c r="H1342">
        <f t="shared" si="201"/>
        <v>1</v>
      </c>
      <c r="I1342">
        <f t="shared" si="202"/>
        <v>0</v>
      </c>
      <c r="J1342">
        <v>80.5</v>
      </c>
      <c r="K1342">
        <v>95.9</v>
      </c>
      <c r="L1342">
        <v>71.599999999999994</v>
      </c>
      <c r="M1342">
        <v>83.8</v>
      </c>
      <c r="N1342">
        <v>69</v>
      </c>
      <c r="O1342">
        <v>68.599999999999994</v>
      </c>
      <c r="S1342">
        <f t="shared" si="203"/>
        <v>1</v>
      </c>
      <c r="T1342">
        <f t="shared" si="204"/>
        <v>1</v>
      </c>
      <c r="U1342">
        <f t="shared" si="205"/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19.5</v>
      </c>
      <c r="AG1342">
        <f t="shared" si="206"/>
        <v>1</v>
      </c>
      <c r="AH1342">
        <f t="shared" si="207"/>
        <v>1</v>
      </c>
      <c r="AI1342">
        <f t="shared" si="208"/>
        <v>0</v>
      </c>
      <c r="AJ1342">
        <v>306.39999999999998</v>
      </c>
      <c r="AK1342">
        <v>1005.8</v>
      </c>
      <c r="AL1342">
        <v>0</v>
      </c>
      <c r="AM1342">
        <v>6.2</v>
      </c>
      <c r="AN1342">
        <v>352.8</v>
      </c>
      <c r="AO1342">
        <v>30.5</v>
      </c>
      <c r="AP1342">
        <v>10</v>
      </c>
      <c r="AQ1342">
        <v>0</v>
      </c>
      <c r="AR1342" t="s">
        <v>4477</v>
      </c>
      <c r="AS1342" t="s">
        <v>4478</v>
      </c>
      <c r="AT1342">
        <v>0.63</v>
      </c>
      <c r="AU1342" t="s">
        <v>74</v>
      </c>
      <c r="AV1342" t="s">
        <v>2955</v>
      </c>
      <c r="AW1342" t="s">
        <v>75</v>
      </c>
      <c r="AX1342" t="s">
        <v>4386</v>
      </c>
      <c r="AY1342" t="s">
        <v>4529</v>
      </c>
      <c r="AZ1342">
        <v>769.99999999534339</v>
      </c>
      <c r="BA1342">
        <v>1</v>
      </c>
      <c r="BB1342">
        <v>2</v>
      </c>
      <c r="BC1342">
        <v>0</v>
      </c>
      <c r="BD1342">
        <v>0</v>
      </c>
      <c r="BE1342">
        <f t="shared" si="209"/>
        <v>1</v>
      </c>
    </row>
    <row r="1343" spans="1:57" x14ac:dyDescent="0.25">
      <c r="A1343" t="s">
        <v>39</v>
      </c>
      <c r="B1343" t="s">
        <v>4041</v>
      </c>
      <c r="C1343">
        <v>82.4</v>
      </c>
      <c r="D1343">
        <v>68</v>
      </c>
      <c r="G1343">
        <f t="shared" si="200"/>
        <v>0</v>
      </c>
      <c r="H1343">
        <f t="shared" si="201"/>
        <v>0</v>
      </c>
      <c r="I1343">
        <f t="shared" si="202"/>
        <v>0</v>
      </c>
      <c r="J1343">
        <v>77.099999999999994</v>
      </c>
      <c r="K1343">
        <v>87.2</v>
      </c>
      <c r="L1343">
        <v>68</v>
      </c>
      <c r="M1343">
        <v>78.8</v>
      </c>
      <c r="N1343">
        <v>67</v>
      </c>
      <c r="O1343">
        <v>71.400000000000006</v>
      </c>
      <c r="S1343">
        <f t="shared" si="203"/>
        <v>1</v>
      </c>
      <c r="T1343">
        <f t="shared" si="204"/>
        <v>1</v>
      </c>
      <c r="U1343">
        <f t="shared" si="205"/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24.2</v>
      </c>
      <c r="AC1343">
        <v>24.2</v>
      </c>
      <c r="AG1343">
        <f t="shared" si="206"/>
        <v>1</v>
      </c>
      <c r="AH1343">
        <f t="shared" si="207"/>
        <v>1</v>
      </c>
      <c r="AI1343">
        <f t="shared" si="208"/>
        <v>0</v>
      </c>
      <c r="AJ1343">
        <v>311.3</v>
      </c>
      <c r="AK1343">
        <v>1009.3</v>
      </c>
      <c r="AL1343">
        <v>0</v>
      </c>
      <c r="AM1343">
        <v>6.2</v>
      </c>
      <c r="AN1343">
        <v>311.3</v>
      </c>
      <c r="AO1343">
        <v>27</v>
      </c>
      <c r="AP1343">
        <v>10</v>
      </c>
      <c r="AQ1343">
        <v>0</v>
      </c>
      <c r="AR1343" t="s">
        <v>4042</v>
      </c>
      <c r="AS1343" t="s">
        <v>4043</v>
      </c>
      <c r="AT1343">
        <v>0.88</v>
      </c>
      <c r="AU1343" t="s">
        <v>74</v>
      </c>
      <c r="AV1343" t="s">
        <v>2955</v>
      </c>
      <c r="AW1343" t="s">
        <v>75</v>
      </c>
      <c r="AX1343" t="s">
        <v>4530</v>
      </c>
      <c r="AY1343" t="s">
        <v>4531</v>
      </c>
      <c r="AZ1343">
        <v>1019.999999993015</v>
      </c>
      <c r="BA1343">
        <v>1</v>
      </c>
      <c r="BB1343">
        <v>0</v>
      </c>
      <c r="BC1343">
        <v>5</v>
      </c>
      <c r="BD1343">
        <v>0</v>
      </c>
      <c r="BE1343">
        <f t="shared" si="209"/>
        <v>1</v>
      </c>
    </row>
    <row r="1344" spans="1:57" x14ac:dyDescent="0.25">
      <c r="A1344" t="s">
        <v>39</v>
      </c>
      <c r="B1344" t="s">
        <v>4046</v>
      </c>
      <c r="C1344">
        <v>86</v>
      </c>
      <c r="D1344">
        <v>66.2</v>
      </c>
      <c r="G1344">
        <f t="shared" si="200"/>
        <v>1</v>
      </c>
      <c r="H1344">
        <f t="shared" si="201"/>
        <v>1</v>
      </c>
      <c r="I1344">
        <f t="shared" si="202"/>
        <v>0</v>
      </c>
      <c r="J1344">
        <v>76.400000000000006</v>
      </c>
      <c r="K1344">
        <v>95.2</v>
      </c>
      <c r="L1344">
        <v>66.2</v>
      </c>
      <c r="M1344">
        <v>79.3</v>
      </c>
      <c r="N1344">
        <v>67.7</v>
      </c>
      <c r="O1344">
        <v>74.8</v>
      </c>
      <c r="S1344">
        <f t="shared" si="203"/>
        <v>1</v>
      </c>
      <c r="T1344">
        <f t="shared" si="204"/>
        <v>1</v>
      </c>
      <c r="U1344">
        <f t="shared" si="205"/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9.1999999999999993</v>
      </c>
      <c r="AG1344">
        <f t="shared" si="206"/>
        <v>1</v>
      </c>
      <c r="AH1344">
        <f t="shared" si="207"/>
        <v>0</v>
      </c>
      <c r="AI1344">
        <f t="shared" si="208"/>
        <v>1</v>
      </c>
      <c r="AJ1344">
        <v>64.400000000000006</v>
      </c>
      <c r="AK1344">
        <v>1010.5</v>
      </c>
      <c r="AL1344">
        <v>15.1</v>
      </c>
      <c r="AM1344">
        <v>6.5</v>
      </c>
      <c r="AN1344">
        <v>295.2</v>
      </c>
      <c r="AO1344">
        <v>25.5</v>
      </c>
      <c r="AP1344">
        <v>9</v>
      </c>
      <c r="AQ1344">
        <v>0</v>
      </c>
      <c r="AR1344" t="s">
        <v>4047</v>
      </c>
      <c r="AS1344" t="s">
        <v>4048</v>
      </c>
      <c r="AT1344">
        <v>0.08</v>
      </c>
      <c r="AU1344" t="s">
        <v>74</v>
      </c>
      <c r="AV1344" t="s">
        <v>2955</v>
      </c>
      <c r="AW1344" t="s">
        <v>75</v>
      </c>
      <c r="AX1344" t="s">
        <v>2665</v>
      </c>
      <c r="AY1344" t="s">
        <v>4532</v>
      </c>
      <c r="AZ1344">
        <v>210.00000000349249</v>
      </c>
      <c r="BA1344">
        <v>0</v>
      </c>
      <c r="BB1344">
        <v>0</v>
      </c>
      <c r="BC1344">
        <v>0.5</v>
      </c>
      <c r="BD1344">
        <v>0</v>
      </c>
      <c r="BE1344">
        <f t="shared" si="209"/>
        <v>1</v>
      </c>
    </row>
    <row r="1345" spans="1:57" x14ac:dyDescent="0.25">
      <c r="A1345" t="s">
        <v>39</v>
      </c>
      <c r="B1345" t="s">
        <v>4511</v>
      </c>
      <c r="C1345">
        <v>82.4</v>
      </c>
      <c r="D1345">
        <v>73.400000000000006</v>
      </c>
      <c r="G1345">
        <f t="shared" si="200"/>
        <v>1</v>
      </c>
      <c r="H1345">
        <f t="shared" si="201"/>
        <v>1</v>
      </c>
      <c r="I1345">
        <f t="shared" si="202"/>
        <v>0</v>
      </c>
      <c r="J1345">
        <v>78.3</v>
      </c>
      <c r="K1345">
        <v>84</v>
      </c>
      <c r="L1345">
        <v>73.400000000000006</v>
      </c>
      <c r="M1345">
        <v>79</v>
      </c>
      <c r="N1345">
        <v>66.3</v>
      </c>
      <c r="O1345">
        <v>67</v>
      </c>
      <c r="S1345">
        <f t="shared" si="203"/>
        <v>0</v>
      </c>
      <c r="T1345">
        <f t="shared" si="204"/>
        <v>0</v>
      </c>
      <c r="U1345">
        <f t="shared" si="205"/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23</v>
      </c>
      <c r="AG1345">
        <f t="shared" si="206"/>
        <v>1</v>
      </c>
      <c r="AH1345">
        <f t="shared" si="207"/>
        <v>1</v>
      </c>
      <c r="AI1345">
        <f t="shared" si="208"/>
        <v>0</v>
      </c>
      <c r="AJ1345">
        <v>314.10000000000002</v>
      </c>
      <c r="AK1345">
        <v>1009.7</v>
      </c>
      <c r="AL1345">
        <v>14.9</v>
      </c>
      <c r="AM1345">
        <v>6.5</v>
      </c>
      <c r="AN1345">
        <v>270.2</v>
      </c>
      <c r="AO1345">
        <v>23.6</v>
      </c>
      <c r="AP1345">
        <v>9</v>
      </c>
      <c r="AQ1345">
        <v>0</v>
      </c>
      <c r="AR1345" t="s">
        <v>4512</v>
      </c>
      <c r="AS1345" t="s">
        <v>4513</v>
      </c>
      <c r="AT1345">
        <v>0.32</v>
      </c>
      <c r="AU1345" t="s">
        <v>74</v>
      </c>
      <c r="AV1345" t="s">
        <v>2955</v>
      </c>
      <c r="AW1345" t="s">
        <v>75</v>
      </c>
      <c r="AX1345" t="s">
        <v>4533</v>
      </c>
      <c r="AY1345" t="s">
        <v>4534</v>
      </c>
      <c r="AZ1345">
        <v>1671.999999991385</v>
      </c>
      <c r="BA1345">
        <v>1</v>
      </c>
      <c r="BB1345">
        <v>10</v>
      </c>
      <c r="BC1345">
        <v>0</v>
      </c>
      <c r="BD1345">
        <v>0</v>
      </c>
      <c r="BE1345">
        <f t="shared" si="209"/>
        <v>1</v>
      </c>
    </row>
    <row r="1346" spans="1:57" x14ac:dyDescent="0.25">
      <c r="A1346" t="s">
        <v>39</v>
      </c>
      <c r="B1346" t="s">
        <v>4458</v>
      </c>
      <c r="C1346">
        <v>84.2</v>
      </c>
      <c r="D1346">
        <v>66.2</v>
      </c>
      <c r="G1346">
        <f t="shared" si="200"/>
        <v>1</v>
      </c>
      <c r="H1346">
        <f t="shared" si="201"/>
        <v>1</v>
      </c>
      <c r="I1346">
        <f t="shared" si="202"/>
        <v>0</v>
      </c>
      <c r="J1346">
        <v>75.400000000000006</v>
      </c>
      <c r="K1346">
        <v>86.2</v>
      </c>
      <c r="L1346">
        <v>66.2</v>
      </c>
      <c r="M1346">
        <v>76.3</v>
      </c>
      <c r="N1346">
        <v>64.400000000000006</v>
      </c>
      <c r="O1346">
        <v>69.5</v>
      </c>
      <c r="S1346">
        <f t="shared" si="203"/>
        <v>1</v>
      </c>
      <c r="T1346">
        <f t="shared" si="204"/>
        <v>1</v>
      </c>
      <c r="U1346">
        <f t="shared" si="205"/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19.5</v>
      </c>
      <c r="AG1346">
        <f t="shared" si="206"/>
        <v>1</v>
      </c>
      <c r="AH1346">
        <f t="shared" si="207"/>
        <v>1</v>
      </c>
      <c r="AI1346">
        <f t="shared" si="208"/>
        <v>0</v>
      </c>
      <c r="AJ1346">
        <v>297.89999999999998</v>
      </c>
      <c r="AK1346">
        <v>1011.9</v>
      </c>
      <c r="AL1346">
        <v>4.5999999999999996</v>
      </c>
      <c r="AM1346">
        <v>6.3</v>
      </c>
      <c r="AN1346">
        <v>265.5</v>
      </c>
      <c r="AO1346">
        <v>22.8</v>
      </c>
      <c r="AP1346">
        <v>9</v>
      </c>
      <c r="AQ1346">
        <v>0</v>
      </c>
      <c r="AR1346" t="s">
        <v>4459</v>
      </c>
      <c r="AS1346" t="s">
        <v>4460</v>
      </c>
      <c r="AT1346">
        <v>0.73</v>
      </c>
      <c r="AU1346" t="s">
        <v>74</v>
      </c>
      <c r="AV1346" t="s">
        <v>2955</v>
      </c>
      <c r="AW1346" t="s">
        <v>75</v>
      </c>
      <c r="AX1346" t="s">
        <v>4301</v>
      </c>
      <c r="AY1346" t="s">
        <v>4535</v>
      </c>
      <c r="AZ1346">
        <v>1395</v>
      </c>
      <c r="BA1346">
        <v>1</v>
      </c>
      <c r="BB1346">
        <v>0</v>
      </c>
      <c r="BC1346">
        <v>60</v>
      </c>
      <c r="BD1346">
        <v>0</v>
      </c>
      <c r="BE1346">
        <f t="shared" si="209"/>
        <v>1</v>
      </c>
    </row>
    <row r="1347" spans="1:57" x14ac:dyDescent="0.25">
      <c r="A1347" t="s">
        <v>39</v>
      </c>
      <c r="B1347" t="s">
        <v>4060</v>
      </c>
      <c r="C1347">
        <v>78.8</v>
      </c>
      <c r="D1347">
        <v>67.900000000000006</v>
      </c>
      <c r="G1347">
        <f t="shared" ref="G1347:G1410" si="210">IF(ABS(C1347-INDEX($F$2:$F$13,MONTH(B1347)))&gt;1.8,1,0)</f>
        <v>0</v>
      </c>
      <c r="H1347">
        <f t="shared" ref="H1347:H1410" si="211">IF(C1347&gt;=INDEX($F$2:$F$13,MONTH(B1347))+1.8,1,0)</f>
        <v>0</v>
      </c>
      <c r="I1347">
        <f t="shared" ref="I1347:I1410" si="212">IF(C1347&lt;=INDEX($F$2:$F$13,MONTH(B1347))-1.8,1,0)</f>
        <v>0</v>
      </c>
      <c r="J1347">
        <v>75.400000000000006</v>
      </c>
      <c r="K1347">
        <v>78.8</v>
      </c>
      <c r="L1347">
        <v>67.900000000000006</v>
      </c>
      <c r="M1347">
        <v>75.400000000000006</v>
      </c>
      <c r="N1347">
        <v>61.7</v>
      </c>
      <c r="O1347">
        <v>62.9</v>
      </c>
      <c r="S1347">
        <f t="shared" ref="S1347:S1410" si="213">IF(OR(O1347&lt;INDEX($Q$2:$Q$13,MONTH(B1347)),O1347&gt;INDEX($R$2:$R$13,MONTH(B1347))),1,0)</f>
        <v>1</v>
      </c>
      <c r="T1347">
        <f t="shared" ref="T1347:T1410" si="214">IF(O1347&gt;INDEX($R$2:$R$13,MONTH(B1347)),1,0)</f>
        <v>0</v>
      </c>
      <c r="U1347">
        <f t="shared" ref="U1347:U1410" si="215">IF(O1347&lt;INDEX($Q$2:$Q$13,MONTH(B1347)),1,0)</f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24.2</v>
      </c>
      <c r="AG1347">
        <f t="shared" ref="AG1347:AG1410" si="216">IF(OR(AC1347&lt;INDEX($AE$2:$AE$13,MONTH(B1347)),AC1347&gt;INDEX($AF$2:$AF$13,MONTH(B1347))),1,0)</f>
        <v>1</v>
      </c>
      <c r="AH1347">
        <f t="shared" ref="AH1347:AH1410" si="217">IF(AC1347&gt;INDEX($AF$2:$AF$13,MONTH(B1347)),1,0)</f>
        <v>1</v>
      </c>
      <c r="AI1347">
        <f t="shared" ref="AI1347:AI1410" si="218">IF(AC1347&lt;INDEX($AE$2:$AE$13,MONTH(B1347)),1,0)</f>
        <v>0</v>
      </c>
      <c r="AJ1347">
        <v>316.5</v>
      </c>
      <c r="AK1347">
        <v>1011.7</v>
      </c>
      <c r="AL1347">
        <v>25.7</v>
      </c>
      <c r="AM1347">
        <v>6.6</v>
      </c>
      <c r="AN1347">
        <v>254.9</v>
      </c>
      <c r="AO1347">
        <v>22</v>
      </c>
      <c r="AP1347">
        <v>8</v>
      </c>
      <c r="AQ1347">
        <v>0</v>
      </c>
      <c r="AR1347" t="s">
        <v>4061</v>
      </c>
      <c r="AS1347" t="s">
        <v>4062</v>
      </c>
      <c r="AT1347">
        <v>0.9</v>
      </c>
      <c r="AU1347" t="s">
        <v>43</v>
      </c>
      <c r="AV1347" t="s">
        <v>44</v>
      </c>
      <c r="AW1347" t="s">
        <v>45</v>
      </c>
      <c r="AX1347" t="s">
        <v>4536</v>
      </c>
      <c r="AY1347" t="s">
        <v>4537</v>
      </c>
      <c r="AZ1347">
        <v>689.99999999650754</v>
      </c>
      <c r="BA1347">
        <v>1</v>
      </c>
      <c r="BB1347">
        <v>0</v>
      </c>
      <c r="BC1347">
        <v>5</v>
      </c>
      <c r="BD1347">
        <v>0</v>
      </c>
      <c r="BE1347">
        <f t="shared" ref="BE1347:BE1410" si="219">IF((3*AH1347+3*H1347+2*U1347+2*BA1347-(2*(1-T1347)+2*(1-I1347)+2*(1-AI1347)))&gt;=1,1,0)</f>
        <v>1</v>
      </c>
    </row>
    <row r="1348" spans="1:57" x14ac:dyDescent="0.25">
      <c r="A1348" t="s">
        <v>39</v>
      </c>
      <c r="B1348" t="s">
        <v>4538</v>
      </c>
      <c r="C1348">
        <v>66.2</v>
      </c>
      <c r="D1348">
        <v>55.4</v>
      </c>
      <c r="G1348">
        <f t="shared" si="210"/>
        <v>1</v>
      </c>
      <c r="H1348">
        <f t="shared" si="211"/>
        <v>1</v>
      </c>
      <c r="I1348">
        <f t="shared" si="212"/>
        <v>0</v>
      </c>
      <c r="J1348">
        <v>60.5</v>
      </c>
      <c r="K1348">
        <v>66.2</v>
      </c>
      <c r="L1348">
        <v>55.4</v>
      </c>
      <c r="M1348">
        <v>60.5</v>
      </c>
      <c r="N1348">
        <v>52.3</v>
      </c>
      <c r="O1348">
        <v>75.099999999999994</v>
      </c>
      <c r="S1348">
        <f t="shared" si="213"/>
        <v>1</v>
      </c>
      <c r="T1348">
        <f t="shared" si="214"/>
        <v>1</v>
      </c>
      <c r="U1348">
        <f t="shared" si="215"/>
        <v>0</v>
      </c>
      <c r="V1348">
        <v>0.26</v>
      </c>
      <c r="W1348">
        <v>100</v>
      </c>
      <c r="X1348">
        <v>8.33</v>
      </c>
      <c r="Y1348" t="s">
        <v>103</v>
      </c>
      <c r="Z1348">
        <v>0</v>
      </c>
      <c r="AA1348">
        <v>0</v>
      </c>
      <c r="AB1348">
        <v>0</v>
      </c>
      <c r="AC1348">
        <v>20.8</v>
      </c>
      <c r="AG1348">
        <f t="shared" si="216"/>
        <v>1</v>
      </c>
      <c r="AH1348">
        <f t="shared" si="217"/>
        <v>1</v>
      </c>
      <c r="AI1348">
        <f t="shared" si="218"/>
        <v>0</v>
      </c>
      <c r="AJ1348">
        <v>218.4</v>
      </c>
      <c r="AK1348">
        <v>1016.1</v>
      </c>
      <c r="AL1348">
        <v>71.3</v>
      </c>
      <c r="AM1348">
        <v>6.5</v>
      </c>
      <c r="AN1348">
        <v>91.5</v>
      </c>
      <c r="AO1348">
        <v>7.9</v>
      </c>
      <c r="AP1348">
        <v>4</v>
      </c>
      <c r="AQ1348">
        <v>0</v>
      </c>
      <c r="AR1348" t="s">
        <v>4539</v>
      </c>
      <c r="AS1348" t="s">
        <v>4540</v>
      </c>
      <c r="AT1348">
        <v>0.4</v>
      </c>
      <c r="AU1348" t="s">
        <v>106</v>
      </c>
      <c r="AV1348" t="s">
        <v>107</v>
      </c>
      <c r="AW1348" t="s">
        <v>103</v>
      </c>
      <c r="AX1348" t="s">
        <v>4541</v>
      </c>
      <c r="AY1348" t="s">
        <v>4542</v>
      </c>
      <c r="AZ1348">
        <v>185.99999999860299</v>
      </c>
      <c r="BA1348">
        <v>0</v>
      </c>
      <c r="BB1348">
        <v>0</v>
      </c>
      <c r="BC1348">
        <v>3</v>
      </c>
      <c r="BD1348">
        <v>0</v>
      </c>
      <c r="BE1348">
        <f t="shared" si="219"/>
        <v>1</v>
      </c>
    </row>
    <row r="1349" spans="1:57" x14ac:dyDescent="0.25">
      <c r="A1349" t="s">
        <v>39</v>
      </c>
      <c r="B1349" t="s">
        <v>4022</v>
      </c>
      <c r="C1349">
        <v>59</v>
      </c>
      <c r="D1349">
        <v>46.5</v>
      </c>
      <c r="G1349">
        <f t="shared" si="210"/>
        <v>1</v>
      </c>
      <c r="H1349">
        <f t="shared" si="211"/>
        <v>0</v>
      </c>
      <c r="I1349">
        <f t="shared" si="212"/>
        <v>1</v>
      </c>
      <c r="J1349">
        <v>53.8</v>
      </c>
      <c r="K1349">
        <v>59</v>
      </c>
      <c r="L1349">
        <v>43</v>
      </c>
      <c r="M1349">
        <v>53.6</v>
      </c>
      <c r="N1349">
        <v>43.9</v>
      </c>
      <c r="O1349">
        <v>69.8</v>
      </c>
      <c r="S1349">
        <f t="shared" si="213"/>
        <v>1</v>
      </c>
      <c r="T1349">
        <f t="shared" si="214"/>
        <v>1</v>
      </c>
      <c r="U1349">
        <f t="shared" si="215"/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15</v>
      </c>
      <c r="AG1349">
        <f t="shared" si="216"/>
        <v>1</v>
      </c>
      <c r="AH1349">
        <f t="shared" si="217"/>
        <v>0</v>
      </c>
      <c r="AI1349">
        <f t="shared" si="218"/>
        <v>1</v>
      </c>
      <c r="AJ1349">
        <v>328.2</v>
      </c>
      <c r="AK1349">
        <v>1024.4000000000001</v>
      </c>
      <c r="AL1349">
        <v>35</v>
      </c>
      <c r="AM1349">
        <v>6.5</v>
      </c>
      <c r="AN1349">
        <v>252.1</v>
      </c>
      <c r="AO1349">
        <v>21.9</v>
      </c>
      <c r="AP1349">
        <v>9</v>
      </c>
      <c r="AQ1349">
        <v>0</v>
      </c>
      <c r="AR1349" t="s">
        <v>4023</v>
      </c>
      <c r="AS1349" t="s">
        <v>4024</v>
      </c>
      <c r="AT1349">
        <v>0.25</v>
      </c>
      <c r="AU1349" t="s">
        <v>43</v>
      </c>
      <c r="AV1349" t="s">
        <v>44</v>
      </c>
      <c r="AW1349" t="s">
        <v>45</v>
      </c>
      <c r="AX1349" t="s">
        <v>4543</v>
      </c>
      <c r="AY1349" t="s">
        <v>4544</v>
      </c>
      <c r="AZ1349">
        <v>111.9999999983702</v>
      </c>
      <c r="BA1349">
        <v>0</v>
      </c>
      <c r="BB1349">
        <v>0</v>
      </c>
      <c r="BC1349">
        <v>0.2</v>
      </c>
      <c r="BD1349">
        <v>0</v>
      </c>
      <c r="BE1349">
        <f t="shared" si="219"/>
        <v>0</v>
      </c>
    </row>
    <row r="1350" spans="1:57" x14ac:dyDescent="0.25">
      <c r="A1350" t="s">
        <v>39</v>
      </c>
      <c r="B1350" t="s">
        <v>4027</v>
      </c>
      <c r="C1350">
        <v>64.400000000000006</v>
      </c>
      <c r="D1350">
        <v>51.8</v>
      </c>
      <c r="G1350">
        <f t="shared" si="210"/>
        <v>1</v>
      </c>
      <c r="H1350">
        <f t="shared" si="211"/>
        <v>1</v>
      </c>
      <c r="I1350">
        <f t="shared" si="212"/>
        <v>0</v>
      </c>
      <c r="J1350">
        <v>57.8</v>
      </c>
      <c r="K1350">
        <v>64.400000000000006</v>
      </c>
      <c r="L1350">
        <v>51.8</v>
      </c>
      <c r="M1350">
        <v>57.8</v>
      </c>
      <c r="N1350">
        <v>50.3</v>
      </c>
      <c r="O1350">
        <v>76.400000000000006</v>
      </c>
      <c r="S1350">
        <f t="shared" si="213"/>
        <v>1</v>
      </c>
      <c r="T1350">
        <f t="shared" si="214"/>
        <v>1</v>
      </c>
      <c r="U1350">
        <f t="shared" si="215"/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10.3</v>
      </c>
      <c r="AG1350">
        <f t="shared" si="216"/>
        <v>1</v>
      </c>
      <c r="AH1350">
        <f t="shared" si="217"/>
        <v>0</v>
      </c>
      <c r="AI1350">
        <f t="shared" si="218"/>
        <v>1</v>
      </c>
      <c r="AJ1350">
        <v>175.5</v>
      </c>
      <c r="AK1350">
        <v>1020</v>
      </c>
      <c r="AL1350">
        <v>58.7</v>
      </c>
      <c r="AM1350">
        <v>6.6</v>
      </c>
      <c r="AN1350">
        <v>253.4</v>
      </c>
      <c r="AO1350">
        <v>21</v>
      </c>
      <c r="AP1350">
        <v>9</v>
      </c>
      <c r="AQ1350">
        <v>0</v>
      </c>
      <c r="AR1350" t="s">
        <v>4028</v>
      </c>
      <c r="AS1350" t="s">
        <v>4029</v>
      </c>
      <c r="AT1350">
        <v>0.76</v>
      </c>
      <c r="AU1350" t="s">
        <v>43</v>
      </c>
      <c r="AV1350" t="s">
        <v>44</v>
      </c>
      <c r="AW1350" t="s">
        <v>45</v>
      </c>
      <c r="AX1350" t="s">
        <v>4248</v>
      </c>
      <c r="AY1350" t="s">
        <v>4545</v>
      </c>
      <c r="AZ1350">
        <v>135</v>
      </c>
      <c r="BA1350">
        <v>0</v>
      </c>
      <c r="BB1350">
        <v>0</v>
      </c>
      <c r="BC1350">
        <v>0.2</v>
      </c>
      <c r="BD1350">
        <v>0</v>
      </c>
      <c r="BE1350">
        <f t="shared" si="219"/>
        <v>1</v>
      </c>
    </row>
    <row r="1351" spans="1:57" x14ac:dyDescent="0.25">
      <c r="A1351" t="s">
        <v>39</v>
      </c>
      <c r="B1351" t="s">
        <v>4546</v>
      </c>
      <c r="C1351">
        <v>60.8</v>
      </c>
      <c r="D1351">
        <v>53.9</v>
      </c>
      <c r="G1351">
        <f t="shared" si="210"/>
        <v>1</v>
      </c>
      <c r="H1351">
        <f t="shared" si="211"/>
        <v>0</v>
      </c>
      <c r="I1351">
        <f t="shared" si="212"/>
        <v>1</v>
      </c>
      <c r="J1351">
        <v>57.8</v>
      </c>
      <c r="K1351">
        <v>60.8</v>
      </c>
      <c r="L1351">
        <v>53.9</v>
      </c>
      <c r="M1351">
        <v>57.8</v>
      </c>
      <c r="N1351">
        <v>51.7</v>
      </c>
      <c r="O1351">
        <v>80.400000000000006</v>
      </c>
      <c r="S1351">
        <f t="shared" si="213"/>
        <v>1</v>
      </c>
      <c r="T1351">
        <f t="shared" si="214"/>
        <v>1</v>
      </c>
      <c r="U1351">
        <f t="shared" si="215"/>
        <v>0</v>
      </c>
      <c r="V1351">
        <v>0.02</v>
      </c>
      <c r="W1351">
        <v>100</v>
      </c>
      <c r="X1351">
        <v>16.670000000000002</v>
      </c>
      <c r="Y1351" t="s">
        <v>103</v>
      </c>
      <c r="Z1351">
        <v>0</v>
      </c>
      <c r="AA1351">
        <v>0</v>
      </c>
      <c r="AB1351">
        <v>0</v>
      </c>
      <c r="AC1351">
        <v>18.3</v>
      </c>
      <c r="AG1351">
        <f t="shared" si="216"/>
        <v>0</v>
      </c>
      <c r="AH1351">
        <f t="shared" si="217"/>
        <v>0</v>
      </c>
      <c r="AI1351">
        <f t="shared" si="218"/>
        <v>0</v>
      </c>
      <c r="AJ1351">
        <v>344.9</v>
      </c>
      <c r="AK1351">
        <v>1013.1</v>
      </c>
      <c r="AL1351">
        <v>90.4</v>
      </c>
      <c r="AM1351">
        <v>6.6</v>
      </c>
      <c r="AN1351">
        <v>178.2</v>
      </c>
      <c r="AO1351">
        <v>15.3</v>
      </c>
      <c r="AP1351">
        <v>6</v>
      </c>
      <c r="AQ1351">
        <v>0</v>
      </c>
      <c r="AR1351" t="s">
        <v>4547</v>
      </c>
      <c r="AS1351" t="s">
        <v>4548</v>
      </c>
      <c r="AT1351">
        <v>0.13</v>
      </c>
      <c r="AU1351" t="s">
        <v>1357</v>
      </c>
      <c r="AV1351" t="s">
        <v>4365</v>
      </c>
      <c r="AW1351" t="s">
        <v>103</v>
      </c>
      <c r="AX1351" t="s">
        <v>2565</v>
      </c>
      <c r="AY1351" t="s">
        <v>4549</v>
      </c>
      <c r="AZ1351">
        <v>355.00000000465661</v>
      </c>
      <c r="BA1351">
        <v>0</v>
      </c>
      <c r="BB1351">
        <v>0</v>
      </c>
      <c r="BC1351">
        <v>4</v>
      </c>
      <c r="BD1351">
        <v>0</v>
      </c>
      <c r="BE1351">
        <f t="shared" si="219"/>
        <v>0</v>
      </c>
    </row>
    <row r="1352" spans="1:57" x14ac:dyDescent="0.25">
      <c r="A1352" t="s">
        <v>39</v>
      </c>
      <c r="B1352" t="s">
        <v>4550</v>
      </c>
      <c r="C1352">
        <v>84.2</v>
      </c>
      <c r="D1352">
        <v>71.599999999999994</v>
      </c>
      <c r="G1352">
        <f t="shared" si="210"/>
        <v>0</v>
      </c>
      <c r="H1352">
        <f t="shared" si="211"/>
        <v>0</v>
      </c>
      <c r="I1352">
        <f t="shared" si="212"/>
        <v>0</v>
      </c>
      <c r="J1352">
        <v>78.099999999999994</v>
      </c>
      <c r="K1352">
        <v>92.5</v>
      </c>
      <c r="L1352">
        <v>71.599999999999994</v>
      </c>
      <c r="M1352">
        <v>81</v>
      </c>
      <c r="N1352">
        <v>68.3</v>
      </c>
      <c r="O1352">
        <v>72.099999999999994</v>
      </c>
      <c r="S1352">
        <f t="shared" si="213"/>
        <v>1</v>
      </c>
      <c r="T1352">
        <f t="shared" si="214"/>
        <v>1</v>
      </c>
      <c r="U1352">
        <f t="shared" si="215"/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12.8</v>
      </c>
      <c r="AG1352">
        <f t="shared" si="216"/>
        <v>1</v>
      </c>
      <c r="AH1352">
        <f t="shared" si="217"/>
        <v>0</v>
      </c>
      <c r="AI1352">
        <f t="shared" si="218"/>
        <v>1</v>
      </c>
      <c r="AJ1352">
        <v>356.7</v>
      </c>
      <c r="AK1352">
        <v>1015.3</v>
      </c>
      <c r="AL1352">
        <v>1.3</v>
      </c>
      <c r="AM1352">
        <v>6.2</v>
      </c>
      <c r="AN1352">
        <v>337.1</v>
      </c>
      <c r="AO1352">
        <v>29.2</v>
      </c>
      <c r="AP1352">
        <v>10</v>
      </c>
      <c r="AQ1352">
        <v>0</v>
      </c>
      <c r="AR1352" t="s">
        <v>4551</v>
      </c>
      <c r="AS1352" t="s">
        <v>4552</v>
      </c>
      <c r="AT1352">
        <v>0.89</v>
      </c>
      <c r="AU1352" t="s">
        <v>74</v>
      </c>
      <c r="AV1352" t="s">
        <v>2955</v>
      </c>
      <c r="AW1352" t="s">
        <v>75</v>
      </c>
      <c r="AX1352" t="s">
        <v>4553</v>
      </c>
      <c r="AY1352" t="s">
        <v>4554</v>
      </c>
      <c r="AZ1352">
        <v>46.000000003259629</v>
      </c>
      <c r="BA1352">
        <v>0</v>
      </c>
      <c r="BB1352">
        <v>0.4</v>
      </c>
      <c r="BC1352">
        <v>0</v>
      </c>
      <c r="BD1352">
        <v>0</v>
      </c>
      <c r="BE1352">
        <f t="shared" si="219"/>
        <v>0</v>
      </c>
    </row>
    <row r="1353" spans="1:57" x14ac:dyDescent="0.25">
      <c r="A1353" t="s">
        <v>39</v>
      </c>
      <c r="B1353" t="s">
        <v>4120</v>
      </c>
      <c r="C1353">
        <v>82.4</v>
      </c>
      <c r="D1353">
        <v>75.2</v>
      </c>
      <c r="G1353">
        <f t="shared" si="210"/>
        <v>0</v>
      </c>
      <c r="H1353">
        <f t="shared" si="211"/>
        <v>0</v>
      </c>
      <c r="I1353">
        <f t="shared" si="212"/>
        <v>0</v>
      </c>
      <c r="J1353">
        <v>78.400000000000006</v>
      </c>
      <c r="K1353">
        <v>85.4</v>
      </c>
      <c r="L1353">
        <v>75.2</v>
      </c>
      <c r="M1353">
        <v>79.3</v>
      </c>
      <c r="N1353">
        <v>67.099999999999994</v>
      </c>
      <c r="O1353">
        <v>68.599999999999994</v>
      </c>
      <c r="S1353">
        <f t="shared" si="213"/>
        <v>1</v>
      </c>
      <c r="T1353">
        <f t="shared" si="214"/>
        <v>1</v>
      </c>
      <c r="U1353">
        <f t="shared" si="215"/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25.3</v>
      </c>
      <c r="AC1353">
        <v>20.8</v>
      </c>
      <c r="AG1353">
        <f t="shared" si="216"/>
        <v>1</v>
      </c>
      <c r="AH1353">
        <f t="shared" si="217"/>
        <v>1</v>
      </c>
      <c r="AI1353">
        <f t="shared" si="218"/>
        <v>0</v>
      </c>
      <c r="AJ1353">
        <v>308.5</v>
      </c>
      <c r="AK1353">
        <v>1006.7</v>
      </c>
      <c r="AL1353">
        <v>26.2</v>
      </c>
      <c r="AM1353">
        <v>6.6</v>
      </c>
      <c r="AN1353">
        <v>323.89999999999998</v>
      </c>
      <c r="AO1353">
        <v>28</v>
      </c>
      <c r="AP1353">
        <v>10</v>
      </c>
      <c r="AQ1353">
        <v>0</v>
      </c>
      <c r="AR1353" t="s">
        <v>4121</v>
      </c>
      <c r="AS1353" t="s">
        <v>4122</v>
      </c>
      <c r="AT1353">
        <v>0.5</v>
      </c>
      <c r="AU1353" t="s">
        <v>43</v>
      </c>
      <c r="AV1353" t="s">
        <v>44</v>
      </c>
      <c r="AW1353" t="s">
        <v>45</v>
      </c>
      <c r="AX1353" t="s">
        <v>4555</v>
      </c>
      <c r="AY1353" t="s">
        <v>4556</v>
      </c>
      <c r="AZ1353">
        <v>1260</v>
      </c>
      <c r="BA1353">
        <v>1</v>
      </c>
      <c r="BB1353">
        <v>0</v>
      </c>
      <c r="BC1353">
        <v>25</v>
      </c>
      <c r="BD1353">
        <v>0</v>
      </c>
      <c r="BE1353">
        <f t="shared" si="219"/>
        <v>1</v>
      </c>
    </row>
    <row r="1354" spans="1:57" x14ac:dyDescent="0.25">
      <c r="A1354" t="s">
        <v>39</v>
      </c>
      <c r="B1354" t="s">
        <v>4557</v>
      </c>
      <c r="C1354">
        <v>82.4</v>
      </c>
      <c r="D1354">
        <v>69.8</v>
      </c>
      <c r="G1354">
        <f t="shared" si="210"/>
        <v>1</v>
      </c>
      <c r="H1354">
        <f t="shared" si="211"/>
        <v>1</v>
      </c>
      <c r="I1354">
        <f t="shared" si="212"/>
        <v>0</v>
      </c>
      <c r="J1354">
        <v>77</v>
      </c>
      <c r="K1354">
        <v>87.2</v>
      </c>
      <c r="L1354">
        <v>69.8</v>
      </c>
      <c r="M1354">
        <v>78.8</v>
      </c>
      <c r="N1354">
        <v>70.099999999999994</v>
      </c>
      <c r="O1354">
        <v>79.7</v>
      </c>
      <c r="S1354">
        <f t="shared" si="213"/>
        <v>1</v>
      </c>
      <c r="T1354">
        <f t="shared" si="214"/>
        <v>1</v>
      </c>
      <c r="U1354">
        <f t="shared" si="215"/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20.8</v>
      </c>
      <c r="AG1354">
        <f t="shared" si="216"/>
        <v>1</v>
      </c>
      <c r="AH1354">
        <f t="shared" si="217"/>
        <v>1</v>
      </c>
      <c r="AI1354">
        <f t="shared" si="218"/>
        <v>0</v>
      </c>
      <c r="AJ1354">
        <v>313.7</v>
      </c>
      <c r="AK1354">
        <v>1011.4</v>
      </c>
      <c r="AL1354">
        <v>20.2</v>
      </c>
      <c r="AM1354">
        <v>6.5</v>
      </c>
      <c r="AN1354">
        <v>273.39999999999998</v>
      </c>
      <c r="AO1354">
        <v>23.7</v>
      </c>
      <c r="AP1354">
        <v>9</v>
      </c>
      <c r="AQ1354">
        <v>0</v>
      </c>
      <c r="AR1354" t="s">
        <v>4558</v>
      </c>
      <c r="AS1354" t="s">
        <v>4559</v>
      </c>
      <c r="AT1354">
        <v>0.11</v>
      </c>
      <c r="AU1354" t="s">
        <v>43</v>
      </c>
      <c r="AV1354" t="s">
        <v>44</v>
      </c>
      <c r="AW1354" t="s">
        <v>45</v>
      </c>
      <c r="AX1354" t="s">
        <v>2651</v>
      </c>
      <c r="AY1354" t="s">
        <v>4560</v>
      </c>
      <c r="AZ1354">
        <v>235.00000000116421</v>
      </c>
      <c r="BA1354">
        <v>0</v>
      </c>
      <c r="BB1354">
        <v>0</v>
      </c>
      <c r="BC1354">
        <v>2</v>
      </c>
      <c r="BD1354">
        <v>0</v>
      </c>
      <c r="BE1354">
        <f t="shared" si="219"/>
        <v>1</v>
      </c>
    </row>
    <row r="1355" spans="1:57" x14ac:dyDescent="0.25">
      <c r="A1355" t="s">
        <v>39</v>
      </c>
      <c r="B1355" t="s">
        <v>4561</v>
      </c>
      <c r="C1355">
        <v>84.2</v>
      </c>
      <c r="D1355">
        <v>68</v>
      </c>
      <c r="G1355">
        <f t="shared" si="210"/>
        <v>1</v>
      </c>
      <c r="H1355">
        <f t="shared" si="211"/>
        <v>1</v>
      </c>
      <c r="I1355">
        <f t="shared" si="212"/>
        <v>0</v>
      </c>
      <c r="J1355">
        <v>77.599999999999994</v>
      </c>
      <c r="K1355">
        <v>87.4</v>
      </c>
      <c r="L1355">
        <v>68</v>
      </c>
      <c r="M1355">
        <v>78.400000000000006</v>
      </c>
      <c r="N1355">
        <v>64.2</v>
      </c>
      <c r="O1355">
        <v>64.099999999999994</v>
      </c>
      <c r="S1355">
        <f t="shared" si="213"/>
        <v>0</v>
      </c>
      <c r="T1355">
        <f t="shared" si="214"/>
        <v>0</v>
      </c>
      <c r="U1355">
        <f t="shared" si="215"/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25.3</v>
      </c>
      <c r="AC1355">
        <v>20.8</v>
      </c>
      <c r="AG1355">
        <f t="shared" si="216"/>
        <v>1</v>
      </c>
      <c r="AH1355">
        <f t="shared" si="217"/>
        <v>1</v>
      </c>
      <c r="AI1355">
        <f t="shared" si="218"/>
        <v>0</v>
      </c>
      <c r="AJ1355">
        <v>309.8</v>
      </c>
      <c r="AK1355">
        <v>1013.5</v>
      </c>
      <c r="AL1355">
        <v>0</v>
      </c>
      <c r="AM1355">
        <v>6.2</v>
      </c>
      <c r="AN1355">
        <v>286.8</v>
      </c>
      <c r="AO1355">
        <v>24.8</v>
      </c>
      <c r="AP1355">
        <v>9</v>
      </c>
      <c r="AQ1355">
        <v>0</v>
      </c>
      <c r="AR1355" t="s">
        <v>4562</v>
      </c>
      <c r="AS1355" t="s">
        <v>4563</v>
      </c>
      <c r="AT1355">
        <v>0.28999999999999998</v>
      </c>
      <c r="AU1355" t="s">
        <v>74</v>
      </c>
      <c r="AV1355" t="s">
        <v>2955</v>
      </c>
      <c r="AW1355" t="s">
        <v>75</v>
      </c>
      <c r="AX1355" t="s">
        <v>4564</v>
      </c>
      <c r="AY1355" t="s">
        <v>4565</v>
      </c>
      <c r="AZ1355">
        <v>59.99999999650754</v>
      </c>
      <c r="BA1355">
        <v>0</v>
      </c>
      <c r="BB1355">
        <v>0</v>
      </c>
      <c r="BC1355">
        <v>0.2</v>
      </c>
      <c r="BD1355">
        <v>0</v>
      </c>
      <c r="BE1355">
        <f t="shared" si="219"/>
        <v>0</v>
      </c>
    </row>
    <row r="1356" spans="1:57" x14ac:dyDescent="0.25">
      <c r="A1356" t="s">
        <v>39</v>
      </c>
      <c r="B1356" t="s">
        <v>4308</v>
      </c>
      <c r="C1356">
        <v>77.099999999999994</v>
      </c>
      <c r="D1356">
        <v>60.8</v>
      </c>
      <c r="G1356">
        <f t="shared" si="210"/>
        <v>1</v>
      </c>
      <c r="H1356">
        <f t="shared" si="211"/>
        <v>1</v>
      </c>
      <c r="I1356">
        <f t="shared" si="212"/>
        <v>0</v>
      </c>
      <c r="J1356">
        <v>68.8</v>
      </c>
      <c r="K1356">
        <v>77.099999999999994</v>
      </c>
      <c r="L1356">
        <v>60.8</v>
      </c>
      <c r="M1356">
        <v>68.8</v>
      </c>
      <c r="N1356">
        <v>58.7</v>
      </c>
      <c r="O1356">
        <v>71.400000000000006</v>
      </c>
      <c r="S1356">
        <f t="shared" si="213"/>
        <v>1</v>
      </c>
      <c r="T1356">
        <f t="shared" si="214"/>
        <v>1</v>
      </c>
      <c r="U1356">
        <f t="shared" si="215"/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8.1</v>
      </c>
      <c r="AG1356">
        <f t="shared" si="216"/>
        <v>1</v>
      </c>
      <c r="AH1356">
        <f t="shared" si="217"/>
        <v>0</v>
      </c>
      <c r="AI1356">
        <f t="shared" si="218"/>
        <v>1</v>
      </c>
      <c r="AJ1356">
        <v>241.7</v>
      </c>
      <c r="AK1356">
        <v>1019</v>
      </c>
      <c r="AL1356">
        <v>17.8</v>
      </c>
      <c r="AM1356">
        <v>6.4</v>
      </c>
      <c r="AN1356">
        <v>229.4</v>
      </c>
      <c r="AO1356">
        <v>19.899999999999999</v>
      </c>
      <c r="AP1356">
        <v>8</v>
      </c>
      <c r="AQ1356">
        <v>0</v>
      </c>
      <c r="AR1356" t="s">
        <v>4309</v>
      </c>
      <c r="AS1356" t="s">
        <v>4310</v>
      </c>
      <c r="AT1356">
        <v>0.3</v>
      </c>
      <c r="AU1356" t="s">
        <v>74</v>
      </c>
      <c r="AV1356" t="s">
        <v>2955</v>
      </c>
      <c r="AW1356" t="s">
        <v>75</v>
      </c>
      <c r="AX1356" t="s">
        <v>2555</v>
      </c>
      <c r="AY1356" t="s">
        <v>4566</v>
      </c>
      <c r="AZ1356">
        <v>100.0000000011642</v>
      </c>
      <c r="BA1356">
        <v>0</v>
      </c>
      <c r="BB1356">
        <v>0</v>
      </c>
      <c r="BC1356">
        <v>0.1</v>
      </c>
      <c r="BD1356">
        <v>0</v>
      </c>
      <c r="BE1356">
        <f t="shared" si="219"/>
        <v>1</v>
      </c>
    </row>
    <row r="1357" spans="1:57" x14ac:dyDescent="0.25">
      <c r="A1357" t="s">
        <v>39</v>
      </c>
      <c r="B1357" t="s">
        <v>4017</v>
      </c>
      <c r="C1357">
        <v>55.4</v>
      </c>
      <c r="D1357">
        <v>40</v>
      </c>
      <c r="G1357">
        <f t="shared" si="210"/>
        <v>1</v>
      </c>
      <c r="H1357">
        <f t="shared" si="211"/>
        <v>0</v>
      </c>
      <c r="I1357">
        <f t="shared" si="212"/>
        <v>1</v>
      </c>
      <c r="J1357">
        <v>49.9</v>
      </c>
      <c r="K1357">
        <v>55.4</v>
      </c>
      <c r="L1357">
        <v>36.5</v>
      </c>
      <c r="M1357">
        <v>48.8</v>
      </c>
      <c r="N1357">
        <v>37</v>
      </c>
      <c r="O1357">
        <v>61.3</v>
      </c>
      <c r="S1357">
        <f t="shared" si="213"/>
        <v>1</v>
      </c>
      <c r="T1357">
        <f t="shared" si="214"/>
        <v>0</v>
      </c>
      <c r="U1357">
        <f t="shared" si="215"/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18.3</v>
      </c>
      <c r="AG1357">
        <f t="shared" si="216"/>
        <v>0</v>
      </c>
      <c r="AH1357">
        <f t="shared" si="217"/>
        <v>0</v>
      </c>
      <c r="AI1357">
        <f t="shared" si="218"/>
        <v>0</v>
      </c>
      <c r="AJ1357">
        <v>329.7</v>
      </c>
      <c r="AK1357">
        <v>1020.3</v>
      </c>
      <c r="AL1357">
        <v>66.7</v>
      </c>
      <c r="AM1357">
        <v>6.6</v>
      </c>
      <c r="AN1357">
        <v>236.8</v>
      </c>
      <c r="AO1357">
        <v>20.399999999999999</v>
      </c>
      <c r="AP1357">
        <v>8</v>
      </c>
      <c r="AQ1357">
        <v>0</v>
      </c>
      <c r="AR1357" t="s">
        <v>4018</v>
      </c>
      <c r="AS1357" t="s">
        <v>4019</v>
      </c>
      <c r="AT1357">
        <v>0.22</v>
      </c>
      <c r="AU1357" t="s">
        <v>43</v>
      </c>
      <c r="AV1357" t="s">
        <v>44</v>
      </c>
      <c r="AW1357" t="s">
        <v>45</v>
      </c>
      <c r="AX1357" t="s">
        <v>4054</v>
      </c>
      <c r="AY1357" t="s">
        <v>4567</v>
      </c>
      <c r="AZ1357">
        <v>105.9999999997672</v>
      </c>
      <c r="BA1357">
        <v>0</v>
      </c>
      <c r="BB1357">
        <v>0</v>
      </c>
      <c r="BC1357">
        <v>4</v>
      </c>
      <c r="BD1357">
        <v>0</v>
      </c>
      <c r="BE1357">
        <f t="shared" si="219"/>
        <v>0</v>
      </c>
    </row>
    <row r="1358" spans="1:57" x14ac:dyDescent="0.25">
      <c r="A1358" t="s">
        <v>39</v>
      </c>
      <c r="B1358" t="s">
        <v>4568</v>
      </c>
      <c r="C1358">
        <v>69.8</v>
      </c>
      <c r="D1358">
        <v>58.9</v>
      </c>
      <c r="G1358">
        <f t="shared" si="210"/>
        <v>1</v>
      </c>
      <c r="H1358">
        <f t="shared" si="211"/>
        <v>1</v>
      </c>
      <c r="I1358">
        <f t="shared" si="212"/>
        <v>0</v>
      </c>
      <c r="J1358">
        <v>63.5</v>
      </c>
      <c r="K1358">
        <v>69.8</v>
      </c>
      <c r="L1358">
        <v>58.9</v>
      </c>
      <c r="M1358">
        <v>63.5</v>
      </c>
      <c r="N1358">
        <v>55.5</v>
      </c>
      <c r="O1358">
        <v>78.5</v>
      </c>
      <c r="S1358">
        <f t="shared" si="213"/>
        <v>1</v>
      </c>
      <c r="T1358">
        <f t="shared" si="214"/>
        <v>1</v>
      </c>
      <c r="U1358">
        <f t="shared" si="215"/>
        <v>0</v>
      </c>
      <c r="V1358">
        <v>0.02</v>
      </c>
      <c r="W1358">
        <v>100</v>
      </c>
      <c r="X1358">
        <v>4.17</v>
      </c>
      <c r="Y1358" t="s">
        <v>103</v>
      </c>
      <c r="Z1358">
        <v>0</v>
      </c>
      <c r="AA1358">
        <v>0</v>
      </c>
      <c r="AB1358">
        <v>0</v>
      </c>
      <c r="AC1358">
        <v>17.2</v>
      </c>
      <c r="AG1358">
        <f t="shared" si="216"/>
        <v>0</v>
      </c>
      <c r="AH1358">
        <f t="shared" si="217"/>
        <v>0</v>
      </c>
      <c r="AI1358">
        <f t="shared" si="218"/>
        <v>0</v>
      </c>
      <c r="AJ1358">
        <v>93.2</v>
      </c>
      <c r="AK1358">
        <v>1011.3</v>
      </c>
      <c r="AL1358">
        <v>82.7</v>
      </c>
      <c r="AM1358">
        <v>6.6</v>
      </c>
      <c r="AN1358">
        <v>264.89999999999998</v>
      </c>
      <c r="AO1358">
        <v>22.9</v>
      </c>
      <c r="AP1358">
        <v>9</v>
      </c>
      <c r="AQ1358">
        <v>0</v>
      </c>
      <c r="AR1358" t="s">
        <v>4569</v>
      </c>
      <c r="AS1358" t="s">
        <v>4570</v>
      </c>
      <c r="AT1358">
        <v>0.47</v>
      </c>
      <c r="AU1358" t="s">
        <v>106</v>
      </c>
      <c r="AV1358" t="s">
        <v>296</v>
      </c>
      <c r="AW1358" t="s">
        <v>103</v>
      </c>
      <c r="AX1358" t="s">
        <v>4571</v>
      </c>
      <c r="AY1358" t="s">
        <v>4572</v>
      </c>
      <c r="AZ1358">
        <v>55.000000001164153</v>
      </c>
      <c r="BA1358">
        <v>0</v>
      </c>
      <c r="BB1358">
        <v>0</v>
      </c>
      <c r="BC1358">
        <v>0.3</v>
      </c>
      <c r="BD1358">
        <v>0</v>
      </c>
      <c r="BE1358">
        <f t="shared" si="219"/>
        <v>0</v>
      </c>
    </row>
    <row r="1359" spans="1:57" x14ac:dyDescent="0.25">
      <c r="A1359" t="s">
        <v>39</v>
      </c>
      <c r="B1359" t="s">
        <v>4573</v>
      </c>
      <c r="C1359">
        <v>73.400000000000006</v>
      </c>
      <c r="D1359">
        <v>60.8</v>
      </c>
      <c r="G1359">
        <f t="shared" si="210"/>
        <v>0</v>
      </c>
      <c r="H1359">
        <f t="shared" si="211"/>
        <v>0</v>
      </c>
      <c r="I1359">
        <f t="shared" si="212"/>
        <v>0</v>
      </c>
      <c r="J1359">
        <v>68</v>
      </c>
      <c r="K1359">
        <v>73.400000000000006</v>
      </c>
      <c r="L1359">
        <v>60.8</v>
      </c>
      <c r="M1359">
        <v>68</v>
      </c>
      <c r="N1359">
        <v>61.6</v>
      </c>
      <c r="O1359">
        <v>80.3</v>
      </c>
      <c r="S1359">
        <f t="shared" si="213"/>
        <v>1</v>
      </c>
      <c r="T1359">
        <f t="shared" si="214"/>
        <v>1</v>
      </c>
      <c r="U1359">
        <f t="shared" si="215"/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10.3</v>
      </c>
      <c r="AG1359">
        <f t="shared" si="216"/>
        <v>1</v>
      </c>
      <c r="AH1359">
        <f t="shared" si="217"/>
        <v>0</v>
      </c>
      <c r="AI1359">
        <f t="shared" si="218"/>
        <v>1</v>
      </c>
      <c r="AJ1359">
        <v>312.60000000000002</v>
      </c>
      <c r="AK1359">
        <v>1014.8</v>
      </c>
      <c r="AL1359">
        <v>75.5</v>
      </c>
      <c r="AM1359">
        <v>6.6</v>
      </c>
      <c r="AN1359">
        <v>297.89999999999998</v>
      </c>
      <c r="AO1359">
        <v>25.7</v>
      </c>
      <c r="AP1359">
        <v>10</v>
      </c>
      <c r="AQ1359">
        <v>0</v>
      </c>
      <c r="AR1359" t="s">
        <v>4574</v>
      </c>
      <c r="AS1359" t="s">
        <v>4575</v>
      </c>
      <c r="AT1359">
        <v>0.69</v>
      </c>
      <c r="AU1359" t="s">
        <v>43</v>
      </c>
      <c r="AV1359" t="s">
        <v>44</v>
      </c>
      <c r="AW1359" t="s">
        <v>45</v>
      </c>
      <c r="AX1359" t="s">
        <v>4409</v>
      </c>
      <c r="AY1359" t="s">
        <v>4576</v>
      </c>
      <c r="AZ1359">
        <v>223.00000000395809</v>
      </c>
      <c r="BA1359">
        <v>0</v>
      </c>
      <c r="BB1359">
        <v>0</v>
      </c>
      <c r="BC1359">
        <v>1</v>
      </c>
      <c r="BD1359">
        <v>0</v>
      </c>
      <c r="BE1359">
        <f t="shared" si="219"/>
        <v>0</v>
      </c>
    </row>
    <row r="1360" spans="1:57" x14ac:dyDescent="0.25">
      <c r="A1360" t="s">
        <v>39</v>
      </c>
      <c r="B1360" t="s">
        <v>4250</v>
      </c>
      <c r="C1360">
        <v>84.2</v>
      </c>
      <c r="D1360">
        <v>78.8</v>
      </c>
      <c r="G1360">
        <f t="shared" si="210"/>
        <v>0</v>
      </c>
      <c r="H1360">
        <f t="shared" si="211"/>
        <v>0</v>
      </c>
      <c r="I1360">
        <f t="shared" si="212"/>
        <v>0</v>
      </c>
      <c r="J1360">
        <v>81</v>
      </c>
      <c r="K1360">
        <v>89.6</v>
      </c>
      <c r="L1360">
        <v>78.8</v>
      </c>
      <c r="M1360">
        <v>83.4</v>
      </c>
      <c r="N1360">
        <v>68.8</v>
      </c>
      <c r="O1360">
        <v>66.7</v>
      </c>
      <c r="S1360">
        <f t="shared" si="213"/>
        <v>1</v>
      </c>
      <c r="T1360">
        <f t="shared" si="214"/>
        <v>1</v>
      </c>
      <c r="U1360">
        <f t="shared" si="215"/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21.9</v>
      </c>
      <c r="AG1360">
        <f t="shared" si="216"/>
        <v>1</v>
      </c>
      <c r="AH1360">
        <f t="shared" si="217"/>
        <v>1</v>
      </c>
      <c r="AI1360">
        <f t="shared" si="218"/>
        <v>0</v>
      </c>
      <c r="AJ1360">
        <v>302</v>
      </c>
      <c r="AK1360">
        <v>1007.4</v>
      </c>
      <c r="AL1360">
        <v>0.3</v>
      </c>
      <c r="AM1360">
        <v>6.2</v>
      </c>
      <c r="AN1360">
        <v>346.9</v>
      </c>
      <c r="AO1360">
        <v>29.8</v>
      </c>
      <c r="AP1360">
        <v>10</v>
      </c>
      <c r="AQ1360">
        <v>0</v>
      </c>
      <c r="AR1360" t="s">
        <v>4251</v>
      </c>
      <c r="AS1360" t="s">
        <v>4252</v>
      </c>
      <c r="AT1360">
        <v>0.43</v>
      </c>
      <c r="AU1360" t="s">
        <v>74</v>
      </c>
      <c r="AV1360" t="s">
        <v>2955</v>
      </c>
      <c r="AW1360" t="s">
        <v>75</v>
      </c>
      <c r="AX1360" t="s">
        <v>4357</v>
      </c>
      <c r="AY1360" t="s">
        <v>4577</v>
      </c>
      <c r="AZ1360">
        <v>465.00000000698492</v>
      </c>
      <c r="BA1360">
        <v>1</v>
      </c>
      <c r="BB1360">
        <v>0</v>
      </c>
      <c r="BC1360">
        <v>4.5</v>
      </c>
      <c r="BD1360">
        <v>0</v>
      </c>
      <c r="BE1360">
        <f t="shared" si="219"/>
        <v>1</v>
      </c>
    </row>
    <row r="1361" spans="1:57" x14ac:dyDescent="0.25">
      <c r="A1361" t="s">
        <v>39</v>
      </c>
      <c r="B1361" t="s">
        <v>4476</v>
      </c>
      <c r="C1361">
        <v>87.8</v>
      </c>
      <c r="D1361">
        <v>71.599999999999994</v>
      </c>
      <c r="G1361">
        <f t="shared" si="210"/>
        <v>1</v>
      </c>
      <c r="H1361">
        <f t="shared" si="211"/>
        <v>1</v>
      </c>
      <c r="I1361">
        <f t="shared" si="212"/>
        <v>0</v>
      </c>
      <c r="J1361">
        <v>80.5</v>
      </c>
      <c r="K1361">
        <v>95.9</v>
      </c>
      <c r="L1361">
        <v>71.599999999999994</v>
      </c>
      <c r="M1361">
        <v>83.8</v>
      </c>
      <c r="N1361">
        <v>69</v>
      </c>
      <c r="O1361">
        <v>68.599999999999994</v>
      </c>
      <c r="S1361">
        <f t="shared" si="213"/>
        <v>1</v>
      </c>
      <c r="T1361">
        <f t="shared" si="214"/>
        <v>1</v>
      </c>
      <c r="U1361">
        <f t="shared" si="215"/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19.5</v>
      </c>
      <c r="AG1361">
        <f t="shared" si="216"/>
        <v>1</v>
      </c>
      <c r="AH1361">
        <f t="shared" si="217"/>
        <v>1</v>
      </c>
      <c r="AI1361">
        <f t="shared" si="218"/>
        <v>0</v>
      </c>
      <c r="AJ1361">
        <v>306.39999999999998</v>
      </c>
      <c r="AK1361">
        <v>1005.8</v>
      </c>
      <c r="AL1361">
        <v>0</v>
      </c>
      <c r="AM1361">
        <v>6.2</v>
      </c>
      <c r="AN1361">
        <v>352.8</v>
      </c>
      <c r="AO1361">
        <v>30.5</v>
      </c>
      <c r="AP1361">
        <v>10</v>
      </c>
      <c r="AQ1361">
        <v>0</v>
      </c>
      <c r="AR1361" t="s">
        <v>4477</v>
      </c>
      <c r="AS1361" t="s">
        <v>4478</v>
      </c>
      <c r="AT1361">
        <v>0.63</v>
      </c>
      <c r="AU1361" t="s">
        <v>74</v>
      </c>
      <c r="AV1361" t="s">
        <v>2955</v>
      </c>
      <c r="AW1361" t="s">
        <v>75</v>
      </c>
      <c r="AX1361" t="s">
        <v>2735</v>
      </c>
      <c r="AY1361" t="s">
        <v>4578</v>
      </c>
      <c r="AZ1361">
        <v>145.00000000116421</v>
      </c>
      <c r="BA1361">
        <v>0</v>
      </c>
      <c r="BB1361">
        <v>0</v>
      </c>
      <c r="BC1361">
        <v>0.5</v>
      </c>
      <c r="BD1361">
        <v>0</v>
      </c>
      <c r="BE1361">
        <f t="shared" si="219"/>
        <v>1</v>
      </c>
    </row>
    <row r="1362" spans="1:57" x14ac:dyDescent="0.25">
      <c r="A1362" t="s">
        <v>39</v>
      </c>
      <c r="B1362" t="s">
        <v>4579</v>
      </c>
      <c r="C1362">
        <v>86</v>
      </c>
      <c r="D1362">
        <v>69.8</v>
      </c>
      <c r="G1362">
        <f t="shared" si="210"/>
        <v>1</v>
      </c>
      <c r="H1362">
        <f t="shared" si="211"/>
        <v>1</v>
      </c>
      <c r="I1362">
        <f t="shared" si="212"/>
        <v>0</v>
      </c>
      <c r="J1362">
        <v>78.5</v>
      </c>
      <c r="K1362">
        <v>93.5</v>
      </c>
      <c r="L1362">
        <v>69.8</v>
      </c>
      <c r="M1362">
        <v>81.8</v>
      </c>
      <c r="N1362">
        <v>71.2</v>
      </c>
      <c r="O1362">
        <v>79</v>
      </c>
      <c r="S1362">
        <f t="shared" si="213"/>
        <v>1</v>
      </c>
      <c r="T1362">
        <f t="shared" si="214"/>
        <v>1</v>
      </c>
      <c r="U1362">
        <f t="shared" si="215"/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13.9</v>
      </c>
      <c r="AG1362">
        <f t="shared" si="216"/>
        <v>1</v>
      </c>
      <c r="AH1362">
        <f t="shared" si="217"/>
        <v>0</v>
      </c>
      <c r="AI1362">
        <f t="shared" si="218"/>
        <v>1</v>
      </c>
      <c r="AJ1362">
        <v>10.4</v>
      </c>
      <c r="AK1362">
        <v>1007.4</v>
      </c>
      <c r="AL1362">
        <v>0</v>
      </c>
      <c r="AM1362">
        <v>6.2</v>
      </c>
      <c r="AN1362">
        <v>335.1</v>
      </c>
      <c r="AO1362">
        <v>28.9</v>
      </c>
      <c r="AP1362">
        <v>10</v>
      </c>
      <c r="AQ1362">
        <v>0</v>
      </c>
      <c r="AR1362" t="s">
        <v>4580</v>
      </c>
      <c r="AS1362" t="s">
        <v>4581</v>
      </c>
      <c r="AT1362">
        <v>0.06</v>
      </c>
      <c r="AU1362" t="s">
        <v>74</v>
      </c>
      <c r="AV1362" t="s">
        <v>2955</v>
      </c>
      <c r="AW1362" t="s">
        <v>75</v>
      </c>
      <c r="AX1362" t="s">
        <v>4582</v>
      </c>
      <c r="AY1362" t="s">
        <v>4583</v>
      </c>
      <c r="AZ1362">
        <v>153.0000000062864</v>
      </c>
      <c r="BA1362">
        <v>0</v>
      </c>
      <c r="BB1362">
        <v>0</v>
      </c>
      <c r="BC1362">
        <v>0.1</v>
      </c>
      <c r="BD1362">
        <v>0</v>
      </c>
      <c r="BE1362">
        <f t="shared" si="219"/>
        <v>1</v>
      </c>
    </row>
    <row r="1363" spans="1:57" x14ac:dyDescent="0.25">
      <c r="A1363" t="s">
        <v>39</v>
      </c>
      <c r="B1363" t="s">
        <v>4584</v>
      </c>
      <c r="C1363">
        <v>87.8</v>
      </c>
      <c r="D1363">
        <v>70.2</v>
      </c>
      <c r="G1363">
        <f t="shared" si="210"/>
        <v>1</v>
      </c>
      <c r="H1363">
        <f t="shared" si="211"/>
        <v>1</v>
      </c>
      <c r="I1363">
        <f t="shared" si="212"/>
        <v>0</v>
      </c>
      <c r="J1363">
        <v>79.599999999999994</v>
      </c>
      <c r="K1363">
        <v>94.2</v>
      </c>
      <c r="L1363">
        <v>70.2</v>
      </c>
      <c r="M1363">
        <v>82.9</v>
      </c>
      <c r="N1363">
        <v>68.599999999999994</v>
      </c>
      <c r="O1363">
        <v>69.5</v>
      </c>
      <c r="S1363">
        <f t="shared" si="213"/>
        <v>1</v>
      </c>
      <c r="T1363">
        <f t="shared" si="214"/>
        <v>1</v>
      </c>
      <c r="U1363">
        <f t="shared" si="215"/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20.8</v>
      </c>
      <c r="AG1363">
        <f t="shared" si="216"/>
        <v>1</v>
      </c>
      <c r="AH1363">
        <f t="shared" si="217"/>
        <v>1</v>
      </c>
      <c r="AI1363">
        <f t="shared" si="218"/>
        <v>0</v>
      </c>
      <c r="AJ1363">
        <v>325.5</v>
      </c>
      <c r="AK1363">
        <v>1005.6</v>
      </c>
      <c r="AL1363">
        <v>3.5</v>
      </c>
      <c r="AM1363">
        <v>6.3</v>
      </c>
      <c r="AN1363">
        <v>334.1</v>
      </c>
      <c r="AO1363">
        <v>28.8</v>
      </c>
      <c r="AP1363">
        <v>10</v>
      </c>
      <c r="AQ1363">
        <v>0</v>
      </c>
      <c r="AR1363" t="s">
        <v>4585</v>
      </c>
      <c r="AS1363" t="s">
        <v>4586</v>
      </c>
      <c r="AT1363">
        <v>0.38</v>
      </c>
      <c r="AU1363" t="s">
        <v>74</v>
      </c>
      <c r="AV1363" t="s">
        <v>2955</v>
      </c>
      <c r="AW1363" t="s">
        <v>75</v>
      </c>
      <c r="AX1363" t="s">
        <v>4587</v>
      </c>
      <c r="AY1363" t="s">
        <v>4588</v>
      </c>
      <c r="AZ1363">
        <v>402.00000000069849</v>
      </c>
      <c r="BA1363">
        <v>1</v>
      </c>
      <c r="BB1363">
        <v>0</v>
      </c>
      <c r="BC1363">
        <v>0.5</v>
      </c>
      <c r="BD1363">
        <v>0</v>
      </c>
      <c r="BE1363">
        <f t="shared" si="219"/>
        <v>1</v>
      </c>
    </row>
    <row r="1364" spans="1:57" x14ac:dyDescent="0.25">
      <c r="A1364" t="s">
        <v>39</v>
      </c>
      <c r="B1364" t="s">
        <v>4589</v>
      </c>
      <c r="C1364">
        <v>78.8</v>
      </c>
      <c r="D1364">
        <v>71.599999999999994</v>
      </c>
      <c r="G1364">
        <f t="shared" si="210"/>
        <v>0</v>
      </c>
      <c r="H1364">
        <f t="shared" si="211"/>
        <v>0</v>
      </c>
      <c r="I1364">
        <f t="shared" si="212"/>
        <v>0</v>
      </c>
      <c r="J1364">
        <v>75</v>
      </c>
      <c r="K1364">
        <v>78.8</v>
      </c>
      <c r="L1364">
        <v>71.599999999999994</v>
      </c>
      <c r="M1364">
        <v>75</v>
      </c>
      <c r="N1364">
        <v>64</v>
      </c>
      <c r="O1364">
        <v>69</v>
      </c>
      <c r="S1364">
        <f t="shared" si="213"/>
        <v>1</v>
      </c>
      <c r="T1364">
        <f t="shared" si="214"/>
        <v>1</v>
      </c>
      <c r="U1364">
        <f t="shared" si="215"/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20.8</v>
      </c>
      <c r="AG1364">
        <f t="shared" si="216"/>
        <v>1</v>
      </c>
      <c r="AH1364">
        <f t="shared" si="217"/>
        <v>1</v>
      </c>
      <c r="AI1364">
        <f t="shared" si="218"/>
        <v>0</v>
      </c>
      <c r="AJ1364">
        <v>308.39999999999998</v>
      </c>
      <c r="AK1364">
        <v>1014.7</v>
      </c>
      <c r="AL1364">
        <v>22.7</v>
      </c>
      <c r="AM1364">
        <v>6.5</v>
      </c>
      <c r="AN1364">
        <v>255.5</v>
      </c>
      <c r="AO1364">
        <v>22</v>
      </c>
      <c r="AP1364">
        <v>8</v>
      </c>
      <c r="AQ1364">
        <v>0</v>
      </c>
      <c r="AR1364" t="s">
        <v>4590</v>
      </c>
      <c r="AS1364" t="s">
        <v>4591</v>
      </c>
      <c r="AT1364">
        <v>0.93</v>
      </c>
      <c r="AU1364" t="s">
        <v>43</v>
      </c>
      <c r="AV1364" t="s">
        <v>44</v>
      </c>
      <c r="AW1364" t="s">
        <v>45</v>
      </c>
      <c r="AX1364" t="s">
        <v>4248</v>
      </c>
      <c r="AY1364" t="s">
        <v>4592</v>
      </c>
      <c r="AZ1364">
        <v>689.99999999650754</v>
      </c>
      <c r="BA1364">
        <v>1</v>
      </c>
      <c r="BB1364">
        <v>0</v>
      </c>
      <c r="BC1364">
        <v>4</v>
      </c>
      <c r="BD1364">
        <v>0</v>
      </c>
      <c r="BE1364">
        <f t="shared" si="219"/>
        <v>1</v>
      </c>
    </row>
    <row r="1365" spans="1:57" x14ac:dyDescent="0.25">
      <c r="A1365" t="s">
        <v>39</v>
      </c>
      <c r="B1365" t="s">
        <v>4593</v>
      </c>
      <c r="C1365">
        <v>64.400000000000006</v>
      </c>
      <c r="D1365">
        <v>55.4</v>
      </c>
      <c r="G1365">
        <f t="shared" si="210"/>
        <v>1</v>
      </c>
      <c r="H1365">
        <f t="shared" si="211"/>
        <v>0</v>
      </c>
      <c r="I1365">
        <f t="shared" si="212"/>
        <v>1</v>
      </c>
      <c r="J1365">
        <v>59.3</v>
      </c>
      <c r="K1365">
        <v>64.400000000000006</v>
      </c>
      <c r="L1365">
        <v>55.4</v>
      </c>
      <c r="M1365">
        <v>59.3</v>
      </c>
      <c r="N1365">
        <v>49.2</v>
      </c>
      <c r="O1365">
        <v>70</v>
      </c>
      <c r="S1365">
        <f t="shared" si="213"/>
        <v>1</v>
      </c>
      <c r="T1365">
        <f t="shared" si="214"/>
        <v>1</v>
      </c>
      <c r="U1365">
        <f t="shared" si="215"/>
        <v>0</v>
      </c>
      <c r="V1365">
        <v>0.27900000000000003</v>
      </c>
      <c r="W1365">
        <v>100</v>
      </c>
      <c r="X1365">
        <v>8.33</v>
      </c>
      <c r="Y1365" t="s">
        <v>103</v>
      </c>
      <c r="Z1365">
        <v>0</v>
      </c>
      <c r="AA1365">
        <v>0</v>
      </c>
      <c r="AB1365">
        <v>0</v>
      </c>
      <c r="AC1365">
        <v>17.2</v>
      </c>
      <c r="AG1365">
        <f t="shared" si="216"/>
        <v>0</v>
      </c>
      <c r="AH1365">
        <f t="shared" si="217"/>
        <v>0</v>
      </c>
      <c r="AI1365">
        <f t="shared" si="218"/>
        <v>0</v>
      </c>
      <c r="AJ1365">
        <v>334.7</v>
      </c>
      <c r="AK1365">
        <v>1020.5</v>
      </c>
      <c r="AL1365">
        <v>62.4</v>
      </c>
      <c r="AM1365">
        <v>6.6</v>
      </c>
      <c r="AN1365">
        <v>215.2</v>
      </c>
      <c r="AO1365">
        <v>18.5</v>
      </c>
      <c r="AP1365">
        <v>8</v>
      </c>
      <c r="AQ1365">
        <v>0</v>
      </c>
      <c r="AR1365" t="s">
        <v>4594</v>
      </c>
      <c r="AS1365" t="s">
        <v>4595</v>
      </c>
      <c r="AT1365">
        <v>0.71</v>
      </c>
      <c r="AU1365" t="s">
        <v>106</v>
      </c>
      <c r="AV1365" t="s">
        <v>107</v>
      </c>
      <c r="AW1365" t="s">
        <v>103</v>
      </c>
      <c r="AX1365" t="s">
        <v>4203</v>
      </c>
      <c r="AY1365" t="s">
        <v>4596</v>
      </c>
      <c r="AZ1365">
        <v>259.99999999883579</v>
      </c>
      <c r="BA1365">
        <v>0</v>
      </c>
      <c r="BB1365">
        <v>0</v>
      </c>
      <c r="BC1365">
        <v>0.5</v>
      </c>
      <c r="BD1365">
        <v>0</v>
      </c>
      <c r="BE1365">
        <f t="shared" si="219"/>
        <v>0</v>
      </c>
    </row>
    <row r="1366" spans="1:57" x14ac:dyDescent="0.25">
      <c r="A1366" t="s">
        <v>39</v>
      </c>
      <c r="B1366" t="s">
        <v>4597</v>
      </c>
      <c r="C1366">
        <v>68</v>
      </c>
      <c r="D1366">
        <v>59</v>
      </c>
      <c r="G1366">
        <f t="shared" si="210"/>
        <v>1</v>
      </c>
      <c r="H1366">
        <f t="shared" si="211"/>
        <v>1</v>
      </c>
      <c r="I1366">
        <f t="shared" si="212"/>
        <v>0</v>
      </c>
      <c r="J1366">
        <v>62.6</v>
      </c>
      <c r="K1366">
        <v>68</v>
      </c>
      <c r="L1366">
        <v>59</v>
      </c>
      <c r="M1366">
        <v>62.6</v>
      </c>
      <c r="N1366">
        <v>49.6</v>
      </c>
      <c r="O1366">
        <v>62.7</v>
      </c>
      <c r="S1366">
        <f t="shared" si="213"/>
        <v>1</v>
      </c>
      <c r="T1366">
        <f t="shared" si="214"/>
        <v>0</v>
      </c>
      <c r="U1366">
        <f t="shared" si="215"/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20.8</v>
      </c>
      <c r="AG1366">
        <f t="shared" si="216"/>
        <v>1</v>
      </c>
      <c r="AH1366">
        <f t="shared" si="217"/>
        <v>1</v>
      </c>
      <c r="AI1366">
        <f t="shared" si="218"/>
        <v>0</v>
      </c>
      <c r="AJ1366">
        <v>176.2</v>
      </c>
      <c r="AK1366">
        <v>1014.4</v>
      </c>
      <c r="AL1366">
        <v>77.7</v>
      </c>
      <c r="AM1366">
        <v>6.6</v>
      </c>
      <c r="AN1366">
        <v>69.900000000000006</v>
      </c>
      <c r="AO1366">
        <v>6</v>
      </c>
      <c r="AP1366">
        <v>3</v>
      </c>
      <c r="AQ1366">
        <v>0</v>
      </c>
      <c r="AR1366" t="s">
        <v>4598</v>
      </c>
      <c r="AS1366" t="s">
        <v>4599</v>
      </c>
      <c r="AT1366">
        <v>0.81</v>
      </c>
      <c r="AU1366" t="s">
        <v>43</v>
      </c>
      <c r="AV1366" t="s">
        <v>44</v>
      </c>
      <c r="AW1366" t="s">
        <v>45</v>
      </c>
      <c r="AX1366" t="s">
        <v>4600</v>
      </c>
      <c r="AY1366" t="s">
        <v>4601</v>
      </c>
      <c r="AZ1366">
        <v>153.0000000062864</v>
      </c>
      <c r="BA1366">
        <v>0</v>
      </c>
      <c r="BB1366">
        <v>0</v>
      </c>
      <c r="BC1366">
        <v>0.2</v>
      </c>
      <c r="BD1366">
        <v>0</v>
      </c>
      <c r="BE1366">
        <f t="shared" si="219"/>
        <v>1</v>
      </c>
    </row>
    <row r="1367" spans="1:57" x14ac:dyDescent="0.25">
      <c r="A1367" t="s">
        <v>39</v>
      </c>
      <c r="B1367" t="s">
        <v>4602</v>
      </c>
      <c r="C1367">
        <v>57.2</v>
      </c>
      <c r="D1367">
        <v>44.6</v>
      </c>
      <c r="G1367">
        <f t="shared" si="210"/>
        <v>0</v>
      </c>
      <c r="H1367">
        <f t="shared" si="211"/>
        <v>0</v>
      </c>
      <c r="I1367">
        <f t="shared" si="212"/>
        <v>0</v>
      </c>
      <c r="J1367">
        <v>50.3</v>
      </c>
      <c r="K1367">
        <v>57.2</v>
      </c>
      <c r="L1367">
        <v>40.700000000000003</v>
      </c>
      <c r="M1367">
        <v>48.6</v>
      </c>
      <c r="N1367">
        <v>42</v>
      </c>
      <c r="O1367">
        <v>73.5</v>
      </c>
      <c r="S1367">
        <f t="shared" si="213"/>
        <v>1</v>
      </c>
      <c r="T1367">
        <f t="shared" si="214"/>
        <v>1</v>
      </c>
      <c r="U1367">
        <f t="shared" si="215"/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10.3</v>
      </c>
      <c r="AG1367">
        <f t="shared" si="216"/>
        <v>1</v>
      </c>
      <c r="AH1367">
        <f t="shared" si="217"/>
        <v>0</v>
      </c>
      <c r="AI1367">
        <f t="shared" si="218"/>
        <v>1</v>
      </c>
      <c r="AJ1367">
        <v>218.4</v>
      </c>
      <c r="AK1367">
        <v>1024.4000000000001</v>
      </c>
      <c r="AL1367">
        <v>58</v>
      </c>
      <c r="AM1367">
        <v>6.6</v>
      </c>
      <c r="AN1367">
        <v>141.9</v>
      </c>
      <c r="AO1367">
        <v>12.5</v>
      </c>
      <c r="AP1367">
        <v>6</v>
      </c>
      <c r="AQ1367">
        <v>0</v>
      </c>
      <c r="AR1367" t="s">
        <v>4603</v>
      </c>
      <c r="AS1367" t="s">
        <v>4604</v>
      </c>
      <c r="AT1367">
        <v>0.31</v>
      </c>
      <c r="AU1367" t="s">
        <v>43</v>
      </c>
      <c r="AV1367" t="s">
        <v>44</v>
      </c>
      <c r="AW1367" t="s">
        <v>45</v>
      </c>
      <c r="AX1367" t="s">
        <v>2346</v>
      </c>
      <c r="AY1367" t="s">
        <v>4605</v>
      </c>
      <c r="AZ1367">
        <v>170.0000000093132</v>
      </c>
      <c r="BA1367">
        <v>0</v>
      </c>
      <c r="BB1367">
        <v>0</v>
      </c>
      <c r="BC1367">
        <v>4</v>
      </c>
      <c r="BD1367">
        <v>0</v>
      </c>
      <c r="BE1367">
        <f t="shared" si="219"/>
        <v>0</v>
      </c>
    </row>
    <row r="1368" spans="1:57" x14ac:dyDescent="0.25">
      <c r="A1368" t="s">
        <v>39</v>
      </c>
      <c r="B1368" t="s">
        <v>4602</v>
      </c>
      <c r="C1368">
        <v>57.2</v>
      </c>
      <c r="D1368">
        <v>44.6</v>
      </c>
      <c r="G1368">
        <f t="shared" si="210"/>
        <v>0</v>
      </c>
      <c r="H1368">
        <f t="shared" si="211"/>
        <v>0</v>
      </c>
      <c r="I1368">
        <f t="shared" si="212"/>
        <v>0</v>
      </c>
      <c r="J1368">
        <v>50.3</v>
      </c>
      <c r="K1368">
        <v>57.2</v>
      </c>
      <c r="L1368">
        <v>40.700000000000003</v>
      </c>
      <c r="M1368">
        <v>48.6</v>
      </c>
      <c r="N1368">
        <v>42</v>
      </c>
      <c r="O1368">
        <v>73.5</v>
      </c>
      <c r="S1368">
        <f t="shared" si="213"/>
        <v>1</v>
      </c>
      <c r="T1368">
        <f t="shared" si="214"/>
        <v>1</v>
      </c>
      <c r="U1368">
        <f t="shared" si="215"/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10.3</v>
      </c>
      <c r="AG1368">
        <f t="shared" si="216"/>
        <v>1</v>
      </c>
      <c r="AH1368">
        <f t="shared" si="217"/>
        <v>0</v>
      </c>
      <c r="AI1368">
        <f t="shared" si="218"/>
        <v>1</v>
      </c>
      <c r="AJ1368">
        <v>218.4</v>
      </c>
      <c r="AK1368">
        <v>1024.4000000000001</v>
      </c>
      <c r="AL1368">
        <v>58</v>
      </c>
      <c r="AM1368">
        <v>6.6</v>
      </c>
      <c r="AN1368">
        <v>141.9</v>
      </c>
      <c r="AO1368">
        <v>12.5</v>
      </c>
      <c r="AP1368">
        <v>6</v>
      </c>
      <c r="AQ1368">
        <v>0</v>
      </c>
      <c r="AR1368" t="s">
        <v>4603</v>
      </c>
      <c r="AS1368" t="s">
        <v>4604</v>
      </c>
      <c r="AT1368">
        <v>0.31</v>
      </c>
      <c r="AU1368" t="s">
        <v>43</v>
      </c>
      <c r="AV1368" t="s">
        <v>44</v>
      </c>
      <c r="AW1368" t="s">
        <v>45</v>
      </c>
      <c r="AX1368" t="s">
        <v>2443</v>
      </c>
      <c r="AY1368" t="s">
        <v>4606</v>
      </c>
      <c r="AZ1368">
        <v>104.9999999965075</v>
      </c>
      <c r="BA1368">
        <v>0</v>
      </c>
      <c r="BB1368">
        <v>0</v>
      </c>
      <c r="BC1368">
        <v>0.1</v>
      </c>
      <c r="BD1368">
        <v>0</v>
      </c>
      <c r="BE1368">
        <f t="shared" si="219"/>
        <v>0</v>
      </c>
    </row>
    <row r="1369" spans="1:57" x14ac:dyDescent="0.25">
      <c r="A1369" t="s">
        <v>39</v>
      </c>
      <c r="B1369" t="s">
        <v>4607</v>
      </c>
      <c r="C1369">
        <v>66.2</v>
      </c>
      <c r="D1369">
        <v>50</v>
      </c>
      <c r="G1369">
        <f t="shared" si="210"/>
        <v>1</v>
      </c>
      <c r="H1369">
        <f t="shared" si="211"/>
        <v>1</v>
      </c>
      <c r="I1369">
        <f t="shared" si="212"/>
        <v>0</v>
      </c>
      <c r="J1369">
        <v>57.1</v>
      </c>
      <c r="K1369">
        <v>66.2</v>
      </c>
      <c r="L1369">
        <v>50</v>
      </c>
      <c r="M1369">
        <v>57.1</v>
      </c>
      <c r="N1369">
        <v>47.2</v>
      </c>
      <c r="O1369">
        <v>70</v>
      </c>
      <c r="S1369">
        <f t="shared" si="213"/>
        <v>1</v>
      </c>
      <c r="T1369">
        <f t="shared" si="214"/>
        <v>1</v>
      </c>
      <c r="U1369">
        <f t="shared" si="215"/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12.8</v>
      </c>
      <c r="AG1369">
        <f t="shared" si="216"/>
        <v>1</v>
      </c>
      <c r="AH1369">
        <f t="shared" si="217"/>
        <v>0</v>
      </c>
      <c r="AI1369">
        <f t="shared" si="218"/>
        <v>1</v>
      </c>
      <c r="AJ1369">
        <v>207.9</v>
      </c>
      <c r="AK1369">
        <v>1015.8</v>
      </c>
      <c r="AL1369">
        <v>43.5</v>
      </c>
      <c r="AM1369">
        <v>6.6</v>
      </c>
      <c r="AN1369">
        <v>95.2</v>
      </c>
      <c r="AO1369">
        <v>8.3000000000000007</v>
      </c>
      <c r="AP1369">
        <v>5</v>
      </c>
      <c r="AQ1369">
        <v>0</v>
      </c>
      <c r="AR1369" t="s">
        <v>4608</v>
      </c>
      <c r="AS1369" t="s">
        <v>4609</v>
      </c>
      <c r="AT1369">
        <v>0.68</v>
      </c>
      <c r="AU1369" t="s">
        <v>43</v>
      </c>
      <c r="AV1369" t="s">
        <v>44</v>
      </c>
      <c r="AW1369" t="s">
        <v>45</v>
      </c>
      <c r="AX1369" t="s">
        <v>4610</v>
      </c>
      <c r="AY1369" t="s">
        <v>4611</v>
      </c>
      <c r="AZ1369">
        <v>400.99999999743892</v>
      </c>
      <c r="BA1369">
        <v>1</v>
      </c>
      <c r="BB1369">
        <v>0</v>
      </c>
      <c r="BC1369">
        <v>10</v>
      </c>
      <c r="BD1369">
        <v>0</v>
      </c>
      <c r="BE1369">
        <f t="shared" si="219"/>
        <v>1</v>
      </c>
    </row>
    <row r="1370" spans="1:57" x14ac:dyDescent="0.25">
      <c r="A1370" t="s">
        <v>39</v>
      </c>
      <c r="B1370" t="s">
        <v>4612</v>
      </c>
      <c r="C1370">
        <v>62.6</v>
      </c>
      <c r="D1370">
        <v>51.8</v>
      </c>
      <c r="G1370">
        <f t="shared" si="210"/>
        <v>0</v>
      </c>
      <c r="H1370">
        <f t="shared" si="211"/>
        <v>0</v>
      </c>
      <c r="I1370">
        <f t="shared" si="212"/>
        <v>0</v>
      </c>
      <c r="J1370">
        <v>57.7</v>
      </c>
      <c r="K1370">
        <v>62.6</v>
      </c>
      <c r="L1370">
        <v>51.8</v>
      </c>
      <c r="M1370">
        <v>57.7</v>
      </c>
      <c r="N1370">
        <v>53.7</v>
      </c>
      <c r="O1370">
        <v>86.5</v>
      </c>
      <c r="S1370">
        <f t="shared" si="213"/>
        <v>1</v>
      </c>
      <c r="T1370">
        <f t="shared" si="214"/>
        <v>1</v>
      </c>
      <c r="U1370">
        <f t="shared" si="215"/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15</v>
      </c>
      <c r="AG1370">
        <f t="shared" si="216"/>
        <v>1</v>
      </c>
      <c r="AH1370">
        <f t="shared" si="217"/>
        <v>0</v>
      </c>
      <c r="AI1370">
        <f t="shared" si="218"/>
        <v>1</v>
      </c>
      <c r="AJ1370">
        <v>48</v>
      </c>
      <c r="AK1370">
        <v>1020.7</v>
      </c>
      <c r="AL1370">
        <v>81.900000000000006</v>
      </c>
      <c r="AM1370">
        <v>6.5</v>
      </c>
      <c r="AN1370">
        <v>204.6</v>
      </c>
      <c r="AO1370">
        <v>17.600000000000001</v>
      </c>
      <c r="AP1370">
        <v>7</v>
      </c>
      <c r="AQ1370">
        <v>0</v>
      </c>
      <c r="AR1370" t="s">
        <v>4613</v>
      </c>
      <c r="AS1370" t="s">
        <v>4614</v>
      </c>
      <c r="AT1370">
        <v>0.56999999999999995</v>
      </c>
      <c r="AU1370" t="s">
        <v>43</v>
      </c>
      <c r="AV1370" t="s">
        <v>44</v>
      </c>
      <c r="AW1370" t="s">
        <v>45</v>
      </c>
      <c r="AX1370" t="s">
        <v>4190</v>
      </c>
      <c r="AY1370" t="s">
        <v>4615</v>
      </c>
      <c r="AZ1370">
        <v>55.000000001164153</v>
      </c>
      <c r="BA1370">
        <v>0</v>
      </c>
      <c r="BB1370">
        <v>0</v>
      </c>
      <c r="BC1370">
        <v>1</v>
      </c>
      <c r="BD1370">
        <v>0</v>
      </c>
      <c r="BE1370">
        <f t="shared" si="219"/>
        <v>0</v>
      </c>
    </row>
    <row r="1371" spans="1:57" x14ac:dyDescent="0.25">
      <c r="A1371" t="s">
        <v>39</v>
      </c>
      <c r="B1371" t="s">
        <v>4616</v>
      </c>
      <c r="C1371">
        <v>66.2</v>
      </c>
      <c r="D1371">
        <v>50</v>
      </c>
      <c r="G1371">
        <f t="shared" si="210"/>
        <v>1</v>
      </c>
      <c r="H1371">
        <f t="shared" si="211"/>
        <v>1</v>
      </c>
      <c r="I1371">
        <f t="shared" si="212"/>
        <v>0</v>
      </c>
      <c r="J1371">
        <v>58.3</v>
      </c>
      <c r="K1371">
        <v>66.2</v>
      </c>
      <c r="L1371">
        <v>50</v>
      </c>
      <c r="M1371">
        <v>58.3</v>
      </c>
      <c r="N1371">
        <v>51</v>
      </c>
      <c r="O1371">
        <v>77.400000000000006</v>
      </c>
      <c r="S1371">
        <f t="shared" si="213"/>
        <v>1</v>
      </c>
      <c r="T1371">
        <f t="shared" si="214"/>
        <v>1</v>
      </c>
      <c r="U1371">
        <f t="shared" si="215"/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17.2</v>
      </c>
      <c r="AG1371">
        <f t="shared" si="216"/>
        <v>0</v>
      </c>
      <c r="AH1371">
        <f t="shared" si="217"/>
        <v>0</v>
      </c>
      <c r="AI1371">
        <f t="shared" si="218"/>
        <v>0</v>
      </c>
      <c r="AJ1371">
        <v>292.5</v>
      </c>
      <c r="AK1371">
        <v>1027</v>
      </c>
      <c r="AL1371">
        <v>7.6</v>
      </c>
      <c r="AM1371">
        <v>6.3</v>
      </c>
      <c r="AN1371">
        <v>267.7</v>
      </c>
      <c r="AO1371">
        <v>23.1</v>
      </c>
      <c r="AP1371">
        <v>9</v>
      </c>
      <c r="AQ1371">
        <v>0</v>
      </c>
      <c r="AR1371" t="s">
        <v>4617</v>
      </c>
      <c r="AS1371" t="s">
        <v>4618</v>
      </c>
      <c r="AT1371">
        <v>0.96</v>
      </c>
      <c r="AU1371" t="s">
        <v>74</v>
      </c>
      <c r="AV1371" t="s">
        <v>2955</v>
      </c>
      <c r="AW1371" t="s">
        <v>75</v>
      </c>
      <c r="AX1371" t="s">
        <v>4339</v>
      </c>
      <c r="AY1371" t="s">
        <v>4619</v>
      </c>
      <c r="AZ1371">
        <v>309.99999999417918</v>
      </c>
      <c r="BA1371">
        <v>0</v>
      </c>
      <c r="BB1371">
        <v>0</v>
      </c>
      <c r="BC1371">
        <v>4</v>
      </c>
      <c r="BD1371">
        <v>0</v>
      </c>
      <c r="BE1371">
        <f t="shared" si="219"/>
        <v>0</v>
      </c>
    </row>
    <row r="1372" spans="1:57" x14ac:dyDescent="0.25">
      <c r="A1372" t="s">
        <v>39</v>
      </c>
      <c r="B1372" t="s">
        <v>4616</v>
      </c>
      <c r="C1372">
        <v>66.2</v>
      </c>
      <c r="D1372">
        <v>50</v>
      </c>
      <c r="G1372">
        <f t="shared" si="210"/>
        <v>1</v>
      </c>
      <c r="H1372">
        <f t="shared" si="211"/>
        <v>1</v>
      </c>
      <c r="I1372">
        <f t="shared" si="212"/>
        <v>0</v>
      </c>
      <c r="J1372">
        <v>58.3</v>
      </c>
      <c r="K1372">
        <v>66.2</v>
      </c>
      <c r="L1372">
        <v>50</v>
      </c>
      <c r="M1372">
        <v>58.3</v>
      </c>
      <c r="N1372">
        <v>51</v>
      </c>
      <c r="O1372">
        <v>77.400000000000006</v>
      </c>
      <c r="S1372">
        <f t="shared" si="213"/>
        <v>1</v>
      </c>
      <c r="T1372">
        <f t="shared" si="214"/>
        <v>1</v>
      </c>
      <c r="U1372">
        <f t="shared" si="215"/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17.2</v>
      </c>
      <c r="AG1372">
        <f t="shared" si="216"/>
        <v>0</v>
      </c>
      <c r="AH1372">
        <f t="shared" si="217"/>
        <v>0</v>
      </c>
      <c r="AI1372">
        <f t="shared" si="218"/>
        <v>0</v>
      </c>
      <c r="AJ1372">
        <v>292.5</v>
      </c>
      <c r="AK1372">
        <v>1027</v>
      </c>
      <c r="AL1372">
        <v>7.6</v>
      </c>
      <c r="AM1372">
        <v>6.3</v>
      </c>
      <c r="AN1372">
        <v>267.7</v>
      </c>
      <c r="AO1372">
        <v>23.1</v>
      </c>
      <c r="AP1372">
        <v>9</v>
      </c>
      <c r="AQ1372">
        <v>0</v>
      </c>
      <c r="AR1372" t="s">
        <v>4617</v>
      </c>
      <c r="AS1372" t="s">
        <v>4618</v>
      </c>
      <c r="AT1372">
        <v>0.96</v>
      </c>
      <c r="AU1372" t="s">
        <v>74</v>
      </c>
      <c r="AV1372" t="s">
        <v>2955</v>
      </c>
      <c r="AW1372" t="s">
        <v>75</v>
      </c>
      <c r="AX1372" t="s">
        <v>2428</v>
      </c>
      <c r="AY1372" t="s">
        <v>4620</v>
      </c>
      <c r="AZ1372">
        <v>349.99999999883579</v>
      </c>
      <c r="BA1372">
        <v>0</v>
      </c>
      <c r="BB1372">
        <v>0</v>
      </c>
      <c r="BC1372">
        <v>20</v>
      </c>
      <c r="BD1372">
        <v>0</v>
      </c>
      <c r="BE1372">
        <f t="shared" si="219"/>
        <v>0</v>
      </c>
    </row>
    <row r="1373" spans="1:57" x14ac:dyDescent="0.25">
      <c r="A1373" t="s">
        <v>39</v>
      </c>
      <c r="B1373" t="s">
        <v>4621</v>
      </c>
      <c r="C1373">
        <v>66.2</v>
      </c>
      <c r="D1373">
        <v>59</v>
      </c>
      <c r="G1373">
        <f t="shared" si="210"/>
        <v>1</v>
      </c>
      <c r="H1373">
        <f t="shared" si="211"/>
        <v>1</v>
      </c>
      <c r="I1373">
        <f t="shared" si="212"/>
        <v>0</v>
      </c>
      <c r="J1373">
        <v>61.7</v>
      </c>
      <c r="K1373">
        <v>66.2</v>
      </c>
      <c r="L1373">
        <v>59</v>
      </c>
      <c r="M1373">
        <v>61.7</v>
      </c>
      <c r="N1373">
        <v>50.7</v>
      </c>
      <c r="O1373">
        <v>67.5</v>
      </c>
      <c r="S1373">
        <f t="shared" si="213"/>
        <v>1</v>
      </c>
      <c r="T1373">
        <f t="shared" si="214"/>
        <v>1</v>
      </c>
      <c r="U1373">
        <f t="shared" si="215"/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18.3</v>
      </c>
      <c r="AG1373">
        <f t="shared" si="216"/>
        <v>0</v>
      </c>
      <c r="AH1373">
        <f t="shared" si="217"/>
        <v>0</v>
      </c>
      <c r="AI1373">
        <f t="shared" si="218"/>
        <v>0</v>
      </c>
      <c r="AJ1373">
        <v>310.2</v>
      </c>
      <c r="AK1373">
        <v>1025.0999999999999</v>
      </c>
      <c r="AL1373">
        <v>1</v>
      </c>
      <c r="AM1373">
        <v>6.2</v>
      </c>
      <c r="AN1373">
        <v>272</v>
      </c>
      <c r="AO1373">
        <v>23.3</v>
      </c>
      <c r="AP1373">
        <v>9</v>
      </c>
      <c r="AQ1373">
        <v>0</v>
      </c>
      <c r="AR1373" t="s">
        <v>4622</v>
      </c>
      <c r="AS1373" t="s">
        <v>4623</v>
      </c>
      <c r="AT1373">
        <v>0</v>
      </c>
      <c r="AU1373" t="s">
        <v>74</v>
      </c>
      <c r="AV1373" t="s">
        <v>2955</v>
      </c>
      <c r="AW1373" t="s">
        <v>75</v>
      </c>
      <c r="AX1373" t="s">
        <v>4624</v>
      </c>
      <c r="AY1373" t="s">
        <v>4625</v>
      </c>
      <c r="AZ1373">
        <v>1936.0000000032601</v>
      </c>
      <c r="BA1373">
        <v>1</v>
      </c>
      <c r="BB1373">
        <v>0</v>
      </c>
      <c r="BC1373">
        <v>25</v>
      </c>
      <c r="BD1373">
        <v>0</v>
      </c>
      <c r="BE1373">
        <f t="shared" si="219"/>
        <v>1</v>
      </c>
    </row>
    <row r="1374" spans="1:57" x14ac:dyDescent="0.25">
      <c r="A1374" t="s">
        <v>39</v>
      </c>
      <c r="B1374" t="s">
        <v>4626</v>
      </c>
      <c r="C1374">
        <v>64.400000000000006</v>
      </c>
      <c r="D1374">
        <v>50</v>
      </c>
      <c r="G1374">
        <f t="shared" si="210"/>
        <v>1</v>
      </c>
      <c r="H1374">
        <f t="shared" si="211"/>
        <v>1</v>
      </c>
      <c r="I1374">
        <f t="shared" si="212"/>
        <v>0</v>
      </c>
      <c r="J1374">
        <v>56.4</v>
      </c>
      <c r="K1374">
        <v>64.400000000000006</v>
      </c>
      <c r="L1374">
        <v>50</v>
      </c>
      <c r="M1374">
        <v>56.4</v>
      </c>
      <c r="N1374">
        <v>50.3</v>
      </c>
      <c r="O1374">
        <v>80.5</v>
      </c>
      <c r="S1374">
        <f t="shared" si="213"/>
        <v>1</v>
      </c>
      <c r="T1374">
        <f t="shared" si="214"/>
        <v>1</v>
      </c>
      <c r="U1374">
        <f t="shared" si="215"/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8.1</v>
      </c>
      <c r="AG1374">
        <f t="shared" si="216"/>
        <v>1</v>
      </c>
      <c r="AH1374">
        <f t="shared" si="217"/>
        <v>0</v>
      </c>
      <c r="AI1374">
        <f t="shared" si="218"/>
        <v>1</v>
      </c>
      <c r="AJ1374">
        <v>200.8</v>
      </c>
      <c r="AK1374">
        <v>1020.6</v>
      </c>
      <c r="AL1374">
        <v>68.7</v>
      </c>
      <c r="AM1374">
        <v>6.4</v>
      </c>
      <c r="AN1374">
        <v>208.9</v>
      </c>
      <c r="AO1374">
        <v>18.100000000000001</v>
      </c>
      <c r="AP1374">
        <v>7</v>
      </c>
      <c r="AQ1374">
        <v>0</v>
      </c>
      <c r="AR1374" t="s">
        <v>4627</v>
      </c>
      <c r="AS1374" t="s">
        <v>4628</v>
      </c>
      <c r="AT1374">
        <v>0.06</v>
      </c>
      <c r="AU1374" t="s">
        <v>43</v>
      </c>
      <c r="AV1374" t="s">
        <v>44</v>
      </c>
      <c r="AW1374" t="s">
        <v>45</v>
      </c>
      <c r="AX1374" t="s">
        <v>4290</v>
      </c>
      <c r="AY1374" t="s">
        <v>4629</v>
      </c>
      <c r="AZ1374">
        <v>319.99999999534339</v>
      </c>
      <c r="BA1374">
        <v>0</v>
      </c>
      <c r="BB1374">
        <v>0</v>
      </c>
      <c r="BC1374">
        <v>4</v>
      </c>
      <c r="BD1374">
        <v>0</v>
      </c>
      <c r="BE1374">
        <f t="shared" si="219"/>
        <v>1</v>
      </c>
    </row>
    <row r="1375" spans="1:57" x14ac:dyDescent="0.25">
      <c r="A1375" t="s">
        <v>39</v>
      </c>
      <c r="B1375" t="s">
        <v>4626</v>
      </c>
      <c r="C1375">
        <v>64.400000000000006</v>
      </c>
      <c r="D1375">
        <v>50</v>
      </c>
      <c r="G1375">
        <f t="shared" si="210"/>
        <v>1</v>
      </c>
      <c r="H1375">
        <f t="shared" si="211"/>
        <v>1</v>
      </c>
      <c r="I1375">
        <f t="shared" si="212"/>
        <v>0</v>
      </c>
      <c r="J1375">
        <v>56.4</v>
      </c>
      <c r="K1375">
        <v>64.400000000000006</v>
      </c>
      <c r="L1375">
        <v>50</v>
      </c>
      <c r="M1375">
        <v>56.4</v>
      </c>
      <c r="N1375">
        <v>50.3</v>
      </c>
      <c r="O1375">
        <v>80.5</v>
      </c>
      <c r="S1375">
        <f t="shared" si="213"/>
        <v>1</v>
      </c>
      <c r="T1375">
        <f t="shared" si="214"/>
        <v>1</v>
      </c>
      <c r="U1375">
        <f t="shared" si="215"/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8.1</v>
      </c>
      <c r="AG1375">
        <f t="shared" si="216"/>
        <v>1</v>
      </c>
      <c r="AH1375">
        <f t="shared" si="217"/>
        <v>0</v>
      </c>
      <c r="AI1375">
        <f t="shared" si="218"/>
        <v>1</v>
      </c>
      <c r="AJ1375">
        <v>200.8</v>
      </c>
      <c r="AK1375">
        <v>1020.6</v>
      </c>
      <c r="AL1375">
        <v>68.7</v>
      </c>
      <c r="AM1375">
        <v>6.4</v>
      </c>
      <c r="AN1375">
        <v>208.9</v>
      </c>
      <c r="AO1375">
        <v>18.100000000000001</v>
      </c>
      <c r="AP1375">
        <v>7</v>
      </c>
      <c r="AQ1375">
        <v>0</v>
      </c>
      <c r="AR1375" t="s">
        <v>4627</v>
      </c>
      <c r="AS1375" t="s">
        <v>4628</v>
      </c>
      <c r="AT1375">
        <v>0.06</v>
      </c>
      <c r="AU1375" t="s">
        <v>43</v>
      </c>
      <c r="AV1375" t="s">
        <v>44</v>
      </c>
      <c r="AW1375" t="s">
        <v>45</v>
      </c>
      <c r="AX1375" t="s">
        <v>2795</v>
      </c>
      <c r="AY1375" t="s">
        <v>4630</v>
      </c>
      <c r="AZ1375">
        <v>1665</v>
      </c>
      <c r="BA1375">
        <v>1</v>
      </c>
      <c r="BB1375">
        <v>0</v>
      </c>
      <c r="BC1375">
        <v>3</v>
      </c>
      <c r="BD1375">
        <v>0</v>
      </c>
      <c r="BE1375">
        <f t="shared" si="219"/>
        <v>1</v>
      </c>
    </row>
    <row r="1376" spans="1:57" x14ac:dyDescent="0.25">
      <c r="A1376" t="s">
        <v>39</v>
      </c>
      <c r="B1376" t="s">
        <v>4631</v>
      </c>
      <c r="C1376">
        <v>64.400000000000006</v>
      </c>
      <c r="D1376">
        <v>50</v>
      </c>
      <c r="G1376">
        <f t="shared" si="210"/>
        <v>1</v>
      </c>
      <c r="H1376">
        <f t="shared" si="211"/>
        <v>1</v>
      </c>
      <c r="I1376">
        <f t="shared" si="212"/>
        <v>0</v>
      </c>
      <c r="J1376">
        <v>56.8</v>
      </c>
      <c r="K1376">
        <v>64.400000000000006</v>
      </c>
      <c r="L1376">
        <v>50</v>
      </c>
      <c r="M1376">
        <v>56.8</v>
      </c>
      <c r="N1376">
        <v>50.2</v>
      </c>
      <c r="O1376">
        <v>79</v>
      </c>
      <c r="S1376">
        <f t="shared" si="213"/>
        <v>1</v>
      </c>
      <c r="T1376">
        <f t="shared" si="214"/>
        <v>1</v>
      </c>
      <c r="U1376">
        <f t="shared" si="215"/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9.1999999999999993</v>
      </c>
      <c r="AG1376">
        <f t="shared" si="216"/>
        <v>1</v>
      </c>
      <c r="AH1376">
        <f t="shared" si="217"/>
        <v>0</v>
      </c>
      <c r="AI1376">
        <f t="shared" si="218"/>
        <v>1</v>
      </c>
      <c r="AJ1376">
        <v>190.2</v>
      </c>
      <c r="AK1376">
        <v>1018.5</v>
      </c>
      <c r="AL1376">
        <v>36.799999999999997</v>
      </c>
      <c r="AM1376">
        <v>6.5</v>
      </c>
      <c r="AN1376">
        <v>255.5</v>
      </c>
      <c r="AO1376">
        <v>21.2</v>
      </c>
      <c r="AP1376">
        <v>9</v>
      </c>
      <c r="AQ1376">
        <v>0</v>
      </c>
      <c r="AR1376" t="s">
        <v>4632</v>
      </c>
      <c r="AS1376" t="s">
        <v>4633</v>
      </c>
      <c r="AT1376">
        <v>0.09</v>
      </c>
      <c r="AU1376" t="s">
        <v>43</v>
      </c>
      <c r="AV1376" t="s">
        <v>44</v>
      </c>
      <c r="AW1376" t="s">
        <v>45</v>
      </c>
      <c r="AX1376" t="s">
        <v>4634</v>
      </c>
      <c r="AY1376" t="s">
        <v>4635</v>
      </c>
      <c r="AZ1376">
        <v>71.000000000931323</v>
      </c>
      <c r="BA1376">
        <v>0</v>
      </c>
      <c r="BB1376">
        <v>0</v>
      </c>
      <c r="BC1376">
        <v>0</v>
      </c>
      <c r="BD1376">
        <v>0.5</v>
      </c>
      <c r="BE1376">
        <f t="shared" si="219"/>
        <v>1</v>
      </c>
    </row>
    <row r="1377" spans="1:57" x14ac:dyDescent="0.25">
      <c r="A1377" t="s">
        <v>39</v>
      </c>
      <c r="B1377" t="s">
        <v>4636</v>
      </c>
      <c r="C1377">
        <v>64.400000000000006</v>
      </c>
      <c r="D1377">
        <v>50</v>
      </c>
      <c r="G1377">
        <f t="shared" si="210"/>
        <v>1</v>
      </c>
      <c r="H1377">
        <f t="shared" si="211"/>
        <v>0</v>
      </c>
      <c r="I1377">
        <f t="shared" si="212"/>
        <v>1</v>
      </c>
      <c r="J1377">
        <v>57.7</v>
      </c>
      <c r="K1377">
        <v>64.400000000000006</v>
      </c>
      <c r="L1377">
        <v>50</v>
      </c>
      <c r="M1377">
        <v>57.7</v>
      </c>
      <c r="N1377">
        <v>50.2</v>
      </c>
      <c r="O1377">
        <v>76.900000000000006</v>
      </c>
      <c r="S1377">
        <f t="shared" si="213"/>
        <v>1</v>
      </c>
      <c r="T1377">
        <f t="shared" si="214"/>
        <v>1</v>
      </c>
      <c r="U1377">
        <f t="shared" si="215"/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9.1999999999999993</v>
      </c>
      <c r="AG1377">
        <f t="shared" si="216"/>
        <v>1</v>
      </c>
      <c r="AH1377">
        <f t="shared" si="217"/>
        <v>0</v>
      </c>
      <c r="AI1377">
        <f t="shared" si="218"/>
        <v>1</v>
      </c>
      <c r="AJ1377">
        <v>135.5</v>
      </c>
      <c r="AK1377">
        <v>1009.8</v>
      </c>
      <c r="AL1377">
        <v>30.3</v>
      </c>
      <c r="AM1377">
        <v>6.6</v>
      </c>
      <c r="AN1377">
        <v>270.10000000000002</v>
      </c>
      <c r="AO1377">
        <v>23.3</v>
      </c>
      <c r="AP1377">
        <v>9</v>
      </c>
      <c r="AQ1377">
        <v>0</v>
      </c>
      <c r="AR1377" t="s">
        <v>4637</v>
      </c>
      <c r="AS1377" t="s">
        <v>4638</v>
      </c>
      <c r="AT1377">
        <v>0.32</v>
      </c>
      <c r="AU1377" t="s">
        <v>43</v>
      </c>
      <c r="AV1377" t="s">
        <v>44</v>
      </c>
      <c r="AW1377" t="s">
        <v>45</v>
      </c>
      <c r="AX1377" t="s">
        <v>2631</v>
      </c>
      <c r="AY1377" t="s">
        <v>4639</v>
      </c>
      <c r="AZ1377">
        <v>1815.0000000069849</v>
      </c>
      <c r="BA1377">
        <v>1</v>
      </c>
      <c r="BB1377">
        <v>0</v>
      </c>
      <c r="BC1377">
        <v>25</v>
      </c>
      <c r="BD1377">
        <v>0</v>
      </c>
      <c r="BE1377">
        <f t="shared" si="219"/>
        <v>1</v>
      </c>
    </row>
    <row r="1378" spans="1:57" x14ac:dyDescent="0.25">
      <c r="A1378" t="s">
        <v>39</v>
      </c>
      <c r="B1378" t="s">
        <v>4640</v>
      </c>
      <c r="C1378">
        <v>66.2</v>
      </c>
      <c r="D1378">
        <v>51.8</v>
      </c>
      <c r="G1378">
        <f t="shared" si="210"/>
        <v>0</v>
      </c>
      <c r="H1378">
        <f t="shared" si="211"/>
        <v>0</v>
      </c>
      <c r="I1378">
        <f t="shared" si="212"/>
        <v>0</v>
      </c>
      <c r="J1378">
        <v>60.1</v>
      </c>
      <c r="K1378">
        <v>66.2</v>
      </c>
      <c r="L1378">
        <v>51.8</v>
      </c>
      <c r="M1378">
        <v>60.1</v>
      </c>
      <c r="N1378">
        <v>53</v>
      </c>
      <c r="O1378">
        <v>77.900000000000006</v>
      </c>
      <c r="S1378">
        <f t="shared" si="213"/>
        <v>1</v>
      </c>
      <c r="T1378">
        <f t="shared" si="214"/>
        <v>1</v>
      </c>
      <c r="U1378">
        <f t="shared" si="215"/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13.9</v>
      </c>
      <c r="AG1378">
        <f t="shared" si="216"/>
        <v>1</v>
      </c>
      <c r="AH1378">
        <f t="shared" si="217"/>
        <v>0</v>
      </c>
      <c r="AI1378">
        <f t="shared" si="218"/>
        <v>1</v>
      </c>
      <c r="AJ1378">
        <v>138.1</v>
      </c>
      <c r="AK1378">
        <v>1013.5</v>
      </c>
      <c r="AL1378">
        <v>44.2</v>
      </c>
      <c r="AM1378">
        <v>6.5</v>
      </c>
      <c r="AN1378">
        <v>285.8</v>
      </c>
      <c r="AO1378">
        <v>24.9</v>
      </c>
      <c r="AP1378">
        <v>9</v>
      </c>
      <c r="AQ1378">
        <v>0</v>
      </c>
      <c r="AR1378" t="s">
        <v>4641</v>
      </c>
      <c r="AS1378" t="s">
        <v>4642</v>
      </c>
      <c r="AT1378">
        <v>0.35</v>
      </c>
      <c r="AU1378" t="s">
        <v>43</v>
      </c>
      <c r="AV1378" t="s">
        <v>80</v>
      </c>
      <c r="AW1378" t="s">
        <v>45</v>
      </c>
      <c r="AX1378" t="s">
        <v>4643</v>
      </c>
      <c r="AY1378" t="s">
        <v>4644</v>
      </c>
      <c r="AZ1378">
        <v>1505.999999995111</v>
      </c>
      <c r="BA1378">
        <v>1</v>
      </c>
      <c r="BB1378">
        <v>0</v>
      </c>
      <c r="BC1378">
        <v>10</v>
      </c>
      <c r="BD1378">
        <v>0</v>
      </c>
      <c r="BE1378">
        <f t="shared" si="219"/>
        <v>0</v>
      </c>
    </row>
    <row r="1379" spans="1:57" x14ac:dyDescent="0.25">
      <c r="A1379" t="s">
        <v>39</v>
      </c>
      <c r="B1379" t="s">
        <v>4640</v>
      </c>
      <c r="C1379">
        <v>66.2</v>
      </c>
      <c r="D1379">
        <v>51.8</v>
      </c>
      <c r="G1379">
        <f t="shared" si="210"/>
        <v>0</v>
      </c>
      <c r="H1379">
        <f t="shared" si="211"/>
        <v>0</v>
      </c>
      <c r="I1379">
        <f t="shared" si="212"/>
        <v>0</v>
      </c>
      <c r="J1379">
        <v>60.1</v>
      </c>
      <c r="K1379">
        <v>66.2</v>
      </c>
      <c r="L1379">
        <v>51.8</v>
      </c>
      <c r="M1379">
        <v>60.1</v>
      </c>
      <c r="N1379">
        <v>53</v>
      </c>
      <c r="O1379">
        <v>77.900000000000006</v>
      </c>
      <c r="S1379">
        <f t="shared" si="213"/>
        <v>1</v>
      </c>
      <c r="T1379">
        <f t="shared" si="214"/>
        <v>1</v>
      </c>
      <c r="U1379">
        <f t="shared" si="215"/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13.9</v>
      </c>
      <c r="AG1379">
        <f t="shared" si="216"/>
        <v>1</v>
      </c>
      <c r="AH1379">
        <f t="shared" si="217"/>
        <v>0</v>
      </c>
      <c r="AI1379">
        <f t="shared" si="218"/>
        <v>1</v>
      </c>
      <c r="AJ1379">
        <v>138.1</v>
      </c>
      <c r="AK1379">
        <v>1013.5</v>
      </c>
      <c r="AL1379">
        <v>44.2</v>
      </c>
      <c r="AM1379">
        <v>6.5</v>
      </c>
      <c r="AN1379">
        <v>285.8</v>
      </c>
      <c r="AO1379">
        <v>24.9</v>
      </c>
      <c r="AP1379">
        <v>9</v>
      </c>
      <c r="AQ1379">
        <v>0</v>
      </c>
      <c r="AR1379" t="s">
        <v>4641</v>
      </c>
      <c r="AS1379" t="s">
        <v>4642</v>
      </c>
      <c r="AT1379">
        <v>0.35</v>
      </c>
      <c r="AU1379" t="s">
        <v>43</v>
      </c>
      <c r="AV1379" t="s">
        <v>80</v>
      </c>
      <c r="AW1379" t="s">
        <v>45</v>
      </c>
      <c r="AX1379" t="s">
        <v>4645</v>
      </c>
      <c r="AY1379" t="s">
        <v>4646</v>
      </c>
      <c r="AZ1379">
        <v>81.000000002095476</v>
      </c>
      <c r="BA1379">
        <v>0</v>
      </c>
      <c r="BB1379">
        <v>0</v>
      </c>
      <c r="BC1379">
        <v>0.1</v>
      </c>
      <c r="BD1379">
        <v>0</v>
      </c>
      <c r="BE1379">
        <f t="shared" si="219"/>
        <v>0</v>
      </c>
    </row>
    <row r="1380" spans="1:57" x14ac:dyDescent="0.25">
      <c r="A1380" t="s">
        <v>39</v>
      </c>
      <c r="B1380" t="s">
        <v>4647</v>
      </c>
      <c r="C1380">
        <v>75.2</v>
      </c>
      <c r="D1380">
        <v>59</v>
      </c>
      <c r="G1380">
        <f t="shared" si="210"/>
        <v>1</v>
      </c>
      <c r="H1380">
        <f t="shared" si="211"/>
        <v>1</v>
      </c>
      <c r="I1380">
        <f t="shared" si="212"/>
        <v>0</v>
      </c>
      <c r="J1380">
        <v>68.400000000000006</v>
      </c>
      <c r="K1380">
        <v>75.2</v>
      </c>
      <c r="L1380">
        <v>59</v>
      </c>
      <c r="M1380">
        <v>68.400000000000006</v>
      </c>
      <c r="N1380">
        <v>49.1</v>
      </c>
      <c r="O1380">
        <v>52.5</v>
      </c>
      <c r="S1380">
        <f t="shared" si="213"/>
        <v>1</v>
      </c>
      <c r="T1380">
        <f t="shared" si="214"/>
        <v>0</v>
      </c>
      <c r="U1380">
        <f t="shared" si="215"/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25.3</v>
      </c>
      <c r="AG1380">
        <f t="shared" si="216"/>
        <v>1</v>
      </c>
      <c r="AH1380">
        <f t="shared" si="217"/>
        <v>1</v>
      </c>
      <c r="AI1380">
        <f t="shared" si="218"/>
        <v>0</v>
      </c>
      <c r="AJ1380">
        <v>277.3</v>
      </c>
      <c r="AK1380">
        <v>1004.3</v>
      </c>
      <c r="AL1380">
        <v>13.6</v>
      </c>
      <c r="AM1380">
        <v>6.4</v>
      </c>
      <c r="AN1380">
        <v>296.8</v>
      </c>
      <c r="AO1380">
        <v>25.7</v>
      </c>
      <c r="AP1380">
        <v>10</v>
      </c>
      <c r="AQ1380">
        <v>0</v>
      </c>
      <c r="AR1380" t="s">
        <v>4648</v>
      </c>
      <c r="AS1380" t="s">
        <v>4649</v>
      </c>
      <c r="AT1380">
        <v>0.55000000000000004</v>
      </c>
      <c r="AU1380" t="s">
        <v>74</v>
      </c>
      <c r="AV1380" t="s">
        <v>2955</v>
      </c>
      <c r="AW1380" t="s">
        <v>75</v>
      </c>
      <c r="AX1380" t="s">
        <v>2761</v>
      </c>
      <c r="AY1380" t="s">
        <v>4650</v>
      </c>
      <c r="AZ1380">
        <v>180</v>
      </c>
      <c r="BA1380">
        <v>0</v>
      </c>
      <c r="BB1380">
        <v>0</v>
      </c>
      <c r="BC1380">
        <v>0.5</v>
      </c>
      <c r="BD1380">
        <v>0</v>
      </c>
      <c r="BE1380">
        <f t="shared" si="219"/>
        <v>1</v>
      </c>
    </row>
    <row r="1381" spans="1:57" x14ac:dyDescent="0.25">
      <c r="A1381" t="s">
        <v>39</v>
      </c>
      <c r="B1381" t="s">
        <v>4651</v>
      </c>
      <c r="C1381">
        <v>87.8</v>
      </c>
      <c r="D1381">
        <v>80.599999999999994</v>
      </c>
      <c r="G1381">
        <f t="shared" si="210"/>
        <v>1</v>
      </c>
      <c r="H1381">
        <f t="shared" si="211"/>
        <v>1</v>
      </c>
      <c r="I1381">
        <f t="shared" si="212"/>
        <v>0</v>
      </c>
      <c r="J1381">
        <v>84.7</v>
      </c>
      <c r="K1381">
        <v>95.9</v>
      </c>
      <c r="L1381">
        <v>84.6</v>
      </c>
      <c r="M1381">
        <v>89.8</v>
      </c>
      <c r="N1381">
        <v>70.599999999999994</v>
      </c>
      <c r="O1381">
        <v>63.1</v>
      </c>
      <c r="S1381">
        <f t="shared" si="213"/>
        <v>1</v>
      </c>
      <c r="T1381">
        <f t="shared" si="214"/>
        <v>1</v>
      </c>
      <c r="U1381">
        <f t="shared" si="215"/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26.4</v>
      </c>
      <c r="AG1381">
        <f t="shared" si="216"/>
        <v>1</v>
      </c>
      <c r="AH1381">
        <f t="shared" si="217"/>
        <v>1</v>
      </c>
      <c r="AI1381">
        <f t="shared" si="218"/>
        <v>0</v>
      </c>
      <c r="AJ1381">
        <v>309.60000000000002</v>
      </c>
      <c r="AK1381">
        <v>1005.7</v>
      </c>
      <c r="AL1381">
        <v>8.1</v>
      </c>
      <c r="AM1381">
        <v>6.3</v>
      </c>
      <c r="AN1381">
        <v>0</v>
      </c>
      <c r="AO1381">
        <v>0</v>
      </c>
      <c r="AP1381">
        <v>0</v>
      </c>
      <c r="AQ1381">
        <v>0</v>
      </c>
      <c r="AR1381" t="s">
        <v>4652</v>
      </c>
      <c r="AS1381" t="s">
        <v>4653</v>
      </c>
      <c r="AT1381">
        <v>0.44</v>
      </c>
      <c r="AU1381" t="s">
        <v>74</v>
      </c>
      <c r="AV1381" t="s">
        <v>2955</v>
      </c>
      <c r="AW1381" t="s">
        <v>75</v>
      </c>
      <c r="AX1381" t="s">
        <v>4143</v>
      </c>
      <c r="AY1381" t="s">
        <v>4654</v>
      </c>
      <c r="AZ1381">
        <v>275.00000000582082</v>
      </c>
      <c r="BA1381">
        <v>0</v>
      </c>
      <c r="BB1381">
        <v>0.1</v>
      </c>
      <c r="BC1381">
        <v>0</v>
      </c>
      <c r="BD1381">
        <v>0</v>
      </c>
      <c r="BE1381">
        <f t="shared" si="219"/>
        <v>1</v>
      </c>
    </row>
    <row r="1382" spans="1:57" x14ac:dyDescent="0.25">
      <c r="A1382" t="s">
        <v>39</v>
      </c>
      <c r="B1382" t="s">
        <v>4655</v>
      </c>
      <c r="C1382">
        <v>84.3</v>
      </c>
      <c r="D1382">
        <v>78.8</v>
      </c>
      <c r="G1382">
        <f t="shared" si="210"/>
        <v>0</v>
      </c>
      <c r="H1382">
        <f t="shared" si="211"/>
        <v>0</v>
      </c>
      <c r="I1382">
        <f t="shared" si="212"/>
        <v>0</v>
      </c>
      <c r="J1382">
        <v>82.1</v>
      </c>
      <c r="K1382">
        <v>89.8</v>
      </c>
      <c r="L1382">
        <v>78.8</v>
      </c>
      <c r="M1382">
        <v>86.2</v>
      </c>
      <c r="N1382">
        <v>70.900000000000006</v>
      </c>
      <c r="O1382">
        <v>69</v>
      </c>
      <c r="S1382">
        <f t="shared" si="213"/>
        <v>1</v>
      </c>
      <c r="T1382">
        <f t="shared" si="214"/>
        <v>1</v>
      </c>
      <c r="U1382">
        <f t="shared" si="215"/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20.8</v>
      </c>
      <c r="AG1382">
        <f t="shared" si="216"/>
        <v>1</v>
      </c>
      <c r="AH1382">
        <f t="shared" si="217"/>
        <v>1</v>
      </c>
      <c r="AI1382">
        <f t="shared" si="218"/>
        <v>0</v>
      </c>
      <c r="AJ1382">
        <v>309.3</v>
      </c>
      <c r="AK1382">
        <v>1006.9</v>
      </c>
      <c r="AL1382">
        <v>21.3</v>
      </c>
      <c r="AM1382">
        <v>6.5</v>
      </c>
      <c r="AN1382">
        <v>0</v>
      </c>
      <c r="AO1382">
        <v>0</v>
      </c>
      <c r="AP1382">
        <v>0</v>
      </c>
      <c r="AQ1382">
        <v>0</v>
      </c>
      <c r="AR1382" t="s">
        <v>4656</v>
      </c>
      <c r="AS1382" t="s">
        <v>4657</v>
      </c>
      <c r="AT1382">
        <v>0.47</v>
      </c>
      <c r="AU1382" t="s">
        <v>43</v>
      </c>
      <c r="AV1382" t="s">
        <v>44</v>
      </c>
      <c r="AW1382" t="s">
        <v>45</v>
      </c>
      <c r="AX1382" t="s">
        <v>2346</v>
      </c>
      <c r="AY1382" t="s">
        <v>4658</v>
      </c>
      <c r="AZ1382">
        <v>370.00000000116421</v>
      </c>
      <c r="BA1382">
        <v>1</v>
      </c>
      <c r="BB1382">
        <v>0</v>
      </c>
      <c r="BC1382">
        <v>30</v>
      </c>
      <c r="BD1382">
        <v>0</v>
      </c>
      <c r="BE1382">
        <f t="shared" si="219"/>
        <v>1</v>
      </c>
    </row>
    <row r="1383" spans="1:57" x14ac:dyDescent="0.25">
      <c r="A1383" t="s">
        <v>39</v>
      </c>
      <c r="B1383" t="s">
        <v>4655</v>
      </c>
      <c r="C1383">
        <v>84.3</v>
      </c>
      <c r="D1383">
        <v>78.8</v>
      </c>
      <c r="G1383">
        <f t="shared" si="210"/>
        <v>0</v>
      </c>
      <c r="H1383">
        <f t="shared" si="211"/>
        <v>0</v>
      </c>
      <c r="I1383">
        <f t="shared" si="212"/>
        <v>0</v>
      </c>
      <c r="J1383">
        <v>82.1</v>
      </c>
      <c r="K1383">
        <v>89.8</v>
      </c>
      <c r="L1383">
        <v>78.8</v>
      </c>
      <c r="M1383">
        <v>86.2</v>
      </c>
      <c r="N1383">
        <v>70.900000000000006</v>
      </c>
      <c r="O1383">
        <v>69</v>
      </c>
      <c r="S1383">
        <f t="shared" si="213"/>
        <v>1</v>
      </c>
      <c r="T1383">
        <f t="shared" si="214"/>
        <v>1</v>
      </c>
      <c r="U1383">
        <f t="shared" si="215"/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20.8</v>
      </c>
      <c r="AG1383">
        <f t="shared" si="216"/>
        <v>1</v>
      </c>
      <c r="AH1383">
        <f t="shared" si="217"/>
        <v>1</v>
      </c>
      <c r="AI1383">
        <f t="shared" si="218"/>
        <v>0</v>
      </c>
      <c r="AJ1383">
        <v>309.3</v>
      </c>
      <c r="AK1383">
        <v>1006.9</v>
      </c>
      <c r="AL1383">
        <v>21.3</v>
      </c>
      <c r="AM1383">
        <v>6.5</v>
      </c>
      <c r="AN1383">
        <v>0</v>
      </c>
      <c r="AO1383">
        <v>0</v>
      </c>
      <c r="AP1383">
        <v>0</v>
      </c>
      <c r="AQ1383">
        <v>0</v>
      </c>
      <c r="AR1383" t="s">
        <v>4656</v>
      </c>
      <c r="AS1383" t="s">
        <v>4657</v>
      </c>
      <c r="AT1383">
        <v>0.47</v>
      </c>
      <c r="AU1383" t="s">
        <v>43</v>
      </c>
      <c r="AV1383" t="s">
        <v>44</v>
      </c>
      <c r="AW1383" t="s">
        <v>45</v>
      </c>
      <c r="AX1383" t="s">
        <v>2795</v>
      </c>
      <c r="AY1383" t="s">
        <v>4659</v>
      </c>
      <c r="AZ1383">
        <v>1830.000000003492</v>
      </c>
      <c r="BA1383">
        <v>1</v>
      </c>
      <c r="BB1383">
        <v>0</v>
      </c>
      <c r="BC1383">
        <v>20</v>
      </c>
      <c r="BD1383">
        <v>0</v>
      </c>
      <c r="BE1383">
        <f t="shared" si="219"/>
        <v>1</v>
      </c>
    </row>
    <row r="1384" spans="1:57" x14ac:dyDescent="0.25">
      <c r="A1384" t="s">
        <v>39</v>
      </c>
      <c r="B1384" t="s">
        <v>4655</v>
      </c>
      <c r="C1384">
        <v>84.3</v>
      </c>
      <c r="D1384">
        <v>78.8</v>
      </c>
      <c r="G1384">
        <f t="shared" si="210"/>
        <v>0</v>
      </c>
      <c r="H1384">
        <f t="shared" si="211"/>
        <v>0</v>
      </c>
      <c r="I1384">
        <f t="shared" si="212"/>
        <v>0</v>
      </c>
      <c r="J1384">
        <v>82.1</v>
      </c>
      <c r="K1384">
        <v>89.8</v>
      </c>
      <c r="L1384">
        <v>78.8</v>
      </c>
      <c r="M1384">
        <v>86.2</v>
      </c>
      <c r="N1384">
        <v>70.900000000000006</v>
      </c>
      <c r="O1384">
        <v>69</v>
      </c>
      <c r="S1384">
        <f t="shared" si="213"/>
        <v>1</v>
      </c>
      <c r="T1384">
        <f t="shared" si="214"/>
        <v>1</v>
      </c>
      <c r="U1384">
        <f t="shared" si="215"/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20.8</v>
      </c>
      <c r="AG1384">
        <f t="shared" si="216"/>
        <v>1</v>
      </c>
      <c r="AH1384">
        <f t="shared" si="217"/>
        <v>1</v>
      </c>
      <c r="AI1384">
        <f t="shared" si="218"/>
        <v>0</v>
      </c>
      <c r="AJ1384">
        <v>309.3</v>
      </c>
      <c r="AK1384">
        <v>1006.9</v>
      </c>
      <c r="AL1384">
        <v>21.3</v>
      </c>
      <c r="AM1384">
        <v>6.5</v>
      </c>
      <c r="AN1384">
        <v>0</v>
      </c>
      <c r="AO1384">
        <v>0</v>
      </c>
      <c r="AP1384">
        <v>0</v>
      </c>
      <c r="AQ1384">
        <v>0</v>
      </c>
      <c r="AR1384" t="s">
        <v>4656</v>
      </c>
      <c r="AS1384" t="s">
        <v>4657</v>
      </c>
      <c r="AT1384">
        <v>0.47</v>
      </c>
      <c r="AU1384" t="s">
        <v>43</v>
      </c>
      <c r="AV1384" t="s">
        <v>44</v>
      </c>
      <c r="AW1384" t="s">
        <v>45</v>
      </c>
      <c r="AX1384" t="s">
        <v>4419</v>
      </c>
      <c r="AY1384" t="s">
        <v>4660</v>
      </c>
      <c r="AZ1384">
        <v>104.9999999965075</v>
      </c>
      <c r="BA1384">
        <v>0</v>
      </c>
      <c r="BB1384">
        <v>0</v>
      </c>
      <c r="BC1384">
        <v>0.1</v>
      </c>
      <c r="BD1384">
        <v>0</v>
      </c>
      <c r="BE1384">
        <f t="shared" si="219"/>
        <v>0</v>
      </c>
    </row>
    <row r="1385" spans="1:57" x14ac:dyDescent="0.25">
      <c r="A1385" t="s">
        <v>39</v>
      </c>
      <c r="B1385" t="s">
        <v>4655</v>
      </c>
      <c r="C1385">
        <v>84.3</v>
      </c>
      <c r="D1385">
        <v>78.8</v>
      </c>
      <c r="G1385">
        <f t="shared" si="210"/>
        <v>0</v>
      </c>
      <c r="H1385">
        <f t="shared" si="211"/>
        <v>0</v>
      </c>
      <c r="I1385">
        <f t="shared" si="212"/>
        <v>0</v>
      </c>
      <c r="J1385">
        <v>82.1</v>
      </c>
      <c r="K1385">
        <v>89.8</v>
      </c>
      <c r="L1385">
        <v>78.8</v>
      </c>
      <c r="M1385">
        <v>86.2</v>
      </c>
      <c r="N1385">
        <v>70.900000000000006</v>
      </c>
      <c r="O1385">
        <v>69</v>
      </c>
      <c r="S1385">
        <f t="shared" si="213"/>
        <v>1</v>
      </c>
      <c r="T1385">
        <f t="shared" si="214"/>
        <v>1</v>
      </c>
      <c r="U1385">
        <f t="shared" si="215"/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20.8</v>
      </c>
      <c r="AG1385">
        <f t="shared" si="216"/>
        <v>1</v>
      </c>
      <c r="AH1385">
        <f t="shared" si="217"/>
        <v>1</v>
      </c>
      <c r="AI1385">
        <f t="shared" si="218"/>
        <v>0</v>
      </c>
      <c r="AJ1385">
        <v>309.3</v>
      </c>
      <c r="AK1385">
        <v>1006.9</v>
      </c>
      <c r="AL1385">
        <v>21.3</v>
      </c>
      <c r="AM1385">
        <v>6.5</v>
      </c>
      <c r="AN1385">
        <v>0</v>
      </c>
      <c r="AO1385">
        <v>0</v>
      </c>
      <c r="AP1385">
        <v>0</v>
      </c>
      <c r="AQ1385">
        <v>0</v>
      </c>
      <c r="AR1385" t="s">
        <v>4656</v>
      </c>
      <c r="AS1385" t="s">
        <v>4657</v>
      </c>
      <c r="AT1385">
        <v>0.47</v>
      </c>
      <c r="AU1385" t="s">
        <v>43</v>
      </c>
      <c r="AV1385" t="s">
        <v>44</v>
      </c>
      <c r="AW1385" t="s">
        <v>45</v>
      </c>
      <c r="AX1385" t="s">
        <v>2572</v>
      </c>
      <c r="AY1385" t="s">
        <v>4661</v>
      </c>
      <c r="AZ1385">
        <v>1339.9999999988361</v>
      </c>
      <c r="BA1385">
        <v>1</v>
      </c>
      <c r="BB1385">
        <v>0.5</v>
      </c>
      <c r="BC1385">
        <v>0</v>
      </c>
      <c r="BD1385">
        <v>0</v>
      </c>
      <c r="BE1385">
        <f t="shared" si="219"/>
        <v>1</v>
      </c>
    </row>
    <row r="1386" spans="1:57" x14ac:dyDescent="0.25">
      <c r="A1386" t="s">
        <v>39</v>
      </c>
      <c r="B1386" t="s">
        <v>4655</v>
      </c>
      <c r="C1386">
        <v>84.3</v>
      </c>
      <c r="D1386">
        <v>78.8</v>
      </c>
      <c r="G1386">
        <f t="shared" si="210"/>
        <v>0</v>
      </c>
      <c r="H1386">
        <f t="shared" si="211"/>
        <v>0</v>
      </c>
      <c r="I1386">
        <f t="shared" si="212"/>
        <v>0</v>
      </c>
      <c r="J1386">
        <v>82.1</v>
      </c>
      <c r="K1386">
        <v>89.8</v>
      </c>
      <c r="L1386">
        <v>78.8</v>
      </c>
      <c r="M1386">
        <v>86.2</v>
      </c>
      <c r="N1386">
        <v>70.900000000000006</v>
      </c>
      <c r="O1386">
        <v>69</v>
      </c>
      <c r="S1386">
        <f t="shared" si="213"/>
        <v>1</v>
      </c>
      <c r="T1386">
        <f t="shared" si="214"/>
        <v>1</v>
      </c>
      <c r="U1386">
        <f t="shared" si="215"/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20.8</v>
      </c>
      <c r="AG1386">
        <f t="shared" si="216"/>
        <v>1</v>
      </c>
      <c r="AH1386">
        <f t="shared" si="217"/>
        <v>1</v>
      </c>
      <c r="AI1386">
        <f t="shared" si="218"/>
        <v>0</v>
      </c>
      <c r="AJ1386">
        <v>309.3</v>
      </c>
      <c r="AK1386">
        <v>1006.9</v>
      </c>
      <c r="AL1386">
        <v>21.3</v>
      </c>
      <c r="AM1386">
        <v>6.5</v>
      </c>
      <c r="AN1386">
        <v>0</v>
      </c>
      <c r="AO1386">
        <v>0</v>
      </c>
      <c r="AP1386">
        <v>0</v>
      </c>
      <c r="AQ1386">
        <v>0</v>
      </c>
      <c r="AR1386" t="s">
        <v>4656</v>
      </c>
      <c r="AS1386" t="s">
        <v>4657</v>
      </c>
      <c r="AT1386">
        <v>0.47</v>
      </c>
      <c r="AU1386" t="s">
        <v>43</v>
      </c>
      <c r="AV1386" t="s">
        <v>44</v>
      </c>
      <c r="AW1386" t="s">
        <v>45</v>
      </c>
      <c r="AX1386" t="s">
        <v>4143</v>
      </c>
      <c r="AY1386" t="s">
        <v>4662</v>
      </c>
      <c r="AZ1386">
        <v>1000.000000001164</v>
      </c>
      <c r="BA1386">
        <v>1</v>
      </c>
      <c r="BB1386">
        <v>0</v>
      </c>
      <c r="BC1386">
        <v>0.1</v>
      </c>
      <c r="BD1386">
        <v>0</v>
      </c>
      <c r="BE1386">
        <f t="shared" si="219"/>
        <v>1</v>
      </c>
    </row>
    <row r="1387" spans="1:57" x14ac:dyDescent="0.25">
      <c r="A1387" t="s">
        <v>39</v>
      </c>
      <c r="B1387" t="s">
        <v>4655</v>
      </c>
      <c r="C1387">
        <v>84.3</v>
      </c>
      <c r="D1387">
        <v>78.8</v>
      </c>
      <c r="G1387">
        <f t="shared" si="210"/>
        <v>0</v>
      </c>
      <c r="H1387">
        <f t="shared" si="211"/>
        <v>0</v>
      </c>
      <c r="I1387">
        <f t="shared" si="212"/>
        <v>0</v>
      </c>
      <c r="J1387">
        <v>82.1</v>
      </c>
      <c r="K1387">
        <v>89.8</v>
      </c>
      <c r="L1387">
        <v>78.8</v>
      </c>
      <c r="M1387">
        <v>86.2</v>
      </c>
      <c r="N1387">
        <v>70.900000000000006</v>
      </c>
      <c r="O1387">
        <v>69</v>
      </c>
      <c r="S1387">
        <f t="shared" si="213"/>
        <v>1</v>
      </c>
      <c r="T1387">
        <f t="shared" si="214"/>
        <v>1</v>
      </c>
      <c r="U1387">
        <f t="shared" si="215"/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20.8</v>
      </c>
      <c r="AG1387">
        <f t="shared" si="216"/>
        <v>1</v>
      </c>
      <c r="AH1387">
        <f t="shared" si="217"/>
        <v>1</v>
      </c>
      <c r="AI1387">
        <f t="shared" si="218"/>
        <v>0</v>
      </c>
      <c r="AJ1387">
        <v>309.3</v>
      </c>
      <c r="AK1387">
        <v>1006.9</v>
      </c>
      <c r="AL1387">
        <v>21.3</v>
      </c>
      <c r="AM1387">
        <v>6.5</v>
      </c>
      <c r="AN1387">
        <v>0</v>
      </c>
      <c r="AO1387">
        <v>0</v>
      </c>
      <c r="AP1387">
        <v>0</v>
      </c>
      <c r="AQ1387">
        <v>0</v>
      </c>
      <c r="AR1387" t="s">
        <v>4656</v>
      </c>
      <c r="AS1387" t="s">
        <v>4657</v>
      </c>
      <c r="AT1387">
        <v>0.47</v>
      </c>
      <c r="AU1387" t="s">
        <v>43</v>
      </c>
      <c r="AV1387" t="s">
        <v>44</v>
      </c>
      <c r="AW1387" t="s">
        <v>45</v>
      </c>
      <c r="AX1387" t="s">
        <v>2675</v>
      </c>
      <c r="AY1387" t="s">
        <v>4663</v>
      </c>
      <c r="AZ1387">
        <v>560.00000000232831</v>
      </c>
      <c r="BA1387">
        <v>1</v>
      </c>
      <c r="BB1387">
        <v>0</v>
      </c>
      <c r="BC1387">
        <v>0.1</v>
      </c>
      <c r="BD1387">
        <v>0</v>
      </c>
      <c r="BE1387">
        <f t="shared" si="219"/>
        <v>1</v>
      </c>
    </row>
    <row r="1388" spans="1:57" x14ac:dyDescent="0.25">
      <c r="A1388" t="s">
        <v>39</v>
      </c>
      <c r="B1388" t="s">
        <v>4655</v>
      </c>
      <c r="C1388">
        <v>84.3</v>
      </c>
      <c r="D1388">
        <v>78.8</v>
      </c>
      <c r="G1388">
        <f t="shared" si="210"/>
        <v>0</v>
      </c>
      <c r="H1388">
        <f t="shared" si="211"/>
        <v>0</v>
      </c>
      <c r="I1388">
        <f t="shared" si="212"/>
        <v>0</v>
      </c>
      <c r="J1388">
        <v>82.1</v>
      </c>
      <c r="K1388">
        <v>89.8</v>
      </c>
      <c r="L1388">
        <v>78.8</v>
      </c>
      <c r="M1388">
        <v>86.2</v>
      </c>
      <c r="N1388">
        <v>70.900000000000006</v>
      </c>
      <c r="O1388">
        <v>69</v>
      </c>
      <c r="S1388">
        <f t="shared" si="213"/>
        <v>1</v>
      </c>
      <c r="T1388">
        <f t="shared" si="214"/>
        <v>1</v>
      </c>
      <c r="U1388">
        <f t="shared" si="215"/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20.8</v>
      </c>
      <c r="AG1388">
        <f t="shared" si="216"/>
        <v>1</v>
      </c>
      <c r="AH1388">
        <f t="shared" si="217"/>
        <v>1</v>
      </c>
      <c r="AI1388">
        <f t="shared" si="218"/>
        <v>0</v>
      </c>
      <c r="AJ1388">
        <v>309.3</v>
      </c>
      <c r="AK1388">
        <v>1006.9</v>
      </c>
      <c r="AL1388">
        <v>21.3</v>
      </c>
      <c r="AM1388">
        <v>6.5</v>
      </c>
      <c r="AN1388">
        <v>0</v>
      </c>
      <c r="AO1388">
        <v>0</v>
      </c>
      <c r="AP1388">
        <v>0</v>
      </c>
      <c r="AQ1388">
        <v>0</v>
      </c>
      <c r="AR1388" t="s">
        <v>4656</v>
      </c>
      <c r="AS1388" t="s">
        <v>4657</v>
      </c>
      <c r="AT1388">
        <v>0.47</v>
      </c>
      <c r="AU1388" t="s">
        <v>43</v>
      </c>
      <c r="AV1388" t="s">
        <v>44</v>
      </c>
      <c r="AW1388" t="s">
        <v>45</v>
      </c>
      <c r="AX1388" t="s">
        <v>2383</v>
      </c>
      <c r="AY1388" t="s">
        <v>4664</v>
      </c>
      <c r="AZ1388">
        <v>209.99999999301511</v>
      </c>
      <c r="BA1388">
        <v>0</v>
      </c>
      <c r="BB1388">
        <v>0</v>
      </c>
      <c r="BC1388">
        <v>0.1</v>
      </c>
      <c r="BD1388">
        <v>0</v>
      </c>
      <c r="BE1388">
        <f t="shared" si="219"/>
        <v>0</v>
      </c>
    </row>
    <row r="1389" spans="1:57" x14ac:dyDescent="0.25">
      <c r="A1389" t="s">
        <v>39</v>
      </c>
      <c r="B1389" t="s">
        <v>4665</v>
      </c>
      <c r="C1389">
        <v>86</v>
      </c>
      <c r="D1389">
        <v>78.8</v>
      </c>
      <c r="G1389">
        <f t="shared" si="210"/>
        <v>1</v>
      </c>
      <c r="H1389">
        <f t="shared" si="211"/>
        <v>1</v>
      </c>
      <c r="I1389">
        <f t="shared" si="212"/>
        <v>0</v>
      </c>
      <c r="J1389">
        <v>82.1</v>
      </c>
      <c r="K1389">
        <v>93.5</v>
      </c>
      <c r="L1389">
        <v>78.8</v>
      </c>
      <c r="M1389">
        <v>85.7</v>
      </c>
      <c r="N1389">
        <v>69.2</v>
      </c>
      <c r="O1389">
        <v>65.099999999999994</v>
      </c>
      <c r="S1389">
        <f t="shared" si="213"/>
        <v>1</v>
      </c>
      <c r="T1389">
        <f t="shared" si="214"/>
        <v>1</v>
      </c>
      <c r="U1389">
        <f t="shared" si="215"/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18.3</v>
      </c>
      <c r="AG1389">
        <f t="shared" si="216"/>
        <v>0</v>
      </c>
      <c r="AH1389">
        <f t="shared" si="217"/>
        <v>0</v>
      </c>
      <c r="AI1389">
        <f t="shared" si="218"/>
        <v>0</v>
      </c>
      <c r="AJ1389">
        <v>304.5</v>
      </c>
      <c r="AK1389">
        <v>1010.1</v>
      </c>
      <c r="AL1389">
        <v>24.4</v>
      </c>
      <c r="AM1389">
        <v>6.6</v>
      </c>
      <c r="AN1389">
        <v>0</v>
      </c>
      <c r="AO1389">
        <v>0</v>
      </c>
      <c r="AP1389">
        <v>0</v>
      </c>
      <c r="AQ1389">
        <v>0</v>
      </c>
      <c r="AR1389" t="s">
        <v>4666</v>
      </c>
      <c r="AS1389" t="s">
        <v>4667</v>
      </c>
      <c r="AT1389">
        <v>0.5</v>
      </c>
      <c r="AU1389" t="s">
        <v>43</v>
      </c>
      <c r="AV1389" t="s">
        <v>44</v>
      </c>
      <c r="AW1389" t="s">
        <v>45</v>
      </c>
      <c r="AX1389" t="s">
        <v>4668</v>
      </c>
      <c r="AY1389" t="s">
        <v>4669</v>
      </c>
      <c r="AZ1389">
        <v>225</v>
      </c>
      <c r="BA1389">
        <v>0</v>
      </c>
      <c r="BB1389">
        <v>0.1</v>
      </c>
      <c r="BC1389">
        <v>0</v>
      </c>
      <c r="BD1389">
        <v>0</v>
      </c>
      <c r="BE1389">
        <f t="shared" si="219"/>
        <v>0</v>
      </c>
    </row>
    <row r="1390" spans="1:57" x14ac:dyDescent="0.25">
      <c r="A1390" t="s">
        <v>39</v>
      </c>
      <c r="B1390" t="s">
        <v>4670</v>
      </c>
      <c r="C1390">
        <v>86</v>
      </c>
      <c r="D1390">
        <v>71.599999999999994</v>
      </c>
      <c r="G1390">
        <f t="shared" si="210"/>
        <v>1</v>
      </c>
      <c r="H1390">
        <f t="shared" si="211"/>
        <v>1</v>
      </c>
      <c r="I1390">
        <f t="shared" si="212"/>
        <v>0</v>
      </c>
      <c r="J1390">
        <v>80.3</v>
      </c>
      <c r="K1390">
        <v>93.5</v>
      </c>
      <c r="L1390">
        <v>71.599999999999994</v>
      </c>
      <c r="M1390">
        <v>83.4</v>
      </c>
      <c r="N1390">
        <v>68.5</v>
      </c>
      <c r="O1390">
        <v>67.8</v>
      </c>
      <c r="S1390">
        <f t="shared" si="213"/>
        <v>1</v>
      </c>
      <c r="T1390">
        <f t="shared" si="214"/>
        <v>1</v>
      </c>
      <c r="U1390">
        <f t="shared" si="215"/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17.2</v>
      </c>
      <c r="AG1390">
        <f t="shared" si="216"/>
        <v>0</v>
      </c>
      <c r="AH1390">
        <f t="shared" si="217"/>
        <v>0</v>
      </c>
      <c r="AI1390">
        <f t="shared" si="218"/>
        <v>0</v>
      </c>
      <c r="AJ1390">
        <v>304.3</v>
      </c>
      <c r="AK1390">
        <v>1010.7</v>
      </c>
      <c r="AL1390">
        <v>8.1999999999999993</v>
      </c>
      <c r="AM1390">
        <v>6.3</v>
      </c>
      <c r="AN1390">
        <v>0</v>
      </c>
      <c r="AO1390">
        <v>0</v>
      </c>
      <c r="AP1390">
        <v>0</v>
      </c>
      <c r="AQ1390">
        <v>0</v>
      </c>
      <c r="AR1390" t="s">
        <v>4671</v>
      </c>
      <c r="AS1390" t="s">
        <v>4672</v>
      </c>
      <c r="AT1390">
        <v>0.54</v>
      </c>
      <c r="AU1390" t="s">
        <v>74</v>
      </c>
      <c r="AV1390" t="s">
        <v>2955</v>
      </c>
      <c r="AW1390" t="s">
        <v>75</v>
      </c>
      <c r="AX1390" t="s">
        <v>2481</v>
      </c>
      <c r="AY1390" t="s">
        <v>4673</v>
      </c>
      <c r="AZ1390">
        <v>1750.0000000046571</v>
      </c>
      <c r="BA1390">
        <v>1</v>
      </c>
      <c r="BB1390">
        <v>0.1</v>
      </c>
      <c r="BC1390">
        <v>0</v>
      </c>
      <c r="BD1390">
        <v>0</v>
      </c>
      <c r="BE1390">
        <f t="shared" si="219"/>
        <v>1</v>
      </c>
    </row>
    <row r="1391" spans="1:57" x14ac:dyDescent="0.25">
      <c r="A1391" t="s">
        <v>39</v>
      </c>
      <c r="B1391" t="s">
        <v>4674</v>
      </c>
      <c r="C1391">
        <v>84.2</v>
      </c>
      <c r="D1391">
        <v>77</v>
      </c>
      <c r="G1391">
        <f t="shared" si="210"/>
        <v>0</v>
      </c>
      <c r="H1391">
        <f t="shared" si="211"/>
        <v>0</v>
      </c>
      <c r="I1391">
        <f t="shared" si="212"/>
        <v>0</v>
      </c>
      <c r="J1391">
        <v>80.900000000000006</v>
      </c>
      <c r="K1391">
        <v>92.5</v>
      </c>
      <c r="L1391">
        <v>77</v>
      </c>
      <c r="M1391">
        <v>84.1</v>
      </c>
      <c r="N1391">
        <v>72.599999999999994</v>
      </c>
      <c r="O1391">
        <v>76.400000000000006</v>
      </c>
      <c r="S1391">
        <f t="shared" si="213"/>
        <v>1</v>
      </c>
      <c r="T1391">
        <f t="shared" si="214"/>
        <v>1</v>
      </c>
      <c r="U1391">
        <f t="shared" si="215"/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13.9</v>
      </c>
      <c r="AG1391">
        <f t="shared" si="216"/>
        <v>1</v>
      </c>
      <c r="AH1391">
        <f t="shared" si="217"/>
        <v>0</v>
      </c>
      <c r="AI1391">
        <f t="shared" si="218"/>
        <v>1</v>
      </c>
      <c r="AJ1391">
        <v>323.5</v>
      </c>
      <c r="AK1391">
        <v>1007.6</v>
      </c>
      <c r="AL1391">
        <v>17.8</v>
      </c>
      <c r="AM1391">
        <v>6.4</v>
      </c>
      <c r="AN1391">
        <v>0</v>
      </c>
      <c r="AO1391">
        <v>0</v>
      </c>
      <c r="AP1391">
        <v>0</v>
      </c>
      <c r="AQ1391">
        <v>0</v>
      </c>
      <c r="AR1391" t="s">
        <v>4675</v>
      </c>
      <c r="AS1391" t="s">
        <v>4676</v>
      </c>
      <c r="AT1391">
        <v>0.8</v>
      </c>
      <c r="AU1391" t="s">
        <v>74</v>
      </c>
      <c r="AV1391" t="s">
        <v>2955</v>
      </c>
      <c r="AW1391" t="s">
        <v>75</v>
      </c>
      <c r="AX1391" t="s">
        <v>4190</v>
      </c>
      <c r="AY1391" t="s">
        <v>4677</v>
      </c>
      <c r="AZ1391">
        <v>90</v>
      </c>
      <c r="BA1391">
        <v>0</v>
      </c>
      <c r="BB1391">
        <v>0</v>
      </c>
      <c r="BC1391">
        <v>0.1</v>
      </c>
      <c r="BD1391">
        <v>0</v>
      </c>
      <c r="BE1391">
        <f t="shared" si="219"/>
        <v>0</v>
      </c>
    </row>
    <row r="1392" spans="1:57" x14ac:dyDescent="0.25">
      <c r="A1392" t="s">
        <v>39</v>
      </c>
      <c r="B1392" t="s">
        <v>4678</v>
      </c>
      <c r="C1392">
        <v>84.2</v>
      </c>
      <c r="D1392">
        <v>77</v>
      </c>
      <c r="G1392">
        <f t="shared" si="210"/>
        <v>0</v>
      </c>
      <c r="H1392">
        <f t="shared" si="211"/>
        <v>0</v>
      </c>
      <c r="I1392">
        <f t="shared" si="212"/>
        <v>0</v>
      </c>
      <c r="J1392">
        <v>80.099999999999994</v>
      </c>
      <c r="K1392">
        <v>86.5</v>
      </c>
      <c r="L1392">
        <v>77</v>
      </c>
      <c r="M1392">
        <v>80.900000000000006</v>
      </c>
      <c r="N1392">
        <v>65.599999999999994</v>
      </c>
      <c r="O1392">
        <v>61.6</v>
      </c>
      <c r="S1392">
        <f t="shared" si="213"/>
        <v>0</v>
      </c>
      <c r="T1392">
        <f t="shared" si="214"/>
        <v>0</v>
      </c>
      <c r="U1392">
        <f t="shared" si="215"/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20.8</v>
      </c>
      <c r="AG1392">
        <f t="shared" si="216"/>
        <v>1</v>
      </c>
      <c r="AH1392">
        <f t="shared" si="217"/>
        <v>1</v>
      </c>
      <c r="AI1392">
        <f t="shared" si="218"/>
        <v>0</v>
      </c>
      <c r="AJ1392">
        <v>324.60000000000002</v>
      </c>
      <c r="AK1392">
        <v>1013.1</v>
      </c>
      <c r="AL1392">
        <v>31.6</v>
      </c>
      <c r="AM1392">
        <v>6.6</v>
      </c>
      <c r="AN1392">
        <v>0</v>
      </c>
      <c r="AO1392">
        <v>0</v>
      </c>
      <c r="AP1392">
        <v>0</v>
      </c>
      <c r="AQ1392">
        <v>0</v>
      </c>
      <c r="AR1392" t="s">
        <v>4679</v>
      </c>
      <c r="AS1392" t="s">
        <v>4680</v>
      </c>
      <c r="AT1392">
        <v>0.06</v>
      </c>
      <c r="AU1392" t="s">
        <v>43</v>
      </c>
      <c r="AV1392" t="s">
        <v>44</v>
      </c>
      <c r="AW1392" t="s">
        <v>45</v>
      </c>
      <c r="AX1392" t="s">
        <v>2611</v>
      </c>
      <c r="AY1392" t="s">
        <v>4681</v>
      </c>
      <c r="AZ1392">
        <v>235.00000000116421</v>
      </c>
      <c r="BA1392">
        <v>0</v>
      </c>
      <c r="BB1392">
        <v>0</v>
      </c>
      <c r="BC1392">
        <v>1</v>
      </c>
      <c r="BD1392">
        <v>0</v>
      </c>
      <c r="BE1392">
        <f t="shared" si="219"/>
        <v>0</v>
      </c>
    </row>
    <row r="1393" spans="1:57" x14ac:dyDescent="0.25">
      <c r="A1393" t="s">
        <v>39</v>
      </c>
      <c r="B1393" t="s">
        <v>4682</v>
      </c>
      <c r="C1393">
        <v>80.7</v>
      </c>
      <c r="D1393">
        <v>75.2</v>
      </c>
      <c r="G1393">
        <f t="shared" si="210"/>
        <v>0</v>
      </c>
      <c r="H1393">
        <f t="shared" si="211"/>
        <v>0</v>
      </c>
      <c r="I1393">
        <f t="shared" si="212"/>
        <v>0</v>
      </c>
      <c r="J1393">
        <v>77.8</v>
      </c>
      <c r="K1393">
        <v>83.4</v>
      </c>
      <c r="L1393">
        <v>75.2</v>
      </c>
      <c r="M1393">
        <v>78.599999999999994</v>
      </c>
      <c r="N1393">
        <v>65.7</v>
      </c>
      <c r="O1393">
        <v>66.400000000000006</v>
      </c>
      <c r="S1393">
        <f t="shared" si="213"/>
        <v>0</v>
      </c>
      <c r="T1393">
        <f t="shared" si="214"/>
        <v>0</v>
      </c>
      <c r="U1393">
        <f t="shared" si="215"/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18.3</v>
      </c>
      <c r="AG1393">
        <f t="shared" si="216"/>
        <v>1</v>
      </c>
      <c r="AH1393">
        <f t="shared" si="217"/>
        <v>1</v>
      </c>
      <c r="AI1393">
        <f t="shared" si="218"/>
        <v>0</v>
      </c>
      <c r="AJ1393">
        <v>317.7</v>
      </c>
      <c r="AK1393">
        <v>1012.4</v>
      </c>
      <c r="AL1393">
        <v>27.9</v>
      </c>
      <c r="AM1393">
        <v>6.6</v>
      </c>
      <c r="AN1393">
        <v>0</v>
      </c>
      <c r="AO1393">
        <v>0</v>
      </c>
      <c r="AP1393">
        <v>0</v>
      </c>
      <c r="AQ1393">
        <v>0</v>
      </c>
      <c r="AR1393" t="s">
        <v>4683</v>
      </c>
      <c r="AS1393" t="s">
        <v>4684</v>
      </c>
      <c r="AT1393">
        <v>0.53</v>
      </c>
      <c r="AU1393" t="s">
        <v>43</v>
      </c>
      <c r="AV1393" t="s">
        <v>44</v>
      </c>
      <c r="AW1393" t="s">
        <v>45</v>
      </c>
      <c r="AX1393" t="s">
        <v>4685</v>
      </c>
      <c r="AY1393" t="s">
        <v>4686</v>
      </c>
      <c r="AZ1393">
        <v>110.9999999951106</v>
      </c>
      <c r="BA1393">
        <v>0</v>
      </c>
      <c r="BB1393">
        <v>0</v>
      </c>
      <c r="BC1393">
        <v>0.1</v>
      </c>
      <c r="BD1393">
        <v>0</v>
      </c>
      <c r="BE1393">
        <f t="shared" si="219"/>
        <v>0</v>
      </c>
    </row>
    <row r="1394" spans="1:57" x14ac:dyDescent="0.25">
      <c r="A1394" t="s">
        <v>39</v>
      </c>
      <c r="B1394" t="s">
        <v>4687</v>
      </c>
      <c r="C1394">
        <v>87.8</v>
      </c>
      <c r="D1394">
        <v>77</v>
      </c>
      <c r="G1394">
        <f t="shared" si="210"/>
        <v>1</v>
      </c>
      <c r="H1394">
        <f t="shared" si="211"/>
        <v>1</v>
      </c>
      <c r="I1394">
        <f t="shared" si="212"/>
        <v>0</v>
      </c>
      <c r="J1394">
        <v>81.099999999999994</v>
      </c>
      <c r="K1394">
        <v>93.5</v>
      </c>
      <c r="L1394">
        <v>77</v>
      </c>
      <c r="M1394">
        <v>83.2</v>
      </c>
      <c r="N1394">
        <v>67.099999999999994</v>
      </c>
      <c r="O1394">
        <v>64.8</v>
      </c>
      <c r="S1394">
        <f t="shared" si="213"/>
        <v>0</v>
      </c>
      <c r="T1394">
        <f t="shared" si="214"/>
        <v>0</v>
      </c>
      <c r="U1394">
        <f t="shared" si="215"/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20.8</v>
      </c>
      <c r="AG1394">
        <f t="shared" si="216"/>
        <v>1</v>
      </c>
      <c r="AH1394">
        <f t="shared" si="217"/>
        <v>1</v>
      </c>
      <c r="AI1394">
        <f t="shared" si="218"/>
        <v>0</v>
      </c>
      <c r="AJ1394">
        <v>184.8</v>
      </c>
      <c r="AK1394">
        <v>1008.1</v>
      </c>
      <c r="AL1394">
        <v>15.2</v>
      </c>
      <c r="AM1394">
        <v>6.3</v>
      </c>
      <c r="AN1394">
        <v>0</v>
      </c>
      <c r="AO1394">
        <v>0</v>
      </c>
      <c r="AP1394">
        <v>0</v>
      </c>
      <c r="AQ1394">
        <v>0</v>
      </c>
      <c r="AR1394" t="s">
        <v>4688</v>
      </c>
      <c r="AS1394" t="s">
        <v>4689</v>
      </c>
      <c r="AT1394">
        <v>0.98</v>
      </c>
      <c r="AU1394" t="s">
        <v>74</v>
      </c>
      <c r="AV1394" t="s">
        <v>2955</v>
      </c>
      <c r="AW1394" t="s">
        <v>75</v>
      </c>
      <c r="AX1394" t="s">
        <v>2597</v>
      </c>
      <c r="AY1394" t="s">
        <v>4690</v>
      </c>
      <c r="AZ1394">
        <v>95.000000005820766</v>
      </c>
      <c r="BA1394">
        <v>0</v>
      </c>
      <c r="BB1394">
        <v>0</v>
      </c>
      <c r="BC1394">
        <v>0.1</v>
      </c>
      <c r="BD1394">
        <v>0</v>
      </c>
      <c r="BE1394">
        <f t="shared" si="219"/>
        <v>0</v>
      </c>
    </row>
    <row r="1395" spans="1:57" x14ac:dyDescent="0.25">
      <c r="A1395" t="s">
        <v>39</v>
      </c>
      <c r="B1395" t="s">
        <v>4691</v>
      </c>
      <c r="C1395">
        <v>82.4</v>
      </c>
      <c r="D1395">
        <v>71.599999999999994</v>
      </c>
      <c r="G1395">
        <f t="shared" si="210"/>
        <v>1</v>
      </c>
      <c r="H1395">
        <f t="shared" si="211"/>
        <v>1</v>
      </c>
      <c r="I1395">
        <f t="shared" si="212"/>
        <v>0</v>
      </c>
      <c r="J1395">
        <v>76.900000000000006</v>
      </c>
      <c r="K1395">
        <v>88.3</v>
      </c>
      <c r="L1395">
        <v>71.599999999999994</v>
      </c>
      <c r="M1395">
        <v>78.2</v>
      </c>
      <c r="N1395">
        <v>70.8</v>
      </c>
      <c r="O1395">
        <v>82.1</v>
      </c>
      <c r="S1395">
        <f t="shared" si="213"/>
        <v>1</v>
      </c>
      <c r="T1395">
        <f t="shared" si="214"/>
        <v>1</v>
      </c>
      <c r="U1395">
        <f t="shared" si="215"/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10.3</v>
      </c>
      <c r="AG1395">
        <f t="shared" si="216"/>
        <v>1</v>
      </c>
      <c r="AH1395">
        <f t="shared" si="217"/>
        <v>0</v>
      </c>
      <c r="AI1395">
        <f t="shared" si="218"/>
        <v>1</v>
      </c>
      <c r="AJ1395">
        <v>42.2</v>
      </c>
      <c r="AK1395">
        <v>1006.8</v>
      </c>
      <c r="AL1395">
        <v>53.2</v>
      </c>
      <c r="AM1395">
        <v>6.5</v>
      </c>
      <c r="AN1395">
        <v>0</v>
      </c>
      <c r="AO1395">
        <v>0</v>
      </c>
      <c r="AP1395">
        <v>0</v>
      </c>
      <c r="AQ1395">
        <v>0</v>
      </c>
      <c r="AR1395" t="s">
        <v>4692</v>
      </c>
      <c r="AS1395" t="s">
        <v>4693</v>
      </c>
      <c r="AT1395">
        <v>0</v>
      </c>
      <c r="AU1395" t="s">
        <v>43</v>
      </c>
      <c r="AV1395" t="s">
        <v>44</v>
      </c>
      <c r="AW1395" t="s">
        <v>45</v>
      </c>
      <c r="AX1395" t="s">
        <v>2638</v>
      </c>
      <c r="AY1395" t="s">
        <v>4694</v>
      </c>
      <c r="AZ1395">
        <v>1035</v>
      </c>
      <c r="BA1395">
        <v>1</v>
      </c>
      <c r="BB1395">
        <v>0</v>
      </c>
      <c r="BC1395">
        <v>0.1</v>
      </c>
      <c r="BD1395">
        <v>0</v>
      </c>
      <c r="BE1395">
        <f t="shared" si="219"/>
        <v>1</v>
      </c>
    </row>
    <row r="1396" spans="1:57" x14ac:dyDescent="0.25">
      <c r="A1396" t="s">
        <v>39</v>
      </c>
      <c r="B1396" t="s">
        <v>4695</v>
      </c>
      <c r="C1396">
        <v>80.599999999999994</v>
      </c>
      <c r="D1396">
        <v>66.2</v>
      </c>
      <c r="G1396">
        <f t="shared" si="210"/>
        <v>1</v>
      </c>
      <c r="H1396">
        <f t="shared" si="211"/>
        <v>1</v>
      </c>
      <c r="I1396">
        <f t="shared" si="212"/>
        <v>0</v>
      </c>
      <c r="J1396">
        <v>74.2</v>
      </c>
      <c r="K1396">
        <v>85.4</v>
      </c>
      <c r="L1396">
        <v>66.2</v>
      </c>
      <c r="M1396">
        <v>74.8</v>
      </c>
      <c r="N1396">
        <v>63.7</v>
      </c>
      <c r="O1396">
        <v>70.3</v>
      </c>
      <c r="S1396">
        <f t="shared" si="213"/>
        <v>1</v>
      </c>
      <c r="T1396">
        <f t="shared" si="214"/>
        <v>1</v>
      </c>
      <c r="U1396">
        <f t="shared" si="215"/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10.3</v>
      </c>
      <c r="AG1396">
        <f t="shared" si="216"/>
        <v>1</v>
      </c>
      <c r="AH1396">
        <f t="shared" si="217"/>
        <v>0</v>
      </c>
      <c r="AI1396">
        <f t="shared" si="218"/>
        <v>1</v>
      </c>
      <c r="AJ1396">
        <v>225.9</v>
      </c>
      <c r="AK1396">
        <v>1018.3</v>
      </c>
      <c r="AL1396">
        <v>29.2</v>
      </c>
      <c r="AM1396">
        <v>6.4</v>
      </c>
      <c r="AN1396">
        <v>0</v>
      </c>
      <c r="AO1396">
        <v>0</v>
      </c>
      <c r="AP1396">
        <v>0</v>
      </c>
      <c r="AQ1396">
        <v>0</v>
      </c>
      <c r="AR1396" t="s">
        <v>4696</v>
      </c>
      <c r="AS1396" t="s">
        <v>4697</v>
      </c>
      <c r="AT1396">
        <v>7.0000000000000007E-2</v>
      </c>
      <c r="AU1396" t="s">
        <v>43</v>
      </c>
      <c r="AV1396" t="s">
        <v>44</v>
      </c>
      <c r="AW1396" t="s">
        <v>45</v>
      </c>
      <c r="AX1396" t="s">
        <v>4132</v>
      </c>
      <c r="AY1396" t="s">
        <v>4698</v>
      </c>
      <c r="AZ1396">
        <v>119.99999999301509</v>
      </c>
      <c r="BA1396">
        <v>0</v>
      </c>
      <c r="BB1396">
        <v>0</v>
      </c>
      <c r="BC1396">
        <v>0.1</v>
      </c>
      <c r="BD1396">
        <v>0</v>
      </c>
      <c r="BE1396">
        <f t="shared" si="219"/>
        <v>1</v>
      </c>
    </row>
    <row r="1397" spans="1:57" x14ac:dyDescent="0.25">
      <c r="A1397" t="s">
        <v>39</v>
      </c>
      <c r="B1397" t="s">
        <v>4699</v>
      </c>
      <c r="C1397">
        <v>77</v>
      </c>
      <c r="D1397">
        <v>62.6</v>
      </c>
      <c r="G1397">
        <f t="shared" si="210"/>
        <v>1</v>
      </c>
      <c r="H1397">
        <f t="shared" si="211"/>
        <v>1</v>
      </c>
      <c r="I1397">
        <f t="shared" si="212"/>
        <v>0</v>
      </c>
      <c r="J1397">
        <v>71.599999999999994</v>
      </c>
      <c r="K1397">
        <v>77</v>
      </c>
      <c r="L1397">
        <v>62.6</v>
      </c>
      <c r="M1397">
        <v>71.599999999999994</v>
      </c>
      <c r="N1397">
        <v>61.1</v>
      </c>
      <c r="O1397">
        <v>69.900000000000006</v>
      </c>
      <c r="S1397">
        <f t="shared" si="213"/>
        <v>1</v>
      </c>
      <c r="T1397">
        <f t="shared" si="214"/>
        <v>1</v>
      </c>
      <c r="U1397">
        <f t="shared" si="215"/>
        <v>0</v>
      </c>
      <c r="V1397">
        <v>1.2E-2</v>
      </c>
      <c r="W1397">
        <v>100</v>
      </c>
      <c r="X1397">
        <v>4.17</v>
      </c>
      <c r="Y1397" t="s">
        <v>103</v>
      </c>
      <c r="Z1397">
        <v>0</v>
      </c>
      <c r="AA1397">
        <v>0</v>
      </c>
      <c r="AB1397">
        <v>39.1</v>
      </c>
      <c r="AC1397">
        <v>27.5</v>
      </c>
      <c r="AG1397">
        <f t="shared" si="216"/>
        <v>1</v>
      </c>
      <c r="AH1397">
        <f t="shared" si="217"/>
        <v>1</v>
      </c>
      <c r="AI1397">
        <f t="shared" si="218"/>
        <v>0</v>
      </c>
      <c r="AJ1397">
        <v>174.4</v>
      </c>
      <c r="AK1397">
        <v>1010.6</v>
      </c>
      <c r="AL1397">
        <v>95.5</v>
      </c>
      <c r="AM1397">
        <v>6.6</v>
      </c>
      <c r="AN1397">
        <v>0</v>
      </c>
      <c r="AO1397">
        <v>0</v>
      </c>
      <c r="AP1397">
        <v>0</v>
      </c>
      <c r="AQ1397">
        <v>0</v>
      </c>
      <c r="AR1397" t="s">
        <v>4700</v>
      </c>
      <c r="AS1397" t="s">
        <v>4701</v>
      </c>
      <c r="AT1397">
        <v>0.59</v>
      </c>
      <c r="AU1397" t="s">
        <v>1357</v>
      </c>
      <c r="AV1397" t="s">
        <v>2819</v>
      </c>
      <c r="AW1397" t="s">
        <v>103</v>
      </c>
      <c r="AX1397" t="s">
        <v>4702</v>
      </c>
      <c r="AY1397" t="s">
        <v>4703</v>
      </c>
      <c r="AZ1397">
        <v>90</v>
      </c>
      <c r="BA1397">
        <v>0</v>
      </c>
      <c r="BB1397">
        <v>0</v>
      </c>
      <c r="BC1397">
        <v>2</v>
      </c>
      <c r="BD1397">
        <v>0</v>
      </c>
      <c r="BE1397">
        <f t="shared" si="219"/>
        <v>1</v>
      </c>
    </row>
    <row r="1398" spans="1:57" x14ac:dyDescent="0.25">
      <c r="A1398" t="s">
        <v>39</v>
      </c>
      <c r="B1398" t="s">
        <v>4704</v>
      </c>
      <c r="C1398">
        <v>87.8</v>
      </c>
      <c r="D1398">
        <v>69.7</v>
      </c>
      <c r="G1398">
        <f t="shared" si="210"/>
        <v>1</v>
      </c>
      <c r="H1398">
        <f t="shared" si="211"/>
        <v>1</v>
      </c>
      <c r="I1398">
        <f t="shared" si="212"/>
        <v>0</v>
      </c>
      <c r="J1398">
        <v>77.099999999999994</v>
      </c>
      <c r="K1398">
        <v>87.8</v>
      </c>
      <c r="L1398">
        <v>69.7</v>
      </c>
      <c r="M1398">
        <v>77.099999999999994</v>
      </c>
      <c r="N1398">
        <v>64.400000000000006</v>
      </c>
      <c r="O1398">
        <v>67.5</v>
      </c>
      <c r="S1398">
        <f t="shared" si="213"/>
        <v>0</v>
      </c>
      <c r="T1398">
        <f t="shared" si="214"/>
        <v>0</v>
      </c>
      <c r="U1398">
        <f t="shared" si="215"/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23</v>
      </c>
      <c r="AG1398">
        <f t="shared" si="216"/>
        <v>1</v>
      </c>
      <c r="AH1398">
        <f t="shared" si="217"/>
        <v>1</v>
      </c>
      <c r="AI1398">
        <f t="shared" si="218"/>
        <v>0</v>
      </c>
      <c r="AJ1398">
        <v>179.8</v>
      </c>
      <c r="AK1398">
        <v>1009.8</v>
      </c>
      <c r="AL1398">
        <v>82.7</v>
      </c>
      <c r="AM1398">
        <v>6.6</v>
      </c>
      <c r="AN1398">
        <v>0</v>
      </c>
      <c r="AO1398">
        <v>0</v>
      </c>
      <c r="AP1398">
        <v>0</v>
      </c>
      <c r="AQ1398">
        <v>0</v>
      </c>
      <c r="AR1398" t="s">
        <v>4705</v>
      </c>
      <c r="AS1398" t="s">
        <v>4706</v>
      </c>
      <c r="AT1398">
        <v>0.62</v>
      </c>
      <c r="AU1398" t="s">
        <v>43</v>
      </c>
      <c r="AV1398" t="s">
        <v>44</v>
      </c>
      <c r="AW1398" t="s">
        <v>45</v>
      </c>
      <c r="AX1398" t="s">
        <v>4707</v>
      </c>
      <c r="AY1398" t="s">
        <v>4708</v>
      </c>
      <c r="AZ1398">
        <v>209.0000000002328</v>
      </c>
      <c r="BA1398">
        <v>0</v>
      </c>
      <c r="BB1398">
        <v>0</v>
      </c>
      <c r="BC1398">
        <v>5</v>
      </c>
      <c r="BD1398">
        <v>0</v>
      </c>
      <c r="BE1398">
        <f t="shared" si="219"/>
        <v>0</v>
      </c>
    </row>
    <row r="1399" spans="1:57" x14ac:dyDescent="0.25">
      <c r="A1399" t="s">
        <v>39</v>
      </c>
      <c r="B1399" t="s">
        <v>4709</v>
      </c>
      <c r="C1399">
        <v>68</v>
      </c>
      <c r="D1399">
        <v>62.6</v>
      </c>
      <c r="G1399">
        <f t="shared" si="210"/>
        <v>0</v>
      </c>
      <c r="H1399">
        <f t="shared" si="211"/>
        <v>0</v>
      </c>
      <c r="I1399">
        <f t="shared" si="212"/>
        <v>0</v>
      </c>
      <c r="J1399">
        <v>64.900000000000006</v>
      </c>
      <c r="K1399">
        <v>68</v>
      </c>
      <c r="L1399">
        <v>62.6</v>
      </c>
      <c r="M1399">
        <v>64.900000000000006</v>
      </c>
      <c r="N1399">
        <v>54.7</v>
      </c>
      <c r="O1399">
        <v>69.7</v>
      </c>
      <c r="S1399">
        <f t="shared" si="213"/>
        <v>1</v>
      </c>
      <c r="T1399">
        <f t="shared" si="214"/>
        <v>1</v>
      </c>
      <c r="U1399">
        <f t="shared" si="215"/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15</v>
      </c>
      <c r="AG1399">
        <f t="shared" si="216"/>
        <v>1</v>
      </c>
      <c r="AH1399">
        <f t="shared" si="217"/>
        <v>0</v>
      </c>
      <c r="AI1399">
        <f t="shared" si="218"/>
        <v>1</v>
      </c>
      <c r="AJ1399">
        <v>326.2</v>
      </c>
      <c r="AK1399">
        <v>1018.5</v>
      </c>
      <c r="AL1399">
        <v>84.3</v>
      </c>
      <c r="AM1399">
        <v>6.6</v>
      </c>
      <c r="AN1399">
        <v>0</v>
      </c>
      <c r="AO1399">
        <v>0</v>
      </c>
      <c r="AP1399">
        <v>0</v>
      </c>
      <c r="AQ1399">
        <v>0</v>
      </c>
      <c r="AR1399" t="s">
        <v>4710</v>
      </c>
      <c r="AS1399" t="s">
        <v>4711</v>
      </c>
      <c r="AT1399">
        <v>0</v>
      </c>
      <c r="AU1399" t="s">
        <v>43</v>
      </c>
      <c r="AV1399" t="s">
        <v>44</v>
      </c>
      <c r="AW1399" t="s">
        <v>45</v>
      </c>
      <c r="AX1399" t="s">
        <v>4712</v>
      </c>
      <c r="AY1399" t="s">
        <v>4713</v>
      </c>
      <c r="AZ1399">
        <v>3350.0000000023279</v>
      </c>
      <c r="BA1399">
        <v>1</v>
      </c>
      <c r="BB1399">
        <v>0</v>
      </c>
      <c r="BC1399">
        <v>50</v>
      </c>
      <c r="BD1399">
        <v>0</v>
      </c>
      <c r="BE1399">
        <f t="shared" si="219"/>
        <v>0</v>
      </c>
    </row>
    <row r="1400" spans="1:57" x14ac:dyDescent="0.25">
      <c r="A1400" t="s">
        <v>39</v>
      </c>
      <c r="B1400" t="s">
        <v>4714</v>
      </c>
      <c r="C1400">
        <v>69.8</v>
      </c>
      <c r="D1400">
        <v>55.5</v>
      </c>
      <c r="G1400">
        <f t="shared" si="210"/>
        <v>1</v>
      </c>
      <c r="H1400">
        <f t="shared" si="211"/>
        <v>1</v>
      </c>
      <c r="I1400">
        <f t="shared" si="212"/>
        <v>0</v>
      </c>
      <c r="J1400">
        <v>62.2</v>
      </c>
      <c r="K1400">
        <v>69.8</v>
      </c>
      <c r="L1400">
        <v>55.5</v>
      </c>
      <c r="M1400">
        <v>62.2</v>
      </c>
      <c r="N1400">
        <v>56.9</v>
      </c>
      <c r="O1400">
        <v>83.1</v>
      </c>
      <c r="S1400">
        <f t="shared" si="213"/>
        <v>1</v>
      </c>
      <c r="T1400">
        <f t="shared" si="214"/>
        <v>1</v>
      </c>
      <c r="U1400">
        <f t="shared" si="215"/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10.3</v>
      </c>
      <c r="AG1400">
        <f t="shared" si="216"/>
        <v>1</v>
      </c>
      <c r="AH1400">
        <f t="shared" si="217"/>
        <v>0</v>
      </c>
      <c r="AI1400">
        <f t="shared" si="218"/>
        <v>1</v>
      </c>
      <c r="AJ1400">
        <v>219.2</v>
      </c>
      <c r="AK1400">
        <v>1014.5</v>
      </c>
      <c r="AL1400">
        <v>39.9</v>
      </c>
      <c r="AM1400">
        <v>6.6</v>
      </c>
      <c r="AN1400">
        <v>0</v>
      </c>
      <c r="AO1400">
        <v>0</v>
      </c>
      <c r="AP1400">
        <v>0</v>
      </c>
      <c r="AQ1400">
        <v>0</v>
      </c>
      <c r="AR1400" t="s">
        <v>4715</v>
      </c>
      <c r="AS1400" t="s">
        <v>4716</v>
      </c>
      <c r="AT1400">
        <v>0.26</v>
      </c>
      <c r="AU1400" t="s">
        <v>43</v>
      </c>
      <c r="AV1400" t="s">
        <v>44</v>
      </c>
      <c r="AW1400" t="s">
        <v>45</v>
      </c>
      <c r="AX1400" t="s">
        <v>4717</v>
      </c>
      <c r="AY1400" t="s">
        <v>4718</v>
      </c>
      <c r="AZ1400">
        <v>133.00000000395809</v>
      </c>
      <c r="BA1400">
        <v>0</v>
      </c>
      <c r="BB1400">
        <v>0.1</v>
      </c>
      <c r="BC1400">
        <v>0</v>
      </c>
      <c r="BD1400">
        <v>0</v>
      </c>
      <c r="BE1400">
        <f t="shared" si="219"/>
        <v>1</v>
      </c>
    </row>
    <row r="1401" spans="1:57" x14ac:dyDescent="0.25">
      <c r="A1401" t="s">
        <v>39</v>
      </c>
      <c r="B1401" t="s">
        <v>4719</v>
      </c>
      <c r="C1401">
        <v>55.4</v>
      </c>
      <c r="D1401">
        <v>39.200000000000003</v>
      </c>
      <c r="G1401">
        <f t="shared" si="210"/>
        <v>1</v>
      </c>
      <c r="H1401">
        <f t="shared" si="211"/>
        <v>0</v>
      </c>
      <c r="I1401">
        <f t="shared" si="212"/>
        <v>1</v>
      </c>
      <c r="J1401">
        <v>47.1</v>
      </c>
      <c r="K1401">
        <v>55.4</v>
      </c>
      <c r="L1401">
        <v>29.3</v>
      </c>
      <c r="M1401">
        <v>42.2</v>
      </c>
      <c r="N1401">
        <v>36.700000000000003</v>
      </c>
      <c r="O1401">
        <v>67.900000000000006</v>
      </c>
      <c r="S1401">
        <f t="shared" si="213"/>
        <v>0</v>
      </c>
      <c r="T1401">
        <f t="shared" si="214"/>
        <v>0</v>
      </c>
      <c r="U1401">
        <f t="shared" si="215"/>
        <v>0</v>
      </c>
      <c r="V1401">
        <v>0.50800000000000001</v>
      </c>
      <c r="W1401">
        <v>100</v>
      </c>
      <c r="X1401">
        <v>12.5</v>
      </c>
      <c r="Y1401" t="s">
        <v>103</v>
      </c>
      <c r="Z1401">
        <v>0</v>
      </c>
      <c r="AA1401">
        <v>0</v>
      </c>
      <c r="AB1401">
        <v>43.6</v>
      </c>
      <c r="AC1401">
        <v>28.9</v>
      </c>
      <c r="AG1401">
        <f t="shared" si="216"/>
        <v>1</v>
      </c>
      <c r="AH1401">
        <f t="shared" si="217"/>
        <v>1</v>
      </c>
      <c r="AI1401">
        <f t="shared" si="218"/>
        <v>0</v>
      </c>
      <c r="AJ1401">
        <v>326.5</v>
      </c>
      <c r="AK1401">
        <v>1007.6</v>
      </c>
      <c r="AL1401">
        <v>82.6</v>
      </c>
      <c r="AM1401">
        <v>6.5</v>
      </c>
      <c r="AN1401">
        <v>182.9</v>
      </c>
      <c r="AO1401">
        <v>15.8</v>
      </c>
      <c r="AP1401">
        <v>8</v>
      </c>
      <c r="AQ1401">
        <v>0</v>
      </c>
      <c r="AR1401" t="s">
        <v>4720</v>
      </c>
      <c r="AS1401" t="s">
        <v>4721</v>
      </c>
      <c r="AT1401">
        <v>0.24</v>
      </c>
      <c r="AU1401" t="s">
        <v>106</v>
      </c>
      <c r="AV1401" t="s">
        <v>257</v>
      </c>
      <c r="AW1401" t="s">
        <v>103</v>
      </c>
      <c r="AX1401" t="s">
        <v>2763</v>
      </c>
      <c r="AY1401" t="s">
        <v>4722</v>
      </c>
      <c r="AZ1401">
        <v>200.00000000232831</v>
      </c>
      <c r="BA1401">
        <v>0</v>
      </c>
      <c r="BB1401">
        <v>0</v>
      </c>
      <c r="BC1401">
        <v>10</v>
      </c>
      <c r="BD1401">
        <v>0</v>
      </c>
      <c r="BE1401">
        <f t="shared" si="219"/>
        <v>0</v>
      </c>
    </row>
    <row r="1402" spans="1:57" x14ac:dyDescent="0.25">
      <c r="A1402" t="s">
        <v>39</v>
      </c>
      <c r="B1402" t="s">
        <v>4723</v>
      </c>
      <c r="C1402">
        <v>62.6</v>
      </c>
      <c r="D1402">
        <v>42.2</v>
      </c>
      <c r="G1402">
        <f t="shared" si="210"/>
        <v>0</v>
      </c>
      <c r="H1402">
        <f t="shared" si="211"/>
        <v>0</v>
      </c>
      <c r="I1402">
        <f t="shared" si="212"/>
        <v>0</v>
      </c>
      <c r="J1402">
        <v>53.7</v>
      </c>
      <c r="K1402">
        <v>62.6</v>
      </c>
      <c r="L1402">
        <v>38.9</v>
      </c>
      <c r="M1402">
        <v>53.1</v>
      </c>
      <c r="N1402">
        <v>46</v>
      </c>
      <c r="O1402">
        <v>75.5</v>
      </c>
      <c r="S1402">
        <f t="shared" si="213"/>
        <v>1</v>
      </c>
      <c r="T1402">
        <f t="shared" si="214"/>
        <v>1</v>
      </c>
      <c r="U1402">
        <f t="shared" si="215"/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9.1999999999999993</v>
      </c>
      <c r="AG1402">
        <f t="shared" si="216"/>
        <v>1</v>
      </c>
      <c r="AH1402">
        <f t="shared" si="217"/>
        <v>0</v>
      </c>
      <c r="AI1402">
        <f t="shared" si="218"/>
        <v>1</v>
      </c>
      <c r="AJ1402">
        <v>274.89999999999998</v>
      </c>
      <c r="AK1402">
        <v>1018.3</v>
      </c>
      <c r="AL1402">
        <v>21.2</v>
      </c>
      <c r="AM1402">
        <v>6.5</v>
      </c>
      <c r="AN1402">
        <v>236</v>
      </c>
      <c r="AO1402">
        <v>20.5</v>
      </c>
      <c r="AP1402">
        <v>8</v>
      </c>
      <c r="AQ1402">
        <v>0</v>
      </c>
      <c r="AR1402" t="s">
        <v>4724</v>
      </c>
      <c r="AS1402" t="s">
        <v>4725</v>
      </c>
      <c r="AT1402">
        <v>0.34</v>
      </c>
      <c r="AU1402" t="s">
        <v>43</v>
      </c>
      <c r="AV1402" t="s">
        <v>44</v>
      </c>
      <c r="AW1402" t="s">
        <v>45</v>
      </c>
      <c r="AX1402" t="s">
        <v>4726</v>
      </c>
      <c r="AY1402" t="s">
        <v>4727</v>
      </c>
      <c r="AZ1402">
        <v>149.99999999650751</v>
      </c>
      <c r="BA1402">
        <v>0</v>
      </c>
      <c r="BB1402">
        <v>0</v>
      </c>
      <c r="BC1402">
        <v>5</v>
      </c>
      <c r="BD1402">
        <v>0</v>
      </c>
      <c r="BE1402">
        <f t="shared" si="219"/>
        <v>0</v>
      </c>
    </row>
    <row r="1403" spans="1:57" x14ac:dyDescent="0.25">
      <c r="A1403" t="s">
        <v>39</v>
      </c>
      <c r="B1403" t="s">
        <v>4728</v>
      </c>
      <c r="C1403">
        <v>57.2</v>
      </c>
      <c r="D1403">
        <v>50</v>
      </c>
      <c r="G1403">
        <f t="shared" si="210"/>
        <v>1</v>
      </c>
      <c r="H1403">
        <f t="shared" si="211"/>
        <v>0</v>
      </c>
      <c r="I1403">
        <f t="shared" si="212"/>
        <v>1</v>
      </c>
      <c r="J1403">
        <v>54.1</v>
      </c>
      <c r="K1403">
        <v>57.2</v>
      </c>
      <c r="L1403">
        <v>50</v>
      </c>
      <c r="M1403">
        <v>54.1</v>
      </c>
      <c r="N1403">
        <v>41.7</v>
      </c>
      <c r="O1403">
        <v>63.3</v>
      </c>
      <c r="S1403">
        <f t="shared" si="213"/>
        <v>0</v>
      </c>
      <c r="T1403">
        <f t="shared" si="214"/>
        <v>0</v>
      </c>
      <c r="U1403">
        <f t="shared" si="215"/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28.9</v>
      </c>
      <c r="AC1403">
        <v>25.3</v>
      </c>
      <c r="AG1403">
        <f t="shared" si="216"/>
        <v>1</v>
      </c>
      <c r="AH1403">
        <f t="shared" si="217"/>
        <v>1</v>
      </c>
      <c r="AI1403">
        <f t="shared" si="218"/>
        <v>0</v>
      </c>
      <c r="AJ1403">
        <v>356.7</v>
      </c>
      <c r="AK1403">
        <v>1026.5999999999999</v>
      </c>
      <c r="AL1403">
        <v>47.6</v>
      </c>
      <c r="AM1403">
        <v>6.6</v>
      </c>
      <c r="AN1403">
        <v>240.8</v>
      </c>
      <c r="AO1403">
        <v>20.9</v>
      </c>
      <c r="AP1403">
        <v>8</v>
      </c>
      <c r="AQ1403">
        <v>0</v>
      </c>
      <c r="AR1403" t="s">
        <v>4729</v>
      </c>
      <c r="AS1403" t="s">
        <v>4730</v>
      </c>
      <c r="AT1403">
        <v>0.78</v>
      </c>
      <c r="AU1403" t="s">
        <v>43</v>
      </c>
      <c r="AV1403" t="s">
        <v>44</v>
      </c>
      <c r="AW1403" t="s">
        <v>45</v>
      </c>
      <c r="AX1403" t="s">
        <v>2373</v>
      </c>
      <c r="AY1403" t="s">
        <v>4731</v>
      </c>
      <c r="AZ1403">
        <v>162.9999999969732</v>
      </c>
      <c r="BA1403">
        <v>0</v>
      </c>
      <c r="BB1403">
        <v>0</v>
      </c>
      <c r="BC1403">
        <v>1</v>
      </c>
      <c r="BD1403">
        <v>0</v>
      </c>
      <c r="BE1403">
        <f t="shared" si="219"/>
        <v>0</v>
      </c>
    </row>
    <row r="1404" spans="1:57" x14ac:dyDescent="0.25">
      <c r="A1404" t="s">
        <v>39</v>
      </c>
      <c r="B1404" t="s">
        <v>4616</v>
      </c>
      <c r="C1404">
        <v>66.2</v>
      </c>
      <c r="D1404">
        <v>50</v>
      </c>
      <c r="G1404">
        <f t="shared" si="210"/>
        <v>1</v>
      </c>
      <c r="H1404">
        <f t="shared" si="211"/>
        <v>1</v>
      </c>
      <c r="I1404">
        <f t="shared" si="212"/>
        <v>0</v>
      </c>
      <c r="J1404">
        <v>58.3</v>
      </c>
      <c r="K1404">
        <v>66.2</v>
      </c>
      <c r="L1404">
        <v>50</v>
      </c>
      <c r="M1404">
        <v>58.3</v>
      </c>
      <c r="N1404">
        <v>51</v>
      </c>
      <c r="O1404">
        <v>77.400000000000006</v>
      </c>
      <c r="S1404">
        <f t="shared" si="213"/>
        <v>1</v>
      </c>
      <c r="T1404">
        <f t="shared" si="214"/>
        <v>1</v>
      </c>
      <c r="U1404">
        <f t="shared" si="215"/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17.2</v>
      </c>
      <c r="AG1404">
        <f t="shared" si="216"/>
        <v>0</v>
      </c>
      <c r="AH1404">
        <f t="shared" si="217"/>
        <v>0</v>
      </c>
      <c r="AI1404">
        <f t="shared" si="218"/>
        <v>0</v>
      </c>
      <c r="AJ1404">
        <v>292.5</v>
      </c>
      <c r="AK1404">
        <v>1027</v>
      </c>
      <c r="AL1404">
        <v>7.6</v>
      </c>
      <c r="AM1404">
        <v>6.3</v>
      </c>
      <c r="AN1404">
        <v>267.7</v>
      </c>
      <c r="AO1404">
        <v>23.1</v>
      </c>
      <c r="AP1404">
        <v>9</v>
      </c>
      <c r="AQ1404">
        <v>0</v>
      </c>
      <c r="AR1404" t="s">
        <v>4617</v>
      </c>
      <c r="AS1404" t="s">
        <v>4618</v>
      </c>
      <c r="AT1404">
        <v>0.96</v>
      </c>
      <c r="AU1404" t="s">
        <v>74</v>
      </c>
      <c r="AV1404" t="s">
        <v>2955</v>
      </c>
      <c r="AW1404" t="s">
        <v>75</v>
      </c>
      <c r="AX1404" t="s">
        <v>2701</v>
      </c>
      <c r="AY1404" t="s">
        <v>4732</v>
      </c>
      <c r="AZ1404">
        <v>85.000000004656613</v>
      </c>
      <c r="BA1404">
        <v>0</v>
      </c>
      <c r="BB1404">
        <v>0</v>
      </c>
      <c r="BC1404">
        <v>2</v>
      </c>
      <c r="BD1404">
        <v>0</v>
      </c>
      <c r="BE1404">
        <f t="shared" si="219"/>
        <v>0</v>
      </c>
    </row>
    <row r="1405" spans="1:57" x14ac:dyDescent="0.25">
      <c r="A1405" t="s">
        <v>39</v>
      </c>
      <c r="B1405" t="s">
        <v>4733</v>
      </c>
      <c r="C1405">
        <v>73.400000000000006</v>
      </c>
      <c r="D1405">
        <v>60.8</v>
      </c>
      <c r="G1405">
        <f t="shared" si="210"/>
        <v>1</v>
      </c>
      <c r="H1405">
        <f t="shared" si="211"/>
        <v>1</v>
      </c>
      <c r="I1405">
        <f t="shared" si="212"/>
        <v>0</v>
      </c>
      <c r="J1405">
        <v>68.5</v>
      </c>
      <c r="K1405">
        <v>73.400000000000006</v>
      </c>
      <c r="L1405">
        <v>60.8</v>
      </c>
      <c r="M1405">
        <v>68.5</v>
      </c>
      <c r="N1405">
        <v>46.9</v>
      </c>
      <c r="O1405">
        <v>53.6</v>
      </c>
      <c r="S1405">
        <f t="shared" si="213"/>
        <v>1</v>
      </c>
      <c r="T1405">
        <f t="shared" si="214"/>
        <v>0</v>
      </c>
      <c r="U1405">
        <f t="shared" si="215"/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38</v>
      </c>
      <c r="AC1405">
        <v>26.4</v>
      </c>
      <c r="AG1405">
        <f t="shared" si="216"/>
        <v>1</v>
      </c>
      <c r="AH1405">
        <f t="shared" si="217"/>
        <v>1</v>
      </c>
      <c r="AI1405">
        <f t="shared" si="218"/>
        <v>0</v>
      </c>
      <c r="AJ1405">
        <v>181.9</v>
      </c>
      <c r="AK1405">
        <v>1009.6</v>
      </c>
      <c r="AL1405">
        <v>10.199999999999999</v>
      </c>
      <c r="AM1405">
        <v>6.3</v>
      </c>
      <c r="AN1405">
        <v>272.5</v>
      </c>
      <c r="AO1405">
        <v>23.5</v>
      </c>
      <c r="AP1405">
        <v>9</v>
      </c>
      <c r="AQ1405">
        <v>0</v>
      </c>
      <c r="AR1405" t="s">
        <v>4734</v>
      </c>
      <c r="AS1405" t="s">
        <v>4735</v>
      </c>
      <c r="AT1405">
        <v>0.5</v>
      </c>
      <c r="AU1405" t="s">
        <v>74</v>
      </c>
      <c r="AV1405" t="s">
        <v>2955</v>
      </c>
      <c r="AW1405" t="s">
        <v>75</v>
      </c>
      <c r="AX1405" t="s">
        <v>4736</v>
      </c>
      <c r="AY1405" t="s">
        <v>4737</v>
      </c>
      <c r="AZ1405">
        <v>270</v>
      </c>
      <c r="BA1405">
        <v>0</v>
      </c>
      <c r="BB1405">
        <v>0</v>
      </c>
      <c r="BC1405">
        <v>3</v>
      </c>
      <c r="BD1405">
        <v>0</v>
      </c>
      <c r="BE1405">
        <f t="shared" si="219"/>
        <v>1</v>
      </c>
    </row>
    <row r="1406" spans="1:57" x14ac:dyDescent="0.25">
      <c r="A1406" t="s">
        <v>39</v>
      </c>
      <c r="B1406" t="s">
        <v>4647</v>
      </c>
      <c r="C1406">
        <v>75.2</v>
      </c>
      <c r="D1406">
        <v>59</v>
      </c>
      <c r="G1406">
        <f t="shared" si="210"/>
        <v>1</v>
      </c>
      <c r="H1406">
        <f t="shared" si="211"/>
        <v>1</v>
      </c>
      <c r="I1406">
        <f t="shared" si="212"/>
        <v>0</v>
      </c>
      <c r="J1406">
        <v>68.400000000000006</v>
      </c>
      <c r="K1406">
        <v>75.2</v>
      </c>
      <c r="L1406">
        <v>59</v>
      </c>
      <c r="M1406">
        <v>68.400000000000006</v>
      </c>
      <c r="N1406">
        <v>49.1</v>
      </c>
      <c r="O1406">
        <v>52.5</v>
      </c>
      <c r="S1406">
        <f t="shared" si="213"/>
        <v>1</v>
      </c>
      <c r="T1406">
        <f t="shared" si="214"/>
        <v>0</v>
      </c>
      <c r="U1406">
        <f t="shared" si="215"/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25.3</v>
      </c>
      <c r="AG1406">
        <f t="shared" si="216"/>
        <v>1</v>
      </c>
      <c r="AH1406">
        <f t="shared" si="217"/>
        <v>1</v>
      </c>
      <c r="AI1406">
        <f t="shared" si="218"/>
        <v>0</v>
      </c>
      <c r="AJ1406">
        <v>277.3</v>
      </c>
      <c r="AK1406">
        <v>1004.3</v>
      </c>
      <c r="AL1406">
        <v>13.6</v>
      </c>
      <c r="AM1406">
        <v>6.4</v>
      </c>
      <c r="AN1406">
        <v>296.8</v>
      </c>
      <c r="AO1406">
        <v>25.7</v>
      </c>
      <c r="AP1406">
        <v>10</v>
      </c>
      <c r="AQ1406">
        <v>0</v>
      </c>
      <c r="AR1406" t="s">
        <v>4648</v>
      </c>
      <c r="AS1406" t="s">
        <v>4649</v>
      </c>
      <c r="AT1406">
        <v>0.55000000000000004</v>
      </c>
      <c r="AU1406" t="s">
        <v>74</v>
      </c>
      <c r="AV1406" t="s">
        <v>2955</v>
      </c>
      <c r="AW1406" t="s">
        <v>75</v>
      </c>
      <c r="AX1406" t="s">
        <v>4143</v>
      </c>
      <c r="AY1406" t="s">
        <v>4738</v>
      </c>
      <c r="AZ1406">
        <v>130.00000000465661</v>
      </c>
      <c r="BA1406">
        <v>0</v>
      </c>
      <c r="BB1406">
        <v>0</v>
      </c>
      <c r="BC1406">
        <v>0.5</v>
      </c>
      <c r="BD1406">
        <v>0</v>
      </c>
      <c r="BE1406">
        <f t="shared" si="219"/>
        <v>1</v>
      </c>
    </row>
    <row r="1407" spans="1:57" x14ac:dyDescent="0.25">
      <c r="A1407" t="s">
        <v>39</v>
      </c>
      <c r="B1407" t="s">
        <v>4739</v>
      </c>
      <c r="C1407">
        <v>71.599999999999994</v>
      </c>
      <c r="D1407">
        <v>57.2</v>
      </c>
      <c r="G1407">
        <f t="shared" si="210"/>
        <v>1</v>
      </c>
      <c r="H1407">
        <f t="shared" si="211"/>
        <v>1</v>
      </c>
      <c r="I1407">
        <f t="shared" si="212"/>
        <v>0</v>
      </c>
      <c r="J1407">
        <v>65.099999999999994</v>
      </c>
      <c r="K1407">
        <v>71.599999999999994</v>
      </c>
      <c r="L1407">
        <v>57.2</v>
      </c>
      <c r="M1407">
        <v>65.099999999999994</v>
      </c>
      <c r="N1407">
        <v>50.8</v>
      </c>
      <c r="O1407">
        <v>60.9</v>
      </c>
      <c r="S1407">
        <f t="shared" si="213"/>
        <v>1</v>
      </c>
      <c r="T1407">
        <f t="shared" si="214"/>
        <v>0</v>
      </c>
      <c r="U1407">
        <f t="shared" si="215"/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23</v>
      </c>
      <c r="AG1407">
        <f t="shared" si="216"/>
        <v>1</v>
      </c>
      <c r="AH1407">
        <f t="shared" si="217"/>
        <v>1</v>
      </c>
      <c r="AI1407">
        <f t="shared" si="218"/>
        <v>0</v>
      </c>
      <c r="AJ1407">
        <v>296.60000000000002</v>
      </c>
      <c r="AK1407">
        <v>1011.7</v>
      </c>
      <c r="AL1407">
        <v>14</v>
      </c>
      <c r="AM1407">
        <v>6.2</v>
      </c>
      <c r="AN1407">
        <v>328.3</v>
      </c>
      <c r="AO1407">
        <v>28.3</v>
      </c>
      <c r="AP1407">
        <v>10</v>
      </c>
      <c r="AQ1407">
        <v>0</v>
      </c>
      <c r="AR1407" t="s">
        <v>4740</v>
      </c>
      <c r="AS1407" t="s">
        <v>4741</v>
      </c>
      <c r="AT1407">
        <v>0</v>
      </c>
      <c r="AU1407" t="s">
        <v>74</v>
      </c>
      <c r="AV1407" t="s">
        <v>2955</v>
      </c>
      <c r="AW1407" t="s">
        <v>75</v>
      </c>
      <c r="AX1407" t="s">
        <v>2609</v>
      </c>
      <c r="AY1407" t="s">
        <v>4742</v>
      </c>
      <c r="AZ1407">
        <v>700.00000000814907</v>
      </c>
      <c r="BA1407">
        <v>1</v>
      </c>
      <c r="BB1407">
        <v>0</v>
      </c>
      <c r="BC1407">
        <v>3</v>
      </c>
      <c r="BD1407">
        <v>0</v>
      </c>
      <c r="BE1407">
        <f t="shared" si="219"/>
        <v>1</v>
      </c>
    </row>
    <row r="1408" spans="1:57" x14ac:dyDescent="0.25">
      <c r="A1408" t="s">
        <v>39</v>
      </c>
      <c r="B1408" t="s">
        <v>4739</v>
      </c>
      <c r="C1408">
        <v>71.599999999999994</v>
      </c>
      <c r="D1408">
        <v>57.2</v>
      </c>
      <c r="G1408">
        <f t="shared" si="210"/>
        <v>1</v>
      </c>
      <c r="H1408">
        <f t="shared" si="211"/>
        <v>1</v>
      </c>
      <c r="I1408">
        <f t="shared" si="212"/>
        <v>0</v>
      </c>
      <c r="J1408">
        <v>65.099999999999994</v>
      </c>
      <c r="K1408">
        <v>71.599999999999994</v>
      </c>
      <c r="L1408">
        <v>57.2</v>
      </c>
      <c r="M1408">
        <v>65.099999999999994</v>
      </c>
      <c r="N1408">
        <v>50.8</v>
      </c>
      <c r="O1408">
        <v>60.9</v>
      </c>
      <c r="S1408">
        <f t="shared" si="213"/>
        <v>1</v>
      </c>
      <c r="T1408">
        <f t="shared" si="214"/>
        <v>0</v>
      </c>
      <c r="U1408">
        <f t="shared" si="215"/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23</v>
      </c>
      <c r="AG1408">
        <f t="shared" si="216"/>
        <v>1</v>
      </c>
      <c r="AH1408">
        <f t="shared" si="217"/>
        <v>1</v>
      </c>
      <c r="AI1408">
        <f t="shared" si="218"/>
        <v>0</v>
      </c>
      <c r="AJ1408">
        <v>296.60000000000002</v>
      </c>
      <c r="AK1408">
        <v>1011.7</v>
      </c>
      <c r="AL1408">
        <v>14</v>
      </c>
      <c r="AM1408">
        <v>6.2</v>
      </c>
      <c r="AN1408">
        <v>328.3</v>
      </c>
      <c r="AO1408">
        <v>28.3</v>
      </c>
      <c r="AP1408">
        <v>10</v>
      </c>
      <c r="AQ1408">
        <v>0</v>
      </c>
      <c r="AR1408" t="s">
        <v>4740</v>
      </c>
      <c r="AS1408" t="s">
        <v>4741</v>
      </c>
      <c r="AT1408">
        <v>0</v>
      </c>
      <c r="AU1408" t="s">
        <v>74</v>
      </c>
      <c r="AV1408" t="s">
        <v>2955</v>
      </c>
      <c r="AW1408" t="s">
        <v>75</v>
      </c>
      <c r="AX1408" t="s">
        <v>2493</v>
      </c>
      <c r="AY1408" t="s">
        <v>4743</v>
      </c>
      <c r="AZ1408">
        <v>1165.0000000046571</v>
      </c>
      <c r="BA1408">
        <v>1</v>
      </c>
      <c r="BB1408">
        <v>0</v>
      </c>
      <c r="BC1408">
        <v>15</v>
      </c>
      <c r="BD1408">
        <v>0</v>
      </c>
      <c r="BE1408">
        <f t="shared" si="219"/>
        <v>1</v>
      </c>
    </row>
    <row r="1409" spans="1:57" x14ac:dyDescent="0.25">
      <c r="A1409" t="s">
        <v>39</v>
      </c>
      <c r="B1409" t="s">
        <v>4744</v>
      </c>
      <c r="C1409">
        <v>69.8</v>
      </c>
      <c r="D1409">
        <v>51.8</v>
      </c>
      <c r="G1409">
        <f t="shared" si="210"/>
        <v>1</v>
      </c>
      <c r="H1409">
        <f t="shared" si="211"/>
        <v>1</v>
      </c>
      <c r="I1409">
        <f t="shared" si="212"/>
        <v>0</v>
      </c>
      <c r="J1409">
        <v>60.8</v>
      </c>
      <c r="K1409">
        <v>69.8</v>
      </c>
      <c r="L1409">
        <v>51.8</v>
      </c>
      <c r="M1409">
        <v>60.8</v>
      </c>
      <c r="N1409">
        <v>49.6</v>
      </c>
      <c r="O1409">
        <v>68.099999999999994</v>
      </c>
      <c r="S1409">
        <f t="shared" si="213"/>
        <v>1</v>
      </c>
      <c r="T1409">
        <f t="shared" si="214"/>
        <v>1</v>
      </c>
      <c r="U1409">
        <f t="shared" si="215"/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9.1999999999999993</v>
      </c>
      <c r="AG1409">
        <f t="shared" si="216"/>
        <v>1</v>
      </c>
      <c r="AH1409">
        <f t="shared" si="217"/>
        <v>0</v>
      </c>
      <c r="AI1409">
        <f t="shared" si="218"/>
        <v>1</v>
      </c>
      <c r="AJ1409">
        <v>146.9</v>
      </c>
      <c r="AK1409">
        <v>1015.8</v>
      </c>
      <c r="AL1409">
        <v>14.6</v>
      </c>
      <c r="AM1409">
        <v>6.5</v>
      </c>
      <c r="AN1409">
        <v>331.2</v>
      </c>
      <c r="AO1409">
        <v>28.6</v>
      </c>
      <c r="AP1409">
        <v>10</v>
      </c>
      <c r="AQ1409">
        <v>0</v>
      </c>
      <c r="AR1409" t="s">
        <v>4745</v>
      </c>
      <c r="AS1409" t="s">
        <v>4746</v>
      </c>
      <c r="AT1409">
        <v>7.0000000000000007E-2</v>
      </c>
      <c r="AU1409" t="s">
        <v>74</v>
      </c>
      <c r="AV1409" t="s">
        <v>2955</v>
      </c>
      <c r="AW1409" t="s">
        <v>75</v>
      </c>
      <c r="AX1409" t="s">
        <v>4747</v>
      </c>
      <c r="AY1409" t="s">
        <v>4748</v>
      </c>
      <c r="AZ1409">
        <v>185.99999999860299</v>
      </c>
      <c r="BA1409">
        <v>0</v>
      </c>
      <c r="BB1409">
        <v>0</v>
      </c>
      <c r="BC1409">
        <v>3</v>
      </c>
      <c r="BD1409">
        <v>0</v>
      </c>
      <c r="BE1409">
        <f t="shared" si="219"/>
        <v>1</v>
      </c>
    </row>
    <row r="1410" spans="1:57" x14ac:dyDescent="0.25">
      <c r="A1410" t="s">
        <v>39</v>
      </c>
      <c r="B1410" t="s">
        <v>4749</v>
      </c>
      <c r="C1410">
        <v>75.2</v>
      </c>
      <c r="D1410">
        <v>59</v>
      </c>
      <c r="G1410">
        <f t="shared" si="210"/>
        <v>1</v>
      </c>
      <c r="H1410">
        <f t="shared" si="211"/>
        <v>1</v>
      </c>
      <c r="I1410">
        <f t="shared" si="212"/>
        <v>0</v>
      </c>
      <c r="J1410">
        <v>66.900000000000006</v>
      </c>
      <c r="K1410">
        <v>75.2</v>
      </c>
      <c r="L1410">
        <v>59</v>
      </c>
      <c r="M1410">
        <v>66.900000000000006</v>
      </c>
      <c r="N1410">
        <v>56.3</v>
      </c>
      <c r="O1410">
        <v>69.599999999999994</v>
      </c>
      <c r="S1410">
        <f t="shared" si="213"/>
        <v>1</v>
      </c>
      <c r="T1410">
        <f t="shared" si="214"/>
        <v>1</v>
      </c>
      <c r="U1410">
        <f t="shared" si="215"/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18.3</v>
      </c>
      <c r="AG1410">
        <f t="shared" si="216"/>
        <v>0</v>
      </c>
      <c r="AH1410">
        <f t="shared" si="217"/>
        <v>0</v>
      </c>
      <c r="AI1410">
        <f t="shared" si="218"/>
        <v>0</v>
      </c>
      <c r="AJ1410">
        <v>302.2</v>
      </c>
      <c r="AK1410">
        <v>1010.5</v>
      </c>
      <c r="AL1410">
        <v>0</v>
      </c>
      <c r="AM1410">
        <v>6.2</v>
      </c>
      <c r="AN1410">
        <v>328.9</v>
      </c>
      <c r="AO1410">
        <v>28.4</v>
      </c>
      <c r="AP1410">
        <v>10</v>
      </c>
      <c r="AQ1410">
        <v>0</v>
      </c>
      <c r="AR1410" t="s">
        <v>4750</v>
      </c>
      <c r="AS1410" t="s">
        <v>4751</v>
      </c>
      <c r="AT1410">
        <v>0.37</v>
      </c>
      <c r="AU1410" t="s">
        <v>74</v>
      </c>
      <c r="AV1410" t="s">
        <v>2955</v>
      </c>
      <c r="AW1410" t="s">
        <v>75</v>
      </c>
      <c r="AX1410" t="s">
        <v>4752</v>
      </c>
      <c r="AY1410" t="s">
        <v>4753</v>
      </c>
      <c r="AZ1410">
        <v>195.9999999997672</v>
      </c>
      <c r="BA1410">
        <v>0</v>
      </c>
      <c r="BB1410">
        <v>0</v>
      </c>
      <c r="BC1410">
        <v>0.1</v>
      </c>
      <c r="BD1410">
        <v>0</v>
      </c>
      <c r="BE1410">
        <f t="shared" si="219"/>
        <v>0</v>
      </c>
    </row>
    <row r="1411" spans="1:57" x14ac:dyDescent="0.25">
      <c r="A1411" t="s">
        <v>39</v>
      </c>
      <c r="B1411" t="s">
        <v>4754</v>
      </c>
      <c r="C1411">
        <v>84.2</v>
      </c>
      <c r="D1411">
        <v>69.5</v>
      </c>
      <c r="G1411">
        <f t="shared" ref="G1411:G1474" si="220">IF(ABS(C1411-INDEX($F$2:$F$13,MONTH(B1411)))&gt;1.8,1,0)</f>
        <v>1</v>
      </c>
      <c r="H1411">
        <f t="shared" ref="H1411:H1474" si="221">IF(C1411&gt;=INDEX($F$2:$F$13,MONTH(B1411))+1.8,1,0)</f>
        <v>1</v>
      </c>
      <c r="I1411">
        <f t="shared" ref="I1411:I1474" si="222">IF(C1411&lt;=INDEX($F$2:$F$13,MONTH(B1411))-1.8,1,0)</f>
        <v>0</v>
      </c>
      <c r="J1411">
        <v>77.900000000000006</v>
      </c>
      <c r="K1411">
        <v>88.5</v>
      </c>
      <c r="L1411">
        <v>69.5</v>
      </c>
      <c r="M1411">
        <v>79.400000000000006</v>
      </c>
      <c r="N1411">
        <v>64.5</v>
      </c>
      <c r="O1411">
        <v>63.9</v>
      </c>
      <c r="S1411">
        <f t="shared" ref="S1411:S1474" si="223">IF(OR(O1411&lt;INDEX($Q$2:$Q$13,MONTH(B1411)),O1411&gt;INDEX($R$2:$R$13,MONTH(B1411))),1,0)</f>
        <v>1</v>
      </c>
      <c r="T1411">
        <f t="shared" ref="T1411:T1474" si="224">IF(O1411&gt;INDEX($R$2:$R$13,MONTH(B1411)),1,0)</f>
        <v>1</v>
      </c>
      <c r="U1411">
        <f t="shared" ref="U1411:U1474" si="225">IF(O1411&lt;INDEX($Q$2:$Q$13,MONTH(B1411)),1,0)</f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18.3</v>
      </c>
      <c r="AG1411">
        <f t="shared" ref="AG1411:AG1474" si="226">IF(OR(AC1411&lt;INDEX($AE$2:$AE$13,MONTH(B1411)),AC1411&gt;INDEX($AF$2:$AF$13,MONTH(B1411))),1,0)</f>
        <v>0</v>
      </c>
      <c r="AH1411">
        <f t="shared" ref="AH1411:AH1474" si="227">IF(AC1411&gt;INDEX($AF$2:$AF$13,MONTH(B1411)),1,0)</f>
        <v>0</v>
      </c>
      <c r="AI1411">
        <f t="shared" ref="AI1411:AI1474" si="228">IF(AC1411&lt;INDEX($AE$2:$AE$13,MONTH(B1411)),1,0)</f>
        <v>0</v>
      </c>
      <c r="AJ1411">
        <v>302</v>
      </c>
      <c r="AK1411">
        <v>1010.8</v>
      </c>
      <c r="AL1411">
        <v>0</v>
      </c>
      <c r="AM1411">
        <v>6.2</v>
      </c>
      <c r="AN1411">
        <v>361.8</v>
      </c>
      <c r="AO1411">
        <v>31.2</v>
      </c>
      <c r="AP1411">
        <v>10</v>
      </c>
      <c r="AQ1411">
        <v>0</v>
      </c>
      <c r="AR1411" t="s">
        <v>4755</v>
      </c>
      <c r="AS1411" t="s">
        <v>4756</v>
      </c>
      <c r="AT1411">
        <v>0.17</v>
      </c>
      <c r="AU1411" t="s">
        <v>74</v>
      </c>
      <c r="AV1411" t="s">
        <v>2955</v>
      </c>
      <c r="AW1411" t="s">
        <v>75</v>
      </c>
      <c r="AX1411" t="s">
        <v>2701</v>
      </c>
      <c r="AY1411" t="s">
        <v>4757</v>
      </c>
      <c r="AZ1411">
        <v>1865.0000000023281</v>
      </c>
      <c r="BA1411">
        <v>1</v>
      </c>
      <c r="BB1411">
        <v>0</v>
      </c>
      <c r="BC1411">
        <v>2</v>
      </c>
      <c r="BD1411">
        <v>0</v>
      </c>
      <c r="BE1411">
        <f t="shared" ref="BE1411:BE1474" si="229">IF((3*AH1411+3*H1411+2*U1411+2*BA1411-(2*(1-T1411)+2*(1-I1411)+2*(1-AI1411)))&gt;=1,1,0)</f>
        <v>1</v>
      </c>
    </row>
    <row r="1412" spans="1:57" x14ac:dyDescent="0.25">
      <c r="A1412" t="s">
        <v>39</v>
      </c>
      <c r="B1412" t="s">
        <v>4758</v>
      </c>
      <c r="C1412">
        <v>84.3</v>
      </c>
      <c r="D1412">
        <v>69.8</v>
      </c>
      <c r="G1412">
        <f t="shared" si="220"/>
        <v>0</v>
      </c>
      <c r="H1412">
        <f t="shared" si="221"/>
        <v>0</v>
      </c>
      <c r="I1412">
        <f t="shared" si="222"/>
        <v>0</v>
      </c>
      <c r="J1412">
        <v>79.3</v>
      </c>
      <c r="K1412">
        <v>91</v>
      </c>
      <c r="L1412">
        <v>69.8</v>
      </c>
      <c r="M1412">
        <v>82.1</v>
      </c>
      <c r="N1412">
        <v>68.599999999999994</v>
      </c>
      <c r="O1412">
        <v>70.3</v>
      </c>
      <c r="S1412">
        <f t="shared" si="223"/>
        <v>1</v>
      </c>
      <c r="T1412">
        <f t="shared" si="224"/>
        <v>1</v>
      </c>
      <c r="U1412">
        <f t="shared" si="225"/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19.5</v>
      </c>
      <c r="AG1412">
        <f t="shared" si="226"/>
        <v>1</v>
      </c>
      <c r="AH1412">
        <f t="shared" si="227"/>
        <v>1</v>
      </c>
      <c r="AI1412">
        <f t="shared" si="228"/>
        <v>0</v>
      </c>
      <c r="AJ1412">
        <v>310.10000000000002</v>
      </c>
      <c r="AK1412">
        <v>1007.9</v>
      </c>
      <c r="AL1412">
        <v>0</v>
      </c>
      <c r="AM1412">
        <v>6.2</v>
      </c>
      <c r="AN1412">
        <v>0</v>
      </c>
      <c r="AO1412">
        <v>0</v>
      </c>
      <c r="AP1412">
        <v>0</v>
      </c>
      <c r="AQ1412">
        <v>0</v>
      </c>
      <c r="AR1412" t="s">
        <v>4759</v>
      </c>
      <c r="AS1412" t="s">
        <v>4760</v>
      </c>
      <c r="AT1412">
        <v>0.15</v>
      </c>
      <c r="AU1412" t="s">
        <v>74</v>
      </c>
      <c r="AV1412" t="s">
        <v>2955</v>
      </c>
      <c r="AW1412" t="s">
        <v>75</v>
      </c>
      <c r="AX1412" t="s">
        <v>2555</v>
      </c>
      <c r="AY1412" t="s">
        <v>4761</v>
      </c>
      <c r="AZ1412">
        <v>410.00000000582082</v>
      </c>
      <c r="BA1412">
        <v>1</v>
      </c>
      <c r="BB1412">
        <v>0</v>
      </c>
      <c r="BC1412">
        <v>0.1</v>
      </c>
      <c r="BD1412">
        <v>0</v>
      </c>
      <c r="BE1412">
        <f t="shared" si="229"/>
        <v>1</v>
      </c>
    </row>
    <row r="1413" spans="1:57" x14ac:dyDescent="0.25">
      <c r="A1413" t="s">
        <v>39</v>
      </c>
      <c r="B1413" t="s">
        <v>4762</v>
      </c>
      <c r="C1413">
        <v>84.3</v>
      </c>
      <c r="D1413">
        <v>69.8</v>
      </c>
      <c r="G1413">
        <f t="shared" si="220"/>
        <v>0</v>
      </c>
      <c r="H1413">
        <f t="shared" si="221"/>
        <v>0</v>
      </c>
      <c r="I1413">
        <f t="shared" si="222"/>
        <v>0</v>
      </c>
      <c r="J1413">
        <v>78.7</v>
      </c>
      <c r="K1413">
        <v>91.1</v>
      </c>
      <c r="L1413">
        <v>69.8</v>
      </c>
      <c r="M1413">
        <v>81</v>
      </c>
      <c r="N1413">
        <v>68.599999999999994</v>
      </c>
      <c r="O1413">
        <v>71.5</v>
      </c>
      <c r="S1413">
        <f t="shared" si="223"/>
        <v>1</v>
      </c>
      <c r="T1413">
        <f t="shared" si="224"/>
        <v>1</v>
      </c>
      <c r="U1413">
        <f t="shared" si="225"/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18.3</v>
      </c>
      <c r="AG1413">
        <f t="shared" si="226"/>
        <v>0</v>
      </c>
      <c r="AH1413">
        <f t="shared" si="227"/>
        <v>0</v>
      </c>
      <c r="AI1413">
        <f t="shared" si="228"/>
        <v>0</v>
      </c>
      <c r="AJ1413">
        <v>307.3</v>
      </c>
      <c r="AK1413">
        <v>1012.2</v>
      </c>
      <c r="AL1413">
        <v>0</v>
      </c>
      <c r="AM1413">
        <v>6.2</v>
      </c>
      <c r="AN1413">
        <v>0</v>
      </c>
      <c r="AO1413">
        <v>0</v>
      </c>
      <c r="AP1413">
        <v>0</v>
      </c>
      <c r="AQ1413">
        <v>0</v>
      </c>
      <c r="AR1413" t="s">
        <v>4763</v>
      </c>
      <c r="AS1413" t="s">
        <v>4764</v>
      </c>
      <c r="AT1413">
        <v>0.17</v>
      </c>
      <c r="AU1413" t="s">
        <v>74</v>
      </c>
      <c r="AV1413" t="s">
        <v>2955</v>
      </c>
      <c r="AW1413" t="s">
        <v>75</v>
      </c>
      <c r="AX1413" t="s">
        <v>4143</v>
      </c>
      <c r="AY1413" t="s">
        <v>4765</v>
      </c>
      <c r="AZ1413">
        <v>180</v>
      </c>
      <c r="BA1413">
        <v>0</v>
      </c>
      <c r="BB1413">
        <v>0.5</v>
      </c>
      <c r="BC1413">
        <v>0</v>
      </c>
      <c r="BD1413">
        <v>0</v>
      </c>
      <c r="BE1413">
        <f t="shared" si="229"/>
        <v>0</v>
      </c>
    </row>
    <row r="1414" spans="1:57" x14ac:dyDescent="0.25">
      <c r="A1414" t="s">
        <v>39</v>
      </c>
      <c r="B1414" t="s">
        <v>4766</v>
      </c>
      <c r="C1414">
        <v>86</v>
      </c>
      <c r="D1414">
        <v>73.400000000000006</v>
      </c>
      <c r="G1414">
        <f t="shared" si="220"/>
        <v>1</v>
      </c>
      <c r="H1414">
        <f t="shared" si="221"/>
        <v>1</v>
      </c>
      <c r="I1414">
        <f t="shared" si="222"/>
        <v>0</v>
      </c>
      <c r="J1414">
        <v>79.900000000000006</v>
      </c>
      <c r="K1414">
        <v>95.2</v>
      </c>
      <c r="L1414">
        <v>73.400000000000006</v>
      </c>
      <c r="M1414">
        <v>83.6</v>
      </c>
      <c r="N1414">
        <v>70.099999999999994</v>
      </c>
      <c r="O1414">
        <v>72.2</v>
      </c>
      <c r="S1414">
        <f t="shared" si="223"/>
        <v>1</v>
      </c>
      <c r="T1414">
        <f t="shared" si="224"/>
        <v>1</v>
      </c>
      <c r="U1414">
        <f t="shared" si="225"/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16.100000000000001</v>
      </c>
      <c r="AG1414">
        <f t="shared" si="226"/>
        <v>0</v>
      </c>
      <c r="AH1414">
        <f t="shared" si="227"/>
        <v>0</v>
      </c>
      <c r="AI1414">
        <f t="shared" si="228"/>
        <v>0</v>
      </c>
      <c r="AJ1414">
        <v>292.60000000000002</v>
      </c>
      <c r="AK1414">
        <v>1011</v>
      </c>
      <c r="AL1414">
        <v>0</v>
      </c>
      <c r="AM1414">
        <v>6.2</v>
      </c>
      <c r="AN1414">
        <v>0</v>
      </c>
      <c r="AO1414">
        <v>0</v>
      </c>
      <c r="AP1414">
        <v>0</v>
      </c>
      <c r="AQ1414">
        <v>0</v>
      </c>
      <c r="AR1414" t="s">
        <v>4767</v>
      </c>
      <c r="AS1414" t="s">
        <v>4768</v>
      </c>
      <c r="AT1414">
        <v>0.21</v>
      </c>
      <c r="AU1414" t="s">
        <v>74</v>
      </c>
      <c r="AV1414" t="s">
        <v>2955</v>
      </c>
      <c r="AW1414" t="s">
        <v>75</v>
      </c>
      <c r="AX1414" t="s">
        <v>2665</v>
      </c>
      <c r="AY1414" t="s">
        <v>4769</v>
      </c>
      <c r="AZ1414">
        <v>969.99999999767169</v>
      </c>
      <c r="BA1414">
        <v>1</v>
      </c>
      <c r="BB1414">
        <v>0</v>
      </c>
      <c r="BC1414">
        <v>50</v>
      </c>
      <c r="BD1414">
        <v>0</v>
      </c>
      <c r="BE1414">
        <f t="shared" si="229"/>
        <v>1</v>
      </c>
    </row>
    <row r="1415" spans="1:57" x14ac:dyDescent="0.25">
      <c r="A1415" t="s">
        <v>39</v>
      </c>
      <c r="B1415" t="s">
        <v>4766</v>
      </c>
      <c r="C1415">
        <v>86</v>
      </c>
      <c r="D1415">
        <v>73.400000000000006</v>
      </c>
      <c r="G1415">
        <f t="shared" si="220"/>
        <v>1</v>
      </c>
      <c r="H1415">
        <f t="shared" si="221"/>
        <v>1</v>
      </c>
      <c r="I1415">
        <f t="shared" si="222"/>
        <v>0</v>
      </c>
      <c r="J1415">
        <v>79.900000000000006</v>
      </c>
      <c r="K1415">
        <v>95.2</v>
      </c>
      <c r="L1415">
        <v>73.400000000000006</v>
      </c>
      <c r="M1415">
        <v>83.6</v>
      </c>
      <c r="N1415">
        <v>70.099999999999994</v>
      </c>
      <c r="O1415">
        <v>72.2</v>
      </c>
      <c r="S1415">
        <f t="shared" si="223"/>
        <v>1</v>
      </c>
      <c r="T1415">
        <f t="shared" si="224"/>
        <v>1</v>
      </c>
      <c r="U1415">
        <f t="shared" si="225"/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16.100000000000001</v>
      </c>
      <c r="AG1415">
        <f t="shared" si="226"/>
        <v>0</v>
      </c>
      <c r="AH1415">
        <f t="shared" si="227"/>
        <v>0</v>
      </c>
      <c r="AI1415">
        <f t="shared" si="228"/>
        <v>0</v>
      </c>
      <c r="AJ1415">
        <v>292.60000000000002</v>
      </c>
      <c r="AK1415">
        <v>1011</v>
      </c>
      <c r="AL1415">
        <v>0</v>
      </c>
      <c r="AM1415">
        <v>6.2</v>
      </c>
      <c r="AN1415">
        <v>0</v>
      </c>
      <c r="AO1415">
        <v>0</v>
      </c>
      <c r="AP1415">
        <v>0</v>
      </c>
      <c r="AQ1415">
        <v>0</v>
      </c>
      <c r="AR1415" t="s">
        <v>4767</v>
      </c>
      <c r="AS1415" t="s">
        <v>4768</v>
      </c>
      <c r="AT1415">
        <v>0.21</v>
      </c>
      <c r="AU1415" t="s">
        <v>74</v>
      </c>
      <c r="AV1415" t="s">
        <v>2955</v>
      </c>
      <c r="AW1415" t="s">
        <v>75</v>
      </c>
      <c r="AX1415" t="s">
        <v>2459</v>
      </c>
      <c r="AY1415" t="s">
        <v>4770</v>
      </c>
      <c r="AZ1415">
        <v>2250</v>
      </c>
      <c r="BA1415">
        <v>1</v>
      </c>
      <c r="BB1415">
        <v>0</v>
      </c>
      <c r="BC1415">
        <v>100</v>
      </c>
      <c r="BD1415">
        <v>0</v>
      </c>
      <c r="BE1415">
        <f t="shared" si="229"/>
        <v>1</v>
      </c>
    </row>
    <row r="1416" spans="1:57" x14ac:dyDescent="0.25">
      <c r="A1416" t="s">
        <v>39</v>
      </c>
      <c r="B1416" t="s">
        <v>4771</v>
      </c>
      <c r="C1416">
        <v>82.4</v>
      </c>
      <c r="D1416">
        <v>68.8</v>
      </c>
      <c r="G1416">
        <f t="shared" si="220"/>
        <v>0</v>
      </c>
      <c r="H1416">
        <f t="shared" si="221"/>
        <v>0</v>
      </c>
      <c r="I1416">
        <f t="shared" si="222"/>
        <v>0</v>
      </c>
      <c r="J1416">
        <v>78</v>
      </c>
      <c r="K1416">
        <v>84</v>
      </c>
      <c r="L1416">
        <v>68.8</v>
      </c>
      <c r="M1416">
        <v>78.599999999999994</v>
      </c>
      <c r="N1416">
        <v>63.2</v>
      </c>
      <c r="O1416">
        <v>60.7</v>
      </c>
      <c r="S1416">
        <f t="shared" si="223"/>
        <v>0</v>
      </c>
      <c r="T1416">
        <f t="shared" si="224"/>
        <v>0</v>
      </c>
      <c r="U1416">
        <f t="shared" si="225"/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20.8</v>
      </c>
      <c r="AG1416">
        <f t="shared" si="226"/>
        <v>1</v>
      </c>
      <c r="AH1416">
        <f t="shared" si="227"/>
        <v>1</v>
      </c>
      <c r="AI1416">
        <f t="shared" si="228"/>
        <v>0</v>
      </c>
      <c r="AJ1416">
        <v>310.39999999999998</v>
      </c>
      <c r="AK1416">
        <v>1011.6</v>
      </c>
      <c r="AL1416">
        <v>13</v>
      </c>
      <c r="AM1416">
        <v>6.5</v>
      </c>
      <c r="AN1416">
        <v>0</v>
      </c>
      <c r="AO1416">
        <v>0</v>
      </c>
      <c r="AP1416">
        <v>0</v>
      </c>
      <c r="AQ1416">
        <v>0</v>
      </c>
      <c r="AR1416" t="s">
        <v>4772</v>
      </c>
      <c r="AS1416" t="s">
        <v>4773</v>
      </c>
      <c r="AT1416">
        <v>0.5</v>
      </c>
      <c r="AU1416" t="s">
        <v>74</v>
      </c>
      <c r="AV1416" t="s">
        <v>2955</v>
      </c>
      <c r="AW1416" t="s">
        <v>75</v>
      </c>
      <c r="AX1416" t="s">
        <v>4132</v>
      </c>
      <c r="AY1416" t="s">
        <v>4774</v>
      </c>
      <c r="AZ1416">
        <v>3974.999999996508</v>
      </c>
      <c r="BA1416">
        <v>1</v>
      </c>
      <c r="BB1416">
        <v>0</v>
      </c>
      <c r="BC1416">
        <v>1.3</v>
      </c>
      <c r="BD1416">
        <v>0</v>
      </c>
      <c r="BE1416">
        <f t="shared" si="229"/>
        <v>0</v>
      </c>
    </row>
    <row r="1417" spans="1:57" x14ac:dyDescent="0.25">
      <c r="A1417" t="s">
        <v>39</v>
      </c>
      <c r="B1417" t="s">
        <v>4775</v>
      </c>
      <c r="C1417">
        <v>82.4</v>
      </c>
      <c r="D1417">
        <v>68</v>
      </c>
      <c r="G1417">
        <f t="shared" si="220"/>
        <v>1</v>
      </c>
      <c r="H1417">
        <f t="shared" si="221"/>
        <v>1</v>
      </c>
      <c r="I1417">
        <f t="shared" si="222"/>
        <v>0</v>
      </c>
      <c r="J1417">
        <v>75.3</v>
      </c>
      <c r="K1417">
        <v>87.2</v>
      </c>
      <c r="L1417">
        <v>68</v>
      </c>
      <c r="M1417">
        <v>76.7</v>
      </c>
      <c r="N1417">
        <v>66.7</v>
      </c>
      <c r="O1417">
        <v>75.099999999999994</v>
      </c>
      <c r="S1417">
        <f t="shared" si="223"/>
        <v>1</v>
      </c>
      <c r="T1417">
        <f t="shared" si="224"/>
        <v>1</v>
      </c>
      <c r="U1417">
        <f t="shared" si="225"/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11.4</v>
      </c>
      <c r="AG1417">
        <f t="shared" si="226"/>
        <v>1</v>
      </c>
      <c r="AH1417">
        <f t="shared" si="227"/>
        <v>0</v>
      </c>
      <c r="AI1417">
        <f t="shared" si="228"/>
        <v>1</v>
      </c>
      <c r="AJ1417">
        <v>326</v>
      </c>
      <c r="AK1417">
        <v>1011.8</v>
      </c>
      <c r="AL1417">
        <v>0</v>
      </c>
      <c r="AM1417">
        <v>6.2</v>
      </c>
      <c r="AN1417">
        <v>0</v>
      </c>
      <c r="AO1417">
        <v>0</v>
      </c>
      <c r="AP1417">
        <v>0</v>
      </c>
      <c r="AQ1417">
        <v>0</v>
      </c>
      <c r="AR1417" t="s">
        <v>4776</v>
      </c>
      <c r="AS1417" t="s">
        <v>4777</v>
      </c>
      <c r="AT1417">
        <v>0.65</v>
      </c>
      <c r="AU1417" t="s">
        <v>74</v>
      </c>
      <c r="AV1417" t="s">
        <v>2955</v>
      </c>
      <c r="AW1417" t="s">
        <v>75</v>
      </c>
      <c r="AX1417" t="s">
        <v>4778</v>
      </c>
      <c r="AY1417" t="s">
        <v>4779</v>
      </c>
      <c r="AZ1417">
        <v>349.99999999883579</v>
      </c>
      <c r="BA1417">
        <v>0</v>
      </c>
      <c r="BB1417">
        <v>0</v>
      </c>
      <c r="BC1417">
        <v>0.3</v>
      </c>
      <c r="BD1417">
        <v>0</v>
      </c>
      <c r="BE1417">
        <f t="shared" si="229"/>
        <v>1</v>
      </c>
    </row>
    <row r="1418" spans="1:57" x14ac:dyDescent="0.25">
      <c r="A1418" t="s">
        <v>39</v>
      </c>
      <c r="B1418" t="s">
        <v>4775</v>
      </c>
      <c r="C1418">
        <v>82.4</v>
      </c>
      <c r="D1418">
        <v>68</v>
      </c>
      <c r="G1418">
        <f t="shared" si="220"/>
        <v>1</v>
      </c>
      <c r="H1418">
        <f t="shared" si="221"/>
        <v>1</v>
      </c>
      <c r="I1418">
        <f t="shared" si="222"/>
        <v>0</v>
      </c>
      <c r="J1418">
        <v>75.3</v>
      </c>
      <c r="K1418">
        <v>87.2</v>
      </c>
      <c r="L1418">
        <v>68</v>
      </c>
      <c r="M1418">
        <v>76.7</v>
      </c>
      <c r="N1418">
        <v>66.7</v>
      </c>
      <c r="O1418">
        <v>75.099999999999994</v>
      </c>
      <c r="S1418">
        <f t="shared" si="223"/>
        <v>1</v>
      </c>
      <c r="T1418">
        <f t="shared" si="224"/>
        <v>1</v>
      </c>
      <c r="U1418">
        <f t="shared" si="225"/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11.4</v>
      </c>
      <c r="AG1418">
        <f t="shared" si="226"/>
        <v>1</v>
      </c>
      <c r="AH1418">
        <f t="shared" si="227"/>
        <v>0</v>
      </c>
      <c r="AI1418">
        <f t="shared" si="228"/>
        <v>1</v>
      </c>
      <c r="AJ1418">
        <v>326</v>
      </c>
      <c r="AK1418">
        <v>1011.8</v>
      </c>
      <c r="AL1418">
        <v>0</v>
      </c>
      <c r="AM1418">
        <v>6.2</v>
      </c>
      <c r="AN1418">
        <v>0</v>
      </c>
      <c r="AO1418">
        <v>0</v>
      </c>
      <c r="AP1418">
        <v>0</v>
      </c>
      <c r="AQ1418">
        <v>0</v>
      </c>
      <c r="AR1418" t="s">
        <v>4776</v>
      </c>
      <c r="AS1418" t="s">
        <v>4777</v>
      </c>
      <c r="AT1418">
        <v>0.65</v>
      </c>
      <c r="AU1418" t="s">
        <v>74</v>
      </c>
      <c r="AV1418" t="s">
        <v>2955</v>
      </c>
      <c r="AW1418" t="s">
        <v>75</v>
      </c>
      <c r="AX1418" t="s">
        <v>2476</v>
      </c>
      <c r="AY1418" t="s">
        <v>4780</v>
      </c>
      <c r="AZ1418">
        <v>2569.9999999953429</v>
      </c>
      <c r="BA1418">
        <v>1</v>
      </c>
      <c r="BB1418">
        <v>0</v>
      </c>
      <c r="BC1418">
        <v>40</v>
      </c>
      <c r="BD1418">
        <v>0</v>
      </c>
      <c r="BE1418">
        <f t="shared" si="229"/>
        <v>1</v>
      </c>
    </row>
    <row r="1419" spans="1:57" x14ac:dyDescent="0.25">
      <c r="A1419" t="s">
        <v>39</v>
      </c>
      <c r="B1419" t="s">
        <v>4781</v>
      </c>
      <c r="C1419">
        <v>80.599999999999994</v>
      </c>
      <c r="D1419">
        <v>75.2</v>
      </c>
      <c r="G1419">
        <f t="shared" si="220"/>
        <v>0</v>
      </c>
      <c r="H1419">
        <f t="shared" si="221"/>
        <v>0</v>
      </c>
      <c r="I1419">
        <f t="shared" si="222"/>
        <v>0</v>
      </c>
      <c r="J1419">
        <v>77.3</v>
      </c>
      <c r="K1419">
        <v>82.8</v>
      </c>
      <c r="L1419">
        <v>75.2</v>
      </c>
      <c r="M1419">
        <v>77.599999999999994</v>
      </c>
      <c r="N1419">
        <v>63.4</v>
      </c>
      <c r="O1419">
        <v>62.4</v>
      </c>
      <c r="S1419">
        <f t="shared" si="223"/>
        <v>1</v>
      </c>
      <c r="T1419">
        <f t="shared" si="224"/>
        <v>0</v>
      </c>
      <c r="U1419">
        <f t="shared" si="225"/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21.9</v>
      </c>
      <c r="AG1419">
        <f t="shared" si="226"/>
        <v>1</v>
      </c>
      <c r="AH1419">
        <f t="shared" si="227"/>
        <v>1</v>
      </c>
      <c r="AI1419">
        <f t="shared" si="228"/>
        <v>0</v>
      </c>
      <c r="AJ1419">
        <v>313.5</v>
      </c>
      <c r="AK1419">
        <v>1011.7</v>
      </c>
      <c r="AL1419">
        <v>30.7</v>
      </c>
      <c r="AM1419">
        <v>6.6</v>
      </c>
      <c r="AN1419">
        <v>0</v>
      </c>
      <c r="AO1419">
        <v>0</v>
      </c>
      <c r="AP1419">
        <v>0</v>
      </c>
      <c r="AQ1419">
        <v>0</v>
      </c>
      <c r="AR1419" t="s">
        <v>4782</v>
      </c>
      <c r="AS1419" t="s">
        <v>4783</v>
      </c>
      <c r="AT1419">
        <v>0.78</v>
      </c>
      <c r="AU1419" t="s">
        <v>43</v>
      </c>
      <c r="AV1419" t="s">
        <v>44</v>
      </c>
      <c r="AW1419" t="s">
        <v>45</v>
      </c>
      <c r="AX1419" t="s">
        <v>2567</v>
      </c>
      <c r="AY1419" t="s">
        <v>4784</v>
      </c>
      <c r="AZ1419">
        <v>4745.0000000023283</v>
      </c>
      <c r="BA1419">
        <v>1</v>
      </c>
      <c r="BB1419">
        <v>0.1</v>
      </c>
      <c r="BC1419">
        <v>0</v>
      </c>
      <c r="BD1419">
        <v>0</v>
      </c>
      <c r="BE1419">
        <f t="shared" si="229"/>
        <v>1</v>
      </c>
    </row>
    <row r="1420" spans="1:57" x14ac:dyDescent="0.25">
      <c r="A1420" t="s">
        <v>39</v>
      </c>
      <c r="B1420" t="s">
        <v>4785</v>
      </c>
      <c r="C1420">
        <v>73.400000000000006</v>
      </c>
      <c r="D1420">
        <v>59</v>
      </c>
      <c r="G1420">
        <f t="shared" si="220"/>
        <v>0</v>
      </c>
      <c r="H1420">
        <f t="shared" si="221"/>
        <v>0</v>
      </c>
      <c r="I1420">
        <f t="shared" si="222"/>
        <v>0</v>
      </c>
      <c r="J1420">
        <v>65.3</v>
      </c>
      <c r="K1420">
        <v>73.400000000000006</v>
      </c>
      <c r="L1420">
        <v>59</v>
      </c>
      <c r="M1420">
        <v>65.3</v>
      </c>
      <c r="N1420">
        <v>58.9</v>
      </c>
      <c r="O1420">
        <v>80.400000000000006</v>
      </c>
      <c r="S1420">
        <f t="shared" si="223"/>
        <v>1</v>
      </c>
      <c r="T1420">
        <f t="shared" si="224"/>
        <v>1</v>
      </c>
      <c r="U1420">
        <f t="shared" si="225"/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8.1</v>
      </c>
      <c r="AG1420">
        <f t="shared" si="226"/>
        <v>1</v>
      </c>
      <c r="AH1420">
        <f t="shared" si="227"/>
        <v>0</v>
      </c>
      <c r="AI1420">
        <f t="shared" si="228"/>
        <v>1</v>
      </c>
      <c r="AJ1420">
        <v>188.3</v>
      </c>
      <c r="AK1420">
        <v>1011.6</v>
      </c>
      <c r="AL1420">
        <v>31.5</v>
      </c>
      <c r="AM1420">
        <v>6.6</v>
      </c>
      <c r="AN1420">
        <v>0</v>
      </c>
      <c r="AO1420">
        <v>0</v>
      </c>
      <c r="AP1420">
        <v>0</v>
      </c>
      <c r="AQ1420">
        <v>0</v>
      </c>
      <c r="AR1420" t="s">
        <v>4786</v>
      </c>
      <c r="AS1420" t="s">
        <v>4787</v>
      </c>
      <c r="AT1420">
        <v>0.38</v>
      </c>
      <c r="AU1420" t="s">
        <v>43</v>
      </c>
      <c r="AV1420" t="s">
        <v>44</v>
      </c>
      <c r="AW1420" t="s">
        <v>45</v>
      </c>
      <c r="AX1420" t="s">
        <v>4788</v>
      </c>
      <c r="AY1420" t="s">
        <v>4789</v>
      </c>
      <c r="AZ1420">
        <v>225</v>
      </c>
      <c r="BA1420">
        <v>0</v>
      </c>
      <c r="BB1420">
        <v>0</v>
      </c>
      <c r="BC1420">
        <v>10</v>
      </c>
      <c r="BD1420">
        <v>0</v>
      </c>
      <c r="BE1420">
        <f t="shared" si="229"/>
        <v>0</v>
      </c>
    </row>
    <row r="1421" spans="1:57" x14ac:dyDescent="0.25">
      <c r="A1421" t="s">
        <v>39</v>
      </c>
      <c r="B1421" t="s">
        <v>4790</v>
      </c>
      <c r="C1421">
        <v>77</v>
      </c>
      <c r="D1421">
        <v>62.6</v>
      </c>
      <c r="G1421">
        <f t="shared" si="220"/>
        <v>1</v>
      </c>
      <c r="H1421">
        <f t="shared" si="221"/>
        <v>1</v>
      </c>
      <c r="I1421">
        <f t="shared" si="222"/>
        <v>0</v>
      </c>
      <c r="J1421">
        <v>70</v>
      </c>
      <c r="K1421">
        <v>77</v>
      </c>
      <c r="L1421">
        <v>62.6</v>
      </c>
      <c r="M1421">
        <v>70</v>
      </c>
      <c r="N1421">
        <v>62.5</v>
      </c>
      <c r="O1421">
        <v>77.3</v>
      </c>
      <c r="S1421">
        <f t="shared" si="223"/>
        <v>1</v>
      </c>
      <c r="T1421">
        <f t="shared" si="224"/>
        <v>1</v>
      </c>
      <c r="U1421">
        <f t="shared" si="225"/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11.4</v>
      </c>
      <c r="AG1421">
        <f t="shared" si="226"/>
        <v>1</v>
      </c>
      <c r="AH1421">
        <f t="shared" si="227"/>
        <v>0</v>
      </c>
      <c r="AI1421">
        <f t="shared" si="228"/>
        <v>1</v>
      </c>
      <c r="AJ1421">
        <v>159.30000000000001</v>
      </c>
      <c r="AK1421">
        <v>1015</v>
      </c>
      <c r="AL1421">
        <v>40.1</v>
      </c>
      <c r="AM1421">
        <v>6.5</v>
      </c>
      <c r="AN1421">
        <v>0</v>
      </c>
      <c r="AO1421">
        <v>0</v>
      </c>
      <c r="AP1421">
        <v>0</v>
      </c>
      <c r="AQ1421">
        <v>0</v>
      </c>
      <c r="AR1421" t="s">
        <v>4791</v>
      </c>
      <c r="AS1421" t="s">
        <v>4792</v>
      </c>
      <c r="AT1421">
        <v>0.75</v>
      </c>
      <c r="AU1421" t="s">
        <v>43</v>
      </c>
      <c r="AV1421" t="s">
        <v>44</v>
      </c>
      <c r="AW1421" t="s">
        <v>45</v>
      </c>
      <c r="AX1421" t="s">
        <v>2665</v>
      </c>
      <c r="AY1421" t="s">
        <v>4793</v>
      </c>
      <c r="AZ1421">
        <v>3164.999999996508</v>
      </c>
      <c r="BA1421">
        <v>1</v>
      </c>
      <c r="BB1421">
        <v>0</v>
      </c>
      <c r="BC1421">
        <v>60</v>
      </c>
      <c r="BD1421">
        <v>0</v>
      </c>
      <c r="BE1421">
        <f t="shared" si="229"/>
        <v>1</v>
      </c>
    </row>
    <row r="1422" spans="1:57" x14ac:dyDescent="0.25">
      <c r="A1422" t="s">
        <v>39</v>
      </c>
      <c r="B1422" t="s">
        <v>4794</v>
      </c>
      <c r="C1422">
        <v>66.2</v>
      </c>
      <c r="D1422">
        <v>46.4</v>
      </c>
      <c r="G1422">
        <f t="shared" si="220"/>
        <v>1</v>
      </c>
      <c r="H1422">
        <f t="shared" si="221"/>
        <v>1</v>
      </c>
      <c r="I1422">
        <f t="shared" si="222"/>
        <v>0</v>
      </c>
      <c r="J1422">
        <v>57</v>
      </c>
      <c r="K1422">
        <v>66.2</v>
      </c>
      <c r="L1422">
        <v>43.5</v>
      </c>
      <c r="M1422">
        <v>56.8</v>
      </c>
      <c r="N1422">
        <v>47.1</v>
      </c>
      <c r="O1422">
        <v>69.900000000000006</v>
      </c>
      <c r="S1422">
        <f t="shared" si="223"/>
        <v>1</v>
      </c>
      <c r="T1422">
        <f t="shared" si="224"/>
        <v>1</v>
      </c>
      <c r="U1422">
        <f t="shared" si="225"/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25.3</v>
      </c>
      <c r="AG1422">
        <f t="shared" si="226"/>
        <v>1</v>
      </c>
      <c r="AH1422">
        <f t="shared" si="227"/>
        <v>1</v>
      </c>
      <c r="AI1422">
        <f t="shared" si="228"/>
        <v>0</v>
      </c>
      <c r="AJ1422">
        <v>195.3</v>
      </c>
      <c r="AK1422">
        <v>1015.8</v>
      </c>
      <c r="AL1422">
        <v>46.4</v>
      </c>
      <c r="AM1422">
        <v>6.6</v>
      </c>
      <c r="AN1422">
        <v>131.80000000000001</v>
      </c>
      <c r="AO1422">
        <v>11.5</v>
      </c>
      <c r="AP1422">
        <v>5</v>
      </c>
      <c r="AQ1422">
        <v>0</v>
      </c>
      <c r="AR1422" t="s">
        <v>4795</v>
      </c>
      <c r="AS1422" t="s">
        <v>4796</v>
      </c>
      <c r="AT1422">
        <v>0.4</v>
      </c>
      <c r="AU1422" t="s">
        <v>43</v>
      </c>
      <c r="AV1422" t="s">
        <v>44</v>
      </c>
      <c r="AW1422" t="s">
        <v>45</v>
      </c>
      <c r="AX1422" t="s">
        <v>2715</v>
      </c>
      <c r="AY1422" t="s">
        <v>4797</v>
      </c>
      <c r="AZ1422">
        <v>159.99999999767169</v>
      </c>
      <c r="BA1422">
        <v>0</v>
      </c>
      <c r="BB1422">
        <v>0</v>
      </c>
      <c r="BC1422">
        <v>1</v>
      </c>
      <c r="BD1422">
        <v>0</v>
      </c>
      <c r="BE1422">
        <f t="shared" si="229"/>
        <v>1</v>
      </c>
    </row>
    <row r="1423" spans="1:57" x14ac:dyDescent="0.25">
      <c r="A1423" t="s">
        <v>39</v>
      </c>
      <c r="B1423" t="s">
        <v>4798</v>
      </c>
      <c r="C1423">
        <v>75.2</v>
      </c>
      <c r="D1423">
        <v>60.8</v>
      </c>
      <c r="G1423">
        <f t="shared" si="220"/>
        <v>1</v>
      </c>
      <c r="H1423">
        <f t="shared" si="221"/>
        <v>1</v>
      </c>
      <c r="I1423">
        <f t="shared" si="222"/>
        <v>0</v>
      </c>
      <c r="J1423">
        <v>68.3</v>
      </c>
      <c r="K1423">
        <v>75.2</v>
      </c>
      <c r="L1423">
        <v>60.8</v>
      </c>
      <c r="M1423">
        <v>68.3</v>
      </c>
      <c r="N1423">
        <v>42.2</v>
      </c>
      <c r="O1423">
        <v>39.9</v>
      </c>
      <c r="S1423">
        <f t="shared" si="223"/>
        <v>1</v>
      </c>
      <c r="T1423">
        <f t="shared" si="224"/>
        <v>0</v>
      </c>
      <c r="U1423">
        <f t="shared" si="225"/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40.299999999999997</v>
      </c>
      <c r="AC1423">
        <v>27.5</v>
      </c>
      <c r="AG1423">
        <f t="shared" si="226"/>
        <v>1</v>
      </c>
      <c r="AH1423">
        <f t="shared" si="227"/>
        <v>1</v>
      </c>
      <c r="AI1423">
        <f t="shared" si="228"/>
        <v>0</v>
      </c>
      <c r="AJ1423">
        <v>173.9</v>
      </c>
      <c r="AK1423">
        <v>1015.4</v>
      </c>
      <c r="AL1423">
        <v>83.5</v>
      </c>
      <c r="AM1423">
        <v>6.4</v>
      </c>
      <c r="AN1423">
        <v>256.2</v>
      </c>
      <c r="AO1423">
        <v>22.2</v>
      </c>
      <c r="AP1423">
        <v>8</v>
      </c>
      <c r="AQ1423">
        <v>0</v>
      </c>
      <c r="AR1423" t="s">
        <v>4799</v>
      </c>
      <c r="AS1423" t="s">
        <v>4800</v>
      </c>
      <c r="AT1423">
        <v>0.42</v>
      </c>
      <c r="AU1423" t="s">
        <v>43</v>
      </c>
      <c r="AV1423" t="s">
        <v>44</v>
      </c>
      <c r="AW1423" t="s">
        <v>45</v>
      </c>
      <c r="AX1423" t="s">
        <v>4801</v>
      </c>
      <c r="AY1423" t="s">
        <v>4802</v>
      </c>
      <c r="AZ1423">
        <v>1245.000000003492</v>
      </c>
      <c r="BA1423">
        <v>1</v>
      </c>
      <c r="BB1423">
        <v>0</v>
      </c>
      <c r="BC1423">
        <v>2</v>
      </c>
      <c r="BD1423">
        <v>0</v>
      </c>
      <c r="BE1423">
        <f t="shared" si="229"/>
        <v>1</v>
      </c>
    </row>
    <row r="1424" spans="1:57" x14ac:dyDescent="0.25">
      <c r="A1424" t="s">
        <v>39</v>
      </c>
      <c r="B1424" t="s">
        <v>4803</v>
      </c>
      <c r="C1424">
        <v>82.4</v>
      </c>
      <c r="D1424">
        <v>77</v>
      </c>
      <c r="G1424">
        <f t="shared" si="220"/>
        <v>1</v>
      </c>
      <c r="H1424">
        <f t="shared" si="221"/>
        <v>1</v>
      </c>
      <c r="I1424">
        <f t="shared" si="222"/>
        <v>0</v>
      </c>
      <c r="J1424">
        <v>79</v>
      </c>
      <c r="K1424">
        <v>85.4</v>
      </c>
      <c r="L1424">
        <v>77</v>
      </c>
      <c r="M1424">
        <v>80.099999999999994</v>
      </c>
      <c r="N1424">
        <v>66.7</v>
      </c>
      <c r="O1424">
        <v>66</v>
      </c>
      <c r="S1424">
        <f t="shared" si="223"/>
        <v>1</v>
      </c>
      <c r="T1424">
        <f t="shared" si="224"/>
        <v>1</v>
      </c>
      <c r="U1424">
        <f t="shared" si="225"/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24.2</v>
      </c>
      <c r="AG1424">
        <f t="shared" si="226"/>
        <v>1</v>
      </c>
      <c r="AH1424">
        <f t="shared" si="227"/>
        <v>1</v>
      </c>
      <c r="AI1424">
        <f t="shared" si="228"/>
        <v>0</v>
      </c>
      <c r="AJ1424">
        <v>302</v>
      </c>
      <c r="AK1424">
        <v>1010.9</v>
      </c>
      <c r="AL1424">
        <v>5.7</v>
      </c>
      <c r="AM1424">
        <v>6.3</v>
      </c>
      <c r="AN1424">
        <v>357.7</v>
      </c>
      <c r="AO1424">
        <v>30.7</v>
      </c>
      <c r="AP1424">
        <v>10</v>
      </c>
      <c r="AQ1424">
        <v>0</v>
      </c>
      <c r="AR1424" t="s">
        <v>4804</v>
      </c>
      <c r="AS1424" t="s">
        <v>4805</v>
      </c>
      <c r="AT1424">
        <v>0.89</v>
      </c>
      <c r="AU1424" t="s">
        <v>74</v>
      </c>
      <c r="AV1424" t="s">
        <v>2955</v>
      </c>
      <c r="AW1424" t="s">
        <v>75</v>
      </c>
      <c r="AX1424" t="s">
        <v>4248</v>
      </c>
      <c r="AY1424" t="s">
        <v>4806</v>
      </c>
      <c r="AZ1424">
        <v>210.00000000349249</v>
      </c>
      <c r="BA1424">
        <v>0</v>
      </c>
      <c r="BB1424">
        <v>0</v>
      </c>
      <c r="BC1424">
        <v>2</v>
      </c>
      <c r="BD1424">
        <v>0</v>
      </c>
      <c r="BE1424">
        <f t="shared" si="229"/>
        <v>1</v>
      </c>
    </row>
    <row r="1425" spans="1:57" x14ac:dyDescent="0.25">
      <c r="A1425" t="s">
        <v>39</v>
      </c>
      <c r="B1425" t="s">
        <v>4807</v>
      </c>
      <c r="C1425">
        <v>80.599999999999994</v>
      </c>
      <c r="D1425">
        <v>72.2</v>
      </c>
      <c r="G1425">
        <f t="shared" si="220"/>
        <v>0</v>
      </c>
      <c r="H1425">
        <f t="shared" si="221"/>
        <v>0</v>
      </c>
      <c r="I1425">
        <f t="shared" si="222"/>
        <v>0</v>
      </c>
      <c r="J1425">
        <v>77.400000000000006</v>
      </c>
      <c r="K1425">
        <v>82.8</v>
      </c>
      <c r="L1425">
        <v>72.2</v>
      </c>
      <c r="M1425">
        <v>77.5</v>
      </c>
      <c r="N1425">
        <v>65.8</v>
      </c>
      <c r="O1425">
        <v>67.5</v>
      </c>
      <c r="S1425">
        <f t="shared" si="223"/>
        <v>1</v>
      </c>
      <c r="T1425">
        <f t="shared" si="224"/>
        <v>1</v>
      </c>
      <c r="U1425">
        <f t="shared" si="225"/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25.3</v>
      </c>
      <c r="AG1425">
        <f t="shared" si="226"/>
        <v>1</v>
      </c>
      <c r="AH1425">
        <f t="shared" si="227"/>
        <v>1</v>
      </c>
      <c r="AI1425">
        <f t="shared" si="228"/>
        <v>0</v>
      </c>
      <c r="AJ1425">
        <v>308</v>
      </c>
      <c r="AK1425">
        <v>1011.5</v>
      </c>
      <c r="AL1425">
        <v>11.9</v>
      </c>
      <c r="AM1425">
        <v>6.4</v>
      </c>
      <c r="AN1425">
        <v>342</v>
      </c>
      <c r="AO1425">
        <v>29.5</v>
      </c>
      <c r="AP1425">
        <v>10</v>
      </c>
      <c r="AQ1425">
        <v>0</v>
      </c>
      <c r="AR1425" t="s">
        <v>4808</v>
      </c>
      <c r="AS1425" t="s">
        <v>4809</v>
      </c>
      <c r="AT1425">
        <v>0.93</v>
      </c>
      <c r="AU1425" t="s">
        <v>74</v>
      </c>
      <c r="AV1425" t="s">
        <v>2955</v>
      </c>
      <c r="AW1425" t="s">
        <v>75</v>
      </c>
      <c r="AX1425" t="s">
        <v>4810</v>
      </c>
      <c r="AY1425" t="s">
        <v>4811</v>
      </c>
      <c r="AZ1425">
        <v>754.99999999883585</v>
      </c>
      <c r="BA1425">
        <v>1</v>
      </c>
      <c r="BB1425">
        <v>0</v>
      </c>
      <c r="BC1425">
        <v>7</v>
      </c>
      <c r="BD1425">
        <v>0</v>
      </c>
      <c r="BE1425">
        <f t="shared" si="229"/>
        <v>1</v>
      </c>
    </row>
    <row r="1426" spans="1:57" x14ac:dyDescent="0.25">
      <c r="A1426" t="s">
        <v>39</v>
      </c>
      <c r="B1426" t="s">
        <v>4812</v>
      </c>
      <c r="C1426">
        <v>84.2</v>
      </c>
      <c r="D1426">
        <v>71.599999999999994</v>
      </c>
      <c r="G1426">
        <f t="shared" si="220"/>
        <v>0</v>
      </c>
      <c r="H1426">
        <f t="shared" si="221"/>
        <v>0</v>
      </c>
      <c r="I1426">
        <f t="shared" si="222"/>
        <v>0</v>
      </c>
      <c r="J1426">
        <v>78.7</v>
      </c>
      <c r="K1426">
        <v>91</v>
      </c>
      <c r="L1426">
        <v>71.599999999999994</v>
      </c>
      <c r="M1426">
        <v>80.8</v>
      </c>
      <c r="N1426">
        <v>70.3</v>
      </c>
      <c r="O1426">
        <v>76.2</v>
      </c>
      <c r="S1426">
        <f t="shared" si="223"/>
        <v>1</v>
      </c>
      <c r="T1426">
        <f t="shared" si="224"/>
        <v>1</v>
      </c>
      <c r="U1426">
        <f t="shared" si="225"/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9.1999999999999993</v>
      </c>
      <c r="AG1426">
        <f t="shared" si="226"/>
        <v>1</v>
      </c>
      <c r="AH1426">
        <f t="shared" si="227"/>
        <v>0</v>
      </c>
      <c r="AI1426">
        <f t="shared" si="228"/>
        <v>1</v>
      </c>
      <c r="AJ1426">
        <v>337.5</v>
      </c>
      <c r="AK1426">
        <v>1010.9</v>
      </c>
      <c r="AL1426">
        <v>22.2</v>
      </c>
      <c r="AM1426">
        <v>6.5</v>
      </c>
      <c r="AN1426">
        <v>0</v>
      </c>
      <c r="AO1426">
        <v>0</v>
      </c>
      <c r="AP1426">
        <v>0</v>
      </c>
      <c r="AQ1426">
        <v>0</v>
      </c>
      <c r="AR1426" t="s">
        <v>4813</v>
      </c>
      <c r="AS1426" t="s">
        <v>4814</v>
      </c>
      <c r="AT1426">
        <v>0.86</v>
      </c>
      <c r="AU1426" t="s">
        <v>43</v>
      </c>
      <c r="AV1426" t="s">
        <v>44</v>
      </c>
      <c r="AW1426" t="s">
        <v>45</v>
      </c>
      <c r="AX1426" t="s">
        <v>4815</v>
      </c>
      <c r="AY1426" t="s">
        <v>4816</v>
      </c>
      <c r="AZ1426">
        <v>374.99999999650748</v>
      </c>
      <c r="BA1426">
        <v>1</v>
      </c>
      <c r="BB1426">
        <v>0</v>
      </c>
      <c r="BC1426">
        <v>0.1</v>
      </c>
      <c r="BD1426">
        <v>0</v>
      </c>
      <c r="BE1426">
        <f t="shared" si="229"/>
        <v>0</v>
      </c>
    </row>
    <row r="1427" spans="1:57" x14ac:dyDescent="0.25">
      <c r="A1427" t="s">
        <v>39</v>
      </c>
      <c r="B1427" t="s">
        <v>4817</v>
      </c>
      <c r="C1427">
        <v>84.2</v>
      </c>
      <c r="D1427">
        <v>66.2</v>
      </c>
      <c r="G1427">
        <f t="shared" si="220"/>
        <v>1</v>
      </c>
      <c r="H1427">
        <f t="shared" si="221"/>
        <v>1</v>
      </c>
      <c r="I1427">
        <f t="shared" si="222"/>
        <v>0</v>
      </c>
      <c r="J1427">
        <v>76.099999999999994</v>
      </c>
      <c r="K1427">
        <v>88.5</v>
      </c>
      <c r="L1427">
        <v>66.2</v>
      </c>
      <c r="M1427">
        <v>77.2</v>
      </c>
      <c r="N1427">
        <v>64.8</v>
      </c>
      <c r="O1427">
        <v>69.099999999999994</v>
      </c>
      <c r="S1427">
        <f t="shared" si="223"/>
        <v>1</v>
      </c>
      <c r="T1427">
        <f t="shared" si="224"/>
        <v>1</v>
      </c>
      <c r="U1427">
        <f t="shared" si="225"/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23</v>
      </c>
      <c r="AG1427">
        <f t="shared" si="226"/>
        <v>1</v>
      </c>
      <c r="AH1427">
        <f t="shared" si="227"/>
        <v>1</v>
      </c>
      <c r="AI1427">
        <f t="shared" si="228"/>
        <v>0</v>
      </c>
      <c r="AJ1427">
        <v>280.7</v>
      </c>
      <c r="AK1427">
        <v>1014.4</v>
      </c>
      <c r="AL1427">
        <v>48.8</v>
      </c>
      <c r="AM1427">
        <v>6.6</v>
      </c>
      <c r="AN1427">
        <v>0</v>
      </c>
      <c r="AO1427">
        <v>0</v>
      </c>
      <c r="AP1427">
        <v>0</v>
      </c>
      <c r="AQ1427">
        <v>0</v>
      </c>
      <c r="AR1427" t="s">
        <v>4818</v>
      </c>
      <c r="AS1427" t="s">
        <v>4819</v>
      </c>
      <c r="AT1427">
        <v>0.61</v>
      </c>
      <c r="AU1427" t="s">
        <v>43</v>
      </c>
      <c r="AV1427" t="s">
        <v>44</v>
      </c>
      <c r="AW1427" t="s">
        <v>45</v>
      </c>
      <c r="AX1427" t="s">
        <v>4049</v>
      </c>
      <c r="AY1427" t="s">
        <v>4820</v>
      </c>
      <c r="AZ1427">
        <v>1755</v>
      </c>
      <c r="BA1427">
        <v>1</v>
      </c>
      <c r="BB1427">
        <v>0</v>
      </c>
      <c r="BC1427">
        <v>10</v>
      </c>
      <c r="BD1427">
        <v>0</v>
      </c>
      <c r="BE1427">
        <f t="shared" si="229"/>
        <v>1</v>
      </c>
    </row>
    <row r="1428" spans="1:57" x14ac:dyDescent="0.25">
      <c r="A1428" t="s">
        <v>39</v>
      </c>
      <c r="B1428" t="s">
        <v>4821</v>
      </c>
      <c r="C1428">
        <v>80.599999999999994</v>
      </c>
      <c r="D1428">
        <v>64.400000000000006</v>
      </c>
      <c r="G1428">
        <f t="shared" si="220"/>
        <v>1</v>
      </c>
      <c r="H1428">
        <f t="shared" si="221"/>
        <v>1</v>
      </c>
      <c r="I1428">
        <f t="shared" si="222"/>
        <v>0</v>
      </c>
      <c r="J1428">
        <v>72.400000000000006</v>
      </c>
      <c r="K1428">
        <v>82.8</v>
      </c>
      <c r="L1428">
        <v>64.400000000000006</v>
      </c>
      <c r="M1428">
        <v>72.5</v>
      </c>
      <c r="N1428">
        <v>63.2</v>
      </c>
      <c r="O1428">
        <v>73.5</v>
      </c>
      <c r="S1428">
        <f t="shared" si="223"/>
        <v>1</v>
      </c>
      <c r="T1428">
        <f t="shared" si="224"/>
        <v>1</v>
      </c>
      <c r="U1428">
        <f t="shared" si="225"/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20.8</v>
      </c>
      <c r="AG1428">
        <f t="shared" si="226"/>
        <v>1</v>
      </c>
      <c r="AH1428">
        <f t="shared" si="227"/>
        <v>1</v>
      </c>
      <c r="AI1428">
        <f t="shared" si="228"/>
        <v>0</v>
      </c>
      <c r="AJ1428">
        <v>273.39999999999998</v>
      </c>
      <c r="AK1428">
        <v>1011.7</v>
      </c>
      <c r="AL1428">
        <v>35.6</v>
      </c>
      <c r="AM1428">
        <v>6.5</v>
      </c>
      <c r="AN1428">
        <v>0</v>
      </c>
      <c r="AO1428">
        <v>0</v>
      </c>
      <c r="AP1428">
        <v>0</v>
      </c>
      <c r="AQ1428">
        <v>0</v>
      </c>
      <c r="AR1428" t="s">
        <v>4822</v>
      </c>
      <c r="AS1428" t="s">
        <v>4823</v>
      </c>
      <c r="AT1428">
        <v>0.75</v>
      </c>
      <c r="AU1428" t="s">
        <v>43</v>
      </c>
      <c r="AV1428" t="s">
        <v>44</v>
      </c>
      <c r="AW1428" t="s">
        <v>45</v>
      </c>
      <c r="AX1428" t="s">
        <v>2592</v>
      </c>
      <c r="AY1428" t="s">
        <v>4824</v>
      </c>
      <c r="AZ1428">
        <v>2490.0000000069849</v>
      </c>
      <c r="BA1428">
        <v>1</v>
      </c>
      <c r="BB1428">
        <v>0</v>
      </c>
      <c r="BC1428">
        <v>300</v>
      </c>
      <c r="BD1428">
        <v>0</v>
      </c>
      <c r="BE1428">
        <f t="shared" si="229"/>
        <v>1</v>
      </c>
    </row>
    <row r="1429" spans="1:57" x14ac:dyDescent="0.25">
      <c r="A1429" t="s">
        <v>39</v>
      </c>
      <c r="B1429" t="s">
        <v>4825</v>
      </c>
      <c r="C1429">
        <v>78.8</v>
      </c>
      <c r="D1429">
        <v>60.8</v>
      </c>
      <c r="G1429">
        <f t="shared" si="220"/>
        <v>1</v>
      </c>
      <c r="H1429">
        <f t="shared" si="221"/>
        <v>1</v>
      </c>
      <c r="I1429">
        <f t="shared" si="222"/>
        <v>0</v>
      </c>
      <c r="J1429">
        <v>69.7</v>
      </c>
      <c r="K1429">
        <v>78.8</v>
      </c>
      <c r="L1429">
        <v>60.8</v>
      </c>
      <c r="M1429">
        <v>69.7</v>
      </c>
      <c r="N1429">
        <v>59.5</v>
      </c>
      <c r="O1429">
        <v>71.2</v>
      </c>
      <c r="S1429">
        <f t="shared" si="223"/>
        <v>1</v>
      </c>
      <c r="T1429">
        <f t="shared" si="224"/>
        <v>1</v>
      </c>
      <c r="U1429">
        <f t="shared" si="225"/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42.5</v>
      </c>
      <c r="AG1429">
        <f t="shared" si="226"/>
        <v>1</v>
      </c>
      <c r="AH1429">
        <f t="shared" si="227"/>
        <v>1</v>
      </c>
      <c r="AI1429">
        <f t="shared" si="228"/>
        <v>0</v>
      </c>
      <c r="AJ1429">
        <v>174.9</v>
      </c>
      <c r="AK1429">
        <v>1011.4</v>
      </c>
      <c r="AL1429">
        <v>40</v>
      </c>
      <c r="AM1429">
        <v>6.6</v>
      </c>
      <c r="AN1429">
        <v>0</v>
      </c>
      <c r="AO1429">
        <v>0</v>
      </c>
      <c r="AP1429">
        <v>0</v>
      </c>
      <c r="AQ1429">
        <v>0</v>
      </c>
      <c r="AR1429" t="s">
        <v>4826</v>
      </c>
      <c r="AS1429" t="s">
        <v>4827</v>
      </c>
      <c r="AT1429">
        <v>0.41</v>
      </c>
      <c r="AU1429" t="s">
        <v>43</v>
      </c>
      <c r="AV1429" t="s">
        <v>44</v>
      </c>
      <c r="AW1429" t="s">
        <v>419</v>
      </c>
      <c r="AX1429" t="s">
        <v>2670</v>
      </c>
      <c r="AY1429" t="s">
        <v>4828</v>
      </c>
      <c r="AZ1429">
        <v>159.99999999767169</v>
      </c>
      <c r="BA1429">
        <v>0</v>
      </c>
      <c r="BB1429">
        <v>0</v>
      </c>
      <c r="BC1429">
        <v>0.3</v>
      </c>
      <c r="BD1429">
        <v>0</v>
      </c>
      <c r="BE1429">
        <f t="shared" si="229"/>
        <v>1</v>
      </c>
    </row>
    <row r="1430" spans="1:57" x14ac:dyDescent="0.25">
      <c r="A1430" t="s">
        <v>39</v>
      </c>
      <c r="B1430" t="s">
        <v>4829</v>
      </c>
      <c r="C1430">
        <v>73.400000000000006</v>
      </c>
      <c r="D1430">
        <v>62.6</v>
      </c>
      <c r="G1430">
        <f t="shared" si="220"/>
        <v>1</v>
      </c>
      <c r="H1430">
        <f t="shared" si="221"/>
        <v>1</v>
      </c>
      <c r="I1430">
        <f t="shared" si="222"/>
        <v>0</v>
      </c>
      <c r="J1430">
        <v>67.599999999999994</v>
      </c>
      <c r="K1430">
        <v>73.400000000000006</v>
      </c>
      <c r="L1430">
        <v>62.6</v>
      </c>
      <c r="M1430">
        <v>67.599999999999994</v>
      </c>
      <c r="N1430">
        <v>60.9</v>
      </c>
      <c r="O1430">
        <v>79.400000000000006</v>
      </c>
      <c r="S1430">
        <f t="shared" si="223"/>
        <v>1</v>
      </c>
      <c r="T1430">
        <f t="shared" si="224"/>
        <v>1</v>
      </c>
      <c r="U1430">
        <f t="shared" si="225"/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12.8</v>
      </c>
      <c r="AG1430">
        <f t="shared" si="226"/>
        <v>1</v>
      </c>
      <c r="AH1430">
        <f t="shared" si="227"/>
        <v>0</v>
      </c>
      <c r="AI1430">
        <f t="shared" si="228"/>
        <v>1</v>
      </c>
      <c r="AJ1430">
        <v>294.10000000000002</v>
      </c>
      <c r="AK1430">
        <v>1015.8</v>
      </c>
      <c r="AL1430">
        <v>61.2</v>
      </c>
      <c r="AM1430">
        <v>6.6</v>
      </c>
      <c r="AN1430">
        <v>0</v>
      </c>
      <c r="AO1430">
        <v>0</v>
      </c>
      <c r="AP1430">
        <v>0</v>
      </c>
      <c r="AQ1430">
        <v>0</v>
      </c>
      <c r="AR1430" t="s">
        <v>4830</v>
      </c>
      <c r="AS1430" t="s">
        <v>4831</v>
      </c>
      <c r="AT1430">
        <v>0.72</v>
      </c>
      <c r="AU1430" t="s">
        <v>43</v>
      </c>
      <c r="AV1430" t="s">
        <v>44</v>
      </c>
      <c r="AW1430" t="s">
        <v>45</v>
      </c>
      <c r="AX1430" t="s">
        <v>2683</v>
      </c>
      <c r="AY1430" t="s">
        <v>4832</v>
      </c>
      <c r="AZ1430">
        <v>1585.0000000011639</v>
      </c>
      <c r="BA1430">
        <v>1</v>
      </c>
      <c r="BB1430">
        <v>0</v>
      </c>
      <c r="BC1430">
        <v>10</v>
      </c>
      <c r="BD1430">
        <v>0</v>
      </c>
      <c r="BE1430">
        <f t="shared" si="229"/>
        <v>1</v>
      </c>
    </row>
    <row r="1431" spans="1:57" x14ac:dyDescent="0.25">
      <c r="A1431" t="s">
        <v>39</v>
      </c>
      <c r="B1431" t="s">
        <v>4833</v>
      </c>
      <c r="C1431">
        <v>64.5</v>
      </c>
      <c r="D1431">
        <v>55.4</v>
      </c>
      <c r="G1431">
        <f t="shared" si="220"/>
        <v>1</v>
      </c>
      <c r="H1431">
        <f t="shared" si="221"/>
        <v>1</v>
      </c>
      <c r="I1431">
        <f t="shared" si="222"/>
        <v>0</v>
      </c>
      <c r="J1431">
        <v>58.9</v>
      </c>
      <c r="K1431">
        <v>64.5</v>
      </c>
      <c r="L1431">
        <v>55.4</v>
      </c>
      <c r="M1431">
        <v>58.9</v>
      </c>
      <c r="N1431">
        <v>47.2</v>
      </c>
      <c r="O1431">
        <v>65.400000000000006</v>
      </c>
      <c r="S1431">
        <f t="shared" si="223"/>
        <v>1</v>
      </c>
      <c r="T1431">
        <f t="shared" si="224"/>
        <v>0</v>
      </c>
      <c r="U1431">
        <f t="shared" si="225"/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34.4</v>
      </c>
      <c r="AC1431">
        <v>26.4</v>
      </c>
      <c r="AG1431">
        <f t="shared" si="226"/>
        <v>1</v>
      </c>
      <c r="AH1431">
        <f t="shared" si="227"/>
        <v>1</v>
      </c>
      <c r="AI1431">
        <f t="shared" si="228"/>
        <v>0</v>
      </c>
      <c r="AJ1431">
        <v>178</v>
      </c>
      <c r="AK1431">
        <v>1017.8</v>
      </c>
      <c r="AL1431">
        <v>26.5</v>
      </c>
      <c r="AM1431">
        <v>6.6</v>
      </c>
      <c r="AN1431">
        <v>169.5</v>
      </c>
      <c r="AO1431">
        <v>14.7</v>
      </c>
      <c r="AP1431">
        <v>6</v>
      </c>
      <c r="AQ1431">
        <v>0</v>
      </c>
      <c r="AR1431" t="s">
        <v>4834</v>
      </c>
      <c r="AS1431" t="s">
        <v>4835</v>
      </c>
      <c r="AT1431">
        <v>0.42</v>
      </c>
      <c r="AU1431" t="s">
        <v>43</v>
      </c>
      <c r="AV1431" t="s">
        <v>44</v>
      </c>
      <c r="AW1431" t="s">
        <v>45</v>
      </c>
      <c r="AX1431" t="s">
        <v>4836</v>
      </c>
      <c r="AY1431" t="s">
        <v>4837</v>
      </c>
      <c r="AZ1431">
        <v>519.99999999767169</v>
      </c>
      <c r="BA1431">
        <v>1</v>
      </c>
      <c r="BB1431">
        <v>0</v>
      </c>
      <c r="BC1431">
        <v>20</v>
      </c>
      <c r="BD1431">
        <v>0</v>
      </c>
      <c r="BE1431">
        <f t="shared" si="229"/>
        <v>1</v>
      </c>
    </row>
    <row r="1432" spans="1:57" x14ac:dyDescent="0.25">
      <c r="A1432" t="s">
        <v>39</v>
      </c>
      <c r="B1432" t="s">
        <v>4838</v>
      </c>
      <c r="C1432">
        <v>77</v>
      </c>
      <c r="D1432">
        <v>59</v>
      </c>
      <c r="G1432">
        <f t="shared" si="220"/>
        <v>1</v>
      </c>
      <c r="H1432">
        <f t="shared" si="221"/>
        <v>1</v>
      </c>
      <c r="I1432">
        <f t="shared" si="222"/>
        <v>0</v>
      </c>
      <c r="J1432">
        <v>67</v>
      </c>
      <c r="K1432">
        <v>77</v>
      </c>
      <c r="L1432">
        <v>59</v>
      </c>
      <c r="M1432">
        <v>67</v>
      </c>
      <c r="N1432">
        <v>50.4</v>
      </c>
      <c r="O1432">
        <v>56</v>
      </c>
      <c r="S1432">
        <f t="shared" si="223"/>
        <v>1</v>
      </c>
      <c r="T1432">
        <f t="shared" si="224"/>
        <v>0</v>
      </c>
      <c r="U1432">
        <f t="shared" si="225"/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11.4</v>
      </c>
      <c r="AG1432">
        <f t="shared" si="226"/>
        <v>1</v>
      </c>
      <c r="AH1432">
        <f t="shared" si="227"/>
        <v>0</v>
      </c>
      <c r="AI1432">
        <f t="shared" si="228"/>
        <v>1</v>
      </c>
      <c r="AJ1432">
        <v>144.4</v>
      </c>
      <c r="AK1432">
        <v>1008.3</v>
      </c>
      <c r="AL1432">
        <v>2.2999999999999998</v>
      </c>
      <c r="AM1432">
        <v>6.2</v>
      </c>
      <c r="AN1432">
        <v>288.89999999999998</v>
      </c>
      <c r="AO1432">
        <v>25</v>
      </c>
      <c r="AP1432">
        <v>9</v>
      </c>
      <c r="AQ1432">
        <v>0</v>
      </c>
      <c r="AR1432" t="s">
        <v>4839</v>
      </c>
      <c r="AS1432" t="s">
        <v>4840</v>
      </c>
      <c r="AT1432">
        <v>0.52</v>
      </c>
      <c r="AU1432" t="s">
        <v>74</v>
      </c>
      <c r="AV1432" t="s">
        <v>2955</v>
      </c>
      <c r="AW1432" t="s">
        <v>75</v>
      </c>
      <c r="AX1432" t="s">
        <v>4339</v>
      </c>
      <c r="AY1432" t="s">
        <v>4841</v>
      </c>
      <c r="AZ1432">
        <v>2904.9999999976721</v>
      </c>
      <c r="BA1432">
        <v>1</v>
      </c>
      <c r="BB1432">
        <v>0</v>
      </c>
      <c r="BC1432">
        <v>60</v>
      </c>
      <c r="BD1432">
        <v>0</v>
      </c>
      <c r="BE1432">
        <f t="shared" si="229"/>
        <v>1</v>
      </c>
    </row>
    <row r="1433" spans="1:57" x14ac:dyDescent="0.25">
      <c r="A1433" t="s">
        <v>39</v>
      </c>
      <c r="B1433" t="s">
        <v>4842</v>
      </c>
      <c r="C1433">
        <v>71.599999999999994</v>
      </c>
      <c r="D1433">
        <v>55.4</v>
      </c>
      <c r="G1433">
        <f t="shared" si="220"/>
        <v>1</v>
      </c>
      <c r="H1433">
        <f t="shared" si="221"/>
        <v>1</v>
      </c>
      <c r="I1433">
        <f t="shared" si="222"/>
        <v>0</v>
      </c>
      <c r="J1433">
        <v>64.599999999999994</v>
      </c>
      <c r="K1433">
        <v>71.599999999999994</v>
      </c>
      <c r="L1433">
        <v>55.4</v>
      </c>
      <c r="M1433">
        <v>64.599999999999994</v>
      </c>
      <c r="N1433">
        <v>55.9</v>
      </c>
      <c r="O1433">
        <v>73.8</v>
      </c>
      <c r="S1433">
        <f t="shared" si="223"/>
        <v>1</v>
      </c>
      <c r="T1433">
        <f t="shared" si="224"/>
        <v>1</v>
      </c>
      <c r="U1433">
        <f t="shared" si="225"/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18.3</v>
      </c>
      <c r="AG1433">
        <f t="shared" si="226"/>
        <v>0</v>
      </c>
      <c r="AH1433">
        <f t="shared" si="227"/>
        <v>0</v>
      </c>
      <c r="AI1433">
        <f t="shared" si="228"/>
        <v>0</v>
      </c>
      <c r="AJ1433">
        <v>284.8</v>
      </c>
      <c r="AK1433">
        <v>1012.5</v>
      </c>
      <c r="AL1433">
        <v>0.2</v>
      </c>
      <c r="AM1433">
        <v>6.2</v>
      </c>
      <c r="AN1433">
        <v>334</v>
      </c>
      <c r="AO1433">
        <v>28.8</v>
      </c>
      <c r="AP1433">
        <v>10</v>
      </c>
      <c r="AQ1433">
        <v>0</v>
      </c>
      <c r="AR1433" t="s">
        <v>4843</v>
      </c>
      <c r="AS1433" t="s">
        <v>4844</v>
      </c>
      <c r="AT1433">
        <v>0.31</v>
      </c>
      <c r="AU1433" t="s">
        <v>74</v>
      </c>
      <c r="AV1433" t="s">
        <v>2955</v>
      </c>
      <c r="AW1433" t="s">
        <v>75</v>
      </c>
      <c r="AX1433" t="s">
        <v>2763</v>
      </c>
      <c r="AY1433" t="s">
        <v>4845</v>
      </c>
      <c r="AZ1433">
        <v>149.99999999650751</v>
      </c>
      <c r="BA1433">
        <v>0</v>
      </c>
      <c r="BB1433">
        <v>0</v>
      </c>
      <c r="BC1433">
        <v>0.1</v>
      </c>
      <c r="BD1433">
        <v>0</v>
      </c>
      <c r="BE1433">
        <f t="shared" si="229"/>
        <v>0</v>
      </c>
    </row>
    <row r="1434" spans="1:57" x14ac:dyDescent="0.25">
      <c r="A1434" t="s">
        <v>39</v>
      </c>
      <c r="B1434" t="s">
        <v>4846</v>
      </c>
      <c r="C1434">
        <v>77</v>
      </c>
      <c r="D1434">
        <v>60.8</v>
      </c>
      <c r="G1434">
        <f t="shared" si="220"/>
        <v>1</v>
      </c>
      <c r="H1434">
        <f t="shared" si="221"/>
        <v>1</v>
      </c>
      <c r="I1434">
        <f t="shared" si="222"/>
        <v>0</v>
      </c>
      <c r="J1434">
        <v>68.099999999999994</v>
      </c>
      <c r="K1434">
        <v>77</v>
      </c>
      <c r="L1434">
        <v>60.8</v>
      </c>
      <c r="M1434">
        <v>68.099999999999994</v>
      </c>
      <c r="N1434">
        <v>54.6</v>
      </c>
      <c r="O1434">
        <v>63.1</v>
      </c>
      <c r="S1434">
        <f t="shared" si="223"/>
        <v>0</v>
      </c>
      <c r="T1434">
        <f t="shared" si="224"/>
        <v>0</v>
      </c>
      <c r="U1434">
        <f t="shared" si="225"/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11.4</v>
      </c>
      <c r="AG1434">
        <f t="shared" si="226"/>
        <v>1</v>
      </c>
      <c r="AH1434">
        <f t="shared" si="227"/>
        <v>0</v>
      </c>
      <c r="AI1434">
        <f t="shared" si="228"/>
        <v>1</v>
      </c>
      <c r="AJ1434">
        <v>143.9</v>
      </c>
      <c r="AK1434">
        <v>1007.6</v>
      </c>
      <c r="AL1434">
        <v>10.8</v>
      </c>
      <c r="AM1434">
        <v>6.2</v>
      </c>
      <c r="AN1434">
        <v>339.7</v>
      </c>
      <c r="AO1434">
        <v>29.2</v>
      </c>
      <c r="AP1434">
        <v>10</v>
      </c>
      <c r="AQ1434">
        <v>0</v>
      </c>
      <c r="AR1434" t="s">
        <v>4847</v>
      </c>
      <c r="AS1434" t="s">
        <v>4848</v>
      </c>
      <c r="AT1434">
        <v>0.44</v>
      </c>
      <c r="AU1434" t="s">
        <v>74</v>
      </c>
      <c r="AV1434" t="s">
        <v>2955</v>
      </c>
      <c r="AW1434" t="s">
        <v>75</v>
      </c>
      <c r="AX1434" t="s">
        <v>4849</v>
      </c>
      <c r="AY1434" t="s">
        <v>4850</v>
      </c>
      <c r="AZ1434">
        <v>769.99999999534339</v>
      </c>
      <c r="BA1434">
        <v>1</v>
      </c>
      <c r="BB1434">
        <v>0</v>
      </c>
      <c r="BC1434">
        <v>2</v>
      </c>
      <c r="BD1434">
        <v>0</v>
      </c>
      <c r="BE1434">
        <f t="shared" si="229"/>
        <v>1</v>
      </c>
    </row>
    <row r="1435" spans="1:57" x14ac:dyDescent="0.25">
      <c r="A1435" t="s">
        <v>39</v>
      </c>
      <c r="B1435" t="s">
        <v>4851</v>
      </c>
      <c r="C1435">
        <v>84.2</v>
      </c>
      <c r="D1435">
        <v>69.8</v>
      </c>
      <c r="G1435">
        <f t="shared" si="220"/>
        <v>1</v>
      </c>
      <c r="H1435">
        <f t="shared" si="221"/>
        <v>1</v>
      </c>
      <c r="I1435">
        <f t="shared" si="222"/>
        <v>0</v>
      </c>
      <c r="J1435">
        <v>77.900000000000006</v>
      </c>
      <c r="K1435">
        <v>87.4</v>
      </c>
      <c r="L1435">
        <v>69.8</v>
      </c>
      <c r="M1435">
        <v>79.599999999999994</v>
      </c>
      <c r="N1435">
        <v>67.2</v>
      </c>
      <c r="O1435">
        <v>70.3</v>
      </c>
      <c r="S1435">
        <f t="shared" si="223"/>
        <v>1</v>
      </c>
      <c r="T1435">
        <f t="shared" si="224"/>
        <v>1</v>
      </c>
      <c r="U1435">
        <f t="shared" si="225"/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17.2</v>
      </c>
      <c r="AG1435">
        <f t="shared" si="226"/>
        <v>0</v>
      </c>
      <c r="AH1435">
        <f t="shared" si="227"/>
        <v>0</v>
      </c>
      <c r="AI1435">
        <f t="shared" si="228"/>
        <v>0</v>
      </c>
      <c r="AJ1435">
        <v>300.89999999999998</v>
      </c>
      <c r="AK1435">
        <v>1011.5</v>
      </c>
      <c r="AL1435">
        <v>0.1</v>
      </c>
      <c r="AM1435">
        <v>6.2</v>
      </c>
      <c r="AN1435">
        <v>364.6</v>
      </c>
      <c r="AO1435">
        <v>31.6</v>
      </c>
      <c r="AP1435">
        <v>10</v>
      </c>
      <c r="AQ1435">
        <v>0</v>
      </c>
      <c r="AR1435" t="s">
        <v>4852</v>
      </c>
      <c r="AS1435" t="s">
        <v>4853</v>
      </c>
      <c r="AT1435">
        <v>0.86</v>
      </c>
      <c r="AU1435" t="s">
        <v>74</v>
      </c>
      <c r="AV1435" t="s">
        <v>2955</v>
      </c>
      <c r="AW1435" t="s">
        <v>75</v>
      </c>
      <c r="AX1435" t="s">
        <v>4085</v>
      </c>
      <c r="AY1435" t="s">
        <v>4854</v>
      </c>
      <c r="AZ1435">
        <v>315</v>
      </c>
      <c r="BA1435">
        <v>0</v>
      </c>
      <c r="BB1435">
        <v>0</v>
      </c>
      <c r="BC1435">
        <v>0.8</v>
      </c>
      <c r="BD1435">
        <v>0</v>
      </c>
      <c r="BE1435">
        <f t="shared" si="229"/>
        <v>0</v>
      </c>
    </row>
    <row r="1436" spans="1:57" x14ac:dyDescent="0.25">
      <c r="A1436" t="s">
        <v>39</v>
      </c>
      <c r="B1436" t="s">
        <v>4803</v>
      </c>
      <c r="C1436">
        <v>82.4</v>
      </c>
      <c r="D1436">
        <v>77</v>
      </c>
      <c r="G1436">
        <f t="shared" si="220"/>
        <v>1</v>
      </c>
      <c r="H1436">
        <f t="shared" si="221"/>
        <v>1</v>
      </c>
      <c r="I1436">
        <f t="shared" si="222"/>
        <v>0</v>
      </c>
      <c r="J1436">
        <v>79</v>
      </c>
      <c r="K1436">
        <v>85.4</v>
      </c>
      <c r="L1436">
        <v>77</v>
      </c>
      <c r="M1436">
        <v>80.099999999999994</v>
      </c>
      <c r="N1436">
        <v>66.7</v>
      </c>
      <c r="O1436">
        <v>66</v>
      </c>
      <c r="S1436">
        <f t="shared" si="223"/>
        <v>1</v>
      </c>
      <c r="T1436">
        <f t="shared" si="224"/>
        <v>1</v>
      </c>
      <c r="U1436">
        <f t="shared" si="225"/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24.2</v>
      </c>
      <c r="AG1436">
        <f t="shared" si="226"/>
        <v>1</v>
      </c>
      <c r="AH1436">
        <f t="shared" si="227"/>
        <v>1</v>
      </c>
      <c r="AI1436">
        <f t="shared" si="228"/>
        <v>0</v>
      </c>
      <c r="AJ1436">
        <v>302</v>
      </c>
      <c r="AK1436">
        <v>1010.9</v>
      </c>
      <c r="AL1436">
        <v>5.7</v>
      </c>
      <c r="AM1436">
        <v>6.3</v>
      </c>
      <c r="AN1436">
        <v>357.7</v>
      </c>
      <c r="AO1436">
        <v>30.7</v>
      </c>
      <c r="AP1436">
        <v>10</v>
      </c>
      <c r="AQ1436">
        <v>0</v>
      </c>
      <c r="AR1436" t="s">
        <v>4804</v>
      </c>
      <c r="AS1436" t="s">
        <v>4805</v>
      </c>
      <c r="AT1436">
        <v>0.89</v>
      </c>
      <c r="AU1436" t="s">
        <v>74</v>
      </c>
      <c r="AV1436" t="s">
        <v>2955</v>
      </c>
      <c r="AW1436" t="s">
        <v>75</v>
      </c>
      <c r="AX1436" t="s">
        <v>2423</v>
      </c>
      <c r="AY1436" t="s">
        <v>4855</v>
      </c>
      <c r="AZ1436">
        <v>3549.9999999941788</v>
      </c>
      <c r="BA1436">
        <v>1</v>
      </c>
      <c r="BB1436">
        <v>0</v>
      </c>
      <c r="BC1436">
        <v>3000</v>
      </c>
      <c r="BD1436">
        <v>0</v>
      </c>
      <c r="BE1436">
        <f t="shared" si="229"/>
        <v>1</v>
      </c>
    </row>
    <row r="1437" spans="1:57" x14ac:dyDescent="0.25">
      <c r="A1437" t="s">
        <v>39</v>
      </c>
      <c r="B1437" t="s">
        <v>4856</v>
      </c>
      <c r="C1437">
        <v>80.599999999999994</v>
      </c>
      <c r="D1437">
        <v>75.2</v>
      </c>
      <c r="G1437">
        <f t="shared" si="220"/>
        <v>0</v>
      </c>
      <c r="H1437">
        <f t="shared" si="221"/>
        <v>0</v>
      </c>
      <c r="I1437">
        <f t="shared" si="222"/>
        <v>0</v>
      </c>
      <c r="J1437">
        <v>78.099999999999994</v>
      </c>
      <c r="K1437">
        <v>83.3</v>
      </c>
      <c r="L1437">
        <v>75.2</v>
      </c>
      <c r="M1437">
        <v>78.599999999999994</v>
      </c>
      <c r="N1437">
        <v>64.900000000000006</v>
      </c>
      <c r="O1437">
        <v>64</v>
      </c>
      <c r="S1437">
        <f t="shared" si="223"/>
        <v>1</v>
      </c>
      <c r="T1437">
        <f t="shared" si="224"/>
        <v>1</v>
      </c>
      <c r="U1437">
        <f t="shared" si="225"/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24.2</v>
      </c>
      <c r="AG1437">
        <f t="shared" si="226"/>
        <v>1</v>
      </c>
      <c r="AH1437">
        <f t="shared" si="227"/>
        <v>1</v>
      </c>
      <c r="AI1437">
        <f t="shared" si="228"/>
        <v>0</v>
      </c>
      <c r="AJ1437">
        <v>304.5</v>
      </c>
      <c r="AK1437">
        <v>1005.7</v>
      </c>
      <c r="AL1437">
        <v>9.6</v>
      </c>
      <c r="AM1437">
        <v>6.3</v>
      </c>
      <c r="AN1437">
        <v>354.3</v>
      </c>
      <c r="AO1437">
        <v>30.7</v>
      </c>
      <c r="AP1437">
        <v>10</v>
      </c>
      <c r="AQ1437">
        <v>0</v>
      </c>
      <c r="AR1437" t="s">
        <v>4857</v>
      </c>
      <c r="AS1437" t="s">
        <v>4858</v>
      </c>
      <c r="AT1437">
        <v>0.06</v>
      </c>
      <c r="AU1437" t="s">
        <v>74</v>
      </c>
      <c r="AV1437" t="s">
        <v>2955</v>
      </c>
      <c r="AW1437" t="s">
        <v>75</v>
      </c>
      <c r="AX1437" t="s">
        <v>4712</v>
      </c>
      <c r="AY1437" t="s">
        <v>4859</v>
      </c>
      <c r="AZ1437">
        <v>667.0000000053551</v>
      </c>
      <c r="BA1437">
        <v>1</v>
      </c>
      <c r="BB1437">
        <v>0</v>
      </c>
      <c r="BC1437">
        <v>8</v>
      </c>
      <c r="BD1437">
        <v>0</v>
      </c>
      <c r="BE1437">
        <f t="shared" si="229"/>
        <v>1</v>
      </c>
    </row>
    <row r="1438" spans="1:57" x14ac:dyDescent="0.25">
      <c r="A1438" t="s">
        <v>39</v>
      </c>
      <c r="B1438" t="s">
        <v>4860</v>
      </c>
      <c r="C1438">
        <v>78.900000000000006</v>
      </c>
      <c r="D1438">
        <v>68</v>
      </c>
      <c r="G1438">
        <f t="shared" si="220"/>
        <v>0</v>
      </c>
      <c r="H1438">
        <f t="shared" si="221"/>
        <v>0</v>
      </c>
      <c r="I1438">
        <f t="shared" si="222"/>
        <v>0</v>
      </c>
      <c r="J1438">
        <v>74.599999999999994</v>
      </c>
      <c r="K1438">
        <v>78.900000000000006</v>
      </c>
      <c r="L1438">
        <v>68</v>
      </c>
      <c r="M1438">
        <v>74.599999999999994</v>
      </c>
      <c r="N1438">
        <v>63.6</v>
      </c>
      <c r="O1438">
        <v>68.900000000000006</v>
      </c>
      <c r="S1438">
        <f t="shared" si="223"/>
        <v>1</v>
      </c>
      <c r="T1438">
        <f t="shared" si="224"/>
        <v>1</v>
      </c>
      <c r="U1438">
        <f t="shared" si="225"/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18.3</v>
      </c>
      <c r="AG1438">
        <f t="shared" si="226"/>
        <v>1</v>
      </c>
      <c r="AH1438">
        <f t="shared" si="227"/>
        <v>1</v>
      </c>
      <c r="AI1438">
        <f t="shared" si="228"/>
        <v>0</v>
      </c>
      <c r="AJ1438">
        <v>309.3</v>
      </c>
      <c r="AK1438">
        <v>1011.9</v>
      </c>
      <c r="AL1438">
        <v>31.6</v>
      </c>
      <c r="AM1438">
        <v>6.5</v>
      </c>
      <c r="AN1438">
        <v>0</v>
      </c>
      <c r="AO1438">
        <v>0</v>
      </c>
      <c r="AP1438">
        <v>0</v>
      </c>
      <c r="AQ1438">
        <v>0</v>
      </c>
      <c r="AR1438" t="s">
        <v>4861</v>
      </c>
      <c r="AS1438" t="s">
        <v>4862</v>
      </c>
      <c r="AT1438">
        <v>0.88</v>
      </c>
      <c r="AU1438" t="s">
        <v>43</v>
      </c>
      <c r="AV1438" t="s">
        <v>44</v>
      </c>
      <c r="AW1438" t="s">
        <v>45</v>
      </c>
      <c r="AX1438" t="s">
        <v>2759</v>
      </c>
      <c r="AY1438" t="s">
        <v>4863</v>
      </c>
      <c r="AZ1438">
        <v>110.00000000232831</v>
      </c>
      <c r="BA1438">
        <v>0</v>
      </c>
      <c r="BB1438">
        <v>0</v>
      </c>
      <c r="BC1438">
        <v>0.1</v>
      </c>
      <c r="BD1438">
        <v>0</v>
      </c>
      <c r="BE1438">
        <f t="shared" si="229"/>
        <v>0</v>
      </c>
    </row>
    <row r="1439" spans="1:57" x14ac:dyDescent="0.25">
      <c r="A1439" t="s">
        <v>39</v>
      </c>
      <c r="B1439" t="s">
        <v>4691</v>
      </c>
      <c r="C1439">
        <v>82.4</v>
      </c>
      <c r="D1439">
        <v>71.599999999999994</v>
      </c>
      <c r="G1439">
        <f t="shared" si="220"/>
        <v>1</v>
      </c>
      <c r="H1439">
        <f t="shared" si="221"/>
        <v>1</v>
      </c>
      <c r="I1439">
        <f t="shared" si="222"/>
        <v>0</v>
      </c>
      <c r="J1439">
        <v>76.900000000000006</v>
      </c>
      <c r="K1439">
        <v>88.3</v>
      </c>
      <c r="L1439">
        <v>71.599999999999994</v>
      </c>
      <c r="M1439">
        <v>78.2</v>
      </c>
      <c r="N1439">
        <v>70.8</v>
      </c>
      <c r="O1439">
        <v>82.1</v>
      </c>
      <c r="S1439">
        <f t="shared" si="223"/>
        <v>1</v>
      </c>
      <c r="T1439">
        <f t="shared" si="224"/>
        <v>1</v>
      </c>
      <c r="U1439">
        <f t="shared" si="225"/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10.3</v>
      </c>
      <c r="AG1439">
        <f t="shared" si="226"/>
        <v>1</v>
      </c>
      <c r="AH1439">
        <f t="shared" si="227"/>
        <v>0</v>
      </c>
      <c r="AI1439">
        <f t="shared" si="228"/>
        <v>1</v>
      </c>
      <c r="AJ1439">
        <v>42.2</v>
      </c>
      <c r="AK1439">
        <v>1006.8</v>
      </c>
      <c r="AL1439">
        <v>53.2</v>
      </c>
      <c r="AM1439">
        <v>6.5</v>
      </c>
      <c r="AN1439">
        <v>0</v>
      </c>
      <c r="AO1439">
        <v>0</v>
      </c>
      <c r="AP1439">
        <v>0</v>
      </c>
      <c r="AQ1439">
        <v>0</v>
      </c>
      <c r="AR1439" t="s">
        <v>4692</v>
      </c>
      <c r="AS1439" t="s">
        <v>4693</v>
      </c>
      <c r="AT1439">
        <v>0</v>
      </c>
      <c r="AU1439" t="s">
        <v>43</v>
      </c>
      <c r="AV1439" t="s">
        <v>44</v>
      </c>
      <c r="AW1439" t="s">
        <v>45</v>
      </c>
      <c r="AX1439" t="s">
        <v>4864</v>
      </c>
      <c r="AY1439" t="s">
        <v>4865</v>
      </c>
      <c r="AZ1439">
        <v>1229.999999996508</v>
      </c>
      <c r="BA1439">
        <v>1</v>
      </c>
      <c r="BB1439">
        <v>0</v>
      </c>
      <c r="BC1439">
        <v>50</v>
      </c>
      <c r="BD1439">
        <v>0</v>
      </c>
      <c r="BE1439">
        <f t="shared" si="229"/>
        <v>1</v>
      </c>
    </row>
    <row r="1440" spans="1:57" x14ac:dyDescent="0.25">
      <c r="A1440" t="s">
        <v>39</v>
      </c>
      <c r="B1440" t="s">
        <v>4790</v>
      </c>
      <c r="C1440">
        <v>77</v>
      </c>
      <c r="D1440">
        <v>62.6</v>
      </c>
      <c r="G1440">
        <f t="shared" si="220"/>
        <v>1</v>
      </c>
      <c r="H1440">
        <f t="shared" si="221"/>
        <v>1</v>
      </c>
      <c r="I1440">
        <f t="shared" si="222"/>
        <v>0</v>
      </c>
      <c r="J1440">
        <v>70</v>
      </c>
      <c r="K1440">
        <v>77</v>
      </c>
      <c r="L1440">
        <v>62.6</v>
      </c>
      <c r="M1440">
        <v>70</v>
      </c>
      <c r="N1440">
        <v>62.5</v>
      </c>
      <c r="O1440">
        <v>77.3</v>
      </c>
      <c r="S1440">
        <f t="shared" si="223"/>
        <v>1</v>
      </c>
      <c r="T1440">
        <f t="shared" si="224"/>
        <v>1</v>
      </c>
      <c r="U1440">
        <f t="shared" si="225"/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11.4</v>
      </c>
      <c r="AG1440">
        <f t="shared" si="226"/>
        <v>1</v>
      </c>
      <c r="AH1440">
        <f t="shared" si="227"/>
        <v>0</v>
      </c>
      <c r="AI1440">
        <f t="shared" si="228"/>
        <v>1</v>
      </c>
      <c r="AJ1440">
        <v>159.30000000000001</v>
      </c>
      <c r="AK1440">
        <v>1015</v>
      </c>
      <c r="AL1440">
        <v>40.1</v>
      </c>
      <c r="AM1440">
        <v>6.5</v>
      </c>
      <c r="AN1440">
        <v>0</v>
      </c>
      <c r="AO1440">
        <v>0</v>
      </c>
      <c r="AP1440">
        <v>0</v>
      </c>
      <c r="AQ1440">
        <v>0</v>
      </c>
      <c r="AR1440" t="s">
        <v>4791</v>
      </c>
      <c r="AS1440" t="s">
        <v>4792</v>
      </c>
      <c r="AT1440">
        <v>0.75</v>
      </c>
      <c r="AU1440" t="s">
        <v>43</v>
      </c>
      <c r="AV1440" t="s">
        <v>44</v>
      </c>
      <c r="AW1440" t="s">
        <v>45</v>
      </c>
      <c r="AX1440" t="s">
        <v>2587</v>
      </c>
      <c r="AY1440" t="s">
        <v>4866</v>
      </c>
      <c r="AZ1440">
        <v>1715.000000005821</v>
      </c>
      <c r="BA1440">
        <v>1</v>
      </c>
      <c r="BB1440">
        <v>0</v>
      </c>
      <c r="BC1440">
        <v>2</v>
      </c>
      <c r="BD1440">
        <v>0</v>
      </c>
      <c r="BE1440">
        <f t="shared" si="229"/>
        <v>1</v>
      </c>
    </row>
    <row r="1441" spans="1:57" x14ac:dyDescent="0.25">
      <c r="A1441" t="s">
        <v>39</v>
      </c>
      <c r="B1441" t="s">
        <v>4867</v>
      </c>
      <c r="C1441">
        <v>64.400000000000006</v>
      </c>
      <c r="D1441">
        <v>55.7</v>
      </c>
      <c r="G1441">
        <f t="shared" si="220"/>
        <v>1</v>
      </c>
      <c r="H1441">
        <f t="shared" si="221"/>
        <v>0</v>
      </c>
      <c r="I1441">
        <f t="shared" si="222"/>
        <v>1</v>
      </c>
      <c r="J1441">
        <v>61.1</v>
      </c>
      <c r="K1441">
        <v>64.400000000000006</v>
      </c>
      <c r="L1441">
        <v>55.7</v>
      </c>
      <c r="M1441">
        <v>61.1</v>
      </c>
      <c r="N1441">
        <v>49.7</v>
      </c>
      <c r="O1441">
        <v>66.3</v>
      </c>
      <c r="S1441">
        <f t="shared" si="223"/>
        <v>0</v>
      </c>
      <c r="T1441">
        <f t="shared" si="224"/>
        <v>0</v>
      </c>
      <c r="U1441">
        <f t="shared" si="225"/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21.9</v>
      </c>
      <c r="AG1441">
        <f t="shared" si="226"/>
        <v>1</v>
      </c>
      <c r="AH1441">
        <f t="shared" si="227"/>
        <v>1</v>
      </c>
      <c r="AI1441">
        <f t="shared" si="228"/>
        <v>0</v>
      </c>
      <c r="AJ1441">
        <v>330.6</v>
      </c>
      <c r="AK1441">
        <v>1019.6</v>
      </c>
      <c r="AL1441">
        <v>67.099999999999994</v>
      </c>
      <c r="AM1441">
        <v>6.6</v>
      </c>
      <c r="AN1441">
        <v>0</v>
      </c>
      <c r="AO1441">
        <v>0</v>
      </c>
      <c r="AP1441">
        <v>0</v>
      </c>
      <c r="AQ1441">
        <v>0</v>
      </c>
      <c r="AR1441" t="s">
        <v>4868</v>
      </c>
      <c r="AS1441" t="s">
        <v>4869</v>
      </c>
      <c r="AT1441">
        <v>0.39</v>
      </c>
      <c r="AU1441" t="s">
        <v>43</v>
      </c>
      <c r="AV1441" t="s">
        <v>44</v>
      </c>
      <c r="AW1441" t="s">
        <v>45</v>
      </c>
      <c r="AX1441" t="s">
        <v>2735</v>
      </c>
      <c r="AY1441" t="s">
        <v>4870</v>
      </c>
      <c r="AZ1441">
        <v>100.0000000011642</v>
      </c>
      <c r="BA1441">
        <v>0</v>
      </c>
      <c r="BB1441">
        <v>0</v>
      </c>
      <c r="BC1441">
        <v>3.5</v>
      </c>
      <c r="BD1441">
        <v>0</v>
      </c>
      <c r="BE1441">
        <f t="shared" si="229"/>
        <v>0</v>
      </c>
    </row>
    <row r="1442" spans="1:57" x14ac:dyDescent="0.25">
      <c r="A1442" t="s">
        <v>39</v>
      </c>
      <c r="B1442" t="s">
        <v>4871</v>
      </c>
      <c r="C1442">
        <v>64.400000000000006</v>
      </c>
      <c r="D1442">
        <v>53.6</v>
      </c>
      <c r="G1442">
        <f t="shared" si="220"/>
        <v>1</v>
      </c>
      <c r="H1442">
        <f t="shared" si="221"/>
        <v>1</v>
      </c>
      <c r="I1442">
        <f t="shared" si="222"/>
        <v>0</v>
      </c>
      <c r="J1442">
        <v>57.3</v>
      </c>
      <c r="K1442">
        <v>64.400000000000006</v>
      </c>
      <c r="L1442">
        <v>53.6</v>
      </c>
      <c r="M1442">
        <v>57.3</v>
      </c>
      <c r="N1442">
        <v>45.6</v>
      </c>
      <c r="O1442">
        <v>65.900000000000006</v>
      </c>
      <c r="S1442">
        <f t="shared" si="223"/>
        <v>1</v>
      </c>
      <c r="T1442">
        <f t="shared" si="224"/>
        <v>0</v>
      </c>
      <c r="U1442">
        <f t="shared" si="225"/>
        <v>1</v>
      </c>
      <c r="V1442">
        <v>1.2E-2</v>
      </c>
      <c r="W1442">
        <v>100</v>
      </c>
      <c r="X1442">
        <v>4.17</v>
      </c>
      <c r="Y1442" t="s">
        <v>103</v>
      </c>
      <c r="Z1442">
        <v>0</v>
      </c>
      <c r="AA1442">
        <v>0</v>
      </c>
      <c r="AB1442">
        <v>0</v>
      </c>
      <c r="AC1442">
        <v>25.3</v>
      </c>
      <c r="AG1442">
        <f t="shared" si="226"/>
        <v>1</v>
      </c>
      <c r="AH1442">
        <f t="shared" si="227"/>
        <v>1</v>
      </c>
      <c r="AI1442">
        <f t="shared" si="228"/>
        <v>0</v>
      </c>
      <c r="AJ1442">
        <v>183.6</v>
      </c>
      <c r="AK1442">
        <v>1020.6</v>
      </c>
      <c r="AL1442">
        <v>71.7</v>
      </c>
      <c r="AM1442">
        <v>6.6</v>
      </c>
      <c r="AN1442">
        <v>135.30000000000001</v>
      </c>
      <c r="AO1442">
        <v>11.9</v>
      </c>
      <c r="AP1442">
        <v>5</v>
      </c>
      <c r="AQ1442">
        <v>0</v>
      </c>
      <c r="AR1442" t="s">
        <v>4872</v>
      </c>
      <c r="AS1442" t="s">
        <v>4873</v>
      </c>
      <c r="AT1442">
        <v>0.36</v>
      </c>
      <c r="AU1442" t="s">
        <v>106</v>
      </c>
      <c r="AV1442" t="s">
        <v>296</v>
      </c>
      <c r="AW1442" t="s">
        <v>103</v>
      </c>
      <c r="AX1442" t="s">
        <v>4685</v>
      </c>
      <c r="AY1442" t="s">
        <v>4874</v>
      </c>
      <c r="AZ1442">
        <v>40.999999997438863</v>
      </c>
      <c r="BA1442">
        <v>0</v>
      </c>
      <c r="BB1442">
        <v>0</v>
      </c>
      <c r="BC1442">
        <v>1</v>
      </c>
      <c r="BD1442">
        <v>0</v>
      </c>
      <c r="BE1442">
        <f t="shared" si="229"/>
        <v>1</v>
      </c>
    </row>
    <row r="1443" spans="1:57" x14ac:dyDescent="0.25">
      <c r="A1443" t="s">
        <v>39</v>
      </c>
      <c r="B1443" t="s">
        <v>4875</v>
      </c>
      <c r="C1443">
        <v>71.599999999999994</v>
      </c>
      <c r="D1443">
        <v>59</v>
      </c>
      <c r="G1443">
        <f t="shared" si="220"/>
        <v>1</v>
      </c>
      <c r="H1443">
        <f t="shared" si="221"/>
        <v>1</v>
      </c>
      <c r="I1443">
        <f t="shared" si="222"/>
        <v>0</v>
      </c>
      <c r="J1443">
        <v>66.099999999999994</v>
      </c>
      <c r="K1443">
        <v>71.599999999999994</v>
      </c>
      <c r="L1443">
        <v>59</v>
      </c>
      <c r="M1443">
        <v>66.099999999999994</v>
      </c>
      <c r="N1443">
        <v>51.4</v>
      </c>
      <c r="O1443">
        <v>61.7</v>
      </c>
      <c r="S1443">
        <f t="shared" si="223"/>
        <v>1</v>
      </c>
      <c r="T1443">
        <f t="shared" si="224"/>
        <v>0</v>
      </c>
      <c r="U1443">
        <f t="shared" si="225"/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32.200000000000003</v>
      </c>
      <c r="AC1443">
        <v>23</v>
      </c>
      <c r="AG1443">
        <f t="shared" si="226"/>
        <v>1</v>
      </c>
      <c r="AH1443">
        <f t="shared" si="227"/>
        <v>1</v>
      </c>
      <c r="AI1443">
        <f t="shared" si="228"/>
        <v>0</v>
      </c>
      <c r="AJ1443">
        <v>170.4</v>
      </c>
      <c r="AK1443">
        <v>1005.4</v>
      </c>
      <c r="AL1443">
        <v>90.3</v>
      </c>
      <c r="AM1443">
        <v>6.5</v>
      </c>
      <c r="AN1443">
        <v>154.19999999999999</v>
      </c>
      <c r="AO1443">
        <v>13.2</v>
      </c>
      <c r="AP1443">
        <v>6</v>
      </c>
      <c r="AQ1443">
        <v>0</v>
      </c>
      <c r="AR1443" t="s">
        <v>4876</v>
      </c>
      <c r="AS1443" t="s">
        <v>4877</v>
      </c>
      <c r="AT1443">
        <v>0.75</v>
      </c>
      <c r="AU1443" t="s">
        <v>275</v>
      </c>
      <c r="AV1443" t="s">
        <v>276</v>
      </c>
      <c r="AW1443" t="s">
        <v>277</v>
      </c>
      <c r="AX1443" t="s">
        <v>4030</v>
      </c>
      <c r="AY1443" t="s">
        <v>4878</v>
      </c>
      <c r="AZ1443">
        <v>50.999999998603023</v>
      </c>
      <c r="BA1443">
        <v>0</v>
      </c>
      <c r="BB1443">
        <v>0</v>
      </c>
      <c r="BC1443">
        <v>1</v>
      </c>
      <c r="BD1443">
        <v>0</v>
      </c>
      <c r="BE1443">
        <f t="shared" si="229"/>
        <v>1</v>
      </c>
    </row>
    <row r="1444" spans="1:57" x14ac:dyDescent="0.25">
      <c r="A1444" t="s">
        <v>39</v>
      </c>
      <c r="B1444" t="s">
        <v>4879</v>
      </c>
      <c r="C1444">
        <v>69.8</v>
      </c>
      <c r="D1444">
        <v>53.6</v>
      </c>
      <c r="G1444">
        <f t="shared" si="220"/>
        <v>1</v>
      </c>
      <c r="H1444">
        <f t="shared" si="221"/>
        <v>1</v>
      </c>
      <c r="I1444">
        <f t="shared" si="222"/>
        <v>0</v>
      </c>
      <c r="J1444">
        <v>62.2</v>
      </c>
      <c r="K1444">
        <v>69.8</v>
      </c>
      <c r="L1444">
        <v>53.6</v>
      </c>
      <c r="M1444">
        <v>62.2</v>
      </c>
      <c r="N1444">
        <v>55.8</v>
      </c>
      <c r="O1444">
        <v>79.7</v>
      </c>
      <c r="S1444">
        <f t="shared" si="223"/>
        <v>1</v>
      </c>
      <c r="T1444">
        <f t="shared" si="224"/>
        <v>1</v>
      </c>
      <c r="U1444">
        <f t="shared" si="225"/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10.3</v>
      </c>
      <c r="AG1444">
        <f t="shared" si="226"/>
        <v>1</v>
      </c>
      <c r="AH1444">
        <f t="shared" si="227"/>
        <v>0</v>
      </c>
      <c r="AI1444">
        <f t="shared" si="228"/>
        <v>1</v>
      </c>
      <c r="AJ1444">
        <v>311.89999999999998</v>
      </c>
      <c r="AK1444">
        <v>1014.5</v>
      </c>
      <c r="AL1444">
        <v>11</v>
      </c>
      <c r="AM1444">
        <v>6.4</v>
      </c>
      <c r="AN1444">
        <v>332</v>
      </c>
      <c r="AO1444">
        <v>28.7</v>
      </c>
      <c r="AP1444">
        <v>10</v>
      </c>
      <c r="AQ1444">
        <v>0</v>
      </c>
      <c r="AR1444" t="s">
        <v>4880</v>
      </c>
      <c r="AS1444" t="s">
        <v>4881</v>
      </c>
      <c r="AT1444">
        <v>0.25</v>
      </c>
      <c r="AU1444" t="s">
        <v>74</v>
      </c>
      <c r="AV1444" t="s">
        <v>2955</v>
      </c>
      <c r="AW1444" t="s">
        <v>75</v>
      </c>
      <c r="AX1444" t="s">
        <v>4882</v>
      </c>
      <c r="AY1444" t="s">
        <v>4883</v>
      </c>
      <c r="AZ1444">
        <v>40.999999997438863</v>
      </c>
      <c r="BA1444">
        <v>0</v>
      </c>
      <c r="BB1444">
        <v>0</v>
      </c>
      <c r="BC1444">
        <v>0.1</v>
      </c>
      <c r="BD1444">
        <v>0</v>
      </c>
      <c r="BE1444">
        <f t="shared" si="229"/>
        <v>1</v>
      </c>
    </row>
    <row r="1445" spans="1:57" x14ac:dyDescent="0.25">
      <c r="A1445" t="s">
        <v>39</v>
      </c>
      <c r="B1445" t="s">
        <v>4842</v>
      </c>
      <c r="C1445">
        <v>71.599999999999994</v>
      </c>
      <c r="D1445">
        <v>55.4</v>
      </c>
      <c r="G1445">
        <f t="shared" si="220"/>
        <v>1</v>
      </c>
      <c r="H1445">
        <f t="shared" si="221"/>
        <v>1</v>
      </c>
      <c r="I1445">
        <f t="shared" si="222"/>
        <v>0</v>
      </c>
      <c r="J1445">
        <v>64.599999999999994</v>
      </c>
      <c r="K1445">
        <v>71.599999999999994</v>
      </c>
      <c r="L1445">
        <v>55.4</v>
      </c>
      <c r="M1445">
        <v>64.599999999999994</v>
      </c>
      <c r="N1445">
        <v>55.9</v>
      </c>
      <c r="O1445">
        <v>73.8</v>
      </c>
      <c r="S1445">
        <f t="shared" si="223"/>
        <v>1</v>
      </c>
      <c r="T1445">
        <f t="shared" si="224"/>
        <v>1</v>
      </c>
      <c r="U1445">
        <f t="shared" si="225"/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18.3</v>
      </c>
      <c r="AG1445">
        <f t="shared" si="226"/>
        <v>0</v>
      </c>
      <c r="AH1445">
        <f t="shared" si="227"/>
        <v>0</v>
      </c>
      <c r="AI1445">
        <f t="shared" si="228"/>
        <v>0</v>
      </c>
      <c r="AJ1445">
        <v>284.8</v>
      </c>
      <c r="AK1445">
        <v>1012.5</v>
      </c>
      <c r="AL1445">
        <v>0.2</v>
      </c>
      <c r="AM1445">
        <v>6.2</v>
      </c>
      <c r="AN1445">
        <v>334</v>
      </c>
      <c r="AO1445">
        <v>28.8</v>
      </c>
      <c r="AP1445">
        <v>10</v>
      </c>
      <c r="AQ1445">
        <v>0</v>
      </c>
      <c r="AR1445" t="s">
        <v>4843</v>
      </c>
      <c r="AS1445" t="s">
        <v>4844</v>
      </c>
      <c r="AT1445">
        <v>0.31</v>
      </c>
      <c r="AU1445" t="s">
        <v>74</v>
      </c>
      <c r="AV1445" t="s">
        <v>2955</v>
      </c>
      <c r="AW1445" t="s">
        <v>75</v>
      </c>
      <c r="AX1445" t="s">
        <v>2346</v>
      </c>
      <c r="AY1445" t="s">
        <v>4884</v>
      </c>
      <c r="AZ1445">
        <v>340.00000000814907</v>
      </c>
      <c r="BA1445">
        <v>0</v>
      </c>
      <c r="BB1445">
        <v>0</v>
      </c>
      <c r="BC1445">
        <v>2</v>
      </c>
      <c r="BD1445">
        <v>0</v>
      </c>
      <c r="BE1445">
        <f t="shared" si="229"/>
        <v>0</v>
      </c>
    </row>
    <row r="1446" spans="1:57" x14ac:dyDescent="0.25">
      <c r="A1446" t="s">
        <v>39</v>
      </c>
      <c r="B1446" t="s">
        <v>4885</v>
      </c>
      <c r="C1446">
        <v>75.2</v>
      </c>
      <c r="D1446">
        <v>58.2</v>
      </c>
      <c r="G1446">
        <f t="shared" si="220"/>
        <v>1</v>
      </c>
      <c r="H1446">
        <f t="shared" si="221"/>
        <v>1</v>
      </c>
      <c r="I1446">
        <f t="shared" si="222"/>
        <v>0</v>
      </c>
      <c r="J1446">
        <v>66.099999999999994</v>
      </c>
      <c r="K1446">
        <v>75.2</v>
      </c>
      <c r="L1446">
        <v>58.2</v>
      </c>
      <c r="M1446">
        <v>66.099999999999994</v>
      </c>
      <c r="N1446">
        <v>55.6</v>
      </c>
      <c r="O1446">
        <v>69.900000000000006</v>
      </c>
      <c r="S1446">
        <f t="shared" si="223"/>
        <v>1</v>
      </c>
      <c r="T1446">
        <f t="shared" si="224"/>
        <v>1</v>
      </c>
      <c r="U1446">
        <f t="shared" si="225"/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28.9</v>
      </c>
      <c r="AG1446">
        <f t="shared" si="226"/>
        <v>1</v>
      </c>
      <c r="AH1446">
        <f t="shared" si="227"/>
        <v>1</v>
      </c>
      <c r="AI1446">
        <f t="shared" si="228"/>
        <v>0</v>
      </c>
      <c r="AJ1446">
        <v>310.89999999999998</v>
      </c>
      <c r="AK1446">
        <v>1007.3</v>
      </c>
      <c r="AL1446">
        <v>51.8</v>
      </c>
      <c r="AM1446">
        <v>6.6</v>
      </c>
      <c r="AN1446">
        <v>331.2</v>
      </c>
      <c r="AO1446">
        <v>28.4</v>
      </c>
      <c r="AP1446">
        <v>10</v>
      </c>
      <c r="AQ1446">
        <v>0</v>
      </c>
      <c r="AR1446" t="s">
        <v>4886</v>
      </c>
      <c r="AS1446" t="s">
        <v>4887</v>
      </c>
      <c r="AT1446">
        <v>0.88</v>
      </c>
      <c r="AU1446" t="s">
        <v>43</v>
      </c>
      <c r="AV1446" t="s">
        <v>44</v>
      </c>
      <c r="AW1446" t="s">
        <v>45</v>
      </c>
      <c r="AX1446" t="s">
        <v>4888</v>
      </c>
      <c r="AY1446" t="s">
        <v>4889</v>
      </c>
      <c r="AZ1446">
        <v>103.0000000004657</v>
      </c>
      <c r="BA1446">
        <v>0</v>
      </c>
      <c r="BB1446">
        <v>0</v>
      </c>
      <c r="BC1446">
        <v>1</v>
      </c>
      <c r="BD1446">
        <v>0</v>
      </c>
      <c r="BE1446">
        <f t="shared" si="229"/>
        <v>1</v>
      </c>
    </row>
    <row r="1447" spans="1:57" x14ac:dyDescent="0.25">
      <c r="A1447" t="s">
        <v>39</v>
      </c>
      <c r="B1447" t="s">
        <v>4890</v>
      </c>
      <c r="C1447">
        <v>75.2</v>
      </c>
      <c r="D1447">
        <v>54.6</v>
      </c>
      <c r="G1447">
        <f t="shared" si="220"/>
        <v>1</v>
      </c>
      <c r="H1447">
        <f t="shared" si="221"/>
        <v>1</v>
      </c>
      <c r="I1447">
        <f t="shared" si="222"/>
        <v>0</v>
      </c>
      <c r="J1447">
        <v>65.900000000000006</v>
      </c>
      <c r="K1447">
        <v>75.2</v>
      </c>
      <c r="L1447">
        <v>54.6</v>
      </c>
      <c r="M1447">
        <v>65.900000000000006</v>
      </c>
      <c r="N1447">
        <v>56.8</v>
      </c>
      <c r="O1447">
        <v>73.5</v>
      </c>
      <c r="S1447">
        <f t="shared" si="223"/>
        <v>1</v>
      </c>
      <c r="T1447">
        <f t="shared" si="224"/>
        <v>1</v>
      </c>
      <c r="U1447">
        <f t="shared" si="225"/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8.1</v>
      </c>
      <c r="AG1447">
        <f t="shared" si="226"/>
        <v>1</v>
      </c>
      <c r="AH1447">
        <f t="shared" si="227"/>
        <v>0</v>
      </c>
      <c r="AI1447">
        <f t="shared" si="228"/>
        <v>1</v>
      </c>
      <c r="AJ1447">
        <v>115.2</v>
      </c>
      <c r="AK1447">
        <v>1014.5</v>
      </c>
      <c r="AL1447">
        <v>28.3</v>
      </c>
      <c r="AM1447">
        <v>6.5</v>
      </c>
      <c r="AN1447">
        <v>348.7</v>
      </c>
      <c r="AO1447">
        <v>30.3</v>
      </c>
      <c r="AP1447">
        <v>10</v>
      </c>
      <c r="AQ1447">
        <v>0</v>
      </c>
      <c r="AR1447" t="s">
        <v>4891</v>
      </c>
      <c r="AS1447" t="s">
        <v>4892</v>
      </c>
      <c r="AT1447">
        <v>0.98</v>
      </c>
      <c r="AU1447" t="s">
        <v>43</v>
      </c>
      <c r="AV1447" t="s">
        <v>44</v>
      </c>
      <c r="AW1447" t="s">
        <v>45</v>
      </c>
      <c r="AX1447" t="s">
        <v>2631</v>
      </c>
      <c r="AY1447" t="s">
        <v>4893</v>
      </c>
      <c r="AZ1447">
        <v>1030.0000000046571</v>
      </c>
      <c r="BA1447">
        <v>1</v>
      </c>
      <c r="BB1447">
        <v>0</v>
      </c>
      <c r="BC1447">
        <v>15</v>
      </c>
      <c r="BD1447">
        <v>0</v>
      </c>
      <c r="BE1447">
        <f t="shared" si="229"/>
        <v>1</v>
      </c>
    </row>
    <row r="1448" spans="1:57" x14ac:dyDescent="0.25">
      <c r="A1448" t="s">
        <v>39</v>
      </c>
      <c r="B1448" t="s">
        <v>4894</v>
      </c>
      <c r="C1448">
        <v>77</v>
      </c>
      <c r="D1448">
        <v>59</v>
      </c>
      <c r="G1448">
        <f t="shared" si="220"/>
        <v>1</v>
      </c>
      <c r="H1448">
        <f t="shared" si="221"/>
        <v>0</v>
      </c>
      <c r="I1448">
        <f t="shared" si="222"/>
        <v>1</v>
      </c>
      <c r="J1448">
        <v>69.099999999999994</v>
      </c>
      <c r="K1448">
        <v>77</v>
      </c>
      <c r="L1448">
        <v>59</v>
      </c>
      <c r="M1448">
        <v>69.099999999999994</v>
      </c>
      <c r="N1448">
        <v>59.8</v>
      </c>
      <c r="O1448">
        <v>73.099999999999994</v>
      </c>
      <c r="S1448">
        <f t="shared" si="223"/>
        <v>1</v>
      </c>
      <c r="T1448">
        <f t="shared" si="224"/>
        <v>1</v>
      </c>
      <c r="U1448">
        <f t="shared" si="225"/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8.1</v>
      </c>
      <c r="AG1448">
        <f t="shared" si="226"/>
        <v>1</v>
      </c>
      <c r="AH1448">
        <f t="shared" si="227"/>
        <v>0</v>
      </c>
      <c r="AI1448">
        <f t="shared" si="228"/>
        <v>1</v>
      </c>
      <c r="AJ1448">
        <v>91.1</v>
      </c>
      <c r="AK1448">
        <v>1016.7</v>
      </c>
      <c r="AL1448">
        <v>16.600000000000001</v>
      </c>
      <c r="AM1448">
        <v>6.4</v>
      </c>
      <c r="AN1448">
        <v>356.2</v>
      </c>
      <c r="AO1448">
        <v>30.7</v>
      </c>
      <c r="AP1448">
        <v>10</v>
      </c>
      <c r="AQ1448">
        <v>0</v>
      </c>
      <c r="AR1448" t="s">
        <v>4895</v>
      </c>
      <c r="AS1448" t="s">
        <v>4896</v>
      </c>
      <c r="AT1448">
        <v>0.46</v>
      </c>
      <c r="AU1448" t="s">
        <v>74</v>
      </c>
      <c r="AV1448" t="s">
        <v>2955</v>
      </c>
      <c r="AW1448" t="s">
        <v>75</v>
      </c>
      <c r="AX1448" t="s">
        <v>4897</v>
      </c>
      <c r="AY1448" t="s">
        <v>4898</v>
      </c>
      <c r="AZ1448">
        <v>29.000000000232831</v>
      </c>
      <c r="BA1448">
        <v>0</v>
      </c>
      <c r="BB1448">
        <v>0</v>
      </c>
      <c r="BC1448">
        <v>1</v>
      </c>
      <c r="BD1448">
        <v>0</v>
      </c>
      <c r="BE1448">
        <f t="shared" si="229"/>
        <v>0</v>
      </c>
    </row>
    <row r="1449" spans="1:57" x14ac:dyDescent="0.25">
      <c r="A1449" t="s">
        <v>39</v>
      </c>
      <c r="B1449" t="s">
        <v>4899</v>
      </c>
      <c r="C1449">
        <v>78.8</v>
      </c>
      <c r="D1449">
        <v>73.400000000000006</v>
      </c>
      <c r="G1449">
        <f t="shared" si="220"/>
        <v>0</v>
      </c>
      <c r="H1449">
        <f t="shared" si="221"/>
        <v>0</v>
      </c>
      <c r="I1449">
        <f t="shared" si="222"/>
        <v>0</v>
      </c>
      <c r="J1449">
        <v>76.400000000000006</v>
      </c>
      <c r="K1449">
        <v>78.8</v>
      </c>
      <c r="L1449">
        <v>73.400000000000006</v>
      </c>
      <c r="M1449">
        <v>76.400000000000006</v>
      </c>
      <c r="N1449">
        <v>64.099999999999994</v>
      </c>
      <c r="O1449">
        <v>65.900000000000006</v>
      </c>
      <c r="S1449">
        <f t="shared" si="223"/>
        <v>1</v>
      </c>
      <c r="T1449">
        <f t="shared" si="224"/>
        <v>1</v>
      </c>
      <c r="U1449">
        <f t="shared" si="225"/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24.2</v>
      </c>
      <c r="AG1449">
        <f t="shared" si="226"/>
        <v>1</v>
      </c>
      <c r="AH1449">
        <f t="shared" si="227"/>
        <v>1</v>
      </c>
      <c r="AI1449">
        <f t="shared" si="228"/>
        <v>0</v>
      </c>
      <c r="AJ1449">
        <v>311</v>
      </c>
      <c r="AK1449">
        <v>1011.5</v>
      </c>
      <c r="AL1449">
        <v>24.8</v>
      </c>
      <c r="AM1449">
        <v>6.4</v>
      </c>
      <c r="AN1449">
        <v>328.1</v>
      </c>
      <c r="AO1449">
        <v>28.2</v>
      </c>
      <c r="AP1449">
        <v>10</v>
      </c>
      <c r="AQ1449">
        <v>0</v>
      </c>
      <c r="AR1449" t="s">
        <v>4900</v>
      </c>
      <c r="AS1449" t="s">
        <v>4901</v>
      </c>
      <c r="AT1449">
        <v>0.96</v>
      </c>
      <c r="AU1449" t="s">
        <v>43</v>
      </c>
      <c r="AV1449" t="s">
        <v>44</v>
      </c>
      <c r="AW1449" t="s">
        <v>45</v>
      </c>
      <c r="AX1449" t="s">
        <v>4902</v>
      </c>
      <c r="AY1449" t="s">
        <v>4903</v>
      </c>
      <c r="AZ1449">
        <v>69.000000004889444</v>
      </c>
      <c r="BA1449">
        <v>0</v>
      </c>
      <c r="BB1449">
        <v>0</v>
      </c>
      <c r="BC1449">
        <v>3</v>
      </c>
      <c r="BD1449">
        <v>0</v>
      </c>
      <c r="BE1449">
        <f t="shared" si="229"/>
        <v>0</v>
      </c>
    </row>
    <row r="1450" spans="1:57" x14ac:dyDescent="0.25">
      <c r="A1450" t="s">
        <v>39</v>
      </c>
      <c r="B1450" t="s">
        <v>4904</v>
      </c>
      <c r="C1450">
        <v>84.2</v>
      </c>
      <c r="D1450">
        <v>69.8</v>
      </c>
      <c r="G1450">
        <f t="shared" si="220"/>
        <v>1</v>
      </c>
      <c r="H1450">
        <f t="shared" si="221"/>
        <v>1</v>
      </c>
      <c r="I1450">
        <f t="shared" si="222"/>
        <v>0</v>
      </c>
      <c r="J1450">
        <v>77.5</v>
      </c>
      <c r="K1450">
        <v>86.5</v>
      </c>
      <c r="L1450">
        <v>69.8</v>
      </c>
      <c r="M1450">
        <v>78.8</v>
      </c>
      <c r="N1450">
        <v>65.400000000000006</v>
      </c>
      <c r="O1450">
        <v>66.900000000000006</v>
      </c>
      <c r="S1450">
        <f t="shared" si="223"/>
        <v>1</v>
      </c>
      <c r="T1450">
        <f t="shared" si="224"/>
        <v>1</v>
      </c>
      <c r="U1450">
        <f t="shared" si="225"/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17.2</v>
      </c>
      <c r="AG1450">
        <f t="shared" si="226"/>
        <v>0</v>
      </c>
      <c r="AH1450">
        <f t="shared" si="227"/>
        <v>0</v>
      </c>
      <c r="AI1450">
        <f t="shared" si="228"/>
        <v>0</v>
      </c>
      <c r="AJ1450">
        <v>310.10000000000002</v>
      </c>
      <c r="AK1450">
        <v>1010.3</v>
      </c>
      <c r="AL1450">
        <v>0</v>
      </c>
      <c r="AM1450">
        <v>6.2</v>
      </c>
      <c r="AN1450">
        <v>362.1</v>
      </c>
      <c r="AO1450">
        <v>31.1</v>
      </c>
      <c r="AP1450">
        <v>10</v>
      </c>
      <c r="AQ1450">
        <v>0</v>
      </c>
      <c r="AR1450" t="s">
        <v>4905</v>
      </c>
      <c r="AS1450" t="s">
        <v>4906</v>
      </c>
      <c r="AT1450">
        <v>0.13</v>
      </c>
      <c r="AU1450" t="s">
        <v>74</v>
      </c>
      <c r="AV1450" t="s">
        <v>2955</v>
      </c>
      <c r="AW1450" t="s">
        <v>75</v>
      </c>
      <c r="AX1450" t="s">
        <v>4907</v>
      </c>
      <c r="AY1450" t="s">
        <v>4908</v>
      </c>
      <c r="AZ1450">
        <v>153.99999999906871</v>
      </c>
      <c r="BA1450">
        <v>0</v>
      </c>
      <c r="BB1450">
        <v>0</v>
      </c>
      <c r="BC1450">
        <v>1</v>
      </c>
      <c r="BD1450">
        <v>0</v>
      </c>
      <c r="BE1450">
        <f t="shared" si="229"/>
        <v>0</v>
      </c>
    </row>
    <row r="1451" spans="1:57" x14ac:dyDescent="0.25">
      <c r="A1451" t="s">
        <v>39</v>
      </c>
      <c r="B1451" t="s">
        <v>4909</v>
      </c>
      <c r="C1451">
        <v>80.599999999999994</v>
      </c>
      <c r="D1451">
        <v>68</v>
      </c>
      <c r="G1451">
        <f t="shared" si="220"/>
        <v>1</v>
      </c>
      <c r="H1451">
        <f t="shared" si="221"/>
        <v>0</v>
      </c>
      <c r="I1451">
        <f t="shared" si="222"/>
        <v>1</v>
      </c>
      <c r="J1451">
        <v>76.8</v>
      </c>
      <c r="K1451">
        <v>83.3</v>
      </c>
      <c r="L1451">
        <v>68</v>
      </c>
      <c r="M1451">
        <v>77.3</v>
      </c>
      <c r="N1451">
        <v>66.099999999999994</v>
      </c>
      <c r="O1451">
        <v>70.2</v>
      </c>
      <c r="S1451">
        <f t="shared" si="223"/>
        <v>1</v>
      </c>
      <c r="T1451">
        <f t="shared" si="224"/>
        <v>1</v>
      </c>
      <c r="U1451">
        <f t="shared" si="225"/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19.5</v>
      </c>
      <c r="AG1451">
        <f t="shared" si="226"/>
        <v>1</v>
      </c>
      <c r="AH1451">
        <f t="shared" si="227"/>
        <v>1</v>
      </c>
      <c r="AI1451">
        <f t="shared" si="228"/>
        <v>0</v>
      </c>
      <c r="AJ1451">
        <v>308.60000000000002</v>
      </c>
      <c r="AK1451">
        <v>1010.7</v>
      </c>
      <c r="AL1451">
        <v>0.2</v>
      </c>
      <c r="AM1451">
        <v>6.2</v>
      </c>
      <c r="AN1451">
        <v>0</v>
      </c>
      <c r="AO1451">
        <v>0</v>
      </c>
      <c r="AP1451">
        <v>0</v>
      </c>
      <c r="AQ1451">
        <v>0</v>
      </c>
      <c r="AR1451" t="s">
        <v>4910</v>
      </c>
      <c r="AS1451" t="s">
        <v>4911</v>
      </c>
      <c r="AT1451">
        <v>0.41</v>
      </c>
      <c r="AU1451" t="s">
        <v>74</v>
      </c>
      <c r="AV1451" t="s">
        <v>2955</v>
      </c>
      <c r="AW1451" t="s">
        <v>75</v>
      </c>
      <c r="AX1451" t="s">
        <v>4912</v>
      </c>
      <c r="AY1451" t="s">
        <v>4913</v>
      </c>
      <c r="AZ1451">
        <v>2075.999999998603</v>
      </c>
      <c r="BA1451">
        <v>1</v>
      </c>
      <c r="BB1451">
        <v>0</v>
      </c>
      <c r="BC1451">
        <v>290</v>
      </c>
      <c r="BD1451">
        <v>0</v>
      </c>
      <c r="BE1451">
        <f t="shared" si="229"/>
        <v>1</v>
      </c>
    </row>
    <row r="1452" spans="1:57" x14ac:dyDescent="0.25">
      <c r="A1452" t="s">
        <v>39</v>
      </c>
      <c r="B1452" t="s">
        <v>4914</v>
      </c>
      <c r="C1452">
        <v>80.599999999999994</v>
      </c>
      <c r="D1452">
        <v>69.5</v>
      </c>
      <c r="G1452">
        <f t="shared" si="220"/>
        <v>1</v>
      </c>
      <c r="H1452">
        <f t="shared" si="221"/>
        <v>0</v>
      </c>
      <c r="I1452">
        <f t="shared" si="222"/>
        <v>1</v>
      </c>
      <c r="J1452">
        <v>76.2</v>
      </c>
      <c r="K1452">
        <v>82.3</v>
      </c>
      <c r="L1452">
        <v>69.5</v>
      </c>
      <c r="M1452">
        <v>76.2</v>
      </c>
      <c r="N1452">
        <v>64.099999999999994</v>
      </c>
      <c r="O1452">
        <v>66.599999999999994</v>
      </c>
      <c r="S1452">
        <f t="shared" si="223"/>
        <v>1</v>
      </c>
      <c r="T1452">
        <f t="shared" si="224"/>
        <v>1</v>
      </c>
      <c r="U1452">
        <f t="shared" si="225"/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20.8</v>
      </c>
      <c r="AG1452">
        <f t="shared" si="226"/>
        <v>1</v>
      </c>
      <c r="AH1452">
        <f t="shared" si="227"/>
        <v>1</v>
      </c>
      <c r="AI1452">
        <f t="shared" si="228"/>
        <v>0</v>
      </c>
      <c r="AJ1452">
        <v>304.5</v>
      </c>
      <c r="AK1452">
        <v>1011.4</v>
      </c>
      <c r="AL1452">
        <v>17.399999999999999</v>
      </c>
      <c r="AM1452">
        <v>6.5</v>
      </c>
      <c r="AN1452">
        <v>0</v>
      </c>
      <c r="AO1452">
        <v>0</v>
      </c>
      <c r="AP1452">
        <v>0</v>
      </c>
      <c r="AQ1452">
        <v>0</v>
      </c>
      <c r="AR1452" t="s">
        <v>4915</v>
      </c>
      <c r="AS1452" t="s">
        <v>4916</v>
      </c>
      <c r="AT1452">
        <v>0.45</v>
      </c>
      <c r="AU1452" t="s">
        <v>74</v>
      </c>
      <c r="AV1452" t="s">
        <v>2955</v>
      </c>
      <c r="AW1452" t="s">
        <v>75</v>
      </c>
      <c r="AX1452" t="s">
        <v>4917</v>
      </c>
      <c r="AY1452" t="s">
        <v>4918</v>
      </c>
      <c r="AZ1452">
        <v>1785.9999999962749</v>
      </c>
      <c r="BA1452">
        <v>1</v>
      </c>
      <c r="BB1452">
        <v>0</v>
      </c>
      <c r="BC1452">
        <v>50</v>
      </c>
      <c r="BD1452">
        <v>0</v>
      </c>
      <c r="BE1452">
        <f t="shared" si="229"/>
        <v>1</v>
      </c>
    </row>
    <row r="1453" spans="1:57" x14ac:dyDescent="0.25">
      <c r="A1453" t="s">
        <v>39</v>
      </c>
      <c r="B1453" t="s">
        <v>4919</v>
      </c>
      <c r="C1453">
        <v>80.599999999999994</v>
      </c>
      <c r="D1453">
        <v>68</v>
      </c>
      <c r="G1453">
        <f t="shared" si="220"/>
        <v>1</v>
      </c>
      <c r="H1453">
        <f t="shared" si="221"/>
        <v>0</v>
      </c>
      <c r="I1453">
        <f t="shared" si="222"/>
        <v>1</v>
      </c>
      <c r="J1453">
        <v>76.599999999999994</v>
      </c>
      <c r="K1453">
        <v>83.3</v>
      </c>
      <c r="L1453">
        <v>68</v>
      </c>
      <c r="M1453">
        <v>77.2</v>
      </c>
      <c r="N1453">
        <v>64.599999999999994</v>
      </c>
      <c r="O1453">
        <v>66.8</v>
      </c>
      <c r="S1453">
        <f t="shared" si="223"/>
        <v>1</v>
      </c>
      <c r="T1453">
        <f t="shared" si="224"/>
        <v>1</v>
      </c>
      <c r="U1453">
        <f t="shared" si="225"/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17.2</v>
      </c>
      <c r="AG1453">
        <f t="shared" si="226"/>
        <v>0</v>
      </c>
      <c r="AH1453">
        <f t="shared" si="227"/>
        <v>0</v>
      </c>
      <c r="AI1453">
        <f t="shared" si="228"/>
        <v>0</v>
      </c>
      <c r="AJ1453">
        <v>312.5</v>
      </c>
      <c r="AK1453">
        <v>1010.8</v>
      </c>
      <c r="AL1453">
        <v>2.7</v>
      </c>
      <c r="AM1453">
        <v>6.2</v>
      </c>
      <c r="AN1453">
        <v>0</v>
      </c>
      <c r="AO1453">
        <v>0</v>
      </c>
      <c r="AP1453">
        <v>0</v>
      </c>
      <c r="AQ1453">
        <v>0</v>
      </c>
      <c r="AR1453" t="s">
        <v>4920</v>
      </c>
      <c r="AS1453" t="s">
        <v>4921</v>
      </c>
      <c r="AT1453">
        <v>0.52</v>
      </c>
      <c r="AU1453" t="s">
        <v>74</v>
      </c>
      <c r="AV1453" t="s">
        <v>2955</v>
      </c>
      <c r="AW1453" t="s">
        <v>75</v>
      </c>
      <c r="AX1453" t="s">
        <v>4922</v>
      </c>
      <c r="AY1453" t="s">
        <v>4923</v>
      </c>
      <c r="AZ1453">
        <v>249.99999999767169</v>
      </c>
      <c r="BA1453">
        <v>0</v>
      </c>
      <c r="BB1453">
        <v>0</v>
      </c>
      <c r="BC1453">
        <v>2</v>
      </c>
      <c r="BD1453">
        <v>0</v>
      </c>
      <c r="BE1453">
        <f t="shared" si="229"/>
        <v>0</v>
      </c>
    </row>
    <row r="1454" spans="1:57" x14ac:dyDescent="0.25">
      <c r="A1454" t="s">
        <v>39</v>
      </c>
      <c r="B1454" t="s">
        <v>4924</v>
      </c>
      <c r="C1454">
        <v>87.8</v>
      </c>
      <c r="D1454">
        <v>73.400000000000006</v>
      </c>
      <c r="G1454">
        <f t="shared" si="220"/>
        <v>1</v>
      </c>
      <c r="H1454">
        <f t="shared" si="221"/>
        <v>1</v>
      </c>
      <c r="I1454">
        <f t="shared" si="222"/>
        <v>0</v>
      </c>
      <c r="J1454">
        <v>82.7</v>
      </c>
      <c r="K1454">
        <v>100</v>
      </c>
      <c r="L1454">
        <v>73.400000000000006</v>
      </c>
      <c r="M1454">
        <v>87.7</v>
      </c>
      <c r="N1454">
        <v>68.3</v>
      </c>
      <c r="O1454">
        <v>62.3</v>
      </c>
      <c r="S1454">
        <f t="shared" si="223"/>
        <v>1</v>
      </c>
      <c r="T1454">
        <f t="shared" si="224"/>
        <v>1</v>
      </c>
      <c r="U1454">
        <f t="shared" si="225"/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11.4</v>
      </c>
      <c r="AG1454">
        <f t="shared" si="226"/>
        <v>1</v>
      </c>
      <c r="AH1454">
        <f t="shared" si="227"/>
        <v>0</v>
      </c>
      <c r="AI1454">
        <f t="shared" si="228"/>
        <v>1</v>
      </c>
      <c r="AJ1454">
        <v>302.8</v>
      </c>
      <c r="AK1454">
        <v>1007.8</v>
      </c>
      <c r="AL1454">
        <v>0</v>
      </c>
      <c r="AM1454">
        <v>6.2</v>
      </c>
      <c r="AN1454">
        <v>0</v>
      </c>
      <c r="AO1454">
        <v>0</v>
      </c>
      <c r="AP1454">
        <v>0</v>
      </c>
      <c r="AQ1454">
        <v>0</v>
      </c>
      <c r="AR1454" t="s">
        <v>4925</v>
      </c>
      <c r="AS1454" t="s">
        <v>4926</v>
      </c>
      <c r="AT1454">
        <v>0.84</v>
      </c>
      <c r="AU1454" t="s">
        <v>74</v>
      </c>
      <c r="AV1454" t="s">
        <v>2955</v>
      </c>
      <c r="AW1454" t="s">
        <v>75</v>
      </c>
      <c r="AX1454" t="s">
        <v>4927</v>
      </c>
      <c r="AY1454" t="s">
        <v>4928</v>
      </c>
      <c r="AZ1454">
        <v>14418.99999999907</v>
      </c>
      <c r="BA1454">
        <v>1</v>
      </c>
      <c r="BB1454">
        <v>0</v>
      </c>
      <c r="BC1454">
        <v>1</v>
      </c>
      <c r="BD1454">
        <v>0</v>
      </c>
      <c r="BE1454">
        <f t="shared" si="229"/>
        <v>1</v>
      </c>
    </row>
    <row r="1455" spans="1:57" x14ac:dyDescent="0.25">
      <c r="A1455" t="s">
        <v>39</v>
      </c>
      <c r="B1455" t="s">
        <v>4929</v>
      </c>
      <c r="C1455">
        <v>86</v>
      </c>
      <c r="D1455">
        <v>78.8</v>
      </c>
      <c r="G1455">
        <f t="shared" si="220"/>
        <v>1</v>
      </c>
      <c r="H1455">
        <f t="shared" si="221"/>
        <v>1</v>
      </c>
      <c r="I1455">
        <f t="shared" si="222"/>
        <v>0</v>
      </c>
      <c r="J1455">
        <v>81.599999999999994</v>
      </c>
      <c r="K1455">
        <v>92</v>
      </c>
      <c r="L1455">
        <v>78.8</v>
      </c>
      <c r="M1455">
        <v>84.8</v>
      </c>
      <c r="N1455">
        <v>70.900000000000006</v>
      </c>
      <c r="O1455">
        <v>70.599999999999994</v>
      </c>
      <c r="S1455">
        <f t="shared" si="223"/>
        <v>1</v>
      </c>
      <c r="T1455">
        <f t="shared" si="224"/>
        <v>1</v>
      </c>
      <c r="U1455">
        <f t="shared" si="225"/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25.3</v>
      </c>
      <c r="AG1455">
        <f t="shared" si="226"/>
        <v>1</v>
      </c>
      <c r="AH1455">
        <f t="shared" si="227"/>
        <v>1</v>
      </c>
      <c r="AI1455">
        <f t="shared" si="228"/>
        <v>0</v>
      </c>
      <c r="AJ1455">
        <v>313.89999999999998</v>
      </c>
      <c r="AK1455">
        <v>1009.4</v>
      </c>
      <c r="AL1455">
        <v>32.5</v>
      </c>
      <c r="AM1455">
        <v>6.6</v>
      </c>
      <c r="AN1455">
        <v>0</v>
      </c>
      <c r="AO1455">
        <v>0</v>
      </c>
      <c r="AP1455">
        <v>0</v>
      </c>
      <c r="AQ1455">
        <v>0</v>
      </c>
      <c r="AR1455" t="s">
        <v>4930</v>
      </c>
      <c r="AS1455" t="s">
        <v>4931</v>
      </c>
      <c r="AT1455">
        <v>0.97</v>
      </c>
      <c r="AU1455" t="s">
        <v>43</v>
      </c>
      <c r="AV1455" t="s">
        <v>44</v>
      </c>
      <c r="AW1455" t="s">
        <v>45</v>
      </c>
      <c r="AX1455" t="s">
        <v>4932</v>
      </c>
      <c r="AY1455" t="s">
        <v>4933</v>
      </c>
      <c r="AZ1455">
        <v>2029.0000000025609</v>
      </c>
      <c r="BA1455">
        <v>1</v>
      </c>
      <c r="BB1455">
        <v>0</v>
      </c>
      <c r="BC1455">
        <v>10</v>
      </c>
      <c r="BD1455">
        <v>0</v>
      </c>
      <c r="BE1455">
        <f t="shared" si="229"/>
        <v>1</v>
      </c>
    </row>
    <row r="1456" spans="1:57" x14ac:dyDescent="0.25">
      <c r="A1456" t="s">
        <v>39</v>
      </c>
      <c r="B1456" t="s">
        <v>4934</v>
      </c>
      <c r="C1456">
        <v>84.2</v>
      </c>
      <c r="D1456">
        <v>71.599999999999994</v>
      </c>
      <c r="G1456">
        <f t="shared" si="220"/>
        <v>0</v>
      </c>
      <c r="H1456">
        <f t="shared" si="221"/>
        <v>0</v>
      </c>
      <c r="I1456">
        <f t="shared" si="222"/>
        <v>0</v>
      </c>
      <c r="J1456">
        <v>80</v>
      </c>
      <c r="K1456">
        <v>91</v>
      </c>
      <c r="L1456">
        <v>71.599999999999994</v>
      </c>
      <c r="M1456">
        <v>82.6</v>
      </c>
      <c r="N1456">
        <v>67.8</v>
      </c>
      <c r="O1456">
        <v>66.599999999999994</v>
      </c>
      <c r="S1456">
        <f t="shared" si="223"/>
        <v>1</v>
      </c>
      <c r="T1456">
        <f t="shared" si="224"/>
        <v>1</v>
      </c>
      <c r="U1456">
        <f t="shared" si="225"/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20.8</v>
      </c>
      <c r="AG1456">
        <f t="shared" si="226"/>
        <v>1</v>
      </c>
      <c r="AH1456">
        <f t="shared" si="227"/>
        <v>1</v>
      </c>
      <c r="AI1456">
        <f t="shared" si="228"/>
        <v>0</v>
      </c>
      <c r="AJ1456">
        <v>312.7</v>
      </c>
      <c r="AK1456">
        <v>1007.1</v>
      </c>
      <c r="AL1456">
        <v>0</v>
      </c>
      <c r="AM1456">
        <v>6.2</v>
      </c>
      <c r="AN1456">
        <v>0</v>
      </c>
      <c r="AO1456">
        <v>0</v>
      </c>
      <c r="AP1456">
        <v>0</v>
      </c>
      <c r="AQ1456">
        <v>0</v>
      </c>
      <c r="AR1456" t="s">
        <v>4935</v>
      </c>
      <c r="AS1456" t="s">
        <v>4936</v>
      </c>
      <c r="AT1456">
        <v>0.11</v>
      </c>
      <c r="AU1456" t="s">
        <v>74</v>
      </c>
      <c r="AV1456" t="s">
        <v>2955</v>
      </c>
      <c r="AW1456" t="s">
        <v>75</v>
      </c>
      <c r="AX1456" t="s">
        <v>4937</v>
      </c>
      <c r="AY1456" t="s">
        <v>4938</v>
      </c>
      <c r="AZ1456">
        <v>56.000000004423782</v>
      </c>
      <c r="BA1456">
        <v>0</v>
      </c>
      <c r="BB1456">
        <v>0</v>
      </c>
      <c r="BC1456">
        <v>1</v>
      </c>
      <c r="BD1456">
        <v>0</v>
      </c>
      <c r="BE1456">
        <f t="shared" si="229"/>
        <v>0</v>
      </c>
    </row>
    <row r="1457" spans="1:57" x14ac:dyDescent="0.25">
      <c r="A1457" t="s">
        <v>39</v>
      </c>
      <c r="B1457" t="s">
        <v>4758</v>
      </c>
      <c r="C1457">
        <v>84.3</v>
      </c>
      <c r="D1457">
        <v>69.8</v>
      </c>
      <c r="G1457">
        <f t="shared" si="220"/>
        <v>0</v>
      </c>
      <c r="H1457">
        <f t="shared" si="221"/>
        <v>0</v>
      </c>
      <c r="I1457">
        <f t="shared" si="222"/>
        <v>0</v>
      </c>
      <c r="J1457">
        <v>79.3</v>
      </c>
      <c r="K1457">
        <v>91</v>
      </c>
      <c r="L1457">
        <v>69.8</v>
      </c>
      <c r="M1457">
        <v>82.1</v>
      </c>
      <c r="N1457">
        <v>68.599999999999994</v>
      </c>
      <c r="O1457">
        <v>70.3</v>
      </c>
      <c r="S1457">
        <f t="shared" si="223"/>
        <v>1</v>
      </c>
      <c r="T1457">
        <f t="shared" si="224"/>
        <v>1</v>
      </c>
      <c r="U1457">
        <f t="shared" si="225"/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19.5</v>
      </c>
      <c r="AG1457">
        <f t="shared" si="226"/>
        <v>1</v>
      </c>
      <c r="AH1457">
        <f t="shared" si="227"/>
        <v>1</v>
      </c>
      <c r="AI1457">
        <f t="shared" si="228"/>
        <v>0</v>
      </c>
      <c r="AJ1457">
        <v>310.10000000000002</v>
      </c>
      <c r="AK1457">
        <v>1007.9</v>
      </c>
      <c r="AL1457">
        <v>0</v>
      </c>
      <c r="AM1457">
        <v>6.2</v>
      </c>
      <c r="AN1457">
        <v>0</v>
      </c>
      <c r="AO1457">
        <v>0</v>
      </c>
      <c r="AP1457">
        <v>0</v>
      </c>
      <c r="AQ1457">
        <v>0</v>
      </c>
      <c r="AR1457" t="s">
        <v>4759</v>
      </c>
      <c r="AS1457" t="s">
        <v>4760</v>
      </c>
      <c r="AT1457">
        <v>0.15</v>
      </c>
      <c r="AU1457" t="s">
        <v>74</v>
      </c>
      <c r="AV1457" t="s">
        <v>2955</v>
      </c>
      <c r="AW1457" t="s">
        <v>75</v>
      </c>
      <c r="AX1457" t="s">
        <v>4939</v>
      </c>
      <c r="AY1457" t="s">
        <v>4940</v>
      </c>
      <c r="AZ1457">
        <v>6414.9999999976717</v>
      </c>
      <c r="BA1457">
        <v>1</v>
      </c>
      <c r="BB1457">
        <v>0</v>
      </c>
      <c r="BC1457">
        <v>600</v>
      </c>
      <c r="BD1457">
        <v>0</v>
      </c>
      <c r="BE1457">
        <f t="shared" si="229"/>
        <v>1</v>
      </c>
    </row>
    <row r="1458" spans="1:57" x14ac:dyDescent="0.25">
      <c r="A1458" t="s">
        <v>39</v>
      </c>
      <c r="B1458" t="s">
        <v>4758</v>
      </c>
      <c r="C1458">
        <v>84.3</v>
      </c>
      <c r="D1458">
        <v>69.8</v>
      </c>
      <c r="G1458">
        <f t="shared" si="220"/>
        <v>0</v>
      </c>
      <c r="H1458">
        <f t="shared" si="221"/>
        <v>0</v>
      </c>
      <c r="I1458">
        <f t="shared" si="222"/>
        <v>0</v>
      </c>
      <c r="J1458">
        <v>79.3</v>
      </c>
      <c r="K1458">
        <v>91</v>
      </c>
      <c r="L1458">
        <v>69.8</v>
      </c>
      <c r="M1458">
        <v>82.1</v>
      </c>
      <c r="N1458">
        <v>68.599999999999994</v>
      </c>
      <c r="O1458">
        <v>70.3</v>
      </c>
      <c r="S1458">
        <f t="shared" si="223"/>
        <v>1</v>
      </c>
      <c r="T1458">
        <f t="shared" si="224"/>
        <v>1</v>
      </c>
      <c r="U1458">
        <f t="shared" si="225"/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19.5</v>
      </c>
      <c r="AG1458">
        <f t="shared" si="226"/>
        <v>1</v>
      </c>
      <c r="AH1458">
        <f t="shared" si="227"/>
        <v>1</v>
      </c>
      <c r="AI1458">
        <f t="shared" si="228"/>
        <v>0</v>
      </c>
      <c r="AJ1458">
        <v>310.10000000000002</v>
      </c>
      <c r="AK1458">
        <v>1007.9</v>
      </c>
      <c r="AL1458">
        <v>0</v>
      </c>
      <c r="AM1458">
        <v>6.2</v>
      </c>
      <c r="AN1458">
        <v>0</v>
      </c>
      <c r="AO1458">
        <v>0</v>
      </c>
      <c r="AP1458">
        <v>0</v>
      </c>
      <c r="AQ1458">
        <v>0</v>
      </c>
      <c r="AR1458" t="s">
        <v>4759</v>
      </c>
      <c r="AS1458" t="s">
        <v>4760</v>
      </c>
      <c r="AT1458">
        <v>0.15</v>
      </c>
      <c r="AU1458" t="s">
        <v>74</v>
      </c>
      <c r="AV1458" t="s">
        <v>2955</v>
      </c>
      <c r="AW1458" t="s">
        <v>75</v>
      </c>
      <c r="AX1458" t="s">
        <v>4939</v>
      </c>
      <c r="AY1458" t="s">
        <v>4940</v>
      </c>
      <c r="AZ1458">
        <v>6414.9999999976717</v>
      </c>
      <c r="BA1458">
        <v>1</v>
      </c>
      <c r="BB1458">
        <v>0</v>
      </c>
      <c r="BC1458">
        <v>600</v>
      </c>
      <c r="BD1458">
        <v>0</v>
      </c>
      <c r="BE1458">
        <f t="shared" si="229"/>
        <v>1</v>
      </c>
    </row>
    <row r="1459" spans="1:57" x14ac:dyDescent="0.25">
      <c r="A1459" t="s">
        <v>39</v>
      </c>
      <c r="B1459" t="s">
        <v>4758</v>
      </c>
      <c r="C1459">
        <v>84.3</v>
      </c>
      <c r="D1459">
        <v>69.8</v>
      </c>
      <c r="G1459">
        <f t="shared" si="220"/>
        <v>0</v>
      </c>
      <c r="H1459">
        <f t="shared" si="221"/>
        <v>0</v>
      </c>
      <c r="I1459">
        <f t="shared" si="222"/>
        <v>0</v>
      </c>
      <c r="J1459">
        <v>79.3</v>
      </c>
      <c r="K1459">
        <v>91</v>
      </c>
      <c r="L1459">
        <v>69.8</v>
      </c>
      <c r="M1459">
        <v>82.1</v>
      </c>
      <c r="N1459">
        <v>68.599999999999994</v>
      </c>
      <c r="O1459">
        <v>70.3</v>
      </c>
      <c r="S1459">
        <f t="shared" si="223"/>
        <v>1</v>
      </c>
      <c r="T1459">
        <f t="shared" si="224"/>
        <v>1</v>
      </c>
      <c r="U1459">
        <f t="shared" si="225"/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19.5</v>
      </c>
      <c r="AG1459">
        <f t="shared" si="226"/>
        <v>1</v>
      </c>
      <c r="AH1459">
        <f t="shared" si="227"/>
        <v>1</v>
      </c>
      <c r="AI1459">
        <f t="shared" si="228"/>
        <v>0</v>
      </c>
      <c r="AJ1459">
        <v>310.10000000000002</v>
      </c>
      <c r="AK1459">
        <v>1007.9</v>
      </c>
      <c r="AL1459">
        <v>0</v>
      </c>
      <c r="AM1459">
        <v>6.2</v>
      </c>
      <c r="AN1459">
        <v>0</v>
      </c>
      <c r="AO1459">
        <v>0</v>
      </c>
      <c r="AP1459">
        <v>0</v>
      </c>
      <c r="AQ1459">
        <v>0</v>
      </c>
      <c r="AR1459" t="s">
        <v>4759</v>
      </c>
      <c r="AS1459" t="s">
        <v>4760</v>
      </c>
      <c r="AT1459">
        <v>0.15</v>
      </c>
      <c r="AU1459" t="s">
        <v>74</v>
      </c>
      <c r="AV1459" t="s">
        <v>2955</v>
      </c>
      <c r="AW1459" t="s">
        <v>75</v>
      </c>
      <c r="AX1459" t="s">
        <v>4939</v>
      </c>
      <c r="AY1459" t="s">
        <v>4940</v>
      </c>
      <c r="AZ1459">
        <v>6414.9999999976717</v>
      </c>
      <c r="BA1459">
        <v>1</v>
      </c>
      <c r="BB1459">
        <v>0</v>
      </c>
      <c r="BC1459">
        <v>600</v>
      </c>
      <c r="BD1459">
        <v>0</v>
      </c>
      <c r="BE1459">
        <f t="shared" si="229"/>
        <v>1</v>
      </c>
    </row>
    <row r="1460" spans="1:57" x14ac:dyDescent="0.25">
      <c r="A1460" t="s">
        <v>39</v>
      </c>
      <c r="B1460" t="s">
        <v>4758</v>
      </c>
      <c r="C1460">
        <v>84.3</v>
      </c>
      <c r="D1460">
        <v>69.8</v>
      </c>
      <c r="G1460">
        <f t="shared" si="220"/>
        <v>0</v>
      </c>
      <c r="H1460">
        <f t="shared" si="221"/>
        <v>0</v>
      </c>
      <c r="I1460">
        <f t="shared" si="222"/>
        <v>0</v>
      </c>
      <c r="J1460">
        <v>79.3</v>
      </c>
      <c r="K1460">
        <v>91</v>
      </c>
      <c r="L1460">
        <v>69.8</v>
      </c>
      <c r="M1460">
        <v>82.1</v>
      </c>
      <c r="N1460">
        <v>68.599999999999994</v>
      </c>
      <c r="O1460">
        <v>70.3</v>
      </c>
      <c r="S1460">
        <f t="shared" si="223"/>
        <v>1</v>
      </c>
      <c r="T1460">
        <f t="shared" si="224"/>
        <v>1</v>
      </c>
      <c r="U1460">
        <f t="shared" si="225"/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19.5</v>
      </c>
      <c r="AG1460">
        <f t="shared" si="226"/>
        <v>1</v>
      </c>
      <c r="AH1460">
        <f t="shared" si="227"/>
        <v>1</v>
      </c>
      <c r="AI1460">
        <f t="shared" si="228"/>
        <v>0</v>
      </c>
      <c r="AJ1460">
        <v>310.10000000000002</v>
      </c>
      <c r="AK1460">
        <v>1007.9</v>
      </c>
      <c r="AL1460">
        <v>0</v>
      </c>
      <c r="AM1460">
        <v>6.2</v>
      </c>
      <c r="AN1460">
        <v>0</v>
      </c>
      <c r="AO1460">
        <v>0</v>
      </c>
      <c r="AP1460">
        <v>0</v>
      </c>
      <c r="AQ1460">
        <v>0</v>
      </c>
      <c r="AR1460" t="s">
        <v>4759</v>
      </c>
      <c r="AS1460" t="s">
        <v>4760</v>
      </c>
      <c r="AT1460">
        <v>0.15</v>
      </c>
      <c r="AU1460" t="s">
        <v>74</v>
      </c>
      <c r="AV1460" t="s">
        <v>2955</v>
      </c>
      <c r="AW1460" t="s">
        <v>75</v>
      </c>
      <c r="AX1460" t="s">
        <v>4941</v>
      </c>
      <c r="AY1460" t="s">
        <v>4942</v>
      </c>
      <c r="AZ1460">
        <v>525.99999999627471</v>
      </c>
      <c r="BA1460">
        <v>1</v>
      </c>
      <c r="BB1460">
        <v>0</v>
      </c>
      <c r="BC1460">
        <v>1</v>
      </c>
      <c r="BD1460">
        <v>0</v>
      </c>
      <c r="BE1460">
        <f t="shared" si="229"/>
        <v>1</v>
      </c>
    </row>
    <row r="1461" spans="1:57" x14ac:dyDescent="0.25">
      <c r="A1461" t="s">
        <v>39</v>
      </c>
      <c r="B1461" t="s">
        <v>4943</v>
      </c>
      <c r="C1461">
        <v>86</v>
      </c>
      <c r="D1461">
        <v>69.8</v>
      </c>
      <c r="G1461">
        <f t="shared" si="220"/>
        <v>1</v>
      </c>
      <c r="H1461">
        <f t="shared" si="221"/>
        <v>1</v>
      </c>
      <c r="I1461">
        <f t="shared" si="222"/>
        <v>0</v>
      </c>
      <c r="J1461">
        <v>79.099999999999994</v>
      </c>
      <c r="K1461">
        <v>108</v>
      </c>
      <c r="L1461">
        <v>69.8</v>
      </c>
      <c r="M1461">
        <v>83.9</v>
      </c>
      <c r="N1461">
        <v>71.3</v>
      </c>
      <c r="O1461">
        <v>77.599999999999994</v>
      </c>
      <c r="S1461">
        <f t="shared" si="223"/>
        <v>1</v>
      </c>
      <c r="T1461">
        <f t="shared" si="224"/>
        <v>1</v>
      </c>
      <c r="U1461">
        <f t="shared" si="225"/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8.1</v>
      </c>
      <c r="AG1461">
        <f t="shared" si="226"/>
        <v>1</v>
      </c>
      <c r="AH1461">
        <f t="shared" si="227"/>
        <v>0</v>
      </c>
      <c r="AI1461">
        <f t="shared" si="228"/>
        <v>1</v>
      </c>
      <c r="AJ1461">
        <v>265.8</v>
      </c>
      <c r="AK1461">
        <v>1009.9</v>
      </c>
      <c r="AL1461">
        <v>0.3</v>
      </c>
      <c r="AM1461">
        <v>6.2</v>
      </c>
      <c r="AN1461">
        <v>0</v>
      </c>
      <c r="AO1461">
        <v>0</v>
      </c>
      <c r="AP1461">
        <v>0</v>
      </c>
      <c r="AQ1461">
        <v>0</v>
      </c>
      <c r="AR1461" t="s">
        <v>4944</v>
      </c>
      <c r="AS1461" t="s">
        <v>4945</v>
      </c>
      <c r="AT1461">
        <v>0.19</v>
      </c>
      <c r="AU1461" t="s">
        <v>74</v>
      </c>
      <c r="AV1461" t="s">
        <v>2955</v>
      </c>
      <c r="AW1461" t="s">
        <v>75</v>
      </c>
      <c r="AX1461" t="s">
        <v>4946</v>
      </c>
      <c r="AY1461" t="s">
        <v>4947</v>
      </c>
      <c r="AZ1461">
        <v>48.000000009778887</v>
      </c>
      <c r="BA1461">
        <v>0</v>
      </c>
      <c r="BB1461">
        <v>0</v>
      </c>
      <c r="BC1461">
        <v>10</v>
      </c>
      <c r="BD1461">
        <v>0</v>
      </c>
      <c r="BE1461">
        <f t="shared" si="229"/>
        <v>1</v>
      </c>
    </row>
    <row r="1462" spans="1:57" x14ac:dyDescent="0.25">
      <c r="A1462" t="s">
        <v>39</v>
      </c>
      <c r="B1462" t="s">
        <v>4670</v>
      </c>
      <c r="C1462">
        <v>86</v>
      </c>
      <c r="D1462">
        <v>71.599999999999994</v>
      </c>
      <c r="G1462">
        <f t="shared" si="220"/>
        <v>1</v>
      </c>
      <c r="H1462">
        <f t="shared" si="221"/>
        <v>1</v>
      </c>
      <c r="I1462">
        <f t="shared" si="222"/>
        <v>0</v>
      </c>
      <c r="J1462">
        <v>80.3</v>
      </c>
      <c r="K1462">
        <v>93.5</v>
      </c>
      <c r="L1462">
        <v>71.599999999999994</v>
      </c>
      <c r="M1462">
        <v>83.4</v>
      </c>
      <c r="N1462">
        <v>68.5</v>
      </c>
      <c r="O1462">
        <v>67.8</v>
      </c>
      <c r="S1462">
        <f t="shared" si="223"/>
        <v>1</v>
      </c>
      <c r="T1462">
        <f t="shared" si="224"/>
        <v>1</v>
      </c>
      <c r="U1462">
        <f t="shared" si="225"/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17.2</v>
      </c>
      <c r="AG1462">
        <f t="shared" si="226"/>
        <v>0</v>
      </c>
      <c r="AH1462">
        <f t="shared" si="227"/>
        <v>0</v>
      </c>
      <c r="AI1462">
        <f t="shared" si="228"/>
        <v>0</v>
      </c>
      <c r="AJ1462">
        <v>304.3</v>
      </c>
      <c r="AK1462">
        <v>1010.7</v>
      </c>
      <c r="AL1462">
        <v>8.1999999999999993</v>
      </c>
      <c r="AM1462">
        <v>6.3</v>
      </c>
      <c r="AN1462">
        <v>0</v>
      </c>
      <c r="AO1462">
        <v>0</v>
      </c>
      <c r="AP1462">
        <v>0</v>
      </c>
      <c r="AQ1462">
        <v>0</v>
      </c>
      <c r="AR1462" t="s">
        <v>4671</v>
      </c>
      <c r="AS1462" t="s">
        <v>4672</v>
      </c>
      <c r="AT1462">
        <v>0.54</v>
      </c>
      <c r="AU1462" t="s">
        <v>74</v>
      </c>
      <c r="AV1462" t="s">
        <v>2955</v>
      </c>
      <c r="AW1462" t="s">
        <v>75</v>
      </c>
      <c r="AX1462" t="s">
        <v>4922</v>
      </c>
      <c r="AY1462" t="s">
        <v>4948</v>
      </c>
      <c r="AZ1462">
        <v>100.0000000011642</v>
      </c>
      <c r="BA1462">
        <v>0</v>
      </c>
      <c r="BB1462">
        <v>0</v>
      </c>
      <c r="BC1462">
        <v>1</v>
      </c>
      <c r="BD1462">
        <v>0</v>
      </c>
      <c r="BE1462">
        <f t="shared" si="229"/>
        <v>0</v>
      </c>
    </row>
    <row r="1463" spans="1:57" x14ac:dyDescent="0.25">
      <c r="A1463" t="s">
        <v>39</v>
      </c>
      <c r="B1463" t="s">
        <v>4949</v>
      </c>
      <c r="C1463">
        <v>87.8</v>
      </c>
      <c r="D1463">
        <v>77</v>
      </c>
      <c r="G1463">
        <f t="shared" si="220"/>
        <v>1</v>
      </c>
      <c r="H1463">
        <f t="shared" si="221"/>
        <v>1</v>
      </c>
      <c r="I1463">
        <f t="shared" si="222"/>
        <v>0</v>
      </c>
      <c r="J1463">
        <v>82.9</v>
      </c>
      <c r="K1463">
        <v>95.9</v>
      </c>
      <c r="L1463">
        <v>77</v>
      </c>
      <c r="M1463">
        <v>86.5</v>
      </c>
      <c r="N1463">
        <v>68.400000000000006</v>
      </c>
      <c r="O1463">
        <v>62.4</v>
      </c>
      <c r="S1463">
        <f t="shared" si="223"/>
        <v>1</v>
      </c>
      <c r="T1463">
        <f t="shared" si="224"/>
        <v>1</v>
      </c>
      <c r="U1463">
        <f t="shared" si="225"/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15</v>
      </c>
      <c r="AG1463">
        <f t="shared" si="226"/>
        <v>1</v>
      </c>
      <c r="AH1463">
        <f t="shared" si="227"/>
        <v>0</v>
      </c>
      <c r="AI1463">
        <f t="shared" si="228"/>
        <v>1</v>
      </c>
      <c r="AJ1463">
        <v>310.3</v>
      </c>
      <c r="AK1463">
        <v>1010.6</v>
      </c>
      <c r="AL1463">
        <v>9.3000000000000007</v>
      </c>
      <c r="AM1463">
        <v>6.3</v>
      </c>
      <c r="AN1463">
        <v>0</v>
      </c>
      <c r="AO1463">
        <v>0</v>
      </c>
      <c r="AP1463">
        <v>0</v>
      </c>
      <c r="AQ1463">
        <v>0</v>
      </c>
      <c r="AR1463" t="s">
        <v>4950</v>
      </c>
      <c r="AS1463" t="s">
        <v>4951</v>
      </c>
      <c r="AT1463">
        <v>0.56999999999999995</v>
      </c>
      <c r="AU1463" t="s">
        <v>74</v>
      </c>
      <c r="AV1463" t="s">
        <v>2955</v>
      </c>
      <c r="AW1463" t="s">
        <v>75</v>
      </c>
      <c r="AX1463" t="s">
        <v>2795</v>
      </c>
      <c r="AY1463" t="s">
        <v>4952</v>
      </c>
      <c r="AZ1463">
        <v>465.00000000698492</v>
      </c>
      <c r="BA1463">
        <v>1</v>
      </c>
      <c r="BB1463">
        <v>0</v>
      </c>
      <c r="BC1463">
        <v>1</v>
      </c>
      <c r="BD1463">
        <v>0</v>
      </c>
      <c r="BE1463">
        <f t="shared" si="229"/>
        <v>1</v>
      </c>
    </row>
    <row r="1464" spans="1:57" x14ac:dyDescent="0.25">
      <c r="A1464" t="s">
        <v>39</v>
      </c>
      <c r="B1464" t="s">
        <v>4953</v>
      </c>
      <c r="C1464">
        <v>86</v>
      </c>
      <c r="D1464">
        <v>69.8</v>
      </c>
      <c r="G1464">
        <f t="shared" si="220"/>
        <v>1</v>
      </c>
      <c r="H1464">
        <f t="shared" si="221"/>
        <v>1</v>
      </c>
      <c r="I1464">
        <f t="shared" si="222"/>
        <v>0</v>
      </c>
      <c r="J1464">
        <v>78.099999999999994</v>
      </c>
      <c r="K1464">
        <v>93.5</v>
      </c>
      <c r="L1464">
        <v>69.8</v>
      </c>
      <c r="M1464">
        <v>81.7</v>
      </c>
      <c r="N1464">
        <v>68.099999999999994</v>
      </c>
      <c r="O1464">
        <v>71.599999999999994</v>
      </c>
      <c r="S1464">
        <f t="shared" si="223"/>
        <v>1</v>
      </c>
      <c r="T1464">
        <f t="shared" si="224"/>
        <v>1</v>
      </c>
      <c r="U1464">
        <f t="shared" si="225"/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10.3</v>
      </c>
      <c r="AG1464">
        <f t="shared" si="226"/>
        <v>1</v>
      </c>
      <c r="AH1464">
        <f t="shared" si="227"/>
        <v>0</v>
      </c>
      <c r="AI1464">
        <f t="shared" si="228"/>
        <v>1</v>
      </c>
      <c r="AJ1464">
        <v>253.4</v>
      </c>
      <c r="AK1464">
        <v>1011.3</v>
      </c>
      <c r="AL1464">
        <v>12.7</v>
      </c>
      <c r="AM1464">
        <v>6.4</v>
      </c>
      <c r="AN1464">
        <v>0</v>
      </c>
      <c r="AO1464">
        <v>0</v>
      </c>
      <c r="AP1464">
        <v>0</v>
      </c>
      <c r="AQ1464">
        <v>0</v>
      </c>
      <c r="AR1464" t="s">
        <v>4954</v>
      </c>
      <c r="AS1464" t="s">
        <v>4955</v>
      </c>
      <c r="AT1464">
        <v>0.89</v>
      </c>
      <c r="AU1464" t="s">
        <v>74</v>
      </c>
      <c r="AV1464" t="s">
        <v>2955</v>
      </c>
      <c r="AW1464" t="s">
        <v>75</v>
      </c>
      <c r="AX1464" t="s">
        <v>4296</v>
      </c>
      <c r="AY1464" t="s">
        <v>4956</v>
      </c>
      <c r="AZ1464">
        <v>274.99999999534339</v>
      </c>
      <c r="BA1464">
        <v>0</v>
      </c>
      <c r="BB1464">
        <v>0</v>
      </c>
      <c r="BC1464">
        <v>1</v>
      </c>
      <c r="BD1464">
        <v>0</v>
      </c>
      <c r="BE1464">
        <f t="shared" si="229"/>
        <v>1</v>
      </c>
    </row>
    <row r="1465" spans="1:57" x14ac:dyDescent="0.25">
      <c r="A1465" t="s">
        <v>39</v>
      </c>
      <c r="B1465" t="s">
        <v>4953</v>
      </c>
      <c r="C1465">
        <v>86</v>
      </c>
      <c r="D1465">
        <v>69.8</v>
      </c>
      <c r="G1465">
        <f t="shared" si="220"/>
        <v>1</v>
      </c>
      <c r="H1465">
        <f t="shared" si="221"/>
        <v>1</v>
      </c>
      <c r="I1465">
        <f t="shared" si="222"/>
        <v>0</v>
      </c>
      <c r="J1465">
        <v>78.099999999999994</v>
      </c>
      <c r="K1465">
        <v>93.5</v>
      </c>
      <c r="L1465">
        <v>69.8</v>
      </c>
      <c r="M1465">
        <v>81.7</v>
      </c>
      <c r="N1465">
        <v>68.099999999999994</v>
      </c>
      <c r="O1465">
        <v>71.599999999999994</v>
      </c>
      <c r="S1465">
        <f t="shared" si="223"/>
        <v>1</v>
      </c>
      <c r="T1465">
        <f t="shared" si="224"/>
        <v>1</v>
      </c>
      <c r="U1465">
        <f t="shared" si="225"/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10.3</v>
      </c>
      <c r="AG1465">
        <f t="shared" si="226"/>
        <v>1</v>
      </c>
      <c r="AH1465">
        <f t="shared" si="227"/>
        <v>0</v>
      </c>
      <c r="AI1465">
        <f t="shared" si="228"/>
        <v>1</v>
      </c>
      <c r="AJ1465">
        <v>253.4</v>
      </c>
      <c r="AK1465">
        <v>1011.3</v>
      </c>
      <c r="AL1465">
        <v>12.7</v>
      </c>
      <c r="AM1465">
        <v>6.4</v>
      </c>
      <c r="AN1465">
        <v>0</v>
      </c>
      <c r="AO1465">
        <v>0</v>
      </c>
      <c r="AP1465">
        <v>0</v>
      </c>
      <c r="AQ1465">
        <v>0</v>
      </c>
      <c r="AR1465" t="s">
        <v>4954</v>
      </c>
      <c r="AS1465" t="s">
        <v>4955</v>
      </c>
      <c r="AT1465">
        <v>0.89</v>
      </c>
      <c r="AU1465" t="s">
        <v>74</v>
      </c>
      <c r="AV1465" t="s">
        <v>2955</v>
      </c>
      <c r="AW1465" t="s">
        <v>75</v>
      </c>
      <c r="AX1465" t="s">
        <v>4170</v>
      </c>
      <c r="AY1465" t="s">
        <v>4957</v>
      </c>
      <c r="AZ1465">
        <v>4425.0000000069849</v>
      </c>
      <c r="BA1465">
        <v>1</v>
      </c>
      <c r="BB1465">
        <v>0</v>
      </c>
      <c r="BC1465">
        <v>1000</v>
      </c>
      <c r="BD1465">
        <v>0</v>
      </c>
      <c r="BE1465">
        <f t="shared" si="229"/>
        <v>1</v>
      </c>
    </row>
    <row r="1466" spans="1:57" x14ac:dyDescent="0.25">
      <c r="A1466" t="s">
        <v>39</v>
      </c>
      <c r="B1466" t="s">
        <v>4678</v>
      </c>
      <c r="C1466">
        <v>84.2</v>
      </c>
      <c r="D1466">
        <v>77</v>
      </c>
      <c r="G1466">
        <f t="shared" si="220"/>
        <v>0</v>
      </c>
      <c r="H1466">
        <f t="shared" si="221"/>
        <v>0</v>
      </c>
      <c r="I1466">
        <f t="shared" si="222"/>
        <v>0</v>
      </c>
      <c r="J1466">
        <v>80.099999999999994</v>
      </c>
      <c r="K1466">
        <v>86.5</v>
      </c>
      <c r="L1466">
        <v>77</v>
      </c>
      <c r="M1466">
        <v>80.900000000000006</v>
      </c>
      <c r="N1466">
        <v>65.599999999999994</v>
      </c>
      <c r="O1466">
        <v>61.6</v>
      </c>
      <c r="S1466">
        <f t="shared" si="223"/>
        <v>0</v>
      </c>
      <c r="T1466">
        <f t="shared" si="224"/>
        <v>0</v>
      </c>
      <c r="U1466">
        <f t="shared" si="225"/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20.8</v>
      </c>
      <c r="AG1466">
        <f t="shared" si="226"/>
        <v>1</v>
      </c>
      <c r="AH1466">
        <f t="shared" si="227"/>
        <v>1</v>
      </c>
      <c r="AI1466">
        <f t="shared" si="228"/>
        <v>0</v>
      </c>
      <c r="AJ1466">
        <v>324.60000000000002</v>
      </c>
      <c r="AK1466">
        <v>1013.1</v>
      </c>
      <c r="AL1466">
        <v>31.6</v>
      </c>
      <c r="AM1466">
        <v>6.6</v>
      </c>
      <c r="AN1466">
        <v>0</v>
      </c>
      <c r="AO1466">
        <v>0</v>
      </c>
      <c r="AP1466">
        <v>0</v>
      </c>
      <c r="AQ1466">
        <v>0</v>
      </c>
      <c r="AR1466" t="s">
        <v>4679</v>
      </c>
      <c r="AS1466" t="s">
        <v>4680</v>
      </c>
      <c r="AT1466">
        <v>0.06</v>
      </c>
      <c r="AU1466" t="s">
        <v>43</v>
      </c>
      <c r="AV1466" t="s">
        <v>44</v>
      </c>
      <c r="AW1466" t="s">
        <v>45</v>
      </c>
      <c r="AX1466" t="s">
        <v>4912</v>
      </c>
      <c r="AY1466" t="s">
        <v>4958</v>
      </c>
      <c r="AZ1466">
        <v>5996.0000000044238</v>
      </c>
      <c r="BA1466">
        <v>1</v>
      </c>
      <c r="BB1466">
        <v>0</v>
      </c>
      <c r="BC1466">
        <v>600</v>
      </c>
      <c r="BD1466">
        <v>0</v>
      </c>
      <c r="BE1466">
        <f t="shared" si="229"/>
        <v>0</v>
      </c>
    </row>
    <row r="1467" spans="1:57" x14ac:dyDescent="0.25">
      <c r="A1467" t="s">
        <v>39</v>
      </c>
      <c r="B1467" t="s">
        <v>4678</v>
      </c>
      <c r="C1467">
        <v>84.2</v>
      </c>
      <c r="D1467">
        <v>77</v>
      </c>
      <c r="G1467">
        <f t="shared" si="220"/>
        <v>0</v>
      </c>
      <c r="H1467">
        <f t="shared" si="221"/>
        <v>0</v>
      </c>
      <c r="I1467">
        <f t="shared" si="222"/>
        <v>0</v>
      </c>
      <c r="J1467">
        <v>80.099999999999994</v>
      </c>
      <c r="K1467">
        <v>86.5</v>
      </c>
      <c r="L1467">
        <v>77</v>
      </c>
      <c r="M1467">
        <v>80.900000000000006</v>
      </c>
      <c r="N1467">
        <v>65.599999999999994</v>
      </c>
      <c r="O1467">
        <v>61.6</v>
      </c>
      <c r="S1467">
        <f t="shared" si="223"/>
        <v>0</v>
      </c>
      <c r="T1467">
        <f t="shared" si="224"/>
        <v>0</v>
      </c>
      <c r="U1467">
        <f t="shared" si="225"/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20.8</v>
      </c>
      <c r="AG1467">
        <f t="shared" si="226"/>
        <v>1</v>
      </c>
      <c r="AH1467">
        <f t="shared" si="227"/>
        <v>1</v>
      </c>
      <c r="AI1467">
        <f t="shared" si="228"/>
        <v>0</v>
      </c>
      <c r="AJ1467">
        <v>324.60000000000002</v>
      </c>
      <c r="AK1467">
        <v>1013.1</v>
      </c>
      <c r="AL1467">
        <v>31.6</v>
      </c>
      <c r="AM1467">
        <v>6.6</v>
      </c>
      <c r="AN1467">
        <v>0</v>
      </c>
      <c r="AO1467">
        <v>0</v>
      </c>
      <c r="AP1467">
        <v>0</v>
      </c>
      <c r="AQ1467">
        <v>0</v>
      </c>
      <c r="AR1467" t="s">
        <v>4679</v>
      </c>
      <c r="AS1467" t="s">
        <v>4680</v>
      </c>
      <c r="AT1467">
        <v>0.06</v>
      </c>
      <c r="AU1467" t="s">
        <v>43</v>
      </c>
      <c r="AV1467" t="s">
        <v>44</v>
      </c>
      <c r="AW1467" t="s">
        <v>45</v>
      </c>
      <c r="AX1467" t="s">
        <v>2481</v>
      </c>
      <c r="AY1467" t="s">
        <v>4959</v>
      </c>
      <c r="AZ1467">
        <v>4080.000000003492</v>
      </c>
      <c r="BA1467">
        <v>1</v>
      </c>
      <c r="BB1467">
        <v>0</v>
      </c>
      <c r="BC1467">
        <v>700</v>
      </c>
      <c r="BD1467">
        <v>0</v>
      </c>
      <c r="BE1467">
        <f t="shared" si="229"/>
        <v>0</v>
      </c>
    </row>
    <row r="1468" spans="1:57" x14ac:dyDescent="0.25">
      <c r="A1468" t="s">
        <v>39</v>
      </c>
      <c r="B1468" t="s">
        <v>4960</v>
      </c>
      <c r="C1468">
        <v>82.4</v>
      </c>
      <c r="D1468">
        <v>72.400000000000006</v>
      </c>
      <c r="G1468">
        <f t="shared" si="220"/>
        <v>0</v>
      </c>
      <c r="H1468">
        <f t="shared" si="221"/>
        <v>0</v>
      </c>
      <c r="I1468">
        <f t="shared" si="222"/>
        <v>0</v>
      </c>
      <c r="J1468">
        <v>79</v>
      </c>
      <c r="K1468">
        <v>84.7</v>
      </c>
      <c r="L1468">
        <v>72.400000000000006</v>
      </c>
      <c r="M1468">
        <v>79.8</v>
      </c>
      <c r="N1468">
        <v>65.8</v>
      </c>
      <c r="O1468">
        <v>64.3</v>
      </c>
      <c r="S1468">
        <f t="shared" si="223"/>
        <v>1</v>
      </c>
      <c r="T1468">
        <f t="shared" si="224"/>
        <v>1</v>
      </c>
      <c r="U1468">
        <f t="shared" si="225"/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20.8</v>
      </c>
      <c r="AG1468">
        <f t="shared" si="226"/>
        <v>1</v>
      </c>
      <c r="AH1468">
        <f t="shared" si="227"/>
        <v>1</v>
      </c>
      <c r="AI1468">
        <f t="shared" si="228"/>
        <v>0</v>
      </c>
      <c r="AJ1468">
        <v>320.39999999999998</v>
      </c>
      <c r="AK1468">
        <v>1013.8</v>
      </c>
      <c r="AL1468">
        <v>27.3</v>
      </c>
      <c r="AM1468">
        <v>6.6</v>
      </c>
      <c r="AN1468">
        <v>0</v>
      </c>
      <c r="AO1468">
        <v>0</v>
      </c>
      <c r="AP1468">
        <v>0</v>
      </c>
      <c r="AQ1468">
        <v>0</v>
      </c>
      <c r="AR1468" t="s">
        <v>4961</v>
      </c>
      <c r="AS1468" t="s">
        <v>4962</v>
      </c>
      <c r="AT1468">
        <v>0.1</v>
      </c>
      <c r="AU1468" t="s">
        <v>43</v>
      </c>
      <c r="AV1468" t="s">
        <v>44</v>
      </c>
      <c r="AW1468" t="s">
        <v>45</v>
      </c>
      <c r="AX1468" t="s">
        <v>2413</v>
      </c>
      <c r="AY1468" t="s">
        <v>4963</v>
      </c>
      <c r="AZ1468">
        <v>49.999999995343387</v>
      </c>
      <c r="BA1468">
        <v>0</v>
      </c>
      <c r="BB1468">
        <v>0</v>
      </c>
      <c r="BC1468">
        <v>1</v>
      </c>
      <c r="BD1468">
        <v>0</v>
      </c>
      <c r="BE1468">
        <f t="shared" si="229"/>
        <v>0</v>
      </c>
    </row>
    <row r="1469" spans="1:57" x14ac:dyDescent="0.25">
      <c r="A1469" t="s">
        <v>39</v>
      </c>
      <c r="B1469" t="s">
        <v>4960</v>
      </c>
      <c r="C1469">
        <v>82.4</v>
      </c>
      <c r="D1469">
        <v>72.400000000000006</v>
      </c>
      <c r="G1469">
        <f t="shared" si="220"/>
        <v>0</v>
      </c>
      <c r="H1469">
        <f t="shared" si="221"/>
        <v>0</v>
      </c>
      <c r="I1469">
        <f t="shared" si="222"/>
        <v>0</v>
      </c>
      <c r="J1469">
        <v>79</v>
      </c>
      <c r="K1469">
        <v>84.7</v>
      </c>
      <c r="L1469">
        <v>72.400000000000006</v>
      </c>
      <c r="M1469">
        <v>79.8</v>
      </c>
      <c r="N1469">
        <v>65.8</v>
      </c>
      <c r="O1469">
        <v>64.3</v>
      </c>
      <c r="S1469">
        <f t="shared" si="223"/>
        <v>1</v>
      </c>
      <c r="T1469">
        <f t="shared" si="224"/>
        <v>1</v>
      </c>
      <c r="U1469">
        <f t="shared" si="225"/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20.8</v>
      </c>
      <c r="AG1469">
        <f t="shared" si="226"/>
        <v>1</v>
      </c>
      <c r="AH1469">
        <f t="shared" si="227"/>
        <v>1</v>
      </c>
      <c r="AI1469">
        <f t="shared" si="228"/>
        <v>0</v>
      </c>
      <c r="AJ1469">
        <v>320.39999999999998</v>
      </c>
      <c r="AK1469">
        <v>1013.8</v>
      </c>
      <c r="AL1469">
        <v>27.3</v>
      </c>
      <c r="AM1469">
        <v>6.6</v>
      </c>
      <c r="AN1469">
        <v>0</v>
      </c>
      <c r="AO1469">
        <v>0</v>
      </c>
      <c r="AP1469">
        <v>0</v>
      </c>
      <c r="AQ1469">
        <v>0</v>
      </c>
      <c r="AR1469" t="s">
        <v>4961</v>
      </c>
      <c r="AS1469" t="s">
        <v>4962</v>
      </c>
      <c r="AT1469">
        <v>0.1</v>
      </c>
      <c r="AU1469" t="s">
        <v>43</v>
      </c>
      <c r="AV1469" t="s">
        <v>44</v>
      </c>
      <c r="AW1469" t="s">
        <v>45</v>
      </c>
      <c r="AX1469" t="s">
        <v>4184</v>
      </c>
      <c r="AY1469" t="s">
        <v>4964</v>
      </c>
      <c r="AZ1469">
        <v>660.00000000349246</v>
      </c>
      <c r="BA1469">
        <v>1</v>
      </c>
      <c r="BB1469">
        <v>0</v>
      </c>
      <c r="BC1469">
        <v>50</v>
      </c>
      <c r="BD1469">
        <v>0</v>
      </c>
      <c r="BE1469">
        <f t="shared" si="229"/>
        <v>1</v>
      </c>
    </row>
    <row r="1470" spans="1:57" x14ac:dyDescent="0.25">
      <c r="A1470" t="s">
        <v>39</v>
      </c>
      <c r="B1470" t="s">
        <v>4960</v>
      </c>
      <c r="C1470">
        <v>82.4</v>
      </c>
      <c r="D1470">
        <v>72.400000000000006</v>
      </c>
      <c r="G1470">
        <f t="shared" si="220"/>
        <v>0</v>
      </c>
      <c r="H1470">
        <f t="shared" si="221"/>
        <v>0</v>
      </c>
      <c r="I1470">
        <f t="shared" si="222"/>
        <v>0</v>
      </c>
      <c r="J1470">
        <v>79</v>
      </c>
      <c r="K1470">
        <v>84.7</v>
      </c>
      <c r="L1470">
        <v>72.400000000000006</v>
      </c>
      <c r="M1470">
        <v>79.8</v>
      </c>
      <c r="N1470">
        <v>65.8</v>
      </c>
      <c r="O1470">
        <v>64.3</v>
      </c>
      <c r="S1470">
        <f t="shared" si="223"/>
        <v>1</v>
      </c>
      <c r="T1470">
        <f t="shared" si="224"/>
        <v>1</v>
      </c>
      <c r="U1470">
        <f t="shared" si="225"/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20.8</v>
      </c>
      <c r="AG1470">
        <f t="shared" si="226"/>
        <v>1</v>
      </c>
      <c r="AH1470">
        <f t="shared" si="227"/>
        <v>1</v>
      </c>
      <c r="AI1470">
        <f t="shared" si="228"/>
        <v>0</v>
      </c>
      <c r="AJ1470">
        <v>320.39999999999998</v>
      </c>
      <c r="AK1470">
        <v>1013.8</v>
      </c>
      <c r="AL1470">
        <v>27.3</v>
      </c>
      <c r="AM1470">
        <v>6.6</v>
      </c>
      <c r="AN1470">
        <v>0</v>
      </c>
      <c r="AO1470">
        <v>0</v>
      </c>
      <c r="AP1470">
        <v>0</v>
      </c>
      <c r="AQ1470">
        <v>0</v>
      </c>
      <c r="AR1470" t="s">
        <v>4961</v>
      </c>
      <c r="AS1470" t="s">
        <v>4962</v>
      </c>
      <c r="AT1470">
        <v>0.1</v>
      </c>
      <c r="AU1470" t="s">
        <v>43</v>
      </c>
      <c r="AV1470" t="s">
        <v>44</v>
      </c>
      <c r="AW1470" t="s">
        <v>45</v>
      </c>
      <c r="AX1470" t="s">
        <v>2408</v>
      </c>
      <c r="AY1470" t="s">
        <v>4965</v>
      </c>
      <c r="AZ1470">
        <v>1445.000000005821</v>
      </c>
      <c r="BA1470">
        <v>1</v>
      </c>
      <c r="BB1470">
        <v>0</v>
      </c>
      <c r="BC1470">
        <v>5</v>
      </c>
      <c r="BD1470">
        <v>0</v>
      </c>
      <c r="BE1470">
        <f t="shared" si="229"/>
        <v>1</v>
      </c>
    </row>
    <row r="1471" spans="1:57" x14ac:dyDescent="0.25">
      <c r="A1471" t="s">
        <v>39</v>
      </c>
      <c r="B1471" t="s">
        <v>4766</v>
      </c>
      <c r="C1471">
        <v>86</v>
      </c>
      <c r="D1471">
        <v>73.400000000000006</v>
      </c>
      <c r="G1471">
        <f t="shared" si="220"/>
        <v>1</v>
      </c>
      <c r="H1471">
        <f t="shared" si="221"/>
        <v>1</v>
      </c>
      <c r="I1471">
        <f t="shared" si="222"/>
        <v>0</v>
      </c>
      <c r="J1471">
        <v>79.900000000000006</v>
      </c>
      <c r="K1471">
        <v>95.2</v>
      </c>
      <c r="L1471">
        <v>73.400000000000006</v>
      </c>
      <c r="M1471">
        <v>83.6</v>
      </c>
      <c r="N1471">
        <v>70.099999999999994</v>
      </c>
      <c r="O1471">
        <v>72.2</v>
      </c>
      <c r="S1471">
        <f t="shared" si="223"/>
        <v>1</v>
      </c>
      <c r="T1471">
        <f t="shared" si="224"/>
        <v>1</v>
      </c>
      <c r="U1471">
        <f t="shared" si="225"/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16.100000000000001</v>
      </c>
      <c r="AG1471">
        <f t="shared" si="226"/>
        <v>0</v>
      </c>
      <c r="AH1471">
        <f t="shared" si="227"/>
        <v>0</v>
      </c>
      <c r="AI1471">
        <f t="shared" si="228"/>
        <v>0</v>
      </c>
      <c r="AJ1471">
        <v>292.60000000000002</v>
      </c>
      <c r="AK1471">
        <v>1011</v>
      </c>
      <c r="AL1471">
        <v>0</v>
      </c>
      <c r="AM1471">
        <v>6.2</v>
      </c>
      <c r="AN1471">
        <v>0</v>
      </c>
      <c r="AO1471">
        <v>0</v>
      </c>
      <c r="AP1471">
        <v>0</v>
      </c>
      <c r="AQ1471">
        <v>0</v>
      </c>
      <c r="AR1471" t="s">
        <v>4767</v>
      </c>
      <c r="AS1471" t="s">
        <v>4768</v>
      </c>
      <c r="AT1471">
        <v>0.21</v>
      </c>
      <c r="AU1471" t="s">
        <v>74</v>
      </c>
      <c r="AV1471" t="s">
        <v>2955</v>
      </c>
      <c r="AW1471" t="s">
        <v>75</v>
      </c>
      <c r="AX1471" t="s">
        <v>2524</v>
      </c>
      <c r="AY1471" t="s">
        <v>4966</v>
      </c>
      <c r="AZ1471">
        <v>154.9999999918509</v>
      </c>
      <c r="BA1471">
        <v>0</v>
      </c>
      <c r="BB1471">
        <v>0</v>
      </c>
      <c r="BC1471">
        <v>1</v>
      </c>
      <c r="BD1471">
        <v>0</v>
      </c>
      <c r="BE1471">
        <f t="shared" si="229"/>
        <v>0</v>
      </c>
    </row>
    <row r="1472" spans="1:57" x14ac:dyDescent="0.25">
      <c r="A1472" t="s">
        <v>39</v>
      </c>
      <c r="B1472" t="s">
        <v>4967</v>
      </c>
      <c r="C1472">
        <v>89.6</v>
      </c>
      <c r="D1472">
        <v>69.8</v>
      </c>
      <c r="G1472">
        <f t="shared" si="220"/>
        <v>1</v>
      </c>
      <c r="H1472">
        <f t="shared" si="221"/>
        <v>1</v>
      </c>
      <c r="I1472">
        <f t="shared" si="222"/>
        <v>0</v>
      </c>
      <c r="J1472">
        <v>80.400000000000006</v>
      </c>
      <c r="K1472">
        <v>98.2</v>
      </c>
      <c r="L1472">
        <v>69.8</v>
      </c>
      <c r="M1472">
        <v>84</v>
      </c>
      <c r="N1472">
        <v>66.7</v>
      </c>
      <c r="O1472">
        <v>63.9</v>
      </c>
      <c r="S1472">
        <f t="shared" si="223"/>
        <v>1</v>
      </c>
      <c r="T1472">
        <f t="shared" si="224"/>
        <v>1</v>
      </c>
      <c r="U1472">
        <f t="shared" si="225"/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17.2</v>
      </c>
      <c r="AG1472">
        <f t="shared" si="226"/>
        <v>0</v>
      </c>
      <c r="AH1472">
        <f t="shared" si="227"/>
        <v>0</v>
      </c>
      <c r="AI1472">
        <f t="shared" si="228"/>
        <v>0</v>
      </c>
      <c r="AJ1472">
        <v>162.1</v>
      </c>
      <c r="AK1472">
        <v>1005.9</v>
      </c>
      <c r="AL1472">
        <v>0.1</v>
      </c>
      <c r="AM1472">
        <v>6.2</v>
      </c>
      <c r="AN1472">
        <v>0</v>
      </c>
      <c r="AO1472">
        <v>0</v>
      </c>
      <c r="AP1472">
        <v>0</v>
      </c>
      <c r="AQ1472">
        <v>0</v>
      </c>
      <c r="AR1472" t="s">
        <v>4968</v>
      </c>
      <c r="AS1472" t="s">
        <v>4969</v>
      </c>
      <c r="AT1472">
        <v>0.35</v>
      </c>
      <c r="AU1472" t="s">
        <v>74</v>
      </c>
      <c r="AV1472" t="s">
        <v>2955</v>
      </c>
      <c r="AW1472" t="s">
        <v>75</v>
      </c>
      <c r="AX1472" t="s">
        <v>4970</v>
      </c>
      <c r="AY1472" t="s">
        <v>4971</v>
      </c>
      <c r="AZ1472">
        <v>91.000000003259629</v>
      </c>
      <c r="BA1472">
        <v>0</v>
      </c>
      <c r="BB1472">
        <v>0</v>
      </c>
      <c r="BC1472">
        <v>1</v>
      </c>
      <c r="BD1472">
        <v>0</v>
      </c>
      <c r="BE1472">
        <f t="shared" si="229"/>
        <v>0</v>
      </c>
    </row>
    <row r="1473" spans="1:57" x14ac:dyDescent="0.25">
      <c r="A1473" t="s">
        <v>39</v>
      </c>
      <c r="B1473" t="s">
        <v>4967</v>
      </c>
      <c r="C1473">
        <v>89.6</v>
      </c>
      <c r="D1473">
        <v>69.8</v>
      </c>
      <c r="G1473">
        <f t="shared" si="220"/>
        <v>1</v>
      </c>
      <c r="H1473">
        <f t="shared" si="221"/>
        <v>1</v>
      </c>
      <c r="I1473">
        <f t="shared" si="222"/>
        <v>0</v>
      </c>
      <c r="J1473">
        <v>80.400000000000006</v>
      </c>
      <c r="K1473">
        <v>98.2</v>
      </c>
      <c r="L1473">
        <v>69.8</v>
      </c>
      <c r="M1473">
        <v>84</v>
      </c>
      <c r="N1473">
        <v>66.7</v>
      </c>
      <c r="O1473">
        <v>63.9</v>
      </c>
      <c r="S1473">
        <f t="shared" si="223"/>
        <v>1</v>
      </c>
      <c r="T1473">
        <f t="shared" si="224"/>
        <v>1</v>
      </c>
      <c r="U1473">
        <f t="shared" si="225"/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17.2</v>
      </c>
      <c r="AG1473">
        <f t="shared" si="226"/>
        <v>0</v>
      </c>
      <c r="AH1473">
        <f t="shared" si="227"/>
        <v>0</v>
      </c>
      <c r="AI1473">
        <f t="shared" si="228"/>
        <v>0</v>
      </c>
      <c r="AJ1473">
        <v>162.1</v>
      </c>
      <c r="AK1473">
        <v>1005.9</v>
      </c>
      <c r="AL1473">
        <v>0.1</v>
      </c>
      <c r="AM1473">
        <v>6.2</v>
      </c>
      <c r="AN1473">
        <v>0</v>
      </c>
      <c r="AO1473">
        <v>0</v>
      </c>
      <c r="AP1473">
        <v>0</v>
      </c>
      <c r="AQ1473">
        <v>0</v>
      </c>
      <c r="AR1473" t="s">
        <v>4968</v>
      </c>
      <c r="AS1473" t="s">
        <v>4969</v>
      </c>
      <c r="AT1473">
        <v>0.35</v>
      </c>
      <c r="AU1473" t="s">
        <v>74</v>
      </c>
      <c r="AV1473" t="s">
        <v>2955</v>
      </c>
      <c r="AW1473" t="s">
        <v>75</v>
      </c>
      <c r="AX1473" t="s">
        <v>4290</v>
      </c>
      <c r="AY1473" t="s">
        <v>4972</v>
      </c>
      <c r="AZ1473">
        <v>1679.999999996508</v>
      </c>
      <c r="BA1473">
        <v>1</v>
      </c>
      <c r="BB1473">
        <v>0</v>
      </c>
      <c r="BC1473">
        <v>50</v>
      </c>
      <c r="BD1473">
        <v>0</v>
      </c>
      <c r="BE1473">
        <f t="shared" si="229"/>
        <v>1</v>
      </c>
    </row>
    <row r="1474" spans="1:57" x14ac:dyDescent="0.25">
      <c r="A1474" t="s">
        <v>39</v>
      </c>
      <c r="B1474" t="s">
        <v>4967</v>
      </c>
      <c r="C1474">
        <v>89.6</v>
      </c>
      <c r="D1474">
        <v>69.8</v>
      </c>
      <c r="G1474">
        <f t="shared" si="220"/>
        <v>1</v>
      </c>
      <c r="H1474">
        <f t="shared" si="221"/>
        <v>1</v>
      </c>
      <c r="I1474">
        <f t="shared" si="222"/>
        <v>0</v>
      </c>
      <c r="J1474">
        <v>80.400000000000006</v>
      </c>
      <c r="K1474">
        <v>98.2</v>
      </c>
      <c r="L1474">
        <v>69.8</v>
      </c>
      <c r="M1474">
        <v>84</v>
      </c>
      <c r="N1474">
        <v>66.7</v>
      </c>
      <c r="O1474">
        <v>63.9</v>
      </c>
      <c r="S1474">
        <f t="shared" si="223"/>
        <v>1</v>
      </c>
      <c r="T1474">
        <f t="shared" si="224"/>
        <v>1</v>
      </c>
      <c r="U1474">
        <f t="shared" si="225"/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17.2</v>
      </c>
      <c r="AG1474">
        <f t="shared" si="226"/>
        <v>0</v>
      </c>
      <c r="AH1474">
        <f t="shared" si="227"/>
        <v>0</v>
      </c>
      <c r="AI1474">
        <f t="shared" si="228"/>
        <v>0</v>
      </c>
      <c r="AJ1474">
        <v>162.1</v>
      </c>
      <c r="AK1474">
        <v>1005.9</v>
      </c>
      <c r="AL1474">
        <v>0.1</v>
      </c>
      <c r="AM1474">
        <v>6.2</v>
      </c>
      <c r="AN1474">
        <v>0</v>
      </c>
      <c r="AO1474">
        <v>0</v>
      </c>
      <c r="AP1474">
        <v>0</v>
      </c>
      <c r="AQ1474">
        <v>0</v>
      </c>
      <c r="AR1474" t="s">
        <v>4968</v>
      </c>
      <c r="AS1474" t="s">
        <v>4969</v>
      </c>
      <c r="AT1474">
        <v>0.35</v>
      </c>
      <c r="AU1474" t="s">
        <v>74</v>
      </c>
      <c r="AV1474" t="s">
        <v>2955</v>
      </c>
      <c r="AW1474" t="s">
        <v>75</v>
      </c>
      <c r="AX1474" t="s">
        <v>4306</v>
      </c>
      <c r="AY1474" t="s">
        <v>4973</v>
      </c>
      <c r="AZ1474">
        <v>20.00000000232831</v>
      </c>
      <c r="BA1474">
        <v>0</v>
      </c>
      <c r="BB1474">
        <v>0</v>
      </c>
      <c r="BC1474">
        <v>1</v>
      </c>
      <c r="BD1474">
        <v>0</v>
      </c>
      <c r="BE1474">
        <f t="shared" si="229"/>
        <v>0</v>
      </c>
    </row>
    <row r="1475" spans="1:57" x14ac:dyDescent="0.25">
      <c r="A1475" t="s">
        <v>39</v>
      </c>
      <c r="B1475" t="s">
        <v>4967</v>
      </c>
      <c r="C1475">
        <v>89.6</v>
      </c>
      <c r="D1475">
        <v>69.8</v>
      </c>
      <c r="G1475">
        <f t="shared" ref="G1475:G1538" si="230">IF(ABS(C1475-INDEX($F$2:$F$13,MONTH(B1475)))&gt;1.8,1,0)</f>
        <v>1</v>
      </c>
      <c r="H1475">
        <f t="shared" ref="H1475:H1538" si="231">IF(C1475&gt;=INDEX($F$2:$F$13,MONTH(B1475))+1.8,1,0)</f>
        <v>1</v>
      </c>
      <c r="I1475">
        <f t="shared" ref="I1475:I1538" si="232">IF(C1475&lt;=INDEX($F$2:$F$13,MONTH(B1475))-1.8,1,0)</f>
        <v>0</v>
      </c>
      <c r="J1475">
        <v>80.400000000000006</v>
      </c>
      <c r="K1475">
        <v>98.2</v>
      </c>
      <c r="L1475">
        <v>69.8</v>
      </c>
      <c r="M1475">
        <v>84</v>
      </c>
      <c r="N1475">
        <v>66.7</v>
      </c>
      <c r="O1475">
        <v>63.9</v>
      </c>
      <c r="S1475">
        <f t="shared" ref="S1475:S1538" si="233">IF(OR(O1475&lt;INDEX($Q$2:$Q$13,MONTH(B1475)),O1475&gt;INDEX($R$2:$R$13,MONTH(B1475))),1,0)</f>
        <v>1</v>
      </c>
      <c r="T1475">
        <f t="shared" ref="T1475:T1538" si="234">IF(O1475&gt;INDEX($R$2:$R$13,MONTH(B1475)),1,0)</f>
        <v>1</v>
      </c>
      <c r="U1475">
        <f t="shared" ref="U1475:U1538" si="235">IF(O1475&lt;INDEX($Q$2:$Q$13,MONTH(B1475)),1,0)</f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17.2</v>
      </c>
      <c r="AG1475">
        <f t="shared" ref="AG1475:AG1538" si="236">IF(OR(AC1475&lt;INDEX($AE$2:$AE$13,MONTH(B1475)),AC1475&gt;INDEX($AF$2:$AF$13,MONTH(B1475))),1,0)</f>
        <v>0</v>
      </c>
      <c r="AH1475">
        <f t="shared" ref="AH1475:AH1538" si="237">IF(AC1475&gt;INDEX($AF$2:$AF$13,MONTH(B1475)),1,0)</f>
        <v>0</v>
      </c>
      <c r="AI1475">
        <f t="shared" ref="AI1475:AI1538" si="238">IF(AC1475&lt;INDEX($AE$2:$AE$13,MONTH(B1475)),1,0)</f>
        <v>0</v>
      </c>
      <c r="AJ1475">
        <v>162.1</v>
      </c>
      <c r="AK1475">
        <v>1005.9</v>
      </c>
      <c r="AL1475">
        <v>0.1</v>
      </c>
      <c r="AM1475">
        <v>6.2</v>
      </c>
      <c r="AN1475">
        <v>0</v>
      </c>
      <c r="AO1475">
        <v>0</v>
      </c>
      <c r="AP1475">
        <v>0</v>
      </c>
      <c r="AQ1475">
        <v>0</v>
      </c>
      <c r="AR1475" t="s">
        <v>4968</v>
      </c>
      <c r="AS1475" t="s">
        <v>4969</v>
      </c>
      <c r="AT1475">
        <v>0.35</v>
      </c>
      <c r="AU1475" t="s">
        <v>74</v>
      </c>
      <c r="AV1475" t="s">
        <v>2955</v>
      </c>
      <c r="AW1475" t="s">
        <v>75</v>
      </c>
      <c r="AX1475" t="s">
        <v>2790</v>
      </c>
      <c r="AY1475" t="s">
        <v>4974</v>
      </c>
      <c r="AZ1475">
        <v>19.999999991850931</v>
      </c>
      <c r="BA1475">
        <v>0</v>
      </c>
      <c r="BB1475">
        <v>0</v>
      </c>
      <c r="BC1475">
        <v>1</v>
      </c>
      <c r="BD1475">
        <v>0</v>
      </c>
      <c r="BE1475">
        <f t="shared" ref="BE1475:BE1538" si="239">IF((3*AH1475+3*H1475+2*U1475+2*BA1475-(2*(1-T1475)+2*(1-I1475)+2*(1-AI1475)))&gt;=1,1,0)</f>
        <v>0</v>
      </c>
    </row>
    <row r="1476" spans="1:57" x14ac:dyDescent="0.25">
      <c r="A1476" t="s">
        <v>39</v>
      </c>
      <c r="B1476" t="s">
        <v>4967</v>
      </c>
      <c r="C1476">
        <v>89.6</v>
      </c>
      <c r="D1476">
        <v>69.8</v>
      </c>
      <c r="G1476">
        <f t="shared" si="230"/>
        <v>1</v>
      </c>
      <c r="H1476">
        <f t="shared" si="231"/>
        <v>1</v>
      </c>
      <c r="I1476">
        <f t="shared" si="232"/>
        <v>0</v>
      </c>
      <c r="J1476">
        <v>80.400000000000006</v>
      </c>
      <c r="K1476">
        <v>98.2</v>
      </c>
      <c r="L1476">
        <v>69.8</v>
      </c>
      <c r="M1476">
        <v>84</v>
      </c>
      <c r="N1476">
        <v>66.7</v>
      </c>
      <c r="O1476">
        <v>63.9</v>
      </c>
      <c r="S1476">
        <f t="shared" si="233"/>
        <v>1</v>
      </c>
      <c r="T1476">
        <f t="shared" si="234"/>
        <v>1</v>
      </c>
      <c r="U1476">
        <f t="shared" si="235"/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17.2</v>
      </c>
      <c r="AG1476">
        <f t="shared" si="236"/>
        <v>0</v>
      </c>
      <c r="AH1476">
        <f t="shared" si="237"/>
        <v>0</v>
      </c>
      <c r="AI1476">
        <f t="shared" si="238"/>
        <v>0</v>
      </c>
      <c r="AJ1476">
        <v>162.1</v>
      </c>
      <c r="AK1476">
        <v>1005.9</v>
      </c>
      <c r="AL1476">
        <v>0.1</v>
      </c>
      <c r="AM1476">
        <v>6.2</v>
      </c>
      <c r="AN1476">
        <v>0</v>
      </c>
      <c r="AO1476">
        <v>0</v>
      </c>
      <c r="AP1476">
        <v>0</v>
      </c>
      <c r="AQ1476">
        <v>0</v>
      </c>
      <c r="AR1476" t="s">
        <v>4968</v>
      </c>
      <c r="AS1476" t="s">
        <v>4969</v>
      </c>
      <c r="AT1476">
        <v>0.35</v>
      </c>
      <c r="AU1476" t="s">
        <v>74</v>
      </c>
      <c r="AV1476" t="s">
        <v>2955</v>
      </c>
      <c r="AW1476" t="s">
        <v>75</v>
      </c>
      <c r="AX1476" t="s">
        <v>4975</v>
      </c>
      <c r="AY1476" t="s">
        <v>4976</v>
      </c>
      <c r="AZ1476">
        <v>1440</v>
      </c>
      <c r="BA1476">
        <v>1</v>
      </c>
      <c r="BB1476">
        <v>0</v>
      </c>
      <c r="BC1476">
        <v>1</v>
      </c>
      <c r="BD1476">
        <v>0</v>
      </c>
      <c r="BE1476">
        <f t="shared" si="239"/>
        <v>1</v>
      </c>
    </row>
    <row r="1477" spans="1:57" x14ac:dyDescent="0.25">
      <c r="A1477" t="s">
        <v>39</v>
      </c>
      <c r="B1477" t="s">
        <v>4977</v>
      </c>
      <c r="C1477">
        <v>84.2</v>
      </c>
      <c r="D1477">
        <v>69.5</v>
      </c>
      <c r="G1477">
        <f t="shared" si="230"/>
        <v>0</v>
      </c>
      <c r="H1477">
        <f t="shared" si="231"/>
        <v>0</v>
      </c>
      <c r="I1477">
        <f t="shared" si="232"/>
        <v>0</v>
      </c>
      <c r="J1477">
        <v>78.599999999999994</v>
      </c>
      <c r="K1477">
        <v>85</v>
      </c>
      <c r="L1477">
        <v>69.5</v>
      </c>
      <c r="M1477">
        <v>78.900000000000006</v>
      </c>
      <c r="N1477">
        <v>63.1</v>
      </c>
      <c r="O1477">
        <v>59.8</v>
      </c>
      <c r="S1477">
        <f t="shared" si="233"/>
        <v>0</v>
      </c>
      <c r="T1477">
        <f t="shared" si="234"/>
        <v>0</v>
      </c>
      <c r="U1477">
        <f t="shared" si="235"/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23</v>
      </c>
      <c r="AG1477">
        <f t="shared" si="236"/>
        <v>1</v>
      </c>
      <c r="AH1477">
        <f t="shared" si="237"/>
        <v>1</v>
      </c>
      <c r="AI1477">
        <f t="shared" si="238"/>
        <v>0</v>
      </c>
      <c r="AJ1477">
        <v>311.3</v>
      </c>
      <c r="AK1477">
        <v>1012.6</v>
      </c>
      <c r="AL1477">
        <v>8.9</v>
      </c>
      <c r="AM1477">
        <v>6.3</v>
      </c>
      <c r="AN1477">
        <v>0</v>
      </c>
      <c r="AO1477">
        <v>0</v>
      </c>
      <c r="AP1477">
        <v>0</v>
      </c>
      <c r="AQ1477">
        <v>0</v>
      </c>
      <c r="AR1477" t="s">
        <v>4978</v>
      </c>
      <c r="AS1477" t="s">
        <v>4979</v>
      </c>
      <c r="AT1477">
        <v>0.46</v>
      </c>
      <c r="AU1477" t="s">
        <v>74</v>
      </c>
      <c r="AV1477" t="s">
        <v>2955</v>
      </c>
      <c r="AW1477" t="s">
        <v>75</v>
      </c>
      <c r="AX1477" t="s">
        <v>4980</v>
      </c>
      <c r="AY1477" t="s">
        <v>4981</v>
      </c>
      <c r="AZ1477">
        <v>2668.0000000004661</v>
      </c>
      <c r="BA1477">
        <v>1</v>
      </c>
      <c r="BB1477">
        <v>0</v>
      </c>
      <c r="BC1477">
        <v>20</v>
      </c>
      <c r="BD1477">
        <v>0</v>
      </c>
      <c r="BE1477">
        <f t="shared" si="239"/>
        <v>0</v>
      </c>
    </row>
    <row r="1478" spans="1:57" x14ac:dyDescent="0.25">
      <c r="A1478" t="s">
        <v>39</v>
      </c>
      <c r="B1478" t="s">
        <v>4982</v>
      </c>
      <c r="C1478">
        <v>82.4</v>
      </c>
      <c r="D1478">
        <v>68</v>
      </c>
      <c r="G1478">
        <f t="shared" si="230"/>
        <v>1</v>
      </c>
      <c r="H1478">
        <f t="shared" si="231"/>
        <v>1</v>
      </c>
      <c r="I1478">
        <f t="shared" si="232"/>
        <v>0</v>
      </c>
      <c r="J1478">
        <v>76.099999999999994</v>
      </c>
      <c r="K1478">
        <v>86.2</v>
      </c>
      <c r="L1478">
        <v>68</v>
      </c>
      <c r="M1478">
        <v>77.099999999999994</v>
      </c>
      <c r="N1478">
        <v>66.099999999999994</v>
      </c>
      <c r="O1478">
        <v>71.7</v>
      </c>
      <c r="S1478">
        <f t="shared" si="233"/>
        <v>1</v>
      </c>
      <c r="T1478">
        <f t="shared" si="234"/>
        <v>1</v>
      </c>
      <c r="U1478">
        <f t="shared" si="235"/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16.100000000000001</v>
      </c>
      <c r="AG1478">
        <f t="shared" si="236"/>
        <v>0</v>
      </c>
      <c r="AH1478">
        <f t="shared" si="237"/>
        <v>0</v>
      </c>
      <c r="AI1478">
        <f t="shared" si="238"/>
        <v>0</v>
      </c>
      <c r="AJ1478">
        <v>316</v>
      </c>
      <c r="AK1478">
        <v>1015</v>
      </c>
      <c r="AL1478">
        <v>24.8</v>
      </c>
      <c r="AM1478">
        <v>6.6</v>
      </c>
      <c r="AN1478">
        <v>0</v>
      </c>
      <c r="AO1478">
        <v>0</v>
      </c>
      <c r="AP1478">
        <v>0</v>
      </c>
      <c r="AQ1478">
        <v>0</v>
      </c>
      <c r="AR1478" t="s">
        <v>4983</v>
      </c>
      <c r="AS1478" t="s">
        <v>4984</v>
      </c>
      <c r="AT1478">
        <v>0.56000000000000005</v>
      </c>
      <c r="AU1478" t="s">
        <v>43</v>
      </c>
      <c r="AV1478" t="s">
        <v>44</v>
      </c>
      <c r="AW1478" t="s">
        <v>45</v>
      </c>
      <c r="AX1478" t="s">
        <v>4985</v>
      </c>
      <c r="AY1478" t="s">
        <v>4986</v>
      </c>
      <c r="AZ1478">
        <v>1159.9999999988361</v>
      </c>
      <c r="BA1478">
        <v>1</v>
      </c>
      <c r="BB1478">
        <v>0</v>
      </c>
      <c r="BC1478">
        <v>9</v>
      </c>
      <c r="BD1478">
        <v>0</v>
      </c>
      <c r="BE1478">
        <f t="shared" si="239"/>
        <v>1</v>
      </c>
    </row>
    <row r="1479" spans="1:57" x14ac:dyDescent="0.25">
      <c r="A1479" t="s">
        <v>39</v>
      </c>
      <c r="B1479" t="s">
        <v>4987</v>
      </c>
      <c r="C1479">
        <v>80.599999999999994</v>
      </c>
      <c r="D1479">
        <v>68</v>
      </c>
      <c r="G1479">
        <f t="shared" si="230"/>
        <v>0</v>
      </c>
      <c r="H1479">
        <f t="shared" si="231"/>
        <v>0</v>
      </c>
      <c r="I1479">
        <f t="shared" si="232"/>
        <v>0</v>
      </c>
      <c r="J1479">
        <v>75.5</v>
      </c>
      <c r="K1479">
        <v>83.9</v>
      </c>
      <c r="L1479">
        <v>68</v>
      </c>
      <c r="M1479">
        <v>76.5</v>
      </c>
      <c r="N1479">
        <v>65.8</v>
      </c>
      <c r="O1479">
        <v>72.2</v>
      </c>
      <c r="S1479">
        <f t="shared" si="233"/>
        <v>1</v>
      </c>
      <c r="T1479">
        <f t="shared" si="234"/>
        <v>1</v>
      </c>
      <c r="U1479">
        <f t="shared" si="235"/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19.5</v>
      </c>
      <c r="AG1479">
        <f t="shared" si="236"/>
        <v>1</v>
      </c>
      <c r="AH1479">
        <f t="shared" si="237"/>
        <v>1</v>
      </c>
      <c r="AI1479">
        <f t="shared" si="238"/>
        <v>0</v>
      </c>
      <c r="AJ1479">
        <v>307.89999999999998</v>
      </c>
      <c r="AK1479">
        <v>1013.4</v>
      </c>
      <c r="AL1479">
        <v>17.5</v>
      </c>
      <c r="AM1479">
        <v>6.4</v>
      </c>
      <c r="AN1479">
        <v>0</v>
      </c>
      <c r="AO1479">
        <v>0</v>
      </c>
      <c r="AP1479">
        <v>0</v>
      </c>
      <c r="AQ1479">
        <v>0</v>
      </c>
      <c r="AR1479" t="s">
        <v>4988</v>
      </c>
      <c r="AS1479" t="s">
        <v>4989</v>
      </c>
      <c r="AT1479">
        <v>0.59</v>
      </c>
      <c r="AU1479" t="s">
        <v>74</v>
      </c>
      <c r="AV1479" t="s">
        <v>2955</v>
      </c>
      <c r="AW1479" t="s">
        <v>75</v>
      </c>
      <c r="AX1479" t="s">
        <v>4990</v>
      </c>
      <c r="AY1479" t="s">
        <v>4991</v>
      </c>
      <c r="AZ1479">
        <v>5391.9999999948777</v>
      </c>
      <c r="BA1479">
        <v>1</v>
      </c>
      <c r="BB1479">
        <v>0</v>
      </c>
      <c r="BC1479">
        <v>80</v>
      </c>
      <c r="BD1479">
        <v>0</v>
      </c>
      <c r="BE1479">
        <f t="shared" si="239"/>
        <v>1</v>
      </c>
    </row>
    <row r="1480" spans="1:57" x14ac:dyDescent="0.25">
      <c r="A1480" t="s">
        <v>39</v>
      </c>
      <c r="B1480" t="s">
        <v>4775</v>
      </c>
      <c r="C1480">
        <v>82.4</v>
      </c>
      <c r="D1480">
        <v>68</v>
      </c>
      <c r="G1480">
        <f t="shared" si="230"/>
        <v>1</v>
      </c>
      <c r="H1480">
        <f t="shared" si="231"/>
        <v>1</v>
      </c>
      <c r="I1480">
        <f t="shared" si="232"/>
        <v>0</v>
      </c>
      <c r="J1480">
        <v>75.3</v>
      </c>
      <c r="K1480">
        <v>87.2</v>
      </c>
      <c r="L1480">
        <v>68</v>
      </c>
      <c r="M1480">
        <v>76.7</v>
      </c>
      <c r="N1480">
        <v>66.7</v>
      </c>
      <c r="O1480">
        <v>75.099999999999994</v>
      </c>
      <c r="S1480">
        <f t="shared" si="233"/>
        <v>1</v>
      </c>
      <c r="T1480">
        <f t="shared" si="234"/>
        <v>1</v>
      </c>
      <c r="U1480">
        <f t="shared" si="235"/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11.4</v>
      </c>
      <c r="AG1480">
        <f t="shared" si="236"/>
        <v>1</v>
      </c>
      <c r="AH1480">
        <f t="shared" si="237"/>
        <v>0</v>
      </c>
      <c r="AI1480">
        <f t="shared" si="238"/>
        <v>1</v>
      </c>
      <c r="AJ1480">
        <v>326</v>
      </c>
      <c r="AK1480">
        <v>1011.8</v>
      </c>
      <c r="AL1480">
        <v>0</v>
      </c>
      <c r="AM1480">
        <v>6.2</v>
      </c>
      <c r="AN1480">
        <v>0</v>
      </c>
      <c r="AO1480">
        <v>0</v>
      </c>
      <c r="AP1480">
        <v>0</v>
      </c>
      <c r="AQ1480">
        <v>0</v>
      </c>
      <c r="AR1480" t="s">
        <v>4776</v>
      </c>
      <c r="AS1480" t="s">
        <v>4777</v>
      </c>
      <c r="AT1480">
        <v>0.65</v>
      </c>
      <c r="AU1480" t="s">
        <v>74</v>
      </c>
      <c r="AV1480" t="s">
        <v>2955</v>
      </c>
      <c r="AW1480" t="s">
        <v>75</v>
      </c>
      <c r="AX1480" t="s">
        <v>4992</v>
      </c>
      <c r="AY1480" t="s">
        <v>4993</v>
      </c>
      <c r="AZ1480">
        <v>486.00000000209548</v>
      </c>
      <c r="BA1480">
        <v>1</v>
      </c>
      <c r="BB1480">
        <v>0</v>
      </c>
      <c r="BC1480">
        <v>1</v>
      </c>
      <c r="BD1480">
        <v>0</v>
      </c>
      <c r="BE1480">
        <f t="shared" si="239"/>
        <v>1</v>
      </c>
    </row>
    <row r="1481" spans="1:57" x14ac:dyDescent="0.25">
      <c r="A1481" t="s">
        <v>39</v>
      </c>
      <c r="B1481" t="s">
        <v>4994</v>
      </c>
      <c r="C1481">
        <v>82.4</v>
      </c>
      <c r="D1481">
        <v>68</v>
      </c>
      <c r="G1481">
        <f t="shared" si="230"/>
        <v>1</v>
      </c>
      <c r="H1481">
        <f t="shared" si="231"/>
        <v>1</v>
      </c>
      <c r="I1481">
        <f t="shared" si="232"/>
        <v>0</v>
      </c>
      <c r="J1481">
        <v>76</v>
      </c>
      <c r="K1481">
        <v>87.2</v>
      </c>
      <c r="L1481">
        <v>68</v>
      </c>
      <c r="M1481">
        <v>77.400000000000006</v>
      </c>
      <c r="N1481">
        <v>66.900000000000006</v>
      </c>
      <c r="O1481">
        <v>73.7</v>
      </c>
      <c r="S1481">
        <f t="shared" si="233"/>
        <v>1</v>
      </c>
      <c r="T1481">
        <f t="shared" si="234"/>
        <v>1</v>
      </c>
      <c r="U1481">
        <f t="shared" si="235"/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20.8</v>
      </c>
      <c r="AG1481">
        <f t="shared" si="236"/>
        <v>1</v>
      </c>
      <c r="AH1481">
        <f t="shared" si="237"/>
        <v>1</v>
      </c>
      <c r="AI1481">
        <f t="shared" si="238"/>
        <v>0</v>
      </c>
      <c r="AJ1481">
        <v>310.89999999999998</v>
      </c>
      <c r="AK1481">
        <v>1011.1</v>
      </c>
      <c r="AL1481">
        <v>14.1</v>
      </c>
      <c r="AM1481">
        <v>6.4</v>
      </c>
      <c r="AN1481">
        <v>0</v>
      </c>
      <c r="AO1481">
        <v>0</v>
      </c>
      <c r="AP1481">
        <v>0</v>
      </c>
      <c r="AQ1481">
        <v>0</v>
      </c>
      <c r="AR1481" t="s">
        <v>4995</v>
      </c>
      <c r="AS1481" t="s">
        <v>4996</v>
      </c>
      <c r="AT1481">
        <v>0.69</v>
      </c>
      <c r="AU1481" t="s">
        <v>74</v>
      </c>
      <c r="AV1481" t="s">
        <v>2955</v>
      </c>
      <c r="AW1481" t="s">
        <v>75</v>
      </c>
      <c r="AX1481" t="s">
        <v>4997</v>
      </c>
      <c r="AY1481" t="s">
        <v>4998</v>
      </c>
      <c r="AZ1481">
        <v>1105.0000000081491</v>
      </c>
      <c r="BA1481">
        <v>1</v>
      </c>
      <c r="BB1481">
        <v>0</v>
      </c>
      <c r="BC1481">
        <v>4</v>
      </c>
      <c r="BD1481">
        <v>0</v>
      </c>
      <c r="BE1481">
        <f t="shared" si="239"/>
        <v>1</v>
      </c>
    </row>
    <row r="1482" spans="1:57" x14ac:dyDescent="0.25">
      <c r="A1482" t="s">
        <v>39</v>
      </c>
      <c r="B1482" t="s">
        <v>4994</v>
      </c>
      <c r="C1482">
        <v>82.4</v>
      </c>
      <c r="D1482">
        <v>68</v>
      </c>
      <c r="G1482">
        <f t="shared" si="230"/>
        <v>1</v>
      </c>
      <c r="H1482">
        <f t="shared" si="231"/>
        <v>1</v>
      </c>
      <c r="I1482">
        <f t="shared" si="232"/>
        <v>0</v>
      </c>
      <c r="J1482">
        <v>76</v>
      </c>
      <c r="K1482">
        <v>87.2</v>
      </c>
      <c r="L1482">
        <v>68</v>
      </c>
      <c r="M1482">
        <v>77.400000000000006</v>
      </c>
      <c r="N1482">
        <v>66.900000000000006</v>
      </c>
      <c r="O1482">
        <v>73.7</v>
      </c>
      <c r="S1482">
        <f t="shared" si="233"/>
        <v>1</v>
      </c>
      <c r="T1482">
        <f t="shared" si="234"/>
        <v>1</v>
      </c>
      <c r="U1482">
        <f t="shared" si="235"/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20.8</v>
      </c>
      <c r="AG1482">
        <f t="shared" si="236"/>
        <v>1</v>
      </c>
      <c r="AH1482">
        <f t="shared" si="237"/>
        <v>1</v>
      </c>
      <c r="AI1482">
        <f t="shared" si="238"/>
        <v>0</v>
      </c>
      <c r="AJ1482">
        <v>310.89999999999998</v>
      </c>
      <c r="AK1482">
        <v>1011.1</v>
      </c>
      <c r="AL1482">
        <v>14.1</v>
      </c>
      <c r="AM1482">
        <v>6.4</v>
      </c>
      <c r="AN1482">
        <v>0</v>
      </c>
      <c r="AO1482">
        <v>0</v>
      </c>
      <c r="AP1482">
        <v>0</v>
      </c>
      <c r="AQ1482">
        <v>0</v>
      </c>
      <c r="AR1482" t="s">
        <v>4995</v>
      </c>
      <c r="AS1482" t="s">
        <v>4996</v>
      </c>
      <c r="AT1482">
        <v>0.69</v>
      </c>
      <c r="AU1482" t="s">
        <v>74</v>
      </c>
      <c r="AV1482" t="s">
        <v>2955</v>
      </c>
      <c r="AW1482" t="s">
        <v>75</v>
      </c>
      <c r="AX1482" t="s">
        <v>4999</v>
      </c>
      <c r="AY1482" t="s">
        <v>5000</v>
      </c>
      <c r="AZ1482">
        <v>826.99999999254942</v>
      </c>
      <c r="BA1482">
        <v>1</v>
      </c>
      <c r="BB1482">
        <v>0</v>
      </c>
      <c r="BC1482">
        <v>3</v>
      </c>
      <c r="BD1482">
        <v>0</v>
      </c>
      <c r="BE1482">
        <f t="shared" si="239"/>
        <v>1</v>
      </c>
    </row>
    <row r="1483" spans="1:57" x14ac:dyDescent="0.25">
      <c r="A1483" t="s">
        <v>39</v>
      </c>
      <c r="B1483" t="s">
        <v>5001</v>
      </c>
      <c r="C1483">
        <v>78.8</v>
      </c>
      <c r="D1483">
        <v>73.400000000000006</v>
      </c>
      <c r="G1483">
        <f t="shared" si="230"/>
        <v>0</v>
      </c>
      <c r="H1483">
        <f t="shared" si="231"/>
        <v>0</v>
      </c>
      <c r="I1483">
        <f t="shared" si="232"/>
        <v>0</v>
      </c>
      <c r="J1483">
        <v>76</v>
      </c>
      <c r="K1483">
        <v>78.8</v>
      </c>
      <c r="L1483">
        <v>73.400000000000006</v>
      </c>
      <c r="M1483">
        <v>76</v>
      </c>
      <c r="N1483">
        <v>64.599999999999994</v>
      </c>
      <c r="O1483">
        <v>67.900000000000006</v>
      </c>
      <c r="S1483">
        <f t="shared" si="233"/>
        <v>0</v>
      </c>
      <c r="T1483">
        <f t="shared" si="234"/>
        <v>0</v>
      </c>
      <c r="U1483">
        <f t="shared" si="235"/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21.9</v>
      </c>
      <c r="AG1483">
        <f t="shared" si="236"/>
        <v>1</v>
      </c>
      <c r="AH1483">
        <f t="shared" si="237"/>
        <v>1</v>
      </c>
      <c r="AI1483">
        <f t="shared" si="238"/>
        <v>0</v>
      </c>
      <c r="AJ1483">
        <v>312.7</v>
      </c>
      <c r="AK1483">
        <v>1013.3</v>
      </c>
      <c r="AL1483">
        <v>39.1</v>
      </c>
      <c r="AM1483">
        <v>6.6</v>
      </c>
      <c r="AN1483">
        <v>0</v>
      </c>
      <c r="AO1483">
        <v>0</v>
      </c>
      <c r="AP1483">
        <v>0</v>
      </c>
      <c r="AQ1483">
        <v>0</v>
      </c>
      <c r="AR1483" t="s">
        <v>5002</v>
      </c>
      <c r="AS1483" t="s">
        <v>5003</v>
      </c>
      <c r="AT1483">
        <v>0.85</v>
      </c>
      <c r="AU1483" t="s">
        <v>43</v>
      </c>
      <c r="AV1483" t="s">
        <v>44</v>
      </c>
      <c r="AW1483" t="s">
        <v>45</v>
      </c>
      <c r="AX1483" t="s">
        <v>2346</v>
      </c>
      <c r="AY1483" t="s">
        <v>5004</v>
      </c>
      <c r="AZ1483">
        <v>2700</v>
      </c>
      <c r="BA1483">
        <v>1</v>
      </c>
      <c r="BB1483">
        <v>0</v>
      </c>
      <c r="BC1483">
        <v>80</v>
      </c>
      <c r="BD1483">
        <v>0</v>
      </c>
      <c r="BE1483">
        <f t="shared" si="239"/>
        <v>0</v>
      </c>
    </row>
    <row r="1484" spans="1:57" x14ac:dyDescent="0.25">
      <c r="A1484" t="s">
        <v>39</v>
      </c>
      <c r="B1484" t="s">
        <v>5005</v>
      </c>
      <c r="C1484">
        <v>82.4</v>
      </c>
      <c r="D1484">
        <v>66.2</v>
      </c>
      <c r="G1484">
        <f t="shared" si="230"/>
        <v>1</v>
      </c>
      <c r="H1484">
        <f t="shared" si="231"/>
        <v>1</v>
      </c>
      <c r="I1484">
        <f t="shared" si="232"/>
        <v>0</v>
      </c>
      <c r="J1484">
        <v>74.5</v>
      </c>
      <c r="K1484">
        <v>87.2</v>
      </c>
      <c r="L1484">
        <v>66.2</v>
      </c>
      <c r="M1484">
        <v>75.599999999999994</v>
      </c>
      <c r="N1484">
        <v>63.8</v>
      </c>
      <c r="O1484">
        <v>69.8</v>
      </c>
      <c r="S1484">
        <f t="shared" si="233"/>
        <v>1</v>
      </c>
      <c r="T1484">
        <f t="shared" si="234"/>
        <v>1</v>
      </c>
      <c r="U1484">
        <f t="shared" si="235"/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10.3</v>
      </c>
      <c r="AG1484">
        <f t="shared" si="236"/>
        <v>1</v>
      </c>
      <c r="AH1484">
        <f t="shared" si="237"/>
        <v>0</v>
      </c>
      <c r="AI1484">
        <f t="shared" si="238"/>
        <v>1</v>
      </c>
      <c r="AJ1484">
        <v>158</v>
      </c>
      <c r="AK1484">
        <v>1010.1</v>
      </c>
      <c r="AL1484">
        <v>24</v>
      </c>
      <c r="AM1484">
        <v>6.5</v>
      </c>
      <c r="AN1484">
        <v>0</v>
      </c>
      <c r="AO1484">
        <v>0</v>
      </c>
      <c r="AP1484">
        <v>0</v>
      </c>
      <c r="AQ1484">
        <v>0</v>
      </c>
      <c r="AR1484" t="s">
        <v>5006</v>
      </c>
      <c r="AS1484" t="s">
        <v>5007</v>
      </c>
      <c r="AT1484">
        <v>0.91</v>
      </c>
      <c r="AU1484" t="s">
        <v>43</v>
      </c>
      <c r="AV1484" t="s">
        <v>44</v>
      </c>
      <c r="AW1484" t="s">
        <v>45</v>
      </c>
      <c r="AX1484" t="s">
        <v>4897</v>
      </c>
      <c r="AY1484" t="s">
        <v>5008</v>
      </c>
      <c r="AZ1484">
        <v>665.00000000931323</v>
      </c>
      <c r="BA1484">
        <v>1</v>
      </c>
      <c r="BB1484">
        <v>0</v>
      </c>
      <c r="BC1484">
        <v>20</v>
      </c>
      <c r="BD1484">
        <v>0</v>
      </c>
      <c r="BE1484">
        <f t="shared" si="239"/>
        <v>1</v>
      </c>
    </row>
    <row r="1485" spans="1:57" x14ac:dyDescent="0.25">
      <c r="A1485" t="s">
        <v>39</v>
      </c>
      <c r="B1485" t="s">
        <v>5009</v>
      </c>
      <c r="C1485">
        <v>95</v>
      </c>
      <c r="D1485">
        <v>68</v>
      </c>
      <c r="G1485">
        <f t="shared" si="230"/>
        <v>1</v>
      </c>
      <c r="H1485">
        <f t="shared" si="231"/>
        <v>1</v>
      </c>
      <c r="I1485">
        <f t="shared" si="232"/>
        <v>0</v>
      </c>
      <c r="J1485">
        <v>80.5</v>
      </c>
      <c r="K1485">
        <v>96.3</v>
      </c>
      <c r="L1485">
        <v>68</v>
      </c>
      <c r="M1485">
        <v>81.099999999999994</v>
      </c>
      <c r="N1485">
        <v>63.4</v>
      </c>
      <c r="O1485">
        <v>59.3</v>
      </c>
      <c r="S1485">
        <f t="shared" si="233"/>
        <v>1</v>
      </c>
      <c r="T1485">
        <f t="shared" si="234"/>
        <v>0</v>
      </c>
      <c r="U1485">
        <f t="shared" si="235"/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25.3</v>
      </c>
      <c r="AG1485">
        <f t="shared" si="236"/>
        <v>1</v>
      </c>
      <c r="AH1485">
        <f t="shared" si="237"/>
        <v>1</v>
      </c>
      <c r="AI1485">
        <f t="shared" si="238"/>
        <v>0</v>
      </c>
      <c r="AJ1485">
        <v>160</v>
      </c>
      <c r="AK1485">
        <v>1010.3</v>
      </c>
      <c r="AL1485">
        <v>13.8</v>
      </c>
      <c r="AM1485">
        <v>6.4</v>
      </c>
      <c r="AN1485">
        <v>0</v>
      </c>
      <c r="AO1485">
        <v>0</v>
      </c>
      <c r="AP1485">
        <v>0</v>
      </c>
      <c r="AQ1485">
        <v>0</v>
      </c>
      <c r="AR1485" t="s">
        <v>5010</v>
      </c>
      <c r="AS1485" t="s">
        <v>5011</v>
      </c>
      <c r="AT1485">
        <v>0.94</v>
      </c>
      <c r="AU1485" t="s">
        <v>74</v>
      </c>
      <c r="AV1485" t="s">
        <v>2955</v>
      </c>
      <c r="AW1485" t="s">
        <v>75</v>
      </c>
      <c r="AX1485" t="s">
        <v>5012</v>
      </c>
      <c r="AY1485" t="s">
        <v>5013</v>
      </c>
      <c r="AZ1485">
        <v>2688.000000002794</v>
      </c>
      <c r="BA1485">
        <v>1</v>
      </c>
      <c r="BB1485">
        <v>0</v>
      </c>
      <c r="BC1485">
        <v>1500</v>
      </c>
      <c r="BD1485">
        <v>0</v>
      </c>
      <c r="BE1485">
        <f t="shared" si="239"/>
        <v>1</v>
      </c>
    </row>
    <row r="1486" spans="1:57" x14ac:dyDescent="0.25">
      <c r="A1486" t="s">
        <v>39</v>
      </c>
      <c r="B1486" t="s">
        <v>4687</v>
      </c>
      <c r="C1486">
        <v>87.8</v>
      </c>
      <c r="D1486">
        <v>77</v>
      </c>
      <c r="G1486">
        <f t="shared" si="230"/>
        <v>1</v>
      </c>
      <c r="H1486">
        <f t="shared" si="231"/>
        <v>1</v>
      </c>
      <c r="I1486">
        <f t="shared" si="232"/>
        <v>0</v>
      </c>
      <c r="J1486">
        <v>81.099999999999994</v>
      </c>
      <c r="K1486">
        <v>93.5</v>
      </c>
      <c r="L1486">
        <v>77</v>
      </c>
      <c r="M1486">
        <v>83.2</v>
      </c>
      <c r="N1486">
        <v>67.099999999999994</v>
      </c>
      <c r="O1486">
        <v>64.8</v>
      </c>
      <c r="S1486">
        <f t="shared" si="233"/>
        <v>0</v>
      </c>
      <c r="T1486">
        <f t="shared" si="234"/>
        <v>0</v>
      </c>
      <c r="U1486">
        <f t="shared" si="235"/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20.8</v>
      </c>
      <c r="AG1486">
        <f t="shared" si="236"/>
        <v>1</v>
      </c>
      <c r="AH1486">
        <f t="shared" si="237"/>
        <v>1</v>
      </c>
      <c r="AI1486">
        <f t="shared" si="238"/>
        <v>0</v>
      </c>
      <c r="AJ1486">
        <v>184.8</v>
      </c>
      <c r="AK1486">
        <v>1008.1</v>
      </c>
      <c r="AL1486">
        <v>15.2</v>
      </c>
      <c r="AM1486">
        <v>6.3</v>
      </c>
      <c r="AN1486">
        <v>0</v>
      </c>
      <c r="AO1486">
        <v>0</v>
      </c>
      <c r="AP1486">
        <v>0</v>
      </c>
      <c r="AQ1486">
        <v>0</v>
      </c>
      <c r="AR1486" t="s">
        <v>4688</v>
      </c>
      <c r="AS1486" t="s">
        <v>4689</v>
      </c>
      <c r="AT1486">
        <v>0.98</v>
      </c>
      <c r="AU1486" t="s">
        <v>74</v>
      </c>
      <c r="AV1486" t="s">
        <v>2955</v>
      </c>
      <c r="AW1486" t="s">
        <v>75</v>
      </c>
      <c r="AX1486" t="s">
        <v>2459</v>
      </c>
      <c r="AY1486" t="s">
        <v>5014</v>
      </c>
      <c r="AZ1486">
        <v>2280.000000003492</v>
      </c>
      <c r="BA1486">
        <v>1</v>
      </c>
      <c r="BB1486">
        <v>0</v>
      </c>
      <c r="BC1486">
        <v>20</v>
      </c>
      <c r="BD1486">
        <v>0</v>
      </c>
      <c r="BE1486">
        <f t="shared" si="239"/>
        <v>1</v>
      </c>
    </row>
    <row r="1487" spans="1:57" x14ac:dyDescent="0.25">
      <c r="A1487" t="s">
        <v>39</v>
      </c>
      <c r="B1487" t="s">
        <v>4687</v>
      </c>
      <c r="C1487">
        <v>87.8</v>
      </c>
      <c r="D1487">
        <v>77</v>
      </c>
      <c r="G1487">
        <f t="shared" si="230"/>
        <v>1</v>
      </c>
      <c r="H1487">
        <f t="shared" si="231"/>
        <v>1</v>
      </c>
      <c r="I1487">
        <f t="shared" si="232"/>
        <v>0</v>
      </c>
      <c r="J1487">
        <v>81.099999999999994</v>
      </c>
      <c r="K1487">
        <v>93.5</v>
      </c>
      <c r="L1487">
        <v>77</v>
      </c>
      <c r="M1487">
        <v>83.2</v>
      </c>
      <c r="N1487">
        <v>67.099999999999994</v>
      </c>
      <c r="O1487">
        <v>64.8</v>
      </c>
      <c r="S1487">
        <f t="shared" si="233"/>
        <v>0</v>
      </c>
      <c r="T1487">
        <f t="shared" si="234"/>
        <v>0</v>
      </c>
      <c r="U1487">
        <f t="shared" si="235"/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20.8</v>
      </c>
      <c r="AG1487">
        <f t="shared" si="236"/>
        <v>1</v>
      </c>
      <c r="AH1487">
        <f t="shared" si="237"/>
        <v>1</v>
      </c>
      <c r="AI1487">
        <f t="shared" si="238"/>
        <v>0</v>
      </c>
      <c r="AJ1487">
        <v>184.8</v>
      </c>
      <c r="AK1487">
        <v>1008.1</v>
      </c>
      <c r="AL1487">
        <v>15.2</v>
      </c>
      <c r="AM1487">
        <v>6.3</v>
      </c>
      <c r="AN1487">
        <v>0</v>
      </c>
      <c r="AO1487">
        <v>0</v>
      </c>
      <c r="AP1487">
        <v>0</v>
      </c>
      <c r="AQ1487">
        <v>0</v>
      </c>
      <c r="AR1487" t="s">
        <v>4688</v>
      </c>
      <c r="AS1487" t="s">
        <v>4689</v>
      </c>
      <c r="AT1487">
        <v>0.98</v>
      </c>
      <c r="AU1487" t="s">
        <v>74</v>
      </c>
      <c r="AV1487" t="s">
        <v>2955</v>
      </c>
      <c r="AW1487" t="s">
        <v>75</v>
      </c>
      <c r="AX1487" t="s">
        <v>2720</v>
      </c>
      <c r="AY1487" t="s">
        <v>5015</v>
      </c>
      <c r="AZ1487">
        <v>946.00000000325963</v>
      </c>
      <c r="BA1487">
        <v>1</v>
      </c>
      <c r="BB1487">
        <v>0</v>
      </c>
      <c r="BC1487">
        <v>2</v>
      </c>
      <c r="BD1487">
        <v>0</v>
      </c>
      <c r="BE1487">
        <f t="shared" si="239"/>
        <v>1</v>
      </c>
    </row>
    <row r="1488" spans="1:57" x14ac:dyDescent="0.25">
      <c r="A1488" t="s">
        <v>39</v>
      </c>
      <c r="B1488" t="s">
        <v>5016</v>
      </c>
      <c r="C1488">
        <v>78.900000000000006</v>
      </c>
      <c r="D1488">
        <v>66.2</v>
      </c>
      <c r="G1488">
        <f t="shared" si="230"/>
        <v>0</v>
      </c>
      <c r="H1488">
        <f t="shared" si="231"/>
        <v>0</v>
      </c>
      <c r="I1488">
        <f t="shared" si="232"/>
        <v>0</v>
      </c>
      <c r="J1488">
        <v>73.900000000000006</v>
      </c>
      <c r="K1488">
        <v>78.900000000000006</v>
      </c>
      <c r="L1488">
        <v>66.2</v>
      </c>
      <c r="M1488">
        <v>73.900000000000006</v>
      </c>
      <c r="N1488">
        <v>67.3</v>
      </c>
      <c r="O1488">
        <v>80.5</v>
      </c>
      <c r="S1488">
        <f t="shared" si="233"/>
        <v>1</v>
      </c>
      <c r="T1488">
        <f t="shared" si="234"/>
        <v>1</v>
      </c>
      <c r="U1488">
        <f t="shared" si="235"/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11.4</v>
      </c>
      <c r="AG1488">
        <f t="shared" si="236"/>
        <v>1</v>
      </c>
      <c r="AH1488">
        <f t="shared" si="237"/>
        <v>0</v>
      </c>
      <c r="AI1488">
        <f t="shared" si="238"/>
        <v>1</v>
      </c>
      <c r="AJ1488">
        <v>330.3</v>
      </c>
      <c r="AK1488">
        <v>1012.1</v>
      </c>
      <c r="AL1488">
        <v>29.7</v>
      </c>
      <c r="AM1488">
        <v>6.6</v>
      </c>
      <c r="AN1488">
        <v>0</v>
      </c>
      <c r="AO1488">
        <v>0</v>
      </c>
      <c r="AP1488">
        <v>0</v>
      </c>
      <c r="AQ1488">
        <v>0</v>
      </c>
      <c r="AR1488" t="s">
        <v>5017</v>
      </c>
      <c r="AS1488" t="s">
        <v>5018</v>
      </c>
      <c r="AT1488">
        <v>0.12</v>
      </c>
      <c r="AU1488" t="s">
        <v>43</v>
      </c>
      <c r="AV1488" t="s">
        <v>44</v>
      </c>
      <c r="AW1488" t="s">
        <v>45</v>
      </c>
      <c r="AX1488" t="s">
        <v>5019</v>
      </c>
      <c r="AY1488" t="s">
        <v>5020</v>
      </c>
      <c r="AZ1488">
        <v>40.999999997438863</v>
      </c>
      <c r="BA1488">
        <v>0</v>
      </c>
      <c r="BB1488">
        <v>0</v>
      </c>
      <c r="BC1488">
        <v>1</v>
      </c>
      <c r="BD1488">
        <v>0</v>
      </c>
      <c r="BE1488">
        <f t="shared" si="239"/>
        <v>0</v>
      </c>
    </row>
    <row r="1489" spans="1:57" x14ac:dyDescent="0.25">
      <c r="A1489" t="s">
        <v>39</v>
      </c>
      <c r="B1489" t="s">
        <v>5021</v>
      </c>
      <c r="C1489">
        <v>80.599999999999994</v>
      </c>
      <c r="D1489">
        <v>68</v>
      </c>
      <c r="G1489">
        <f t="shared" si="230"/>
        <v>0</v>
      </c>
      <c r="H1489">
        <f t="shared" si="231"/>
        <v>0</v>
      </c>
      <c r="I1489">
        <f t="shared" si="232"/>
        <v>0</v>
      </c>
      <c r="J1489">
        <v>74.099999999999994</v>
      </c>
      <c r="K1489">
        <v>83.9</v>
      </c>
      <c r="L1489">
        <v>68</v>
      </c>
      <c r="M1489">
        <v>74.599999999999994</v>
      </c>
      <c r="N1489">
        <v>66.7</v>
      </c>
      <c r="O1489">
        <v>78.3</v>
      </c>
      <c r="S1489">
        <f t="shared" si="233"/>
        <v>1</v>
      </c>
      <c r="T1489">
        <f t="shared" si="234"/>
        <v>1</v>
      </c>
      <c r="U1489">
        <f t="shared" si="235"/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19.5</v>
      </c>
      <c r="AG1489">
        <f t="shared" si="236"/>
        <v>1</v>
      </c>
      <c r="AH1489">
        <f t="shared" si="237"/>
        <v>1</v>
      </c>
      <c r="AI1489">
        <f t="shared" si="238"/>
        <v>0</v>
      </c>
      <c r="AJ1489">
        <v>291.2</v>
      </c>
      <c r="AK1489">
        <v>1012.4</v>
      </c>
      <c r="AL1489">
        <v>34.9</v>
      </c>
      <c r="AM1489">
        <v>6.6</v>
      </c>
      <c r="AN1489">
        <v>0</v>
      </c>
      <c r="AO1489">
        <v>0</v>
      </c>
      <c r="AP1489">
        <v>0</v>
      </c>
      <c r="AQ1489">
        <v>0</v>
      </c>
      <c r="AR1489" t="s">
        <v>5022</v>
      </c>
      <c r="AS1489" t="s">
        <v>5023</v>
      </c>
      <c r="AT1489">
        <v>0.15</v>
      </c>
      <c r="AU1489" t="s">
        <v>43</v>
      </c>
      <c r="AV1489" t="s">
        <v>2026</v>
      </c>
      <c r="AW1489" t="s">
        <v>45</v>
      </c>
      <c r="AX1489" t="s">
        <v>4290</v>
      </c>
      <c r="AY1489" t="s">
        <v>5024</v>
      </c>
      <c r="AZ1489">
        <v>24.99999999767169</v>
      </c>
      <c r="BA1489">
        <v>0</v>
      </c>
      <c r="BB1489">
        <v>0</v>
      </c>
      <c r="BC1489">
        <v>1</v>
      </c>
      <c r="BD1489">
        <v>0</v>
      </c>
      <c r="BE1489">
        <f t="shared" si="239"/>
        <v>0</v>
      </c>
    </row>
    <row r="1490" spans="1:57" x14ac:dyDescent="0.25">
      <c r="A1490" t="s">
        <v>39</v>
      </c>
      <c r="B1490" t="s">
        <v>5021</v>
      </c>
      <c r="C1490">
        <v>80.599999999999994</v>
      </c>
      <c r="D1490">
        <v>68</v>
      </c>
      <c r="G1490">
        <f t="shared" si="230"/>
        <v>0</v>
      </c>
      <c r="H1490">
        <f t="shared" si="231"/>
        <v>0</v>
      </c>
      <c r="I1490">
        <f t="shared" si="232"/>
        <v>0</v>
      </c>
      <c r="J1490">
        <v>74.099999999999994</v>
      </c>
      <c r="K1490">
        <v>83.9</v>
      </c>
      <c r="L1490">
        <v>68</v>
      </c>
      <c r="M1490">
        <v>74.599999999999994</v>
      </c>
      <c r="N1490">
        <v>66.7</v>
      </c>
      <c r="O1490">
        <v>78.3</v>
      </c>
      <c r="S1490">
        <f t="shared" si="233"/>
        <v>1</v>
      </c>
      <c r="T1490">
        <f t="shared" si="234"/>
        <v>1</v>
      </c>
      <c r="U1490">
        <f t="shared" si="235"/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19.5</v>
      </c>
      <c r="AG1490">
        <f t="shared" si="236"/>
        <v>1</v>
      </c>
      <c r="AH1490">
        <f t="shared" si="237"/>
        <v>1</v>
      </c>
      <c r="AI1490">
        <f t="shared" si="238"/>
        <v>0</v>
      </c>
      <c r="AJ1490">
        <v>291.2</v>
      </c>
      <c r="AK1490">
        <v>1012.4</v>
      </c>
      <c r="AL1490">
        <v>34.9</v>
      </c>
      <c r="AM1490">
        <v>6.6</v>
      </c>
      <c r="AN1490">
        <v>0</v>
      </c>
      <c r="AO1490">
        <v>0</v>
      </c>
      <c r="AP1490">
        <v>0</v>
      </c>
      <c r="AQ1490">
        <v>0</v>
      </c>
      <c r="AR1490" t="s">
        <v>5022</v>
      </c>
      <c r="AS1490" t="s">
        <v>5023</v>
      </c>
      <c r="AT1490">
        <v>0.15</v>
      </c>
      <c r="AU1490" t="s">
        <v>43</v>
      </c>
      <c r="AV1490" t="s">
        <v>2026</v>
      </c>
      <c r="AW1490" t="s">
        <v>45</v>
      </c>
      <c r="AX1490" t="s">
        <v>2403</v>
      </c>
      <c r="AY1490" t="s">
        <v>5025</v>
      </c>
      <c r="AZ1490">
        <v>1350</v>
      </c>
      <c r="BA1490">
        <v>1</v>
      </c>
      <c r="BB1490">
        <v>0</v>
      </c>
      <c r="BC1490">
        <v>3</v>
      </c>
      <c r="BD1490">
        <v>0</v>
      </c>
      <c r="BE1490">
        <f t="shared" si="239"/>
        <v>1</v>
      </c>
    </row>
    <row r="1491" spans="1:57" x14ac:dyDescent="0.25">
      <c r="A1491" t="s">
        <v>39</v>
      </c>
      <c r="B1491" t="s">
        <v>5021</v>
      </c>
      <c r="C1491">
        <v>80.599999999999994</v>
      </c>
      <c r="D1491">
        <v>68</v>
      </c>
      <c r="G1491">
        <f t="shared" si="230"/>
        <v>0</v>
      </c>
      <c r="H1491">
        <f t="shared" si="231"/>
        <v>0</v>
      </c>
      <c r="I1491">
        <f t="shared" si="232"/>
        <v>0</v>
      </c>
      <c r="J1491">
        <v>74.099999999999994</v>
      </c>
      <c r="K1491">
        <v>83.9</v>
      </c>
      <c r="L1491">
        <v>68</v>
      </c>
      <c r="M1491">
        <v>74.599999999999994</v>
      </c>
      <c r="N1491">
        <v>66.7</v>
      </c>
      <c r="O1491">
        <v>78.3</v>
      </c>
      <c r="S1491">
        <f t="shared" si="233"/>
        <v>1</v>
      </c>
      <c r="T1491">
        <f t="shared" si="234"/>
        <v>1</v>
      </c>
      <c r="U1491">
        <f t="shared" si="235"/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19.5</v>
      </c>
      <c r="AG1491">
        <f t="shared" si="236"/>
        <v>1</v>
      </c>
      <c r="AH1491">
        <f t="shared" si="237"/>
        <v>1</v>
      </c>
      <c r="AI1491">
        <f t="shared" si="238"/>
        <v>0</v>
      </c>
      <c r="AJ1491">
        <v>291.2</v>
      </c>
      <c r="AK1491">
        <v>1012.4</v>
      </c>
      <c r="AL1491">
        <v>34.9</v>
      </c>
      <c r="AM1491">
        <v>6.6</v>
      </c>
      <c r="AN1491">
        <v>0</v>
      </c>
      <c r="AO1491">
        <v>0</v>
      </c>
      <c r="AP1491">
        <v>0</v>
      </c>
      <c r="AQ1491">
        <v>0</v>
      </c>
      <c r="AR1491" t="s">
        <v>5022</v>
      </c>
      <c r="AS1491" t="s">
        <v>5023</v>
      </c>
      <c r="AT1491">
        <v>0.15</v>
      </c>
      <c r="AU1491" t="s">
        <v>43</v>
      </c>
      <c r="AV1491" t="s">
        <v>2026</v>
      </c>
      <c r="AW1491" t="s">
        <v>45</v>
      </c>
      <c r="AX1491" t="s">
        <v>5026</v>
      </c>
      <c r="AY1491" t="s">
        <v>5027</v>
      </c>
      <c r="AZ1491">
        <v>980.9999999916181</v>
      </c>
      <c r="BA1491">
        <v>1</v>
      </c>
      <c r="BB1491">
        <v>0</v>
      </c>
      <c r="BC1491">
        <v>25</v>
      </c>
      <c r="BD1491">
        <v>0</v>
      </c>
      <c r="BE1491">
        <f t="shared" si="239"/>
        <v>1</v>
      </c>
    </row>
    <row r="1492" spans="1:57" x14ac:dyDescent="0.25">
      <c r="A1492" t="s">
        <v>39</v>
      </c>
      <c r="B1492" t="s">
        <v>5028</v>
      </c>
      <c r="C1492">
        <v>80.599999999999994</v>
      </c>
      <c r="D1492">
        <v>67.7</v>
      </c>
      <c r="G1492">
        <f t="shared" si="230"/>
        <v>0</v>
      </c>
      <c r="H1492">
        <f t="shared" si="231"/>
        <v>0</v>
      </c>
      <c r="I1492">
        <f t="shared" si="232"/>
        <v>0</v>
      </c>
      <c r="J1492">
        <v>74.900000000000006</v>
      </c>
      <c r="K1492">
        <v>83.9</v>
      </c>
      <c r="L1492">
        <v>67.7</v>
      </c>
      <c r="M1492">
        <v>75.400000000000006</v>
      </c>
      <c r="N1492">
        <v>66.7</v>
      </c>
      <c r="O1492">
        <v>76</v>
      </c>
      <c r="S1492">
        <f t="shared" si="233"/>
        <v>1</v>
      </c>
      <c r="T1492">
        <f t="shared" si="234"/>
        <v>1</v>
      </c>
      <c r="U1492">
        <f t="shared" si="235"/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15</v>
      </c>
      <c r="AG1492">
        <f t="shared" si="236"/>
        <v>1</v>
      </c>
      <c r="AH1492">
        <f t="shared" si="237"/>
        <v>0</v>
      </c>
      <c r="AI1492">
        <f t="shared" si="238"/>
        <v>1</v>
      </c>
      <c r="AJ1492">
        <v>4.5999999999999996</v>
      </c>
      <c r="AK1492">
        <v>1013.5</v>
      </c>
      <c r="AL1492">
        <v>34.1</v>
      </c>
      <c r="AM1492">
        <v>6.6</v>
      </c>
      <c r="AN1492">
        <v>0</v>
      </c>
      <c r="AO1492">
        <v>0</v>
      </c>
      <c r="AP1492">
        <v>0</v>
      </c>
      <c r="AQ1492">
        <v>0</v>
      </c>
      <c r="AR1492" t="s">
        <v>5029</v>
      </c>
      <c r="AS1492" t="s">
        <v>5030</v>
      </c>
      <c r="AT1492">
        <v>0.19</v>
      </c>
      <c r="AU1492" t="s">
        <v>43</v>
      </c>
      <c r="AV1492" t="s">
        <v>44</v>
      </c>
      <c r="AW1492" t="s">
        <v>45</v>
      </c>
      <c r="AX1492" t="s">
        <v>2592</v>
      </c>
      <c r="AY1492" t="s">
        <v>5031</v>
      </c>
      <c r="AZ1492">
        <v>1090.0000000011639</v>
      </c>
      <c r="BA1492">
        <v>1</v>
      </c>
      <c r="BB1492">
        <v>0</v>
      </c>
      <c r="BC1492">
        <v>180</v>
      </c>
      <c r="BD1492">
        <v>0</v>
      </c>
      <c r="BE1492">
        <f t="shared" si="239"/>
        <v>0</v>
      </c>
    </row>
    <row r="1493" spans="1:57" x14ac:dyDescent="0.25">
      <c r="A1493" t="s">
        <v>39</v>
      </c>
      <c r="B1493" t="s">
        <v>5032</v>
      </c>
      <c r="C1493">
        <v>84.2</v>
      </c>
      <c r="D1493">
        <v>66.2</v>
      </c>
      <c r="G1493">
        <f t="shared" si="230"/>
        <v>1</v>
      </c>
      <c r="H1493">
        <f t="shared" si="231"/>
        <v>1</v>
      </c>
      <c r="I1493">
        <f t="shared" si="232"/>
        <v>0</v>
      </c>
      <c r="J1493">
        <v>75.400000000000006</v>
      </c>
      <c r="K1493">
        <v>89.6</v>
      </c>
      <c r="L1493">
        <v>66.2</v>
      </c>
      <c r="M1493">
        <v>77.2</v>
      </c>
      <c r="N1493">
        <v>65.900000000000006</v>
      </c>
      <c r="O1493">
        <v>72.599999999999994</v>
      </c>
      <c r="S1493">
        <f t="shared" si="233"/>
        <v>1</v>
      </c>
      <c r="T1493">
        <f t="shared" si="234"/>
        <v>1</v>
      </c>
      <c r="U1493">
        <f t="shared" si="235"/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8.1</v>
      </c>
      <c r="AG1493">
        <f t="shared" si="236"/>
        <v>1</v>
      </c>
      <c r="AH1493">
        <f t="shared" si="237"/>
        <v>0</v>
      </c>
      <c r="AI1493">
        <f t="shared" si="238"/>
        <v>1</v>
      </c>
      <c r="AJ1493">
        <v>220.3</v>
      </c>
      <c r="AK1493">
        <v>1014.5</v>
      </c>
      <c r="AL1493">
        <v>64.8</v>
      </c>
      <c r="AM1493">
        <v>6.2</v>
      </c>
      <c r="AN1493">
        <v>0</v>
      </c>
      <c r="AO1493">
        <v>0</v>
      </c>
      <c r="AP1493">
        <v>0</v>
      </c>
      <c r="AQ1493">
        <v>0</v>
      </c>
      <c r="AR1493" t="s">
        <v>5033</v>
      </c>
      <c r="AS1493" t="s">
        <v>5034</v>
      </c>
      <c r="AT1493">
        <v>0.4</v>
      </c>
      <c r="AU1493" t="s">
        <v>43</v>
      </c>
      <c r="AV1493" t="s">
        <v>44</v>
      </c>
      <c r="AW1493" t="s">
        <v>45</v>
      </c>
      <c r="AX1493" t="s">
        <v>2366</v>
      </c>
      <c r="AY1493" t="s">
        <v>5035</v>
      </c>
      <c r="AZ1493">
        <v>1680.9999999997669</v>
      </c>
      <c r="BA1493">
        <v>1</v>
      </c>
      <c r="BB1493">
        <v>0</v>
      </c>
      <c r="BC1493">
        <v>150</v>
      </c>
      <c r="BD1493">
        <v>0</v>
      </c>
      <c r="BE1493">
        <f t="shared" si="239"/>
        <v>1</v>
      </c>
    </row>
    <row r="1494" spans="1:57" x14ac:dyDescent="0.25">
      <c r="A1494" t="s">
        <v>39</v>
      </c>
      <c r="B1494" t="s">
        <v>5036</v>
      </c>
      <c r="C1494">
        <v>82.4</v>
      </c>
      <c r="D1494">
        <v>68</v>
      </c>
      <c r="G1494">
        <f t="shared" si="230"/>
        <v>1</v>
      </c>
      <c r="H1494">
        <f t="shared" si="231"/>
        <v>1</v>
      </c>
      <c r="I1494">
        <f t="shared" si="232"/>
        <v>0</v>
      </c>
      <c r="J1494">
        <v>75.2</v>
      </c>
      <c r="K1494">
        <v>87.2</v>
      </c>
      <c r="L1494">
        <v>68</v>
      </c>
      <c r="M1494">
        <v>76.3</v>
      </c>
      <c r="N1494">
        <v>66.5</v>
      </c>
      <c r="O1494">
        <v>74.7</v>
      </c>
      <c r="S1494">
        <f t="shared" si="233"/>
        <v>1</v>
      </c>
      <c r="T1494">
        <f t="shared" si="234"/>
        <v>1</v>
      </c>
      <c r="U1494">
        <f t="shared" si="235"/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19.5</v>
      </c>
      <c r="AG1494">
        <f t="shared" si="236"/>
        <v>1</v>
      </c>
      <c r="AH1494">
        <f t="shared" si="237"/>
        <v>1</v>
      </c>
      <c r="AI1494">
        <f t="shared" si="238"/>
        <v>0</v>
      </c>
      <c r="AJ1494">
        <v>318</v>
      </c>
      <c r="AK1494">
        <v>1014.5</v>
      </c>
      <c r="AL1494">
        <v>1.9</v>
      </c>
      <c r="AM1494">
        <v>6.2</v>
      </c>
      <c r="AN1494">
        <v>0</v>
      </c>
      <c r="AO1494">
        <v>0</v>
      </c>
      <c r="AP1494">
        <v>0</v>
      </c>
      <c r="AQ1494">
        <v>0</v>
      </c>
      <c r="AR1494" t="s">
        <v>5037</v>
      </c>
      <c r="AS1494" t="s">
        <v>5038</v>
      </c>
      <c r="AT1494">
        <v>0.5</v>
      </c>
      <c r="AU1494" t="s">
        <v>74</v>
      </c>
      <c r="AV1494" t="s">
        <v>2955</v>
      </c>
      <c r="AW1494" t="s">
        <v>75</v>
      </c>
      <c r="AX1494" t="s">
        <v>4371</v>
      </c>
      <c r="AY1494" t="s">
        <v>5039</v>
      </c>
      <c r="AZ1494">
        <v>1255.9999999974391</v>
      </c>
      <c r="BA1494">
        <v>1</v>
      </c>
      <c r="BB1494">
        <v>0</v>
      </c>
      <c r="BC1494">
        <v>200</v>
      </c>
      <c r="BD1494">
        <v>0</v>
      </c>
      <c r="BE1494">
        <f t="shared" si="239"/>
        <v>1</v>
      </c>
    </row>
    <row r="1495" spans="1:57" x14ac:dyDescent="0.25">
      <c r="A1495" t="s">
        <v>39</v>
      </c>
      <c r="B1495" t="s">
        <v>5040</v>
      </c>
      <c r="C1495">
        <v>80.599999999999994</v>
      </c>
      <c r="D1495">
        <v>68</v>
      </c>
      <c r="G1495">
        <f t="shared" si="230"/>
        <v>1</v>
      </c>
      <c r="H1495">
        <f t="shared" si="231"/>
        <v>1</v>
      </c>
      <c r="I1495">
        <f t="shared" si="232"/>
        <v>0</v>
      </c>
      <c r="J1495">
        <v>75.099999999999994</v>
      </c>
      <c r="K1495">
        <v>83.3</v>
      </c>
      <c r="L1495">
        <v>68</v>
      </c>
      <c r="M1495">
        <v>75.400000000000006</v>
      </c>
      <c r="N1495">
        <v>65.3</v>
      </c>
      <c r="O1495">
        <v>71.7</v>
      </c>
      <c r="S1495">
        <f t="shared" si="233"/>
        <v>1</v>
      </c>
      <c r="T1495">
        <f t="shared" si="234"/>
        <v>1</v>
      </c>
      <c r="U1495">
        <f t="shared" si="235"/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17.2</v>
      </c>
      <c r="AG1495">
        <f t="shared" si="236"/>
        <v>0</v>
      </c>
      <c r="AH1495">
        <f t="shared" si="237"/>
        <v>0</v>
      </c>
      <c r="AI1495">
        <f t="shared" si="238"/>
        <v>0</v>
      </c>
      <c r="AJ1495">
        <v>298.60000000000002</v>
      </c>
      <c r="AK1495">
        <v>1012.6</v>
      </c>
      <c r="AL1495">
        <v>20.5</v>
      </c>
      <c r="AM1495">
        <v>6.5</v>
      </c>
      <c r="AN1495">
        <v>0</v>
      </c>
      <c r="AO1495">
        <v>0</v>
      </c>
      <c r="AP1495">
        <v>0</v>
      </c>
      <c r="AQ1495">
        <v>0</v>
      </c>
      <c r="AR1495" t="s">
        <v>5041</v>
      </c>
      <c r="AS1495" t="s">
        <v>5042</v>
      </c>
      <c r="AT1495">
        <v>0.64</v>
      </c>
      <c r="AU1495" t="s">
        <v>43</v>
      </c>
      <c r="AV1495" t="s">
        <v>44</v>
      </c>
      <c r="AW1495" t="s">
        <v>45</v>
      </c>
      <c r="AX1495" t="s">
        <v>5043</v>
      </c>
      <c r="AY1495" t="s">
        <v>5044</v>
      </c>
      <c r="AZ1495">
        <v>1711.0000000032601</v>
      </c>
      <c r="BA1495">
        <v>1</v>
      </c>
      <c r="BB1495">
        <v>0</v>
      </c>
      <c r="BC1495">
        <v>10</v>
      </c>
      <c r="BD1495">
        <v>0</v>
      </c>
      <c r="BE1495">
        <f t="shared" si="239"/>
        <v>1</v>
      </c>
    </row>
    <row r="1496" spans="1:57" x14ac:dyDescent="0.25">
      <c r="A1496" t="s">
        <v>39</v>
      </c>
      <c r="B1496" t="s">
        <v>5040</v>
      </c>
      <c r="C1496">
        <v>80.599999999999994</v>
      </c>
      <c r="D1496">
        <v>68</v>
      </c>
      <c r="G1496">
        <f t="shared" si="230"/>
        <v>1</v>
      </c>
      <c r="H1496">
        <f t="shared" si="231"/>
        <v>1</v>
      </c>
      <c r="I1496">
        <f t="shared" si="232"/>
        <v>0</v>
      </c>
      <c r="J1496">
        <v>75.099999999999994</v>
      </c>
      <c r="K1496">
        <v>83.3</v>
      </c>
      <c r="L1496">
        <v>68</v>
      </c>
      <c r="M1496">
        <v>75.400000000000006</v>
      </c>
      <c r="N1496">
        <v>65.3</v>
      </c>
      <c r="O1496">
        <v>71.7</v>
      </c>
      <c r="S1496">
        <f t="shared" si="233"/>
        <v>1</v>
      </c>
      <c r="T1496">
        <f t="shared" si="234"/>
        <v>1</v>
      </c>
      <c r="U1496">
        <f t="shared" si="235"/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17.2</v>
      </c>
      <c r="AG1496">
        <f t="shared" si="236"/>
        <v>0</v>
      </c>
      <c r="AH1496">
        <f t="shared" si="237"/>
        <v>0</v>
      </c>
      <c r="AI1496">
        <f t="shared" si="238"/>
        <v>0</v>
      </c>
      <c r="AJ1496">
        <v>298.60000000000002</v>
      </c>
      <c r="AK1496">
        <v>1012.6</v>
      </c>
      <c r="AL1496">
        <v>20.5</v>
      </c>
      <c r="AM1496">
        <v>6.5</v>
      </c>
      <c r="AN1496">
        <v>0</v>
      </c>
      <c r="AO1496">
        <v>0</v>
      </c>
      <c r="AP1496">
        <v>0</v>
      </c>
      <c r="AQ1496">
        <v>0</v>
      </c>
      <c r="AR1496" t="s">
        <v>5041</v>
      </c>
      <c r="AS1496" t="s">
        <v>5042</v>
      </c>
      <c r="AT1496">
        <v>0.64</v>
      </c>
      <c r="AU1496" t="s">
        <v>43</v>
      </c>
      <c r="AV1496" t="s">
        <v>44</v>
      </c>
      <c r="AW1496" t="s">
        <v>45</v>
      </c>
      <c r="AX1496" t="s">
        <v>2476</v>
      </c>
      <c r="AY1496" t="s">
        <v>5045</v>
      </c>
      <c r="AZ1496">
        <v>1710</v>
      </c>
      <c r="BA1496">
        <v>1</v>
      </c>
      <c r="BB1496">
        <v>0</v>
      </c>
      <c r="BC1496">
        <v>80</v>
      </c>
      <c r="BD1496">
        <v>0</v>
      </c>
      <c r="BE1496">
        <f t="shared" si="239"/>
        <v>1</v>
      </c>
    </row>
    <row r="1497" spans="1:57" x14ac:dyDescent="0.25">
      <c r="A1497" t="s">
        <v>39</v>
      </c>
      <c r="B1497" t="s">
        <v>4699</v>
      </c>
      <c r="C1497">
        <v>77</v>
      </c>
      <c r="D1497">
        <v>62.6</v>
      </c>
      <c r="G1497">
        <f t="shared" si="230"/>
        <v>1</v>
      </c>
      <c r="H1497">
        <f t="shared" si="231"/>
        <v>1</v>
      </c>
      <c r="I1497">
        <f t="shared" si="232"/>
        <v>0</v>
      </c>
      <c r="J1497">
        <v>71.599999999999994</v>
      </c>
      <c r="K1497">
        <v>77</v>
      </c>
      <c r="L1497">
        <v>62.6</v>
      </c>
      <c r="M1497">
        <v>71.599999999999994</v>
      </c>
      <c r="N1497">
        <v>61.1</v>
      </c>
      <c r="O1497">
        <v>69.900000000000006</v>
      </c>
      <c r="S1497">
        <f t="shared" si="233"/>
        <v>1</v>
      </c>
      <c r="T1497">
        <f t="shared" si="234"/>
        <v>1</v>
      </c>
      <c r="U1497">
        <f t="shared" si="235"/>
        <v>0</v>
      </c>
      <c r="V1497">
        <v>1.2E-2</v>
      </c>
      <c r="W1497">
        <v>100</v>
      </c>
      <c r="X1497">
        <v>4.17</v>
      </c>
      <c r="Y1497" t="s">
        <v>103</v>
      </c>
      <c r="Z1497">
        <v>0</v>
      </c>
      <c r="AA1497">
        <v>0</v>
      </c>
      <c r="AB1497">
        <v>39.1</v>
      </c>
      <c r="AC1497">
        <v>27.5</v>
      </c>
      <c r="AG1497">
        <f t="shared" si="236"/>
        <v>1</v>
      </c>
      <c r="AH1497">
        <f t="shared" si="237"/>
        <v>1</v>
      </c>
      <c r="AI1497">
        <f t="shared" si="238"/>
        <v>0</v>
      </c>
      <c r="AJ1497">
        <v>174.4</v>
      </c>
      <c r="AK1497">
        <v>1010.6</v>
      </c>
      <c r="AL1497">
        <v>95.5</v>
      </c>
      <c r="AM1497">
        <v>6.6</v>
      </c>
      <c r="AN1497">
        <v>0</v>
      </c>
      <c r="AO1497">
        <v>0</v>
      </c>
      <c r="AP1497">
        <v>0</v>
      </c>
      <c r="AQ1497">
        <v>0</v>
      </c>
      <c r="AR1497" t="s">
        <v>4700</v>
      </c>
      <c r="AS1497" t="s">
        <v>4701</v>
      </c>
      <c r="AT1497">
        <v>0.59</v>
      </c>
      <c r="AU1497" t="s">
        <v>1357</v>
      </c>
      <c r="AV1497" t="s">
        <v>2819</v>
      </c>
      <c r="AW1497" t="s">
        <v>103</v>
      </c>
      <c r="AX1497" t="s">
        <v>5046</v>
      </c>
      <c r="AY1497" t="s">
        <v>5047</v>
      </c>
      <c r="AZ1497">
        <v>156.00000000558791</v>
      </c>
      <c r="BA1497">
        <v>0</v>
      </c>
      <c r="BB1497">
        <v>0</v>
      </c>
      <c r="BC1497">
        <v>1</v>
      </c>
      <c r="BD1497">
        <v>0</v>
      </c>
      <c r="BE1497">
        <f t="shared" si="239"/>
        <v>1</v>
      </c>
    </row>
    <row r="1498" spans="1:57" x14ac:dyDescent="0.25">
      <c r="A1498" t="s">
        <v>39</v>
      </c>
      <c r="B1498" t="s">
        <v>4699</v>
      </c>
      <c r="C1498">
        <v>77</v>
      </c>
      <c r="D1498">
        <v>62.6</v>
      </c>
      <c r="G1498">
        <f t="shared" si="230"/>
        <v>1</v>
      </c>
      <c r="H1498">
        <f t="shared" si="231"/>
        <v>1</v>
      </c>
      <c r="I1498">
        <f t="shared" si="232"/>
        <v>0</v>
      </c>
      <c r="J1498">
        <v>71.599999999999994</v>
      </c>
      <c r="K1498">
        <v>77</v>
      </c>
      <c r="L1498">
        <v>62.6</v>
      </c>
      <c r="M1498">
        <v>71.599999999999994</v>
      </c>
      <c r="N1498">
        <v>61.1</v>
      </c>
      <c r="O1498">
        <v>69.900000000000006</v>
      </c>
      <c r="S1498">
        <f t="shared" si="233"/>
        <v>1</v>
      </c>
      <c r="T1498">
        <f t="shared" si="234"/>
        <v>1</v>
      </c>
      <c r="U1498">
        <f t="shared" si="235"/>
        <v>0</v>
      </c>
      <c r="V1498">
        <v>1.2E-2</v>
      </c>
      <c r="W1498">
        <v>100</v>
      </c>
      <c r="X1498">
        <v>4.17</v>
      </c>
      <c r="Y1498" t="s">
        <v>103</v>
      </c>
      <c r="Z1498">
        <v>0</v>
      </c>
      <c r="AA1498">
        <v>0</v>
      </c>
      <c r="AB1498">
        <v>39.1</v>
      </c>
      <c r="AC1498">
        <v>27.5</v>
      </c>
      <c r="AG1498">
        <f t="shared" si="236"/>
        <v>1</v>
      </c>
      <c r="AH1498">
        <f t="shared" si="237"/>
        <v>1</v>
      </c>
      <c r="AI1498">
        <f t="shared" si="238"/>
        <v>0</v>
      </c>
      <c r="AJ1498">
        <v>174.4</v>
      </c>
      <c r="AK1498">
        <v>1010.6</v>
      </c>
      <c r="AL1498">
        <v>95.5</v>
      </c>
      <c r="AM1498">
        <v>6.6</v>
      </c>
      <c r="AN1498">
        <v>0</v>
      </c>
      <c r="AO1498">
        <v>0</v>
      </c>
      <c r="AP1498">
        <v>0</v>
      </c>
      <c r="AQ1498">
        <v>0</v>
      </c>
      <c r="AR1498" t="s">
        <v>4700</v>
      </c>
      <c r="AS1498" t="s">
        <v>4701</v>
      </c>
      <c r="AT1498">
        <v>0.59</v>
      </c>
      <c r="AU1498" t="s">
        <v>1357</v>
      </c>
      <c r="AV1498" t="s">
        <v>2819</v>
      </c>
      <c r="AW1498" t="s">
        <v>103</v>
      </c>
      <c r="AX1498" t="s">
        <v>4610</v>
      </c>
      <c r="AY1498" t="s">
        <v>5048</v>
      </c>
      <c r="AZ1498">
        <v>140.99999999860299</v>
      </c>
      <c r="BA1498">
        <v>0</v>
      </c>
      <c r="BB1498">
        <v>0</v>
      </c>
      <c r="BC1498">
        <v>1</v>
      </c>
      <c r="BD1498">
        <v>0</v>
      </c>
      <c r="BE1498">
        <f t="shared" si="239"/>
        <v>1</v>
      </c>
    </row>
    <row r="1499" spans="1:57" x14ac:dyDescent="0.25">
      <c r="A1499" t="s">
        <v>39</v>
      </c>
      <c r="B1499" t="s">
        <v>5049</v>
      </c>
      <c r="C1499">
        <v>66.2</v>
      </c>
      <c r="D1499">
        <v>55.8</v>
      </c>
      <c r="G1499">
        <f t="shared" si="230"/>
        <v>0</v>
      </c>
      <c r="H1499">
        <f t="shared" si="231"/>
        <v>0</v>
      </c>
      <c r="I1499">
        <f t="shared" si="232"/>
        <v>0</v>
      </c>
      <c r="J1499">
        <v>63.3</v>
      </c>
      <c r="K1499">
        <v>66.2</v>
      </c>
      <c r="L1499">
        <v>55.8</v>
      </c>
      <c r="M1499">
        <v>63.3</v>
      </c>
      <c r="N1499">
        <v>51.9</v>
      </c>
      <c r="O1499">
        <v>66.8</v>
      </c>
      <c r="S1499">
        <f t="shared" si="233"/>
        <v>0</v>
      </c>
      <c r="T1499">
        <f t="shared" si="234"/>
        <v>0</v>
      </c>
      <c r="U1499">
        <f t="shared" si="235"/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24.2</v>
      </c>
      <c r="AG1499">
        <f t="shared" si="236"/>
        <v>1</v>
      </c>
      <c r="AH1499">
        <f t="shared" si="237"/>
        <v>1</v>
      </c>
      <c r="AI1499">
        <f t="shared" si="238"/>
        <v>0</v>
      </c>
      <c r="AJ1499">
        <v>338.3</v>
      </c>
      <c r="AK1499">
        <v>1016.1</v>
      </c>
      <c r="AL1499">
        <v>56.6</v>
      </c>
      <c r="AM1499">
        <v>6.6</v>
      </c>
      <c r="AN1499">
        <v>0</v>
      </c>
      <c r="AO1499">
        <v>0</v>
      </c>
      <c r="AP1499">
        <v>0</v>
      </c>
      <c r="AQ1499">
        <v>0</v>
      </c>
      <c r="AR1499" t="s">
        <v>5050</v>
      </c>
      <c r="AS1499" t="s">
        <v>5051</v>
      </c>
      <c r="AT1499">
        <v>0.88</v>
      </c>
      <c r="AU1499" t="s">
        <v>43</v>
      </c>
      <c r="AV1499" t="s">
        <v>44</v>
      </c>
      <c r="AW1499" t="s">
        <v>45</v>
      </c>
      <c r="AX1499" t="s">
        <v>5052</v>
      </c>
      <c r="AY1499" t="s">
        <v>5053</v>
      </c>
      <c r="AZ1499">
        <v>116.00000000093129</v>
      </c>
      <c r="BA1499">
        <v>0</v>
      </c>
      <c r="BB1499">
        <v>0</v>
      </c>
      <c r="BC1499">
        <v>1</v>
      </c>
      <c r="BD1499">
        <v>0</v>
      </c>
      <c r="BE1499">
        <f t="shared" si="239"/>
        <v>0</v>
      </c>
    </row>
    <row r="1500" spans="1:57" x14ac:dyDescent="0.25">
      <c r="A1500" t="s">
        <v>39</v>
      </c>
      <c r="B1500" t="s">
        <v>5054</v>
      </c>
      <c r="C1500">
        <v>66.2</v>
      </c>
      <c r="D1500">
        <v>59.1</v>
      </c>
      <c r="G1500">
        <f t="shared" si="230"/>
        <v>0</v>
      </c>
      <c r="H1500">
        <f t="shared" si="231"/>
        <v>0</v>
      </c>
      <c r="I1500">
        <f t="shared" si="232"/>
        <v>0</v>
      </c>
      <c r="J1500">
        <v>63.9</v>
      </c>
      <c r="K1500">
        <v>66.2</v>
      </c>
      <c r="L1500">
        <v>59.1</v>
      </c>
      <c r="M1500">
        <v>63.9</v>
      </c>
      <c r="N1500">
        <v>51.8</v>
      </c>
      <c r="O1500">
        <v>64.900000000000006</v>
      </c>
      <c r="S1500">
        <f t="shared" si="233"/>
        <v>0</v>
      </c>
      <c r="T1500">
        <f t="shared" si="234"/>
        <v>0</v>
      </c>
      <c r="U1500">
        <f t="shared" si="235"/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24.2</v>
      </c>
      <c r="AG1500">
        <f t="shared" si="236"/>
        <v>1</v>
      </c>
      <c r="AH1500">
        <f t="shared" si="237"/>
        <v>1</v>
      </c>
      <c r="AI1500">
        <f t="shared" si="238"/>
        <v>0</v>
      </c>
      <c r="AJ1500">
        <v>335.3</v>
      </c>
      <c r="AK1500">
        <v>1020.5</v>
      </c>
      <c r="AL1500">
        <v>43.7</v>
      </c>
      <c r="AM1500">
        <v>6.6</v>
      </c>
      <c r="AN1500">
        <v>0</v>
      </c>
      <c r="AO1500">
        <v>0</v>
      </c>
      <c r="AP1500">
        <v>0</v>
      </c>
      <c r="AQ1500">
        <v>0</v>
      </c>
      <c r="AR1500" t="s">
        <v>5055</v>
      </c>
      <c r="AS1500" t="s">
        <v>5056</v>
      </c>
      <c r="AT1500">
        <v>0.92</v>
      </c>
      <c r="AU1500" t="s">
        <v>43</v>
      </c>
      <c r="AV1500" t="s">
        <v>44</v>
      </c>
      <c r="AW1500" t="s">
        <v>45</v>
      </c>
      <c r="AX1500" t="s">
        <v>5057</v>
      </c>
      <c r="AY1500" t="s">
        <v>5058</v>
      </c>
      <c r="AZ1500">
        <v>111.00000000558791</v>
      </c>
      <c r="BA1500">
        <v>0</v>
      </c>
      <c r="BB1500">
        <v>1</v>
      </c>
      <c r="BC1500">
        <v>0</v>
      </c>
      <c r="BD1500">
        <v>0</v>
      </c>
      <c r="BE1500">
        <f t="shared" si="239"/>
        <v>0</v>
      </c>
    </row>
    <row r="1501" spans="1:57" x14ac:dyDescent="0.25">
      <c r="A1501" t="s">
        <v>39</v>
      </c>
      <c r="B1501" t="s">
        <v>5054</v>
      </c>
      <c r="C1501">
        <v>66.2</v>
      </c>
      <c r="D1501">
        <v>59.1</v>
      </c>
      <c r="G1501">
        <f t="shared" si="230"/>
        <v>0</v>
      </c>
      <c r="H1501">
        <f t="shared" si="231"/>
        <v>0</v>
      </c>
      <c r="I1501">
        <f t="shared" si="232"/>
        <v>0</v>
      </c>
      <c r="J1501">
        <v>63.9</v>
      </c>
      <c r="K1501">
        <v>66.2</v>
      </c>
      <c r="L1501">
        <v>59.1</v>
      </c>
      <c r="M1501">
        <v>63.9</v>
      </c>
      <c r="N1501">
        <v>51.8</v>
      </c>
      <c r="O1501">
        <v>64.900000000000006</v>
      </c>
      <c r="S1501">
        <f t="shared" si="233"/>
        <v>0</v>
      </c>
      <c r="T1501">
        <f t="shared" si="234"/>
        <v>0</v>
      </c>
      <c r="U1501">
        <f t="shared" si="235"/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24.2</v>
      </c>
      <c r="AG1501">
        <f t="shared" si="236"/>
        <v>1</v>
      </c>
      <c r="AH1501">
        <f t="shared" si="237"/>
        <v>1</v>
      </c>
      <c r="AI1501">
        <f t="shared" si="238"/>
        <v>0</v>
      </c>
      <c r="AJ1501">
        <v>335.3</v>
      </c>
      <c r="AK1501">
        <v>1020.5</v>
      </c>
      <c r="AL1501">
        <v>43.7</v>
      </c>
      <c r="AM1501">
        <v>6.6</v>
      </c>
      <c r="AN1501">
        <v>0</v>
      </c>
      <c r="AO1501">
        <v>0</v>
      </c>
      <c r="AP1501">
        <v>0</v>
      </c>
      <c r="AQ1501">
        <v>0</v>
      </c>
      <c r="AR1501" t="s">
        <v>5055</v>
      </c>
      <c r="AS1501" t="s">
        <v>5056</v>
      </c>
      <c r="AT1501">
        <v>0.92</v>
      </c>
      <c r="AU1501" t="s">
        <v>43</v>
      </c>
      <c r="AV1501" t="s">
        <v>44</v>
      </c>
      <c r="AW1501" t="s">
        <v>45</v>
      </c>
      <c r="AX1501" t="s">
        <v>4788</v>
      </c>
      <c r="AY1501" t="s">
        <v>5059</v>
      </c>
      <c r="AZ1501">
        <v>55.000000001164153</v>
      </c>
      <c r="BA1501">
        <v>0</v>
      </c>
      <c r="BB1501">
        <v>0</v>
      </c>
      <c r="BC1501">
        <v>1</v>
      </c>
      <c r="BD1501">
        <v>0</v>
      </c>
      <c r="BE1501">
        <f t="shared" si="239"/>
        <v>0</v>
      </c>
    </row>
    <row r="1502" spans="1:57" x14ac:dyDescent="0.25">
      <c r="A1502" t="s">
        <v>39</v>
      </c>
      <c r="B1502" t="s">
        <v>5060</v>
      </c>
      <c r="C1502">
        <v>68</v>
      </c>
      <c r="D1502">
        <v>58.4</v>
      </c>
      <c r="G1502">
        <f t="shared" si="230"/>
        <v>0</v>
      </c>
      <c r="H1502">
        <f t="shared" si="231"/>
        <v>0</v>
      </c>
      <c r="I1502">
        <f t="shared" si="232"/>
        <v>0</v>
      </c>
      <c r="J1502">
        <v>63</v>
      </c>
      <c r="K1502">
        <v>68</v>
      </c>
      <c r="L1502">
        <v>58.4</v>
      </c>
      <c r="M1502">
        <v>63</v>
      </c>
      <c r="N1502">
        <v>53.2</v>
      </c>
      <c r="O1502">
        <v>70.7</v>
      </c>
      <c r="S1502">
        <f t="shared" si="233"/>
        <v>1</v>
      </c>
      <c r="T1502">
        <f t="shared" si="234"/>
        <v>1</v>
      </c>
      <c r="U1502">
        <f t="shared" si="235"/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11.4</v>
      </c>
      <c r="AG1502">
        <f t="shared" si="236"/>
        <v>1</v>
      </c>
      <c r="AH1502">
        <f t="shared" si="237"/>
        <v>0</v>
      </c>
      <c r="AI1502">
        <f t="shared" si="238"/>
        <v>1</v>
      </c>
      <c r="AJ1502">
        <v>331.2</v>
      </c>
      <c r="AK1502">
        <v>1018.4</v>
      </c>
      <c r="AL1502">
        <v>69</v>
      </c>
      <c r="AM1502">
        <v>6.6</v>
      </c>
      <c r="AN1502">
        <v>0</v>
      </c>
      <c r="AO1502">
        <v>0</v>
      </c>
      <c r="AP1502">
        <v>0</v>
      </c>
      <c r="AQ1502">
        <v>0</v>
      </c>
      <c r="AR1502" t="s">
        <v>5061</v>
      </c>
      <c r="AS1502" t="s">
        <v>5062</v>
      </c>
      <c r="AT1502">
        <v>0.05</v>
      </c>
      <c r="AU1502" t="s">
        <v>43</v>
      </c>
      <c r="AV1502" t="s">
        <v>44</v>
      </c>
      <c r="AW1502" t="s">
        <v>45</v>
      </c>
      <c r="AX1502" t="s">
        <v>5063</v>
      </c>
      <c r="AY1502" t="s">
        <v>5064</v>
      </c>
      <c r="AZ1502">
        <v>14466.00000000559</v>
      </c>
      <c r="BA1502">
        <v>1</v>
      </c>
      <c r="BB1502">
        <v>0</v>
      </c>
      <c r="BC1502">
        <v>1</v>
      </c>
      <c r="BD1502">
        <v>0</v>
      </c>
      <c r="BE1502">
        <f t="shared" si="239"/>
        <v>0</v>
      </c>
    </row>
    <row r="1503" spans="1:57" x14ac:dyDescent="0.25">
      <c r="A1503" t="s">
        <v>39</v>
      </c>
      <c r="B1503" t="s">
        <v>5065</v>
      </c>
      <c r="C1503">
        <v>69.8</v>
      </c>
      <c r="D1503">
        <v>57.2</v>
      </c>
      <c r="G1503">
        <f t="shared" si="230"/>
        <v>1</v>
      </c>
      <c r="H1503">
        <f t="shared" si="231"/>
        <v>1</v>
      </c>
      <c r="I1503">
        <f t="shared" si="232"/>
        <v>0</v>
      </c>
      <c r="J1503">
        <v>63.2</v>
      </c>
      <c r="K1503">
        <v>69.8</v>
      </c>
      <c r="L1503">
        <v>57.2</v>
      </c>
      <c r="M1503">
        <v>63.2</v>
      </c>
      <c r="N1503">
        <v>56.8</v>
      </c>
      <c r="O1503">
        <v>80</v>
      </c>
      <c r="S1503">
        <f t="shared" si="233"/>
        <v>1</v>
      </c>
      <c r="T1503">
        <f t="shared" si="234"/>
        <v>1</v>
      </c>
      <c r="U1503">
        <f t="shared" si="235"/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17.2</v>
      </c>
      <c r="AG1503">
        <f t="shared" si="236"/>
        <v>0</v>
      </c>
      <c r="AH1503">
        <f t="shared" si="237"/>
        <v>0</v>
      </c>
      <c r="AI1503">
        <f t="shared" si="238"/>
        <v>0</v>
      </c>
      <c r="AJ1503">
        <v>117.5</v>
      </c>
      <c r="AK1503">
        <v>1016.1</v>
      </c>
      <c r="AL1503">
        <v>82.6</v>
      </c>
      <c r="AM1503">
        <v>6.6</v>
      </c>
      <c r="AN1503">
        <v>0</v>
      </c>
      <c r="AO1503">
        <v>0</v>
      </c>
      <c r="AP1503">
        <v>0</v>
      </c>
      <c r="AQ1503">
        <v>0</v>
      </c>
      <c r="AR1503" t="s">
        <v>5066</v>
      </c>
      <c r="AS1503" t="s">
        <v>5067</v>
      </c>
      <c r="AT1503">
        <v>0.08</v>
      </c>
      <c r="AU1503" t="s">
        <v>43</v>
      </c>
      <c r="AV1503" t="s">
        <v>44</v>
      </c>
      <c r="AW1503" t="s">
        <v>45</v>
      </c>
      <c r="AX1503" t="s">
        <v>4242</v>
      </c>
      <c r="AY1503" t="s">
        <v>5068</v>
      </c>
      <c r="AZ1503">
        <v>4639.9999999953434</v>
      </c>
      <c r="BA1503">
        <v>1</v>
      </c>
      <c r="BB1503">
        <v>0</v>
      </c>
      <c r="BC1503">
        <v>20</v>
      </c>
      <c r="BD1503">
        <v>0</v>
      </c>
      <c r="BE1503">
        <f t="shared" si="239"/>
        <v>1</v>
      </c>
    </row>
    <row r="1504" spans="1:57" x14ac:dyDescent="0.25">
      <c r="A1504" t="s">
        <v>39</v>
      </c>
      <c r="B1504" t="s">
        <v>5069</v>
      </c>
      <c r="C1504">
        <v>59</v>
      </c>
      <c r="D1504">
        <v>48.3</v>
      </c>
      <c r="G1504">
        <f t="shared" si="230"/>
        <v>1</v>
      </c>
      <c r="H1504">
        <f t="shared" si="231"/>
        <v>0</v>
      </c>
      <c r="I1504">
        <f t="shared" si="232"/>
        <v>1</v>
      </c>
      <c r="J1504">
        <v>53</v>
      </c>
      <c r="K1504">
        <v>59</v>
      </c>
      <c r="L1504">
        <v>45.2</v>
      </c>
      <c r="M1504">
        <v>52.8</v>
      </c>
      <c r="N1504">
        <v>46.6</v>
      </c>
      <c r="O1504">
        <v>79.8</v>
      </c>
      <c r="S1504">
        <f t="shared" si="233"/>
        <v>1</v>
      </c>
      <c r="T1504">
        <f t="shared" si="234"/>
        <v>1</v>
      </c>
      <c r="U1504">
        <f t="shared" si="235"/>
        <v>0</v>
      </c>
      <c r="V1504">
        <v>0.27900000000000003</v>
      </c>
      <c r="W1504">
        <v>100</v>
      </c>
      <c r="X1504">
        <v>12.5</v>
      </c>
      <c r="Y1504" t="s">
        <v>103</v>
      </c>
      <c r="Z1504">
        <v>0</v>
      </c>
      <c r="AA1504">
        <v>0</v>
      </c>
      <c r="AB1504">
        <v>0</v>
      </c>
      <c r="AC1504">
        <v>25.3</v>
      </c>
      <c r="AG1504">
        <f t="shared" si="236"/>
        <v>1</v>
      </c>
      <c r="AH1504">
        <f t="shared" si="237"/>
        <v>1</v>
      </c>
      <c r="AI1504">
        <f t="shared" si="238"/>
        <v>0</v>
      </c>
      <c r="AJ1504">
        <v>255.9</v>
      </c>
      <c r="AK1504">
        <v>1004.8</v>
      </c>
      <c r="AL1504">
        <v>74.099999999999994</v>
      </c>
      <c r="AM1504">
        <v>6.4</v>
      </c>
      <c r="AN1504">
        <v>0</v>
      </c>
      <c r="AO1504">
        <v>0</v>
      </c>
      <c r="AP1504">
        <v>0</v>
      </c>
      <c r="AQ1504">
        <v>0</v>
      </c>
      <c r="AR1504" t="s">
        <v>5070</v>
      </c>
      <c r="AS1504" t="s">
        <v>5071</v>
      </c>
      <c r="AT1504">
        <v>0.2</v>
      </c>
      <c r="AU1504" t="s">
        <v>106</v>
      </c>
      <c r="AV1504" t="s">
        <v>257</v>
      </c>
      <c r="AW1504" t="s">
        <v>103</v>
      </c>
      <c r="AX1504" t="s">
        <v>5072</v>
      </c>
      <c r="AY1504" t="s">
        <v>5073</v>
      </c>
      <c r="AZ1504">
        <v>120.9999999962747</v>
      </c>
      <c r="BA1504">
        <v>0</v>
      </c>
      <c r="BB1504">
        <v>0</v>
      </c>
      <c r="BC1504">
        <v>100</v>
      </c>
      <c r="BD1504">
        <v>0</v>
      </c>
      <c r="BE1504">
        <f t="shared" si="239"/>
        <v>1</v>
      </c>
    </row>
    <row r="1505" spans="1:57" x14ac:dyDescent="0.25">
      <c r="A1505" t="s">
        <v>39</v>
      </c>
      <c r="B1505" t="s">
        <v>5074</v>
      </c>
      <c r="C1505">
        <v>89.6</v>
      </c>
      <c r="D1505">
        <v>80.599999999999994</v>
      </c>
      <c r="G1505">
        <f t="shared" si="230"/>
        <v>1</v>
      </c>
      <c r="H1505">
        <f t="shared" si="231"/>
        <v>1</v>
      </c>
      <c r="I1505">
        <f t="shared" si="232"/>
        <v>0</v>
      </c>
      <c r="J1505">
        <v>85.5</v>
      </c>
      <c r="K1505">
        <v>98.2</v>
      </c>
      <c r="L1505">
        <v>84.6</v>
      </c>
      <c r="M1505">
        <v>90.9</v>
      </c>
      <c r="N1505">
        <v>71</v>
      </c>
      <c r="O1505">
        <v>62.3</v>
      </c>
      <c r="S1505">
        <f t="shared" si="233"/>
        <v>1</v>
      </c>
      <c r="T1505">
        <f t="shared" si="234"/>
        <v>1</v>
      </c>
      <c r="U1505">
        <f t="shared" si="235"/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18.3</v>
      </c>
      <c r="AG1505">
        <f t="shared" si="236"/>
        <v>0</v>
      </c>
      <c r="AH1505">
        <f t="shared" si="237"/>
        <v>0</v>
      </c>
      <c r="AI1505">
        <f t="shared" si="238"/>
        <v>0</v>
      </c>
      <c r="AJ1505">
        <v>309.2</v>
      </c>
      <c r="AK1505">
        <v>1009.1</v>
      </c>
      <c r="AL1505">
        <v>0</v>
      </c>
      <c r="AM1505">
        <v>6.2</v>
      </c>
      <c r="AN1505">
        <v>0</v>
      </c>
      <c r="AO1505">
        <v>0</v>
      </c>
      <c r="AP1505">
        <v>0</v>
      </c>
      <c r="AQ1505">
        <v>0</v>
      </c>
      <c r="AR1505" t="s">
        <v>5075</v>
      </c>
      <c r="AS1505" t="s">
        <v>5076</v>
      </c>
      <c r="AT1505">
        <v>0.7</v>
      </c>
      <c r="AU1505" t="s">
        <v>74</v>
      </c>
      <c r="AV1505" t="s">
        <v>2955</v>
      </c>
      <c r="AW1505" t="s">
        <v>75</v>
      </c>
      <c r="AX1505" t="s">
        <v>2572</v>
      </c>
      <c r="AY1505" t="s">
        <v>5077</v>
      </c>
      <c r="AZ1505">
        <v>1264.9999999953429</v>
      </c>
      <c r="BA1505">
        <v>1</v>
      </c>
      <c r="BB1505">
        <v>0</v>
      </c>
      <c r="BC1505">
        <v>5</v>
      </c>
      <c r="BD1505">
        <v>0</v>
      </c>
      <c r="BE1505">
        <f t="shared" si="239"/>
        <v>1</v>
      </c>
    </row>
    <row r="1506" spans="1:57" x14ac:dyDescent="0.25">
      <c r="A1506" t="s">
        <v>39</v>
      </c>
      <c r="B1506" t="s">
        <v>4953</v>
      </c>
      <c r="C1506">
        <v>86</v>
      </c>
      <c r="D1506">
        <v>69.8</v>
      </c>
      <c r="G1506">
        <f t="shared" si="230"/>
        <v>1</v>
      </c>
      <c r="H1506">
        <f t="shared" si="231"/>
        <v>1</v>
      </c>
      <c r="I1506">
        <f t="shared" si="232"/>
        <v>0</v>
      </c>
      <c r="J1506">
        <v>78.099999999999994</v>
      </c>
      <c r="K1506">
        <v>93.5</v>
      </c>
      <c r="L1506">
        <v>69.8</v>
      </c>
      <c r="M1506">
        <v>81.7</v>
      </c>
      <c r="N1506">
        <v>68.099999999999994</v>
      </c>
      <c r="O1506">
        <v>71.599999999999994</v>
      </c>
      <c r="S1506">
        <f t="shared" si="233"/>
        <v>1</v>
      </c>
      <c r="T1506">
        <f t="shared" si="234"/>
        <v>1</v>
      </c>
      <c r="U1506">
        <f t="shared" si="235"/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10.3</v>
      </c>
      <c r="AG1506">
        <f t="shared" si="236"/>
        <v>1</v>
      </c>
      <c r="AH1506">
        <f t="shared" si="237"/>
        <v>0</v>
      </c>
      <c r="AI1506">
        <f t="shared" si="238"/>
        <v>1</v>
      </c>
      <c r="AJ1506">
        <v>253.4</v>
      </c>
      <c r="AK1506">
        <v>1011.3</v>
      </c>
      <c r="AL1506">
        <v>12.7</v>
      </c>
      <c r="AM1506">
        <v>6.4</v>
      </c>
      <c r="AN1506">
        <v>0</v>
      </c>
      <c r="AO1506">
        <v>0</v>
      </c>
      <c r="AP1506">
        <v>0</v>
      </c>
      <c r="AQ1506">
        <v>0</v>
      </c>
      <c r="AR1506" t="s">
        <v>4954</v>
      </c>
      <c r="AS1506" t="s">
        <v>4955</v>
      </c>
      <c r="AT1506">
        <v>0.89</v>
      </c>
      <c r="AU1506" t="s">
        <v>74</v>
      </c>
      <c r="AV1506" t="s">
        <v>2955</v>
      </c>
      <c r="AW1506" t="s">
        <v>75</v>
      </c>
      <c r="AX1506" t="s">
        <v>5078</v>
      </c>
      <c r="AY1506" t="s">
        <v>5079</v>
      </c>
      <c r="AZ1506">
        <v>820.00000000116415</v>
      </c>
      <c r="BA1506">
        <v>1</v>
      </c>
      <c r="BB1506">
        <v>0</v>
      </c>
      <c r="BC1506">
        <v>5</v>
      </c>
      <c r="BD1506">
        <v>0</v>
      </c>
      <c r="BE1506">
        <f t="shared" si="239"/>
        <v>1</v>
      </c>
    </row>
    <row r="1507" spans="1:57" x14ac:dyDescent="0.25">
      <c r="A1507" t="s">
        <v>39</v>
      </c>
      <c r="B1507" t="s">
        <v>5080</v>
      </c>
      <c r="C1507">
        <v>86</v>
      </c>
      <c r="D1507">
        <v>78.8</v>
      </c>
      <c r="G1507">
        <f t="shared" si="230"/>
        <v>1</v>
      </c>
      <c r="H1507">
        <f t="shared" si="231"/>
        <v>1</v>
      </c>
      <c r="I1507">
        <f t="shared" si="232"/>
        <v>0</v>
      </c>
      <c r="J1507">
        <v>81.400000000000006</v>
      </c>
      <c r="K1507">
        <v>89.4</v>
      </c>
      <c r="L1507">
        <v>78.8</v>
      </c>
      <c r="M1507">
        <v>83</v>
      </c>
      <c r="N1507">
        <v>66.8</v>
      </c>
      <c r="O1507">
        <v>61.6</v>
      </c>
      <c r="S1507">
        <f t="shared" si="233"/>
        <v>0</v>
      </c>
      <c r="T1507">
        <f t="shared" si="234"/>
        <v>0</v>
      </c>
      <c r="U1507">
        <f t="shared" si="235"/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20.8</v>
      </c>
      <c r="AG1507">
        <f t="shared" si="236"/>
        <v>1</v>
      </c>
      <c r="AH1507">
        <f t="shared" si="237"/>
        <v>1</v>
      </c>
      <c r="AI1507">
        <f t="shared" si="238"/>
        <v>0</v>
      </c>
      <c r="AJ1507">
        <v>318.10000000000002</v>
      </c>
      <c r="AK1507">
        <v>1010.9</v>
      </c>
      <c r="AL1507">
        <v>19.7</v>
      </c>
      <c r="AM1507">
        <v>6.5</v>
      </c>
      <c r="AN1507">
        <v>0</v>
      </c>
      <c r="AO1507">
        <v>0</v>
      </c>
      <c r="AP1507">
        <v>0</v>
      </c>
      <c r="AQ1507">
        <v>0</v>
      </c>
      <c r="AR1507" t="s">
        <v>5081</v>
      </c>
      <c r="AS1507" t="s">
        <v>5082</v>
      </c>
      <c r="AT1507">
        <v>0.03</v>
      </c>
      <c r="AU1507" t="s">
        <v>74</v>
      </c>
      <c r="AV1507" t="s">
        <v>2955</v>
      </c>
      <c r="AW1507" t="s">
        <v>75</v>
      </c>
      <c r="AX1507" t="s">
        <v>2795</v>
      </c>
      <c r="AY1507" t="s">
        <v>5083</v>
      </c>
      <c r="AZ1507">
        <v>1045.0000000011639</v>
      </c>
      <c r="BA1507">
        <v>1</v>
      </c>
      <c r="BB1507">
        <v>2</v>
      </c>
      <c r="BC1507">
        <v>0</v>
      </c>
      <c r="BD1507">
        <v>0</v>
      </c>
      <c r="BE1507">
        <f t="shared" si="239"/>
        <v>1</v>
      </c>
    </row>
    <row r="1508" spans="1:57" x14ac:dyDescent="0.25">
      <c r="A1508" t="s">
        <v>39</v>
      </c>
      <c r="B1508" t="s">
        <v>4678</v>
      </c>
      <c r="C1508">
        <v>84.2</v>
      </c>
      <c r="D1508">
        <v>77</v>
      </c>
      <c r="G1508">
        <f t="shared" si="230"/>
        <v>0</v>
      </c>
      <c r="H1508">
        <f t="shared" si="231"/>
        <v>0</v>
      </c>
      <c r="I1508">
        <f t="shared" si="232"/>
        <v>0</v>
      </c>
      <c r="J1508">
        <v>80.099999999999994</v>
      </c>
      <c r="K1508">
        <v>86.5</v>
      </c>
      <c r="L1508">
        <v>77</v>
      </c>
      <c r="M1508">
        <v>80.900000000000006</v>
      </c>
      <c r="N1508">
        <v>65.599999999999994</v>
      </c>
      <c r="O1508">
        <v>61.6</v>
      </c>
      <c r="S1508">
        <f t="shared" si="233"/>
        <v>0</v>
      </c>
      <c r="T1508">
        <f t="shared" si="234"/>
        <v>0</v>
      </c>
      <c r="U1508">
        <f t="shared" si="235"/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20.8</v>
      </c>
      <c r="AG1508">
        <f t="shared" si="236"/>
        <v>1</v>
      </c>
      <c r="AH1508">
        <f t="shared" si="237"/>
        <v>1</v>
      </c>
      <c r="AI1508">
        <f t="shared" si="238"/>
        <v>0</v>
      </c>
      <c r="AJ1508">
        <v>324.60000000000002</v>
      </c>
      <c r="AK1508">
        <v>1013.1</v>
      </c>
      <c r="AL1508">
        <v>31.6</v>
      </c>
      <c r="AM1508">
        <v>6.6</v>
      </c>
      <c r="AN1508">
        <v>0</v>
      </c>
      <c r="AO1508">
        <v>0</v>
      </c>
      <c r="AP1508">
        <v>0</v>
      </c>
      <c r="AQ1508">
        <v>0</v>
      </c>
      <c r="AR1508" t="s">
        <v>4679</v>
      </c>
      <c r="AS1508" t="s">
        <v>4680</v>
      </c>
      <c r="AT1508">
        <v>0.06</v>
      </c>
      <c r="AU1508" t="s">
        <v>43</v>
      </c>
      <c r="AV1508" t="s">
        <v>44</v>
      </c>
      <c r="AW1508" t="s">
        <v>45</v>
      </c>
      <c r="AX1508" t="s">
        <v>4339</v>
      </c>
      <c r="AY1508" t="s">
        <v>5084</v>
      </c>
      <c r="AZ1508">
        <v>1019.999999993015</v>
      </c>
      <c r="BA1508">
        <v>1</v>
      </c>
      <c r="BB1508">
        <v>0</v>
      </c>
      <c r="BC1508">
        <v>2</v>
      </c>
      <c r="BD1508">
        <v>0</v>
      </c>
      <c r="BE1508">
        <f t="shared" si="239"/>
        <v>0</v>
      </c>
    </row>
    <row r="1509" spans="1:57" x14ac:dyDescent="0.25">
      <c r="A1509" t="s">
        <v>39</v>
      </c>
      <c r="B1509" t="s">
        <v>5016</v>
      </c>
      <c r="C1509">
        <v>78.900000000000006</v>
      </c>
      <c r="D1509">
        <v>66.2</v>
      </c>
      <c r="G1509">
        <f t="shared" si="230"/>
        <v>0</v>
      </c>
      <c r="H1509">
        <f t="shared" si="231"/>
        <v>0</v>
      </c>
      <c r="I1509">
        <f t="shared" si="232"/>
        <v>0</v>
      </c>
      <c r="J1509">
        <v>73.900000000000006</v>
      </c>
      <c r="K1509">
        <v>78.900000000000006</v>
      </c>
      <c r="L1509">
        <v>66.2</v>
      </c>
      <c r="M1509">
        <v>73.900000000000006</v>
      </c>
      <c r="N1509">
        <v>67.3</v>
      </c>
      <c r="O1509">
        <v>80.5</v>
      </c>
      <c r="S1509">
        <f t="shared" si="233"/>
        <v>1</v>
      </c>
      <c r="T1509">
        <f t="shared" si="234"/>
        <v>1</v>
      </c>
      <c r="U1509">
        <f t="shared" si="235"/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11.4</v>
      </c>
      <c r="AG1509">
        <f t="shared" si="236"/>
        <v>1</v>
      </c>
      <c r="AH1509">
        <f t="shared" si="237"/>
        <v>0</v>
      </c>
      <c r="AI1509">
        <f t="shared" si="238"/>
        <v>1</v>
      </c>
      <c r="AJ1509">
        <v>330.3</v>
      </c>
      <c r="AK1509">
        <v>1012.1</v>
      </c>
      <c r="AL1509">
        <v>29.7</v>
      </c>
      <c r="AM1509">
        <v>6.6</v>
      </c>
      <c r="AN1509">
        <v>0</v>
      </c>
      <c r="AO1509">
        <v>0</v>
      </c>
      <c r="AP1509">
        <v>0</v>
      </c>
      <c r="AQ1509">
        <v>0</v>
      </c>
      <c r="AR1509" t="s">
        <v>5017</v>
      </c>
      <c r="AS1509" t="s">
        <v>5018</v>
      </c>
      <c r="AT1509">
        <v>0.12</v>
      </c>
      <c r="AU1509" t="s">
        <v>43</v>
      </c>
      <c r="AV1509" t="s">
        <v>44</v>
      </c>
      <c r="AW1509" t="s">
        <v>45</v>
      </c>
      <c r="AX1509" t="s">
        <v>5085</v>
      </c>
      <c r="AY1509" t="s">
        <v>5086</v>
      </c>
      <c r="AZ1509">
        <v>95.999999998603016</v>
      </c>
      <c r="BA1509">
        <v>0</v>
      </c>
      <c r="BB1509">
        <v>100</v>
      </c>
      <c r="BC1509">
        <v>0</v>
      </c>
      <c r="BD1509">
        <v>0</v>
      </c>
      <c r="BE1509">
        <f t="shared" si="239"/>
        <v>0</v>
      </c>
    </row>
    <row r="1510" spans="1:57" x14ac:dyDescent="0.25">
      <c r="A1510" t="s">
        <v>39</v>
      </c>
      <c r="B1510" t="s">
        <v>5087</v>
      </c>
      <c r="C1510">
        <v>82.4</v>
      </c>
      <c r="D1510">
        <v>69.8</v>
      </c>
      <c r="G1510">
        <f t="shared" si="230"/>
        <v>1</v>
      </c>
      <c r="H1510">
        <f t="shared" si="231"/>
        <v>1</v>
      </c>
      <c r="I1510">
        <f t="shared" si="232"/>
        <v>0</v>
      </c>
      <c r="J1510">
        <v>75.400000000000006</v>
      </c>
      <c r="K1510">
        <v>82.5</v>
      </c>
      <c r="L1510">
        <v>69.8</v>
      </c>
      <c r="M1510">
        <v>75.400000000000006</v>
      </c>
      <c r="N1510">
        <v>61</v>
      </c>
      <c r="O1510">
        <v>62.5</v>
      </c>
      <c r="S1510">
        <f t="shared" si="233"/>
        <v>1</v>
      </c>
      <c r="T1510">
        <f t="shared" si="234"/>
        <v>0</v>
      </c>
      <c r="U1510">
        <f t="shared" si="235"/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47.2</v>
      </c>
      <c r="AC1510">
        <v>35.6</v>
      </c>
      <c r="AG1510">
        <f t="shared" si="236"/>
        <v>1</v>
      </c>
      <c r="AH1510">
        <f t="shared" si="237"/>
        <v>1</v>
      </c>
      <c r="AI1510">
        <f t="shared" si="238"/>
        <v>0</v>
      </c>
      <c r="AJ1510">
        <v>180.2</v>
      </c>
      <c r="AK1510">
        <v>1010.6</v>
      </c>
      <c r="AL1510">
        <v>31.1</v>
      </c>
      <c r="AM1510">
        <v>6.4</v>
      </c>
      <c r="AN1510">
        <v>0</v>
      </c>
      <c r="AO1510">
        <v>0</v>
      </c>
      <c r="AP1510">
        <v>0</v>
      </c>
      <c r="AQ1510">
        <v>0</v>
      </c>
      <c r="AR1510" t="s">
        <v>5088</v>
      </c>
      <c r="AS1510" t="s">
        <v>5089</v>
      </c>
      <c r="AT1510">
        <v>0.45</v>
      </c>
      <c r="AU1510" t="s">
        <v>43</v>
      </c>
      <c r="AV1510" t="s">
        <v>44</v>
      </c>
      <c r="AW1510" t="s">
        <v>419</v>
      </c>
      <c r="AX1510" t="s">
        <v>2481</v>
      </c>
      <c r="AY1510" t="s">
        <v>5090</v>
      </c>
      <c r="AZ1510">
        <v>419.99999999650748</v>
      </c>
      <c r="BA1510">
        <v>1</v>
      </c>
      <c r="BB1510">
        <v>0</v>
      </c>
      <c r="BC1510">
        <v>0.1</v>
      </c>
      <c r="BD1510">
        <v>0</v>
      </c>
      <c r="BE1510">
        <f t="shared" si="239"/>
        <v>1</v>
      </c>
    </row>
    <row r="1511" spans="1:57" x14ac:dyDescent="0.25">
      <c r="A1511" t="s">
        <v>39</v>
      </c>
      <c r="B1511" t="s">
        <v>5091</v>
      </c>
      <c r="C1511">
        <v>78.8</v>
      </c>
      <c r="D1511">
        <v>60.7</v>
      </c>
      <c r="G1511">
        <f t="shared" si="230"/>
        <v>1</v>
      </c>
      <c r="H1511">
        <f t="shared" si="231"/>
        <v>1</v>
      </c>
      <c r="I1511">
        <f t="shared" si="232"/>
        <v>0</v>
      </c>
      <c r="J1511">
        <v>66.400000000000006</v>
      </c>
      <c r="K1511">
        <v>78.8</v>
      </c>
      <c r="L1511">
        <v>60.7</v>
      </c>
      <c r="M1511">
        <v>66.400000000000006</v>
      </c>
      <c r="N1511">
        <v>45.3</v>
      </c>
      <c r="O1511">
        <v>48.8</v>
      </c>
      <c r="S1511">
        <f t="shared" si="233"/>
        <v>1</v>
      </c>
      <c r="T1511">
        <f t="shared" si="234"/>
        <v>0</v>
      </c>
      <c r="U1511">
        <f t="shared" si="235"/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61.1</v>
      </c>
      <c r="AC1511">
        <v>42.5</v>
      </c>
      <c r="AG1511">
        <f t="shared" si="236"/>
        <v>1</v>
      </c>
      <c r="AH1511">
        <f t="shared" si="237"/>
        <v>1</v>
      </c>
      <c r="AI1511">
        <f t="shared" si="238"/>
        <v>0</v>
      </c>
      <c r="AJ1511">
        <v>231.1</v>
      </c>
      <c r="AK1511">
        <v>997.3</v>
      </c>
      <c r="AL1511">
        <v>54.4</v>
      </c>
      <c r="AM1511">
        <v>6.5</v>
      </c>
      <c r="AN1511">
        <v>238.9</v>
      </c>
      <c r="AO1511">
        <v>20.7</v>
      </c>
      <c r="AP1511">
        <v>7</v>
      </c>
      <c r="AQ1511">
        <v>0</v>
      </c>
      <c r="AR1511" t="s">
        <v>5092</v>
      </c>
      <c r="AS1511" t="s">
        <v>5093</v>
      </c>
      <c r="AT1511">
        <v>0.9</v>
      </c>
      <c r="AU1511" t="s">
        <v>43</v>
      </c>
      <c r="AV1511" t="s">
        <v>44</v>
      </c>
      <c r="AW1511" t="s">
        <v>419</v>
      </c>
      <c r="AX1511" t="s">
        <v>5094</v>
      </c>
      <c r="AY1511" t="s">
        <v>5095</v>
      </c>
      <c r="AZ1511">
        <v>115.0000000081491</v>
      </c>
      <c r="BA1511">
        <v>0</v>
      </c>
      <c r="BB1511">
        <v>0</v>
      </c>
      <c r="BC1511">
        <v>1.5</v>
      </c>
      <c r="BD1511">
        <v>0</v>
      </c>
      <c r="BE1511">
        <f t="shared" si="239"/>
        <v>1</v>
      </c>
    </row>
    <row r="1512" spans="1:57" x14ac:dyDescent="0.25">
      <c r="A1512" t="s">
        <v>39</v>
      </c>
      <c r="B1512" t="s">
        <v>4934</v>
      </c>
      <c r="C1512">
        <v>84.2</v>
      </c>
      <c r="D1512">
        <v>71.599999999999994</v>
      </c>
      <c r="G1512">
        <f t="shared" si="230"/>
        <v>0</v>
      </c>
      <c r="H1512">
        <f t="shared" si="231"/>
        <v>0</v>
      </c>
      <c r="I1512">
        <f t="shared" si="232"/>
        <v>0</v>
      </c>
      <c r="J1512">
        <v>80</v>
      </c>
      <c r="K1512">
        <v>91</v>
      </c>
      <c r="L1512">
        <v>71.599999999999994</v>
      </c>
      <c r="M1512">
        <v>82.6</v>
      </c>
      <c r="N1512">
        <v>67.8</v>
      </c>
      <c r="O1512">
        <v>66.599999999999994</v>
      </c>
      <c r="S1512">
        <f t="shared" si="233"/>
        <v>1</v>
      </c>
      <c r="T1512">
        <f t="shared" si="234"/>
        <v>1</v>
      </c>
      <c r="U1512">
        <f t="shared" si="235"/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20.8</v>
      </c>
      <c r="AG1512">
        <f t="shared" si="236"/>
        <v>1</v>
      </c>
      <c r="AH1512">
        <f t="shared" si="237"/>
        <v>1</v>
      </c>
      <c r="AI1512">
        <f t="shared" si="238"/>
        <v>0</v>
      </c>
      <c r="AJ1512">
        <v>312.7</v>
      </c>
      <c r="AK1512">
        <v>1007.1</v>
      </c>
      <c r="AL1512">
        <v>0</v>
      </c>
      <c r="AM1512">
        <v>6.2</v>
      </c>
      <c r="AN1512">
        <v>0</v>
      </c>
      <c r="AO1512">
        <v>0</v>
      </c>
      <c r="AP1512">
        <v>0</v>
      </c>
      <c r="AQ1512">
        <v>0</v>
      </c>
      <c r="AR1512" t="s">
        <v>4935</v>
      </c>
      <c r="AS1512" t="s">
        <v>4936</v>
      </c>
      <c r="AT1512">
        <v>0.11</v>
      </c>
      <c r="AU1512" t="s">
        <v>74</v>
      </c>
      <c r="AV1512" t="s">
        <v>2955</v>
      </c>
      <c r="AW1512" t="s">
        <v>75</v>
      </c>
      <c r="AX1512" t="s">
        <v>4555</v>
      </c>
      <c r="AY1512" t="s">
        <v>5096</v>
      </c>
      <c r="AZ1512">
        <v>419.99999999650748</v>
      </c>
      <c r="BA1512">
        <v>1</v>
      </c>
      <c r="BB1512">
        <v>5</v>
      </c>
      <c r="BC1512">
        <v>0</v>
      </c>
      <c r="BD1512">
        <v>0</v>
      </c>
      <c r="BE1512">
        <f t="shared" si="239"/>
        <v>1</v>
      </c>
    </row>
    <row r="1513" spans="1:57" x14ac:dyDescent="0.25">
      <c r="A1513" t="s">
        <v>39</v>
      </c>
      <c r="B1513" t="s">
        <v>5097</v>
      </c>
      <c r="C1513">
        <v>91.4</v>
      </c>
      <c r="D1513">
        <v>80.599999999999994</v>
      </c>
      <c r="G1513">
        <f t="shared" si="230"/>
        <v>1</v>
      </c>
      <c r="H1513">
        <f t="shared" si="231"/>
        <v>1</v>
      </c>
      <c r="I1513">
        <f t="shared" si="232"/>
        <v>0</v>
      </c>
      <c r="J1513">
        <v>86.2</v>
      </c>
      <c r="K1513">
        <v>98.7</v>
      </c>
      <c r="L1513">
        <v>83.3</v>
      </c>
      <c r="M1513">
        <v>90.6</v>
      </c>
      <c r="N1513">
        <v>69.3</v>
      </c>
      <c r="O1513">
        <v>57.4</v>
      </c>
      <c r="S1513">
        <f t="shared" si="233"/>
        <v>1</v>
      </c>
      <c r="T1513">
        <f t="shared" si="234"/>
        <v>0</v>
      </c>
      <c r="U1513">
        <f t="shared" si="235"/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24.2</v>
      </c>
      <c r="AG1513">
        <f t="shared" si="236"/>
        <v>1</v>
      </c>
      <c r="AH1513">
        <f t="shared" si="237"/>
        <v>1</v>
      </c>
      <c r="AI1513">
        <f t="shared" si="238"/>
        <v>0</v>
      </c>
      <c r="AJ1513">
        <v>305</v>
      </c>
      <c r="AK1513">
        <v>1005.9</v>
      </c>
      <c r="AL1513">
        <v>10.7</v>
      </c>
      <c r="AM1513">
        <v>6.4</v>
      </c>
      <c r="AN1513">
        <v>0</v>
      </c>
      <c r="AO1513">
        <v>0</v>
      </c>
      <c r="AP1513">
        <v>0</v>
      </c>
      <c r="AQ1513">
        <v>0</v>
      </c>
      <c r="AR1513" t="s">
        <v>5098</v>
      </c>
      <c r="AS1513" t="s">
        <v>5099</v>
      </c>
      <c r="AT1513">
        <v>0.36</v>
      </c>
      <c r="AU1513" t="s">
        <v>74</v>
      </c>
      <c r="AV1513" t="s">
        <v>2955</v>
      </c>
      <c r="AW1513" t="s">
        <v>75</v>
      </c>
      <c r="AX1513" t="s">
        <v>4044</v>
      </c>
      <c r="AY1513" t="s">
        <v>5100</v>
      </c>
      <c r="AZ1513">
        <v>589.99999999534339</v>
      </c>
      <c r="BA1513">
        <v>1</v>
      </c>
      <c r="BB1513">
        <v>4</v>
      </c>
      <c r="BC1513">
        <v>0</v>
      </c>
      <c r="BD1513">
        <v>0</v>
      </c>
      <c r="BE1513">
        <f t="shared" si="239"/>
        <v>1</v>
      </c>
    </row>
    <row r="1514" spans="1:57" x14ac:dyDescent="0.25">
      <c r="A1514" t="s">
        <v>39</v>
      </c>
      <c r="B1514" t="s">
        <v>5101</v>
      </c>
      <c r="C1514">
        <v>89.6</v>
      </c>
      <c r="D1514">
        <v>80.599999999999994</v>
      </c>
      <c r="G1514">
        <f t="shared" si="230"/>
        <v>1</v>
      </c>
      <c r="H1514">
        <f t="shared" si="231"/>
        <v>1</v>
      </c>
      <c r="I1514">
        <f t="shared" si="232"/>
        <v>0</v>
      </c>
      <c r="J1514">
        <v>85.3</v>
      </c>
      <c r="K1514">
        <v>100.3</v>
      </c>
      <c r="L1514">
        <v>83.9</v>
      </c>
      <c r="M1514">
        <v>91.4</v>
      </c>
      <c r="N1514">
        <v>71.900000000000006</v>
      </c>
      <c r="O1514">
        <v>64.7</v>
      </c>
      <c r="S1514">
        <f t="shared" si="233"/>
        <v>1</v>
      </c>
      <c r="T1514">
        <f t="shared" si="234"/>
        <v>1</v>
      </c>
      <c r="U1514">
        <f t="shared" si="235"/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16.100000000000001</v>
      </c>
      <c r="AG1514">
        <f t="shared" si="236"/>
        <v>0</v>
      </c>
      <c r="AH1514">
        <f t="shared" si="237"/>
        <v>0</v>
      </c>
      <c r="AI1514">
        <f t="shared" si="238"/>
        <v>0</v>
      </c>
      <c r="AJ1514">
        <v>312.10000000000002</v>
      </c>
      <c r="AK1514">
        <v>1009.6</v>
      </c>
      <c r="AL1514">
        <v>0</v>
      </c>
      <c r="AM1514">
        <v>6.2</v>
      </c>
      <c r="AN1514">
        <v>0</v>
      </c>
      <c r="AO1514">
        <v>0</v>
      </c>
      <c r="AP1514">
        <v>0</v>
      </c>
      <c r="AQ1514">
        <v>0</v>
      </c>
      <c r="AR1514" t="s">
        <v>5102</v>
      </c>
      <c r="AS1514" t="s">
        <v>5103</v>
      </c>
      <c r="AT1514">
        <v>0.75</v>
      </c>
      <c r="AU1514" t="s">
        <v>74</v>
      </c>
      <c r="AV1514" t="s">
        <v>2955</v>
      </c>
      <c r="AW1514" t="s">
        <v>75</v>
      </c>
      <c r="AX1514" t="s">
        <v>4143</v>
      </c>
      <c r="AY1514" t="s">
        <v>5104</v>
      </c>
      <c r="AZ1514">
        <v>130.00000000465661</v>
      </c>
      <c r="BA1514">
        <v>0</v>
      </c>
      <c r="BB1514">
        <v>1</v>
      </c>
      <c r="BC1514">
        <v>0</v>
      </c>
      <c r="BD1514">
        <v>0</v>
      </c>
      <c r="BE1514">
        <f t="shared" si="239"/>
        <v>0</v>
      </c>
    </row>
    <row r="1515" spans="1:57" x14ac:dyDescent="0.25">
      <c r="A1515" t="s">
        <v>39</v>
      </c>
      <c r="B1515" t="s">
        <v>5105</v>
      </c>
      <c r="C1515">
        <v>80.599999999999994</v>
      </c>
      <c r="D1515">
        <v>75.2</v>
      </c>
      <c r="G1515">
        <f t="shared" si="230"/>
        <v>1</v>
      </c>
      <c r="H1515">
        <f t="shared" si="231"/>
        <v>0</v>
      </c>
      <c r="I1515">
        <f t="shared" si="232"/>
        <v>1</v>
      </c>
      <c r="J1515">
        <v>77.8</v>
      </c>
      <c r="K1515">
        <v>81.5</v>
      </c>
      <c r="L1515">
        <v>75.2</v>
      </c>
      <c r="M1515">
        <v>78</v>
      </c>
      <c r="N1515">
        <v>59.9</v>
      </c>
      <c r="O1515">
        <v>54.6</v>
      </c>
      <c r="S1515">
        <f t="shared" si="233"/>
        <v>1</v>
      </c>
      <c r="T1515">
        <f t="shared" si="234"/>
        <v>0</v>
      </c>
      <c r="U1515">
        <f t="shared" si="235"/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21.9</v>
      </c>
      <c r="AG1515">
        <f t="shared" si="236"/>
        <v>1</v>
      </c>
      <c r="AH1515">
        <f t="shared" si="237"/>
        <v>1</v>
      </c>
      <c r="AI1515">
        <f t="shared" si="238"/>
        <v>0</v>
      </c>
      <c r="AJ1515">
        <v>332.2</v>
      </c>
      <c r="AK1515">
        <v>1013.6</v>
      </c>
      <c r="AL1515">
        <v>18.600000000000001</v>
      </c>
      <c r="AM1515">
        <v>6.5</v>
      </c>
      <c r="AN1515">
        <v>0</v>
      </c>
      <c r="AO1515">
        <v>0</v>
      </c>
      <c r="AP1515">
        <v>0</v>
      </c>
      <c r="AQ1515">
        <v>0</v>
      </c>
      <c r="AR1515" t="s">
        <v>5106</v>
      </c>
      <c r="AS1515" t="s">
        <v>5107</v>
      </c>
      <c r="AT1515">
        <v>0.42</v>
      </c>
      <c r="AU1515" t="s">
        <v>74</v>
      </c>
      <c r="AV1515" t="s">
        <v>2955</v>
      </c>
      <c r="AW1515" t="s">
        <v>75</v>
      </c>
      <c r="AX1515" t="s">
        <v>2413</v>
      </c>
      <c r="AY1515" t="s">
        <v>5108</v>
      </c>
      <c r="AZ1515">
        <v>1769.999999996508</v>
      </c>
      <c r="BA1515">
        <v>1</v>
      </c>
      <c r="BB1515">
        <v>0</v>
      </c>
      <c r="BC1515">
        <v>10</v>
      </c>
      <c r="BD1515">
        <v>0</v>
      </c>
      <c r="BE1515">
        <f t="shared" si="239"/>
        <v>1</v>
      </c>
    </row>
    <row r="1516" spans="1:57" x14ac:dyDescent="0.25">
      <c r="A1516" t="s">
        <v>39</v>
      </c>
      <c r="B1516" t="s">
        <v>4781</v>
      </c>
      <c r="C1516">
        <v>80.599999999999994</v>
      </c>
      <c r="D1516">
        <v>75.2</v>
      </c>
      <c r="G1516">
        <f t="shared" si="230"/>
        <v>0</v>
      </c>
      <c r="H1516">
        <f t="shared" si="231"/>
        <v>0</v>
      </c>
      <c r="I1516">
        <f t="shared" si="232"/>
        <v>0</v>
      </c>
      <c r="J1516">
        <v>77.3</v>
      </c>
      <c r="K1516">
        <v>82.8</v>
      </c>
      <c r="L1516">
        <v>75.2</v>
      </c>
      <c r="M1516">
        <v>77.599999999999994</v>
      </c>
      <c r="N1516">
        <v>63.4</v>
      </c>
      <c r="O1516">
        <v>62.4</v>
      </c>
      <c r="S1516">
        <f t="shared" si="233"/>
        <v>1</v>
      </c>
      <c r="T1516">
        <f t="shared" si="234"/>
        <v>0</v>
      </c>
      <c r="U1516">
        <f t="shared" si="235"/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21.9</v>
      </c>
      <c r="AG1516">
        <f t="shared" si="236"/>
        <v>1</v>
      </c>
      <c r="AH1516">
        <f t="shared" si="237"/>
        <v>1</v>
      </c>
      <c r="AI1516">
        <f t="shared" si="238"/>
        <v>0</v>
      </c>
      <c r="AJ1516">
        <v>313.5</v>
      </c>
      <c r="AK1516">
        <v>1011.7</v>
      </c>
      <c r="AL1516">
        <v>30.7</v>
      </c>
      <c r="AM1516">
        <v>6.6</v>
      </c>
      <c r="AN1516">
        <v>0</v>
      </c>
      <c r="AO1516">
        <v>0</v>
      </c>
      <c r="AP1516">
        <v>0</v>
      </c>
      <c r="AQ1516">
        <v>0</v>
      </c>
      <c r="AR1516" t="s">
        <v>4782</v>
      </c>
      <c r="AS1516" t="s">
        <v>4783</v>
      </c>
      <c r="AT1516">
        <v>0.78</v>
      </c>
      <c r="AU1516" t="s">
        <v>43</v>
      </c>
      <c r="AV1516" t="s">
        <v>44</v>
      </c>
      <c r="AW1516" t="s">
        <v>45</v>
      </c>
      <c r="AX1516" t="s">
        <v>5109</v>
      </c>
      <c r="AY1516" t="s">
        <v>5110</v>
      </c>
      <c r="AZ1516">
        <v>640.00000000116415</v>
      </c>
      <c r="BA1516">
        <v>1</v>
      </c>
      <c r="BB1516">
        <v>5</v>
      </c>
      <c r="BC1516">
        <v>0</v>
      </c>
      <c r="BD1516">
        <v>0</v>
      </c>
      <c r="BE1516">
        <f t="shared" si="239"/>
        <v>1</v>
      </c>
    </row>
    <row r="1517" spans="1:57" x14ac:dyDescent="0.25">
      <c r="A1517" t="s">
        <v>39</v>
      </c>
      <c r="B1517" t="s">
        <v>5111</v>
      </c>
      <c r="C1517">
        <v>84.3</v>
      </c>
      <c r="D1517">
        <v>78.8</v>
      </c>
      <c r="G1517">
        <f t="shared" si="230"/>
        <v>0</v>
      </c>
      <c r="H1517">
        <f t="shared" si="231"/>
        <v>0</v>
      </c>
      <c r="I1517">
        <f t="shared" si="232"/>
        <v>0</v>
      </c>
      <c r="J1517">
        <v>81.099999999999994</v>
      </c>
      <c r="K1517">
        <v>87.6</v>
      </c>
      <c r="L1517">
        <v>78.8</v>
      </c>
      <c r="M1517">
        <v>82.5</v>
      </c>
      <c r="N1517">
        <v>66.400000000000006</v>
      </c>
      <c r="O1517">
        <v>61.3</v>
      </c>
      <c r="S1517">
        <f t="shared" si="233"/>
        <v>0</v>
      </c>
      <c r="T1517">
        <f t="shared" si="234"/>
        <v>0</v>
      </c>
      <c r="U1517">
        <f t="shared" si="235"/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24.2</v>
      </c>
      <c r="AG1517">
        <f t="shared" si="236"/>
        <v>1</v>
      </c>
      <c r="AH1517">
        <f t="shared" si="237"/>
        <v>1</v>
      </c>
      <c r="AI1517">
        <f t="shared" si="238"/>
        <v>0</v>
      </c>
      <c r="AJ1517">
        <v>301.3</v>
      </c>
      <c r="AK1517">
        <v>1009.9</v>
      </c>
      <c r="AL1517">
        <v>26.7</v>
      </c>
      <c r="AM1517">
        <v>6.6</v>
      </c>
      <c r="AN1517">
        <v>0</v>
      </c>
      <c r="AO1517">
        <v>0</v>
      </c>
      <c r="AP1517">
        <v>0</v>
      </c>
      <c r="AQ1517">
        <v>0</v>
      </c>
      <c r="AR1517" t="s">
        <v>5112</v>
      </c>
      <c r="AS1517" t="s">
        <v>5113</v>
      </c>
      <c r="AT1517">
        <v>0</v>
      </c>
      <c r="AU1517" t="s">
        <v>43</v>
      </c>
      <c r="AV1517" t="s">
        <v>44</v>
      </c>
      <c r="AW1517" t="s">
        <v>45</v>
      </c>
      <c r="AX1517" t="s">
        <v>4063</v>
      </c>
      <c r="AY1517" t="s">
        <v>5114</v>
      </c>
      <c r="AZ1517">
        <v>730.00000000116415</v>
      </c>
      <c r="BA1517">
        <v>1</v>
      </c>
      <c r="BB1517">
        <v>0</v>
      </c>
      <c r="BC1517">
        <v>80</v>
      </c>
      <c r="BD1517">
        <v>0</v>
      </c>
      <c r="BE1517">
        <f t="shared" si="239"/>
        <v>0</v>
      </c>
    </row>
    <row r="1518" spans="1:57" x14ac:dyDescent="0.25">
      <c r="A1518" t="s">
        <v>39</v>
      </c>
      <c r="B1518" t="s">
        <v>4934</v>
      </c>
      <c r="C1518">
        <v>84.2</v>
      </c>
      <c r="D1518">
        <v>71.599999999999994</v>
      </c>
      <c r="G1518">
        <f t="shared" si="230"/>
        <v>0</v>
      </c>
      <c r="H1518">
        <f t="shared" si="231"/>
        <v>0</v>
      </c>
      <c r="I1518">
        <f t="shared" si="232"/>
        <v>0</v>
      </c>
      <c r="J1518">
        <v>80</v>
      </c>
      <c r="K1518">
        <v>91</v>
      </c>
      <c r="L1518">
        <v>71.599999999999994</v>
      </c>
      <c r="M1518">
        <v>82.6</v>
      </c>
      <c r="N1518">
        <v>67.8</v>
      </c>
      <c r="O1518">
        <v>66.599999999999994</v>
      </c>
      <c r="S1518">
        <f t="shared" si="233"/>
        <v>1</v>
      </c>
      <c r="T1518">
        <f t="shared" si="234"/>
        <v>1</v>
      </c>
      <c r="U1518">
        <f t="shared" si="235"/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20.8</v>
      </c>
      <c r="AG1518">
        <f t="shared" si="236"/>
        <v>1</v>
      </c>
      <c r="AH1518">
        <f t="shared" si="237"/>
        <v>1</v>
      </c>
      <c r="AI1518">
        <f t="shared" si="238"/>
        <v>0</v>
      </c>
      <c r="AJ1518">
        <v>312.7</v>
      </c>
      <c r="AK1518">
        <v>1007.1</v>
      </c>
      <c r="AL1518">
        <v>0</v>
      </c>
      <c r="AM1518">
        <v>6.2</v>
      </c>
      <c r="AN1518">
        <v>0</v>
      </c>
      <c r="AO1518">
        <v>0</v>
      </c>
      <c r="AP1518">
        <v>0</v>
      </c>
      <c r="AQ1518">
        <v>0</v>
      </c>
      <c r="AR1518" t="s">
        <v>4935</v>
      </c>
      <c r="AS1518" t="s">
        <v>4936</v>
      </c>
      <c r="AT1518">
        <v>0.11</v>
      </c>
      <c r="AU1518" t="s">
        <v>74</v>
      </c>
      <c r="AV1518" t="s">
        <v>2955</v>
      </c>
      <c r="AW1518" t="s">
        <v>75</v>
      </c>
      <c r="AX1518" t="s">
        <v>5115</v>
      </c>
      <c r="AY1518" t="s">
        <v>5116</v>
      </c>
      <c r="AZ1518">
        <v>481.99999999953428</v>
      </c>
      <c r="BA1518">
        <v>1</v>
      </c>
      <c r="BB1518">
        <v>0</v>
      </c>
      <c r="BC1518">
        <v>80</v>
      </c>
      <c r="BD1518">
        <v>0</v>
      </c>
      <c r="BE1518">
        <f t="shared" si="239"/>
        <v>1</v>
      </c>
    </row>
    <row r="1519" spans="1:57" x14ac:dyDescent="0.25">
      <c r="A1519" t="s">
        <v>39</v>
      </c>
      <c r="B1519" t="s">
        <v>5117</v>
      </c>
      <c r="C1519">
        <v>91.4</v>
      </c>
      <c r="D1519">
        <v>84.2</v>
      </c>
      <c r="G1519">
        <f t="shared" si="230"/>
        <v>1</v>
      </c>
      <c r="H1519">
        <f t="shared" si="231"/>
        <v>1</v>
      </c>
      <c r="I1519">
        <f t="shared" si="232"/>
        <v>0</v>
      </c>
      <c r="J1519">
        <v>87.1</v>
      </c>
      <c r="K1519">
        <v>95.6</v>
      </c>
      <c r="L1519">
        <v>87.4</v>
      </c>
      <c r="M1519">
        <v>91.1</v>
      </c>
      <c r="N1519">
        <v>68.599999999999994</v>
      </c>
      <c r="O1519">
        <v>54.5</v>
      </c>
      <c r="S1519">
        <f t="shared" si="233"/>
        <v>1</v>
      </c>
      <c r="T1519">
        <f t="shared" si="234"/>
        <v>0</v>
      </c>
      <c r="U1519">
        <f t="shared" si="235"/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23</v>
      </c>
      <c r="AG1519">
        <f t="shared" si="236"/>
        <v>1</v>
      </c>
      <c r="AH1519">
        <f t="shared" si="237"/>
        <v>1</v>
      </c>
      <c r="AI1519">
        <f t="shared" si="238"/>
        <v>0</v>
      </c>
      <c r="AJ1519">
        <v>307.39999999999998</v>
      </c>
      <c r="AK1519">
        <v>1005.9</v>
      </c>
      <c r="AL1519">
        <v>0.3</v>
      </c>
      <c r="AM1519">
        <v>6.2</v>
      </c>
      <c r="AN1519">
        <v>0</v>
      </c>
      <c r="AO1519">
        <v>0</v>
      </c>
      <c r="AP1519">
        <v>0</v>
      </c>
      <c r="AQ1519">
        <v>0</v>
      </c>
      <c r="AR1519" t="s">
        <v>5118</v>
      </c>
      <c r="AS1519" t="s">
        <v>5119</v>
      </c>
      <c r="AT1519">
        <v>0.4</v>
      </c>
      <c r="AU1519" t="s">
        <v>74</v>
      </c>
      <c r="AV1519" t="s">
        <v>2955</v>
      </c>
      <c r="AW1519" t="s">
        <v>75</v>
      </c>
      <c r="AX1519" t="s">
        <v>5120</v>
      </c>
      <c r="AY1519" t="s">
        <v>5121</v>
      </c>
      <c r="AZ1519">
        <v>16628.00000000163</v>
      </c>
      <c r="BA1519">
        <v>1</v>
      </c>
      <c r="BB1519">
        <v>0</v>
      </c>
      <c r="BC1519">
        <v>1800</v>
      </c>
      <c r="BD1519">
        <v>0</v>
      </c>
      <c r="BE1519">
        <f t="shared" si="239"/>
        <v>1</v>
      </c>
    </row>
    <row r="1520" spans="1:57" x14ac:dyDescent="0.25">
      <c r="A1520" t="s">
        <v>39</v>
      </c>
      <c r="B1520" t="s">
        <v>4695</v>
      </c>
      <c r="C1520">
        <v>80.599999999999994</v>
      </c>
      <c r="D1520">
        <v>66.2</v>
      </c>
      <c r="G1520">
        <f t="shared" si="230"/>
        <v>1</v>
      </c>
      <c r="H1520">
        <f t="shared" si="231"/>
        <v>1</v>
      </c>
      <c r="I1520">
        <f t="shared" si="232"/>
        <v>0</v>
      </c>
      <c r="J1520">
        <v>74.2</v>
      </c>
      <c r="K1520">
        <v>85.4</v>
      </c>
      <c r="L1520">
        <v>66.2</v>
      </c>
      <c r="M1520">
        <v>74.8</v>
      </c>
      <c r="N1520">
        <v>63.7</v>
      </c>
      <c r="O1520">
        <v>70.3</v>
      </c>
      <c r="S1520">
        <f t="shared" si="233"/>
        <v>1</v>
      </c>
      <c r="T1520">
        <f t="shared" si="234"/>
        <v>1</v>
      </c>
      <c r="U1520">
        <f t="shared" si="235"/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10.3</v>
      </c>
      <c r="AG1520">
        <f t="shared" si="236"/>
        <v>1</v>
      </c>
      <c r="AH1520">
        <f t="shared" si="237"/>
        <v>0</v>
      </c>
      <c r="AI1520">
        <f t="shared" si="238"/>
        <v>1</v>
      </c>
      <c r="AJ1520">
        <v>225.9</v>
      </c>
      <c r="AK1520">
        <v>1018.3</v>
      </c>
      <c r="AL1520">
        <v>29.2</v>
      </c>
      <c r="AM1520">
        <v>6.4</v>
      </c>
      <c r="AN1520">
        <v>0</v>
      </c>
      <c r="AO1520">
        <v>0</v>
      </c>
      <c r="AP1520">
        <v>0</v>
      </c>
      <c r="AQ1520">
        <v>0</v>
      </c>
      <c r="AR1520" t="s">
        <v>4696</v>
      </c>
      <c r="AS1520" t="s">
        <v>4697</v>
      </c>
      <c r="AT1520">
        <v>7.0000000000000007E-2</v>
      </c>
      <c r="AU1520" t="s">
        <v>43</v>
      </c>
      <c r="AV1520" t="s">
        <v>44</v>
      </c>
      <c r="AW1520" t="s">
        <v>45</v>
      </c>
      <c r="AX1520" t="s">
        <v>4301</v>
      </c>
      <c r="AY1520" t="s">
        <v>5122</v>
      </c>
      <c r="AZ1520">
        <v>1440</v>
      </c>
      <c r="BA1520">
        <v>1</v>
      </c>
      <c r="BB1520">
        <v>0</v>
      </c>
      <c r="BC1520">
        <v>10</v>
      </c>
      <c r="BD1520">
        <v>0</v>
      </c>
      <c r="BE1520">
        <f t="shared" si="239"/>
        <v>1</v>
      </c>
    </row>
    <row r="1521" spans="1:57" x14ac:dyDescent="0.25">
      <c r="A1521" t="s">
        <v>39</v>
      </c>
      <c r="B1521" t="s">
        <v>5123</v>
      </c>
      <c r="C1521">
        <v>55.4</v>
      </c>
      <c r="D1521">
        <v>42.8</v>
      </c>
      <c r="G1521">
        <f t="shared" si="230"/>
        <v>1</v>
      </c>
      <c r="H1521">
        <f t="shared" si="231"/>
        <v>0</v>
      </c>
      <c r="I1521">
        <f t="shared" si="232"/>
        <v>1</v>
      </c>
      <c r="J1521">
        <v>49</v>
      </c>
      <c r="K1521">
        <v>55.4</v>
      </c>
      <c r="L1521">
        <v>38.6</v>
      </c>
      <c r="M1521">
        <v>47</v>
      </c>
      <c r="N1521">
        <v>37.4</v>
      </c>
      <c r="O1521">
        <v>64.5</v>
      </c>
      <c r="S1521">
        <f t="shared" si="233"/>
        <v>1</v>
      </c>
      <c r="T1521">
        <f t="shared" si="234"/>
        <v>0</v>
      </c>
      <c r="U1521">
        <f t="shared" si="235"/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18.3</v>
      </c>
      <c r="AG1521">
        <f t="shared" si="236"/>
        <v>1</v>
      </c>
      <c r="AH1521">
        <f t="shared" si="237"/>
        <v>0</v>
      </c>
      <c r="AI1521">
        <f t="shared" si="238"/>
        <v>1</v>
      </c>
      <c r="AJ1521">
        <v>318.39999999999998</v>
      </c>
      <c r="AK1521">
        <v>1024.0999999999999</v>
      </c>
      <c r="AL1521">
        <v>28.6</v>
      </c>
      <c r="AM1521">
        <v>6.5</v>
      </c>
      <c r="AN1521">
        <v>191.1</v>
      </c>
      <c r="AO1521">
        <v>16.399999999999999</v>
      </c>
      <c r="AP1521">
        <v>7</v>
      </c>
      <c r="AQ1521">
        <v>0</v>
      </c>
      <c r="AR1521" t="s">
        <v>5124</v>
      </c>
      <c r="AS1521" t="s">
        <v>5125</v>
      </c>
      <c r="AT1521">
        <v>0.91</v>
      </c>
      <c r="AU1521" t="s">
        <v>43</v>
      </c>
      <c r="AV1521" t="s">
        <v>80</v>
      </c>
      <c r="AW1521" t="s">
        <v>45</v>
      </c>
      <c r="AX1521" t="s">
        <v>2403</v>
      </c>
      <c r="AY1521" t="s">
        <v>5126</v>
      </c>
      <c r="AZ1521">
        <v>225</v>
      </c>
      <c r="BA1521">
        <v>0</v>
      </c>
      <c r="BB1521">
        <v>0</v>
      </c>
      <c r="BC1521">
        <v>10</v>
      </c>
      <c r="BD1521">
        <v>0</v>
      </c>
      <c r="BE1521">
        <f t="shared" si="239"/>
        <v>0</v>
      </c>
    </row>
    <row r="1522" spans="1:57" x14ac:dyDescent="0.25">
      <c r="A1522" t="s">
        <v>39</v>
      </c>
      <c r="B1522" t="s">
        <v>5127</v>
      </c>
      <c r="C1522">
        <v>87.8</v>
      </c>
      <c r="D1522">
        <v>73.400000000000006</v>
      </c>
      <c r="G1522">
        <f t="shared" si="230"/>
        <v>1</v>
      </c>
      <c r="H1522">
        <f t="shared" si="231"/>
        <v>1</v>
      </c>
      <c r="I1522">
        <f t="shared" si="232"/>
        <v>0</v>
      </c>
      <c r="J1522">
        <v>79.8</v>
      </c>
      <c r="K1522">
        <v>92</v>
      </c>
      <c r="L1522">
        <v>73.400000000000006</v>
      </c>
      <c r="M1522">
        <v>81.599999999999994</v>
      </c>
      <c r="N1522">
        <v>69</v>
      </c>
      <c r="O1522">
        <v>71.099999999999994</v>
      </c>
      <c r="S1522">
        <f t="shared" si="233"/>
        <v>1</v>
      </c>
      <c r="T1522">
        <f t="shared" si="234"/>
        <v>1</v>
      </c>
      <c r="U1522">
        <f t="shared" si="235"/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25.3</v>
      </c>
      <c r="AG1522">
        <f t="shared" si="236"/>
        <v>1</v>
      </c>
      <c r="AH1522">
        <f t="shared" si="237"/>
        <v>1</v>
      </c>
      <c r="AI1522">
        <f t="shared" si="238"/>
        <v>0</v>
      </c>
      <c r="AJ1522">
        <v>310.2</v>
      </c>
      <c r="AK1522">
        <v>1009.7</v>
      </c>
      <c r="AL1522">
        <v>1.5</v>
      </c>
      <c r="AM1522">
        <v>6.2</v>
      </c>
      <c r="AN1522">
        <v>0</v>
      </c>
      <c r="AO1522">
        <v>0</v>
      </c>
      <c r="AP1522">
        <v>0</v>
      </c>
      <c r="AQ1522">
        <v>0</v>
      </c>
      <c r="AR1522" t="s">
        <v>5128</v>
      </c>
      <c r="AS1522" t="s">
        <v>5129</v>
      </c>
      <c r="AT1522">
        <v>0.22</v>
      </c>
      <c r="AU1522" t="s">
        <v>74</v>
      </c>
      <c r="AV1522" t="s">
        <v>2955</v>
      </c>
      <c r="AW1522" t="s">
        <v>75</v>
      </c>
      <c r="AX1522" t="s">
        <v>2754</v>
      </c>
      <c r="AY1522" t="s">
        <v>5130</v>
      </c>
      <c r="AZ1522">
        <v>634.99999999534339</v>
      </c>
      <c r="BA1522">
        <v>1</v>
      </c>
      <c r="BB1522">
        <v>0</v>
      </c>
      <c r="BC1522">
        <v>0.5</v>
      </c>
      <c r="BD1522">
        <v>0</v>
      </c>
      <c r="BE1522">
        <f t="shared" si="239"/>
        <v>1</v>
      </c>
    </row>
    <row r="1523" spans="1:57" x14ac:dyDescent="0.25">
      <c r="A1523" t="s">
        <v>39</v>
      </c>
      <c r="B1523" t="s">
        <v>4781</v>
      </c>
      <c r="C1523">
        <v>80.599999999999994</v>
      </c>
      <c r="D1523">
        <v>75.2</v>
      </c>
      <c r="G1523">
        <f t="shared" si="230"/>
        <v>0</v>
      </c>
      <c r="H1523">
        <f t="shared" si="231"/>
        <v>0</v>
      </c>
      <c r="I1523">
        <f t="shared" si="232"/>
        <v>0</v>
      </c>
      <c r="J1523">
        <v>77.3</v>
      </c>
      <c r="K1523">
        <v>82.8</v>
      </c>
      <c r="L1523">
        <v>75.2</v>
      </c>
      <c r="M1523">
        <v>77.599999999999994</v>
      </c>
      <c r="N1523">
        <v>63.4</v>
      </c>
      <c r="O1523">
        <v>62.4</v>
      </c>
      <c r="S1523">
        <f t="shared" si="233"/>
        <v>1</v>
      </c>
      <c r="T1523">
        <f t="shared" si="234"/>
        <v>0</v>
      </c>
      <c r="U1523">
        <f t="shared" si="235"/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21.9</v>
      </c>
      <c r="AG1523">
        <f t="shared" si="236"/>
        <v>1</v>
      </c>
      <c r="AH1523">
        <f t="shared" si="237"/>
        <v>1</v>
      </c>
      <c r="AI1523">
        <f t="shared" si="238"/>
        <v>0</v>
      </c>
      <c r="AJ1523">
        <v>313.5</v>
      </c>
      <c r="AK1523">
        <v>1011.7</v>
      </c>
      <c r="AL1523">
        <v>30.7</v>
      </c>
      <c r="AM1523">
        <v>6.6</v>
      </c>
      <c r="AN1523">
        <v>0</v>
      </c>
      <c r="AO1523">
        <v>0</v>
      </c>
      <c r="AP1523">
        <v>0</v>
      </c>
      <c r="AQ1523">
        <v>0</v>
      </c>
      <c r="AR1523" t="s">
        <v>4782</v>
      </c>
      <c r="AS1523" t="s">
        <v>4783</v>
      </c>
      <c r="AT1523">
        <v>0.78</v>
      </c>
      <c r="AU1523" t="s">
        <v>43</v>
      </c>
      <c r="AV1523" t="s">
        <v>44</v>
      </c>
      <c r="AW1523" t="s">
        <v>45</v>
      </c>
      <c r="AX1523" t="s">
        <v>5131</v>
      </c>
      <c r="AY1523" t="s">
        <v>5132</v>
      </c>
      <c r="AZ1523">
        <v>558.00000000628643</v>
      </c>
      <c r="BA1523">
        <v>1</v>
      </c>
      <c r="BB1523">
        <v>6</v>
      </c>
      <c r="BC1523">
        <v>0</v>
      </c>
      <c r="BD1523">
        <v>0</v>
      </c>
      <c r="BE1523">
        <f t="shared" si="239"/>
        <v>1</v>
      </c>
    </row>
    <row r="1524" spans="1:57" x14ac:dyDescent="0.25">
      <c r="A1524" t="s">
        <v>39</v>
      </c>
      <c r="B1524" t="s">
        <v>5133</v>
      </c>
      <c r="C1524">
        <v>78.8</v>
      </c>
      <c r="D1524">
        <v>71.599999999999994</v>
      </c>
      <c r="G1524">
        <f t="shared" si="230"/>
        <v>0</v>
      </c>
      <c r="H1524">
        <f t="shared" si="231"/>
        <v>0</v>
      </c>
      <c r="I1524">
        <f t="shared" si="232"/>
        <v>0</v>
      </c>
      <c r="J1524">
        <v>75.2</v>
      </c>
      <c r="K1524">
        <v>78.8</v>
      </c>
      <c r="L1524">
        <v>71.599999999999994</v>
      </c>
      <c r="M1524">
        <v>75.2</v>
      </c>
      <c r="N1524">
        <v>68.8</v>
      </c>
      <c r="O1524">
        <v>80.900000000000006</v>
      </c>
      <c r="S1524">
        <f t="shared" si="233"/>
        <v>1</v>
      </c>
      <c r="T1524">
        <f t="shared" si="234"/>
        <v>1</v>
      </c>
      <c r="U1524">
        <f t="shared" si="235"/>
        <v>0</v>
      </c>
      <c r="V1524">
        <v>0.441</v>
      </c>
      <c r="W1524">
        <v>100</v>
      </c>
      <c r="X1524">
        <v>4.17</v>
      </c>
      <c r="Y1524" t="s">
        <v>103</v>
      </c>
      <c r="Z1524">
        <v>0</v>
      </c>
      <c r="AA1524">
        <v>0</v>
      </c>
      <c r="AB1524">
        <v>0</v>
      </c>
      <c r="AC1524">
        <v>13.9</v>
      </c>
      <c r="AG1524">
        <f t="shared" si="236"/>
        <v>1</v>
      </c>
      <c r="AH1524">
        <f t="shared" si="237"/>
        <v>0</v>
      </c>
      <c r="AI1524">
        <f t="shared" si="238"/>
        <v>1</v>
      </c>
      <c r="AJ1524">
        <v>320.7</v>
      </c>
      <c r="AK1524">
        <v>1009.8</v>
      </c>
      <c r="AL1524">
        <v>45.2</v>
      </c>
      <c r="AM1524">
        <v>6.6</v>
      </c>
      <c r="AN1524">
        <v>0</v>
      </c>
      <c r="AO1524">
        <v>0</v>
      </c>
      <c r="AP1524">
        <v>0</v>
      </c>
      <c r="AQ1524">
        <v>0</v>
      </c>
      <c r="AR1524" t="s">
        <v>5134</v>
      </c>
      <c r="AS1524" t="s">
        <v>5135</v>
      </c>
      <c r="AT1524">
        <v>0.05</v>
      </c>
      <c r="AU1524" t="s">
        <v>106</v>
      </c>
      <c r="AV1524" t="s">
        <v>296</v>
      </c>
      <c r="AW1524" t="s">
        <v>103</v>
      </c>
      <c r="AX1524" t="s">
        <v>5136</v>
      </c>
      <c r="AY1524" t="s">
        <v>5137</v>
      </c>
      <c r="AZ1524">
        <v>711.99999999487773</v>
      </c>
      <c r="BA1524">
        <v>1</v>
      </c>
      <c r="BB1524">
        <v>4</v>
      </c>
      <c r="BC1524">
        <v>0</v>
      </c>
      <c r="BD1524">
        <v>0</v>
      </c>
      <c r="BE1524">
        <f t="shared" si="239"/>
        <v>0</v>
      </c>
    </row>
    <row r="1525" spans="1:57" x14ac:dyDescent="0.25">
      <c r="A1525" t="s">
        <v>39</v>
      </c>
      <c r="B1525" t="s">
        <v>5138</v>
      </c>
      <c r="C1525">
        <v>73.400000000000006</v>
      </c>
      <c r="D1525">
        <v>64.400000000000006</v>
      </c>
      <c r="G1525">
        <f t="shared" si="230"/>
        <v>0</v>
      </c>
      <c r="H1525">
        <f t="shared" si="231"/>
        <v>0</v>
      </c>
      <c r="I1525">
        <f t="shared" si="232"/>
        <v>0</v>
      </c>
      <c r="J1525">
        <v>69.2</v>
      </c>
      <c r="K1525">
        <v>73.400000000000006</v>
      </c>
      <c r="L1525">
        <v>64.400000000000006</v>
      </c>
      <c r="M1525">
        <v>69.2</v>
      </c>
      <c r="N1525">
        <v>55</v>
      </c>
      <c r="O1525">
        <v>60.7</v>
      </c>
      <c r="S1525">
        <f t="shared" si="233"/>
        <v>1</v>
      </c>
      <c r="T1525">
        <f t="shared" si="234"/>
        <v>0</v>
      </c>
      <c r="U1525">
        <f t="shared" si="235"/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27.5</v>
      </c>
      <c r="AG1525">
        <f t="shared" si="236"/>
        <v>1</v>
      </c>
      <c r="AH1525">
        <f t="shared" si="237"/>
        <v>1</v>
      </c>
      <c r="AI1525">
        <f t="shared" si="238"/>
        <v>0</v>
      </c>
      <c r="AJ1525">
        <v>302.7</v>
      </c>
      <c r="AK1525">
        <v>1012.6</v>
      </c>
      <c r="AL1525">
        <v>26.3</v>
      </c>
      <c r="AM1525">
        <v>6.5</v>
      </c>
      <c r="AN1525">
        <v>356.6</v>
      </c>
      <c r="AO1525">
        <v>30.8</v>
      </c>
      <c r="AP1525">
        <v>10</v>
      </c>
      <c r="AQ1525">
        <v>0</v>
      </c>
      <c r="AR1525" t="s">
        <v>5139</v>
      </c>
      <c r="AS1525" t="s">
        <v>5140</v>
      </c>
      <c r="AT1525">
        <v>0.08</v>
      </c>
      <c r="AU1525" t="s">
        <v>43</v>
      </c>
      <c r="AV1525" t="s">
        <v>44</v>
      </c>
      <c r="AW1525" t="s">
        <v>45</v>
      </c>
      <c r="AX1525" t="s">
        <v>4085</v>
      </c>
      <c r="AY1525" t="s">
        <v>5141</v>
      </c>
      <c r="AZ1525">
        <v>245.00000000232831</v>
      </c>
      <c r="BA1525">
        <v>0</v>
      </c>
      <c r="BB1525">
        <v>0</v>
      </c>
      <c r="BC1525">
        <v>1</v>
      </c>
      <c r="BD1525">
        <v>0</v>
      </c>
      <c r="BE1525">
        <f t="shared" si="239"/>
        <v>0</v>
      </c>
    </row>
    <row r="1526" spans="1:57" x14ac:dyDescent="0.25">
      <c r="A1526" t="s">
        <v>39</v>
      </c>
      <c r="B1526" t="s">
        <v>5142</v>
      </c>
      <c r="C1526">
        <v>89.6</v>
      </c>
      <c r="D1526">
        <v>75.2</v>
      </c>
      <c r="G1526">
        <f t="shared" si="230"/>
        <v>1</v>
      </c>
      <c r="H1526">
        <f t="shared" si="231"/>
        <v>1</v>
      </c>
      <c r="I1526">
        <f t="shared" si="232"/>
        <v>0</v>
      </c>
      <c r="J1526">
        <v>83.2</v>
      </c>
      <c r="K1526">
        <v>95.9</v>
      </c>
      <c r="L1526">
        <v>75.2</v>
      </c>
      <c r="M1526">
        <v>88.4</v>
      </c>
      <c r="N1526">
        <v>71.599999999999994</v>
      </c>
      <c r="O1526">
        <v>68.599999999999994</v>
      </c>
      <c r="S1526">
        <f t="shared" si="233"/>
        <v>1</v>
      </c>
      <c r="T1526">
        <f t="shared" si="234"/>
        <v>1</v>
      </c>
      <c r="U1526">
        <f t="shared" si="235"/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17.2</v>
      </c>
      <c r="AG1526">
        <f t="shared" si="236"/>
        <v>0</v>
      </c>
      <c r="AH1526">
        <f t="shared" si="237"/>
        <v>0</v>
      </c>
      <c r="AI1526">
        <f t="shared" si="238"/>
        <v>0</v>
      </c>
      <c r="AJ1526">
        <v>310.60000000000002</v>
      </c>
      <c r="AK1526">
        <v>1008.9</v>
      </c>
      <c r="AL1526">
        <v>0</v>
      </c>
      <c r="AM1526">
        <v>6.2</v>
      </c>
      <c r="AN1526">
        <v>0</v>
      </c>
      <c r="AO1526">
        <v>0</v>
      </c>
      <c r="AP1526">
        <v>0</v>
      </c>
      <c r="AQ1526">
        <v>0</v>
      </c>
      <c r="AR1526" t="s">
        <v>5143</v>
      </c>
      <c r="AS1526" t="s">
        <v>5144</v>
      </c>
      <c r="AT1526">
        <v>0.88</v>
      </c>
      <c r="AU1526" t="s">
        <v>74</v>
      </c>
      <c r="AV1526" t="s">
        <v>2955</v>
      </c>
      <c r="AW1526" t="s">
        <v>75</v>
      </c>
      <c r="AX1526" t="s">
        <v>2744</v>
      </c>
      <c r="AY1526" t="s">
        <v>5145</v>
      </c>
      <c r="AZ1526">
        <v>100.0000000011642</v>
      </c>
      <c r="BA1526">
        <v>0</v>
      </c>
      <c r="BB1526">
        <v>0</v>
      </c>
      <c r="BC1526">
        <v>1</v>
      </c>
      <c r="BD1526">
        <v>0</v>
      </c>
      <c r="BE1526">
        <f t="shared" si="239"/>
        <v>0</v>
      </c>
    </row>
    <row r="1527" spans="1:57" x14ac:dyDescent="0.25">
      <c r="A1527" t="s">
        <v>39</v>
      </c>
      <c r="B1527" t="s">
        <v>4929</v>
      </c>
      <c r="C1527">
        <v>86</v>
      </c>
      <c r="D1527">
        <v>78.8</v>
      </c>
      <c r="G1527">
        <f t="shared" si="230"/>
        <v>1</v>
      </c>
      <c r="H1527">
        <f t="shared" si="231"/>
        <v>1</v>
      </c>
      <c r="I1527">
        <f t="shared" si="232"/>
        <v>0</v>
      </c>
      <c r="J1527">
        <v>81.599999999999994</v>
      </c>
      <c r="K1527">
        <v>92</v>
      </c>
      <c r="L1527">
        <v>78.8</v>
      </c>
      <c r="M1527">
        <v>84.8</v>
      </c>
      <c r="N1527">
        <v>70.900000000000006</v>
      </c>
      <c r="O1527">
        <v>70.599999999999994</v>
      </c>
      <c r="S1527">
        <f t="shared" si="233"/>
        <v>1</v>
      </c>
      <c r="T1527">
        <f t="shared" si="234"/>
        <v>1</v>
      </c>
      <c r="U1527">
        <f t="shared" si="235"/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25.3</v>
      </c>
      <c r="AG1527">
        <f t="shared" si="236"/>
        <v>1</v>
      </c>
      <c r="AH1527">
        <f t="shared" si="237"/>
        <v>1</v>
      </c>
      <c r="AI1527">
        <f t="shared" si="238"/>
        <v>0</v>
      </c>
      <c r="AJ1527">
        <v>313.89999999999998</v>
      </c>
      <c r="AK1527">
        <v>1009.4</v>
      </c>
      <c r="AL1527">
        <v>32.5</v>
      </c>
      <c r="AM1527">
        <v>6.6</v>
      </c>
      <c r="AN1527">
        <v>0</v>
      </c>
      <c r="AO1527">
        <v>0</v>
      </c>
      <c r="AP1527">
        <v>0</v>
      </c>
      <c r="AQ1527">
        <v>0</v>
      </c>
      <c r="AR1527" t="s">
        <v>4930</v>
      </c>
      <c r="AS1527" t="s">
        <v>4931</v>
      </c>
      <c r="AT1527">
        <v>0.97</v>
      </c>
      <c r="AU1527" t="s">
        <v>43</v>
      </c>
      <c r="AV1527" t="s">
        <v>44</v>
      </c>
      <c r="AW1527" t="s">
        <v>45</v>
      </c>
      <c r="AX1527" t="s">
        <v>4801</v>
      </c>
      <c r="AY1527" t="s">
        <v>5146</v>
      </c>
      <c r="AZ1527">
        <v>110.00000000232831</v>
      </c>
      <c r="BA1527">
        <v>0</v>
      </c>
      <c r="BB1527">
        <v>0</v>
      </c>
      <c r="BC1527">
        <v>2</v>
      </c>
      <c r="BD1527">
        <v>0</v>
      </c>
      <c r="BE1527">
        <f t="shared" si="239"/>
        <v>1</v>
      </c>
    </row>
    <row r="1528" spans="1:57" x14ac:dyDescent="0.25">
      <c r="A1528" t="s">
        <v>39</v>
      </c>
      <c r="B1528" t="s">
        <v>5117</v>
      </c>
      <c r="C1528">
        <v>91.4</v>
      </c>
      <c r="D1528">
        <v>84.2</v>
      </c>
      <c r="G1528">
        <f t="shared" si="230"/>
        <v>1</v>
      </c>
      <c r="H1528">
        <f t="shared" si="231"/>
        <v>1</v>
      </c>
      <c r="I1528">
        <f t="shared" si="232"/>
        <v>0</v>
      </c>
      <c r="J1528">
        <v>87.1</v>
      </c>
      <c r="K1528">
        <v>95.6</v>
      </c>
      <c r="L1528">
        <v>87.4</v>
      </c>
      <c r="M1528">
        <v>91.1</v>
      </c>
      <c r="N1528">
        <v>68.599999999999994</v>
      </c>
      <c r="O1528">
        <v>54.5</v>
      </c>
      <c r="S1528">
        <f t="shared" si="233"/>
        <v>1</v>
      </c>
      <c r="T1528">
        <f t="shared" si="234"/>
        <v>0</v>
      </c>
      <c r="U1528">
        <f t="shared" si="235"/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23</v>
      </c>
      <c r="AG1528">
        <f t="shared" si="236"/>
        <v>1</v>
      </c>
      <c r="AH1528">
        <f t="shared" si="237"/>
        <v>1</v>
      </c>
      <c r="AI1528">
        <f t="shared" si="238"/>
        <v>0</v>
      </c>
      <c r="AJ1528">
        <v>307.39999999999998</v>
      </c>
      <c r="AK1528">
        <v>1005.9</v>
      </c>
      <c r="AL1528">
        <v>0.3</v>
      </c>
      <c r="AM1528">
        <v>6.2</v>
      </c>
      <c r="AN1528">
        <v>0</v>
      </c>
      <c r="AO1528">
        <v>0</v>
      </c>
      <c r="AP1528">
        <v>0</v>
      </c>
      <c r="AQ1528">
        <v>0</v>
      </c>
      <c r="AR1528" t="s">
        <v>5118</v>
      </c>
      <c r="AS1528" t="s">
        <v>5119</v>
      </c>
      <c r="AT1528">
        <v>0.4</v>
      </c>
      <c r="AU1528" t="s">
        <v>74</v>
      </c>
      <c r="AV1528" t="s">
        <v>2955</v>
      </c>
      <c r="AW1528" t="s">
        <v>75</v>
      </c>
      <c r="AX1528" t="s">
        <v>4175</v>
      </c>
      <c r="AY1528" t="s">
        <v>5147</v>
      </c>
      <c r="AZ1528">
        <v>790.00000000814907</v>
      </c>
      <c r="BA1528">
        <v>1</v>
      </c>
      <c r="BB1528">
        <v>100</v>
      </c>
      <c r="BC1528">
        <v>0</v>
      </c>
      <c r="BD1528">
        <v>0</v>
      </c>
      <c r="BE1528">
        <f t="shared" si="239"/>
        <v>1</v>
      </c>
    </row>
    <row r="1529" spans="1:57" x14ac:dyDescent="0.25">
      <c r="A1529" t="s">
        <v>39</v>
      </c>
      <c r="B1529" t="s">
        <v>5148</v>
      </c>
      <c r="C1529">
        <v>82.4</v>
      </c>
      <c r="D1529">
        <v>75.2</v>
      </c>
      <c r="G1529">
        <f t="shared" si="230"/>
        <v>0</v>
      </c>
      <c r="H1529">
        <f t="shared" si="231"/>
        <v>0</v>
      </c>
      <c r="I1529">
        <f t="shared" si="232"/>
        <v>0</v>
      </c>
      <c r="J1529">
        <v>78.8</v>
      </c>
      <c r="K1529">
        <v>86.2</v>
      </c>
      <c r="L1529">
        <v>75.2</v>
      </c>
      <c r="M1529">
        <v>79.900000000000006</v>
      </c>
      <c r="N1529">
        <v>67.900000000000006</v>
      </c>
      <c r="O1529">
        <v>69.3</v>
      </c>
      <c r="S1529">
        <f t="shared" si="233"/>
        <v>1</v>
      </c>
      <c r="T1529">
        <f t="shared" si="234"/>
        <v>1</v>
      </c>
      <c r="U1529">
        <f t="shared" si="235"/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21.9</v>
      </c>
      <c r="AG1529">
        <f t="shared" si="236"/>
        <v>1</v>
      </c>
      <c r="AH1529">
        <f t="shared" si="237"/>
        <v>1</v>
      </c>
      <c r="AI1529">
        <f t="shared" si="238"/>
        <v>0</v>
      </c>
      <c r="AJ1529">
        <v>309.89999999999998</v>
      </c>
      <c r="AK1529">
        <v>1012.4</v>
      </c>
      <c r="AL1529">
        <v>16.3</v>
      </c>
      <c r="AM1529">
        <v>6.4</v>
      </c>
      <c r="AN1529">
        <v>0</v>
      </c>
      <c r="AO1529">
        <v>0</v>
      </c>
      <c r="AP1529">
        <v>0</v>
      </c>
      <c r="AQ1529">
        <v>0</v>
      </c>
      <c r="AR1529" t="s">
        <v>5149</v>
      </c>
      <c r="AS1529" t="s">
        <v>5150</v>
      </c>
      <c r="AT1529">
        <v>0.13</v>
      </c>
      <c r="AU1529" t="s">
        <v>74</v>
      </c>
      <c r="AV1529" t="s">
        <v>2955</v>
      </c>
      <c r="AW1529" t="s">
        <v>75</v>
      </c>
      <c r="AX1529" t="s">
        <v>4339</v>
      </c>
      <c r="AY1529" t="s">
        <v>5151</v>
      </c>
      <c r="AZ1529">
        <v>319.99999999534339</v>
      </c>
      <c r="BA1529">
        <v>0</v>
      </c>
      <c r="BB1529">
        <v>2</v>
      </c>
      <c r="BC1529">
        <v>0</v>
      </c>
      <c r="BD1529">
        <v>0</v>
      </c>
      <c r="BE1529">
        <f t="shared" si="239"/>
        <v>0</v>
      </c>
    </row>
    <row r="1530" spans="1:57" x14ac:dyDescent="0.25">
      <c r="A1530" t="s">
        <v>39</v>
      </c>
      <c r="B1530" t="s">
        <v>5152</v>
      </c>
      <c r="C1530">
        <v>78.8</v>
      </c>
      <c r="D1530">
        <v>64.400000000000006</v>
      </c>
      <c r="G1530">
        <f t="shared" si="230"/>
        <v>1</v>
      </c>
      <c r="H1530">
        <f t="shared" si="231"/>
        <v>1</v>
      </c>
      <c r="I1530">
        <f t="shared" si="232"/>
        <v>0</v>
      </c>
      <c r="J1530">
        <v>72.599999999999994</v>
      </c>
      <c r="K1530">
        <v>78.8</v>
      </c>
      <c r="L1530">
        <v>64.400000000000006</v>
      </c>
      <c r="M1530">
        <v>72.599999999999994</v>
      </c>
      <c r="N1530">
        <v>64.599999999999994</v>
      </c>
      <c r="O1530">
        <v>76.599999999999994</v>
      </c>
      <c r="S1530">
        <f t="shared" si="233"/>
        <v>1</v>
      </c>
      <c r="T1530">
        <f t="shared" si="234"/>
        <v>1</v>
      </c>
      <c r="U1530">
        <f t="shared" si="235"/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15</v>
      </c>
      <c r="AG1530">
        <f t="shared" si="236"/>
        <v>1</v>
      </c>
      <c r="AH1530">
        <f t="shared" si="237"/>
        <v>0</v>
      </c>
      <c r="AI1530">
        <f t="shared" si="238"/>
        <v>1</v>
      </c>
      <c r="AJ1530">
        <v>144.1</v>
      </c>
      <c r="AK1530">
        <v>1014.4</v>
      </c>
      <c r="AL1530">
        <v>9.8000000000000007</v>
      </c>
      <c r="AM1530">
        <v>6.3</v>
      </c>
      <c r="AN1530">
        <v>0</v>
      </c>
      <c r="AO1530">
        <v>0</v>
      </c>
      <c r="AP1530">
        <v>0</v>
      </c>
      <c r="AQ1530">
        <v>0</v>
      </c>
      <c r="AR1530" t="s">
        <v>5153</v>
      </c>
      <c r="AS1530" t="s">
        <v>5154</v>
      </c>
      <c r="AT1530">
        <v>0.96</v>
      </c>
      <c r="AU1530" t="s">
        <v>74</v>
      </c>
      <c r="AV1530" t="s">
        <v>2955</v>
      </c>
      <c r="AW1530" t="s">
        <v>75</v>
      </c>
      <c r="AX1530" t="s">
        <v>4801</v>
      </c>
      <c r="AY1530" t="s">
        <v>5155</v>
      </c>
      <c r="AZ1530">
        <v>790.00000000814907</v>
      </c>
      <c r="BA1530">
        <v>1</v>
      </c>
      <c r="BB1530">
        <v>0</v>
      </c>
      <c r="BC1530">
        <v>10</v>
      </c>
      <c r="BD1530">
        <v>0</v>
      </c>
      <c r="BE1530">
        <f t="shared" si="239"/>
        <v>1</v>
      </c>
    </row>
    <row r="1531" spans="1:57" x14ac:dyDescent="0.25">
      <c r="A1531" t="s">
        <v>39</v>
      </c>
      <c r="B1531" t="s">
        <v>5152</v>
      </c>
      <c r="C1531">
        <v>78.8</v>
      </c>
      <c r="D1531">
        <v>64.400000000000006</v>
      </c>
      <c r="G1531">
        <f t="shared" si="230"/>
        <v>1</v>
      </c>
      <c r="H1531">
        <f t="shared" si="231"/>
        <v>1</v>
      </c>
      <c r="I1531">
        <f t="shared" si="232"/>
        <v>0</v>
      </c>
      <c r="J1531">
        <v>72.599999999999994</v>
      </c>
      <c r="K1531">
        <v>78.8</v>
      </c>
      <c r="L1531">
        <v>64.400000000000006</v>
      </c>
      <c r="M1531">
        <v>72.599999999999994</v>
      </c>
      <c r="N1531">
        <v>64.599999999999994</v>
      </c>
      <c r="O1531">
        <v>76.599999999999994</v>
      </c>
      <c r="S1531">
        <f t="shared" si="233"/>
        <v>1</v>
      </c>
      <c r="T1531">
        <f t="shared" si="234"/>
        <v>1</v>
      </c>
      <c r="U1531">
        <f t="shared" si="235"/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15</v>
      </c>
      <c r="AG1531">
        <f t="shared" si="236"/>
        <v>1</v>
      </c>
      <c r="AH1531">
        <f t="shared" si="237"/>
        <v>0</v>
      </c>
      <c r="AI1531">
        <f t="shared" si="238"/>
        <v>1</v>
      </c>
      <c r="AJ1531">
        <v>144.1</v>
      </c>
      <c r="AK1531">
        <v>1014.4</v>
      </c>
      <c r="AL1531">
        <v>9.8000000000000007</v>
      </c>
      <c r="AM1531">
        <v>6.3</v>
      </c>
      <c r="AN1531">
        <v>0</v>
      </c>
      <c r="AO1531">
        <v>0</v>
      </c>
      <c r="AP1531">
        <v>0</v>
      </c>
      <c r="AQ1531">
        <v>0</v>
      </c>
      <c r="AR1531" t="s">
        <v>5153</v>
      </c>
      <c r="AS1531" t="s">
        <v>5154</v>
      </c>
      <c r="AT1531">
        <v>0.96</v>
      </c>
      <c r="AU1531" t="s">
        <v>74</v>
      </c>
      <c r="AV1531" t="s">
        <v>2955</v>
      </c>
      <c r="AW1531" t="s">
        <v>75</v>
      </c>
      <c r="AX1531" t="s">
        <v>2587</v>
      </c>
      <c r="AY1531" t="s">
        <v>5156</v>
      </c>
      <c r="AZ1531">
        <v>90</v>
      </c>
      <c r="BA1531">
        <v>0</v>
      </c>
      <c r="BB1531">
        <v>0</v>
      </c>
      <c r="BC1531">
        <v>300</v>
      </c>
      <c r="BD1531">
        <v>0</v>
      </c>
      <c r="BE1531">
        <f t="shared" si="239"/>
        <v>1</v>
      </c>
    </row>
    <row r="1532" spans="1:57" x14ac:dyDescent="0.25">
      <c r="A1532" t="s">
        <v>39</v>
      </c>
      <c r="B1532" t="s">
        <v>5157</v>
      </c>
      <c r="C1532">
        <v>82.4</v>
      </c>
      <c r="D1532">
        <v>69.8</v>
      </c>
      <c r="G1532">
        <f t="shared" si="230"/>
        <v>1</v>
      </c>
      <c r="H1532">
        <f t="shared" si="231"/>
        <v>1</v>
      </c>
      <c r="I1532">
        <f t="shared" si="232"/>
        <v>0</v>
      </c>
      <c r="J1532">
        <v>76.2</v>
      </c>
      <c r="K1532">
        <v>86.2</v>
      </c>
      <c r="L1532">
        <v>69.8</v>
      </c>
      <c r="M1532">
        <v>77</v>
      </c>
      <c r="N1532">
        <v>65.8</v>
      </c>
      <c r="O1532">
        <v>71.3</v>
      </c>
      <c r="S1532">
        <f t="shared" si="233"/>
        <v>1</v>
      </c>
      <c r="T1532">
        <f t="shared" si="234"/>
        <v>1</v>
      </c>
      <c r="U1532">
        <f t="shared" si="235"/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12.8</v>
      </c>
      <c r="AG1532">
        <f t="shared" si="236"/>
        <v>1</v>
      </c>
      <c r="AH1532">
        <f t="shared" si="237"/>
        <v>0</v>
      </c>
      <c r="AI1532">
        <f t="shared" si="238"/>
        <v>1</v>
      </c>
      <c r="AJ1532">
        <v>190.3</v>
      </c>
      <c r="AK1532">
        <v>1017.4</v>
      </c>
      <c r="AL1532">
        <v>27.7</v>
      </c>
      <c r="AM1532">
        <v>6.6</v>
      </c>
      <c r="AN1532">
        <v>0</v>
      </c>
      <c r="AO1532">
        <v>0</v>
      </c>
      <c r="AP1532">
        <v>0</v>
      </c>
      <c r="AQ1532">
        <v>0</v>
      </c>
      <c r="AR1532" t="s">
        <v>5158</v>
      </c>
      <c r="AS1532" t="s">
        <v>5159</v>
      </c>
      <c r="AT1532">
        <v>0.03</v>
      </c>
      <c r="AU1532" t="s">
        <v>43</v>
      </c>
      <c r="AV1532" t="s">
        <v>44</v>
      </c>
      <c r="AW1532" t="s">
        <v>45</v>
      </c>
      <c r="AX1532" t="s">
        <v>4044</v>
      </c>
      <c r="AY1532" t="s">
        <v>5160</v>
      </c>
      <c r="AZ1532">
        <v>505.00000000116421</v>
      </c>
      <c r="BA1532">
        <v>1</v>
      </c>
      <c r="BB1532">
        <v>0</v>
      </c>
      <c r="BC1532">
        <v>20</v>
      </c>
      <c r="BD1532">
        <v>0</v>
      </c>
      <c r="BE1532">
        <f t="shared" si="239"/>
        <v>1</v>
      </c>
    </row>
    <row r="1533" spans="1:57" x14ac:dyDescent="0.25">
      <c r="A1533" t="s">
        <v>39</v>
      </c>
      <c r="B1533" t="s">
        <v>5111</v>
      </c>
      <c r="C1533">
        <v>84.3</v>
      </c>
      <c r="D1533">
        <v>78.8</v>
      </c>
      <c r="G1533">
        <f t="shared" si="230"/>
        <v>0</v>
      </c>
      <c r="H1533">
        <f t="shared" si="231"/>
        <v>0</v>
      </c>
      <c r="I1533">
        <f t="shared" si="232"/>
        <v>0</v>
      </c>
      <c r="J1533">
        <v>81.099999999999994</v>
      </c>
      <c r="K1533">
        <v>87.6</v>
      </c>
      <c r="L1533">
        <v>78.8</v>
      </c>
      <c r="M1533">
        <v>82.5</v>
      </c>
      <c r="N1533">
        <v>66.400000000000006</v>
      </c>
      <c r="O1533">
        <v>61.3</v>
      </c>
      <c r="S1533">
        <f t="shared" si="233"/>
        <v>0</v>
      </c>
      <c r="T1533">
        <f t="shared" si="234"/>
        <v>0</v>
      </c>
      <c r="U1533">
        <f t="shared" si="235"/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24.2</v>
      </c>
      <c r="AG1533">
        <f t="shared" si="236"/>
        <v>1</v>
      </c>
      <c r="AH1533">
        <f t="shared" si="237"/>
        <v>1</v>
      </c>
      <c r="AI1533">
        <f t="shared" si="238"/>
        <v>0</v>
      </c>
      <c r="AJ1533">
        <v>301.3</v>
      </c>
      <c r="AK1533">
        <v>1009.9</v>
      </c>
      <c r="AL1533">
        <v>26.7</v>
      </c>
      <c r="AM1533">
        <v>6.6</v>
      </c>
      <c r="AN1533">
        <v>0</v>
      </c>
      <c r="AO1533">
        <v>0</v>
      </c>
      <c r="AP1533">
        <v>0</v>
      </c>
      <c r="AQ1533">
        <v>0</v>
      </c>
      <c r="AR1533" t="s">
        <v>5112</v>
      </c>
      <c r="AS1533" t="s">
        <v>5113</v>
      </c>
      <c r="AT1533">
        <v>0</v>
      </c>
      <c r="AU1533" t="s">
        <v>43</v>
      </c>
      <c r="AV1533" t="s">
        <v>44</v>
      </c>
      <c r="AW1533" t="s">
        <v>45</v>
      </c>
      <c r="AX1533" t="s">
        <v>5161</v>
      </c>
      <c r="AY1533" t="s">
        <v>5162</v>
      </c>
      <c r="AZ1533">
        <v>1441.0000000032601</v>
      </c>
      <c r="BA1533">
        <v>1</v>
      </c>
      <c r="BB1533">
        <v>0</v>
      </c>
      <c r="BC1533">
        <v>100</v>
      </c>
      <c r="BD1533">
        <v>0</v>
      </c>
      <c r="BE1533">
        <f t="shared" si="239"/>
        <v>0</v>
      </c>
    </row>
    <row r="1534" spans="1:57" x14ac:dyDescent="0.25">
      <c r="A1534" t="s">
        <v>39</v>
      </c>
      <c r="B1534" t="s">
        <v>5163</v>
      </c>
      <c r="C1534">
        <v>89.6</v>
      </c>
      <c r="D1534">
        <v>78.8</v>
      </c>
      <c r="G1534">
        <f t="shared" si="230"/>
        <v>1</v>
      </c>
      <c r="H1534">
        <f t="shared" si="231"/>
        <v>1</v>
      </c>
      <c r="I1534">
        <f t="shared" si="232"/>
        <v>0</v>
      </c>
      <c r="J1534">
        <v>84.4</v>
      </c>
      <c r="K1534">
        <v>96.5</v>
      </c>
      <c r="L1534">
        <v>78.8</v>
      </c>
      <c r="M1534">
        <v>88.9</v>
      </c>
      <c r="N1534">
        <v>70.400000000000006</v>
      </c>
      <c r="O1534">
        <v>63.6</v>
      </c>
      <c r="S1534">
        <f t="shared" si="233"/>
        <v>1</v>
      </c>
      <c r="T1534">
        <f t="shared" si="234"/>
        <v>1</v>
      </c>
      <c r="U1534">
        <f t="shared" si="235"/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26.4</v>
      </c>
      <c r="AG1534">
        <f t="shared" si="236"/>
        <v>1</v>
      </c>
      <c r="AH1534">
        <f t="shared" si="237"/>
        <v>1</v>
      </c>
      <c r="AI1534">
        <f t="shared" si="238"/>
        <v>0</v>
      </c>
      <c r="AJ1534">
        <v>301.5</v>
      </c>
      <c r="AK1534">
        <v>1005.2</v>
      </c>
      <c r="AL1534">
        <v>17.600000000000001</v>
      </c>
      <c r="AM1534">
        <v>6.5</v>
      </c>
      <c r="AN1534">
        <v>0</v>
      </c>
      <c r="AO1534">
        <v>0</v>
      </c>
      <c r="AP1534">
        <v>0</v>
      </c>
      <c r="AQ1534">
        <v>0</v>
      </c>
      <c r="AR1534" t="s">
        <v>5164</v>
      </c>
      <c r="AS1534" t="s">
        <v>5165</v>
      </c>
      <c r="AT1534">
        <v>0.33</v>
      </c>
      <c r="AU1534" t="s">
        <v>74</v>
      </c>
      <c r="AV1534" t="s">
        <v>2955</v>
      </c>
      <c r="AW1534" t="s">
        <v>75</v>
      </c>
      <c r="AX1534" t="s">
        <v>5166</v>
      </c>
      <c r="AY1534" t="s">
        <v>5167</v>
      </c>
      <c r="AZ1534">
        <v>5765.999999998603</v>
      </c>
      <c r="BA1534">
        <v>1</v>
      </c>
      <c r="BB1534">
        <v>0</v>
      </c>
      <c r="BC1534">
        <v>500</v>
      </c>
      <c r="BD1534">
        <v>0</v>
      </c>
      <c r="BE1534">
        <f t="shared" si="239"/>
        <v>1</v>
      </c>
    </row>
    <row r="1535" spans="1:57" x14ac:dyDescent="0.25">
      <c r="A1535" t="s">
        <v>39</v>
      </c>
      <c r="B1535" t="s">
        <v>5168</v>
      </c>
      <c r="C1535">
        <v>86</v>
      </c>
      <c r="D1535">
        <v>77</v>
      </c>
      <c r="G1535">
        <f t="shared" si="230"/>
        <v>1</v>
      </c>
      <c r="H1535">
        <f t="shared" si="231"/>
        <v>1</v>
      </c>
      <c r="I1535">
        <f t="shared" si="232"/>
        <v>0</v>
      </c>
      <c r="J1535">
        <v>83</v>
      </c>
      <c r="K1535">
        <v>97.2</v>
      </c>
      <c r="L1535">
        <v>77</v>
      </c>
      <c r="M1535">
        <v>89.1</v>
      </c>
      <c r="N1535">
        <v>73</v>
      </c>
      <c r="O1535">
        <v>72.099999999999994</v>
      </c>
      <c r="S1535">
        <f t="shared" si="233"/>
        <v>1</v>
      </c>
      <c r="T1535">
        <f t="shared" si="234"/>
        <v>1</v>
      </c>
      <c r="U1535">
        <f t="shared" si="235"/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16.100000000000001</v>
      </c>
      <c r="AG1535">
        <f t="shared" si="236"/>
        <v>0</v>
      </c>
      <c r="AH1535">
        <f t="shared" si="237"/>
        <v>0</v>
      </c>
      <c r="AI1535">
        <f t="shared" si="238"/>
        <v>0</v>
      </c>
      <c r="AJ1535">
        <v>313.60000000000002</v>
      </c>
      <c r="AK1535">
        <v>1008.9</v>
      </c>
      <c r="AL1535">
        <v>8.3000000000000007</v>
      </c>
      <c r="AM1535">
        <v>6.3</v>
      </c>
      <c r="AN1535">
        <v>0</v>
      </c>
      <c r="AO1535">
        <v>0</v>
      </c>
      <c r="AP1535">
        <v>0</v>
      </c>
      <c r="AQ1535">
        <v>0</v>
      </c>
      <c r="AR1535" t="s">
        <v>5169</v>
      </c>
      <c r="AS1535" t="s">
        <v>5170</v>
      </c>
      <c r="AT1535">
        <v>0.77</v>
      </c>
      <c r="AU1535" t="s">
        <v>74</v>
      </c>
      <c r="AV1535" t="s">
        <v>2955</v>
      </c>
      <c r="AW1535" t="s">
        <v>75</v>
      </c>
      <c r="AX1535" t="s">
        <v>5171</v>
      </c>
      <c r="AY1535" t="s">
        <v>5172</v>
      </c>
      <c r="AZ1535">
        <v>100.0000000011642</v>
      </c>
      <c r="BA1535">
        <v>0</v>
      </c>
      <c r="BB1535">
        <v>0</v>
      </c>
      <c r="BC1535">
        <v>0</v>
      </c>
      <c r="BD1535">
        <v>0.1</v>
      </c>
      <c r="BE1535">
        <f t="shared" si="239"/>
        <v>0</v>
      </c>
    </row>
    <row r="1536" spans="1:57" x14ac:dyDescent="0.25">
      <c r="A1536" t="s">
        <v>39</v>
      </c>
      <c r="B1536" t="s">
        <v>5080</v>
      </c>
      <c r="C1536">
        <v>86</v>
      </c>
      <c r="D1536">
        <v>78.8</v>
      </c>
      <c r="G1536">
        <f t="shared" si="230"/>
        <v>1</v>
      </c>
      <c r="H1536">
        <f t="shared" si="231"/>
        <v>1</v>
      </c>
      <c r="I1536">
        <f t="shared" si="232"/>
        <v>0</v>
      </c>
      <c r="J1536">
        <v>81.400000000000006</v>
      </c>
      <c r="K1536">
        <v>89.4</v>
      </c>
      <c r="L1536">
        <v>78.8</v>
      </c>
      <c r="M1536">
        <v>83</v>
      </c>
      <c r="N1536">
        <v>66.8</v>
      </c>
      <c r="O1536">
        <v>61.6</v>
      </c>
      <c r="S1536">
        <f t="shared" si="233"/>
        <v>0</v>
      </c>
      <c r="T1536">
        <f t="shared" si="234"/>
        <v>0</v>
      </c>
      <c r="U1536">
        <f t="shared" si="235"/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20.8</v>
      </c>
      <c r="AG1536">
        <f t="shared" si="236"/>
        <v>1</v>
      </c>
      <c r="AH1536">
        <f t="shared" si="237"/>
        <v>1</v>
      </c>
      <c r="AI1536">
        <f t="shared" si="238"/>
        <v>0</v>
      </c>
      <c r="AJ1536">
        <v>318.10000000000002</v>
      </c>
      <c r="AK1536">
        <v>1010.9</v>
      </c>
      <c r="AL1536">
        <v>19.7</v>
      </c>
      <c r="AM1536">
        <v>6.5</v>
      </c>
      <c r="AN1536">
        <v>0</v>
      </c>
      <c r="AO1536">
        <v>0</v>
      </c>
      <c r="AP1536">
        <v>0</v>
      </c>
      <c r="AQ1536">
        <v>0</v>
      </c>
      <c r="AR1536" t="s">
        <v>5081</v>
      </c>
      <c r="AS1536" t="s">
        <v>5082</v>
      </c>
      <c r="AT1536">
        <v>0.03</v>
      </c>
      <c r="AU1536" t="s">
        <v>74</v>
      </c>
      <c r="AV1536" t="s">
        <v>2955</v>
      </c>
      <c r="AW1536" t="s">
        <v>75</v>
      </c>
      <c r="AX1536" t="s">
        <v>5173</v>
      </c>
      <c r="AY1536" t="s">
        <v>5174</v>
      </c>
      <c r="AZ1536">
        <v>1746.999999994878</v>
      </c>
      <c r="BA1536">
        <v>1</v>
      </c>
      <c r="BB1536">
        <v>1</v>
      </c>
      <c r="BC1536">
        <v>0</v>
      </c>
      <c r="BD1536">
        <v>0</v>
      </c>
      <c r="BE1536">
        <f t="shared" si="239"/>
        <v>1</v>
      </c>
    </row>
    <row r="1537" spans="1:57" x14ac:dyDescent="0.25">
      <c r="A1537" t="s">
        <v>39</v>
      </c>
      <c r="B1537" t="s">
        <v>5009</v>
      </c>
      <c r="C1537">
        <v>95</v>
      </c>
      <c r="D1537">
        <v>68</v>
      </c>
      <c r="G1537">
        <f t="shared" si="230"/>
        <v>1</v>
      </c>
      <c r="H1537">
        <f t="shared" si="231"/>
        <v>1</v>
      </c>
      <c r="I1537">
        <f t="shared" si="232"/>
        <v>0</v>
      </c>
      <c r="J1537">
        <v>80.5</v>
      </c>
      <c r="K1537">
        <v>96.3</v>
      </c>
      <c r="L1537">
        <v>68</v>
      </c>
      <c r="M1537">
        <v>81.099999999999994</v>
      </c>
      <c r="N1537">
        <v>63.4</v>
      </c>
      <c r="O1537">
        <v>59.3</v>
      </c>
      <c r="S1537">
        <f t="shared" si="233"/>
        <v>1</v>
      </c>
      <c r="T1537">
        <f t="shared" si="234"/>
        <v>0</v>
      </c>
      <c r="U1537">
        <f t="shared" si="235"/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25.3</v>
      </c>
      <c r="AG1537">
        <f t="shared" si="236"/>
        <v>1</v>
      </c>
      <c r="AH1537">
        <f t="shared" si="237"/>
        <v>1</v>
      </c>
      <c r="AI1537">
        <f t="shared" si="238"/>
        <v>0</v>
      </c>
      <c r="AJ1537">
        <v>160</v>
      </c>
      <c r="AK1537">
        <v>1010.3</v>
      </c>
      <c r="AL1537">
        <v>13.8</v>
      </c>
      <c r="AM1537">
        <v>6.4</v>
      </c>
      <c r="AN1537">
        <v>0</v>
      </c>
      <c r="AO1537">
        <v>0</v>
      </c>
      <c r="AP1537">
        <v>0</v>
      </c>
      <c r="AQ1537">
        <v>0</v>
      </c>
      <c r="AR1537" t="s">
        <v>5010</v>
      </c>
      <c r="AS1537" t="s">
        <v>5011</v>
      </c>
      <c r="AT1537">
        <v>0.94</v>
      </c>
      <c r="AU1537" t="s">
        <v>74</v>
      </c>
      <c r="AV1537" t="s">
        <v>2955</v>
      </c>
      <c r="AW1537" t="s">
        <v>75</v>
      </c>
      <c r="AX1537" t="s">
        <v>2524</v>
      </c>
      <c r="AY1537" t="s">
        <v>5175</v>
      </c>
      <c r="AZ1537">
        <v>540</v>
      </c>
      <c r="BA1537">
        <v>1</v>
      </c>
      <c r="BB1537">
        <v>0</v>
      </c>
      <c r="BC1537">
        <v>10</v>
      </c>
      <c r="BD1537">
        <v>0</v>
      </c>
      <c r="BE1537">
        <f t="shared" si="239"/>
        <v>1</v>
      </c>
    </row>
    <row r="1538" spans="1:57" x14ac:dyDescent="0.25">
      <c r="A1538" t="s">
        <v>39</v>
      </c>
      <c r="B1538" t="s">
        <v>4817</v>
      </c>
      <c r="C1538">
        <v>84.2</v>
      </c>
      <c r="D1538">
        <v>66.2</v>
      </c>
      <c r="G1538">
        <f t="shared" si="230"/>
        <v>1</v>
      </c>
      <c r="H1538">
        <f t="shared" si="231"/>
        <v>1</v>
      </c>
      <c r="I1538">
        <f t="shared" si="232"/>
        <v>0</v>
      </c>
      <c r="J1538">
        <v>76.099999999999994</v>
      </c>
      <c r="K1538">
        <v>88.5</v>
      </c>
      <c r="L1538">
        <v>66.2</v>
      </c>
      <c r="M1538">
        <v>77.2</v>
      </c>
      <c r="N1538">
        <v>64.8</v>
      </c>
      <c r="O1538">
        <v>69.099999999999994</v>
      </c>
      <c r="S1538">
        <f t="shared" si="233"/>
        <v>1</v>
      </c>
      <c r="T1538">
        <f t="shared" si="234"/>
        <v>1</v>
      </c>
      <c r="U1538">
        <f t="shared" si="235"/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23</v>
      </c>
      <c r="AG1538">
        <f t="shared" si="236"/>
        <v>1</v>
      </c>
      <c r="AH1538">
        <f t="shared" si="237"/>
        <v>1</v>
      </c>
      <c r="AI1538">
        <f t="shared" si="238"/>
        <v>0</v>
      </c>
      <c r="AJ1538">
        <v>280.7</v>
      </c>
      <c r="AK1538">
        <v>1014.4</v>
      </c>
      <c r="AL1538">
        <v>48.8</v>
      </c>
      <c r="AM1538">
        <v>6.6</v>
      </c>
      <c r="AN1538">
        <v>0</v>
      </c>
      <c r="AO1538">
        <v>0</v>
      </c>
      <c r="AP1538">
        <v>0</v>
      </c>
      <c r="AQ1538">
        <v>0</v>
      </c>
      <c r="AR1538" t="s">
        <v>4818</v>
      </c>
      <c r="AS1538" t="s">
        <v>4819</v>
      </c>
      <c r="AT1538">
        <v>0.61</v>
      </c>
      <c r="AU1538" t="s">
        <v>43</v>
      </c>
      <c r="AV1538" t="s">
        <v>44</v>
      </c>
      <c r="AW1538" t="s">
        <v>45</v>
      </c>
      <c r="AX1538" t="s">
        <v>4712</v>
      </c>
      <c r="AY1538" t="s">
        <v>5176</v>
      </c>
      <c r="AZ1538">
        <v>445.00000000465661</v>
      </c>
      <c r="BA1538">
        <v>1</v>
      </c>
      <c r="BB1538">
        <v>0</v>
      </c>
      <c r="BC1538">
        <v>30</v>
      </c>
      <c r="BD1538">
        <v>0</v>
      </c>
      <c r="BE1538">
        <f t="shared" si="239"/>
        <v>1</v>
      </c>
    </row>
    <row r="1539" spans="1:57" x14ac:dyDescent="0.25">
      <c r="A1539" t="s">
        <v>39</v>
      </c>
      <c r="B1539" t="s">
        <v>5177</v>
      </c>
      <c r="C1539">
        <v>78.8</v>
      </c>
      <c r="D1539">
        <v>68</v>
      </c>
      <c r="G1539">
        <f t="shared" ref="G1539:G1602" si="240">IF(ABS(C1539-INDEX($F$2:$F$13,MONTH(B1539)))&gt;1.8,1,0)</f>
        <v>1</v>
      </c>
      <c r="H1539">
        <f t="shared" ref="H1539:H1602" si="241">IF(C1539&gt;=INDEX($F$2:$F$13,MONTH(B1539))+1.8,1,0)</f>
        <v>1</v>
      </c>
      <c r="I1539">
        <f t="shared" ref="I1539:I1602" si="242">IF(C1539&lt;=INDEX($F$2:$F$13,MONTH(B1539))-1.8,1,0)</f>
        <v>0</v>
      </c>
      <c r="J1539">
        <v>73.900000000000006</v>
      </c>
      <c r="K1539">
        <v>78.8</v>
      </c>
      <c r="L1539">
        <v>68</v>
      </c>
      <c r="M1539">
        <v>73.900000000000006</v>
      </c>
      <c r="N1539">
        <v>67.2</v>
      </c>
      <c r="O1539">
        <v>80.2</v>
      </c>
      <c r="S1539">
        <f t="shared" ref="S1539:S1602" si="243">IF(OR(O1539&lt;INDEX($Q$2:$Q$13,MONTH(B1539)),O1539&gt;INDEX($R$2:$R$13,MONTH(B1539))),1,0)</f>
        <v>1</v>
      </c>
      <c r="T1539">
        <f t="shared" ref="T1539:T1602" si="244">IF(O1539&gt;INDEX($R$2:$R$13,MONTH(B1539)),1,0)</f>
        <v>1</v>
      </c>
      <c r="U1539">
        <f t="shared" ref="U1539:U1602" si="245">IF(O1539&lt;INDEX($Q$2:$Q$13,MONTH(B1539)),1,0)</f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17.2</v>
      </c>
      <c r="AG1539">
        <f t="shared" ref="AG1539:AG1602" si="246">IF(OR(AC1539&lt;INDEX($AE$2:$AE$13,MONTH(B1539)),AC1539&gt;INDEX($AF$2:$AF$13,MONTH(B1539))),1,0)</f>
        <v>0</v>
      </c>
      <c r="AH1539">
        <f t="shared" ref="AH1539:AH1602" si="247">IF(AC1539&gt;INDEX($AF$2:$AF$13,MONTH(B1539)),1,0)</f>
        <v>0</v>
      </c>
      <c r="AI1539">
        <f t="shared" ref="AI1539:AI1602" si="248">IF(AC1539&lt;INDEX($AE$2:$AE$13,MONTH(B1539)),1,0)</f>
        <v>0</v>
      </c>
      <c r="AJ1539">
        <v>294.2</v>
      </c>
      <c r="AK1539">
        <v>1017.8</v>
      </c>
      <c r="AL1539">
        <v>31.9</v>
      </c>
      <c r="AM1539">
        <v>6.5</v>
      </c>
      <c r="AN1539">
        <v>0</v>
      </c>
      <c r="AO1539">
        <v>0</v>
      </c>
      <c r="AP1539">
        <v>0</v>
      </c>
      <c r="AQ1539">
        <v>0</v>
      </c>
      <c r="AR1539" t="s">
        <v>5178</v>
      </c>
      <c r="AS1539" t="s">
        <v>5179</v>
      </c>
      <c r="AT1539">
        <v>0.1</v>
      </c>
      <c r="AU1539" t="s">
        <v>43</v>
      </c>
      <c r="AV1539" t="s">
        <v>44</v>
      </c>
      <c r="AW1539" t="s">
        <v>45</v>
      </c>
      <c r="AX1539" t="s">
        <v>2378</v>
      </c>
      <c r="AY1539" t="s">
        <v>5180</v>
      </c>
      <c r="AZ1539">
        <v>1510.0000000081491</v>
      </c>
      <c r="BA1539">
        <v>1</v>
      </c>
      <c r="BB1539">
        <v>2</v>
      </c>
      <c r="BC1539">
        <v>0</v>
      </c>
      <c r="BD1539">
        <v>0</v>
      </c>
      <c r="BE1539">
        <f t="shared" ref="BE1539:BE1602" si="249">IF((3*AH1539+3*H1539+2*U1539+2*BA1539-(2*(1-T1539)+2*(1-I1539)+2*(1-AI1539)))&gt;=1,1,0)</f>
        <v>1</v>
      </c>
    </row>
    <row r="1540" spans="1:57" x14ac:dyDescent="0.25">
      <c r="A1540" t="s">
        <v>39</v>
      </c>
      <c r="B1540" t="s">
        <v>5181</v>
      </c>
      <c r="C1540">
        <v>68</v>
      </c>
      <c r="D1540">
        <v>62.6</v>
      </c>
      <c r="G1540">
        <f t="shared" si="240"/>
        <v>0</v>
      </c>
      <c r="H1540">
        <f t="shared" si="241"/>
        <v>0</v>
      </c>
      <c r="I1540">
        <f t="shared" si="242"/>
        <v>0</v>
      </c>
      <c r="J1540">
        <v>65.8</v>
      </c>
      <c r="K1540">
        <v>68</v>
      </c>
      <c r="L1540">
        <v>62.6</v>
      </c>
      <c r="M1540">
        <v>65.8</v>
      </c>
      <c r="N1540">
        <v>55.9</v>
      </c>
      <c r="O1540">
        <v>70.7</v>
      </c>
      <c r="S1540">
        <f t="shared" si="243"/>
        <v>1</v>
      </c>
      <c r="T1540">
        <f t="shared" si="244"/>
        <v>1</v>
      </c>
      <c r="U1540">
        <f t="shared" si="245"/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12.8</v>
      </c>
      <c r="AG1540">
        <f t="shared" si="246"/>
        <v>1</v>
      </c>
      <c r="AH1540">
        <f t="shared" si="247"/>
        <v>0</v>
      </c>
      <c r="AI1540">
        <f t="shared" si="248"/>
        <v>1</v>
      </c>
      <c r="AJ1540">
        <v>327.60000000000002</v>
      </c>
      <c r="AK1540">
        <v>1019.8</v>
      </c>
      <c r="AL1540">
        <v>56.5</v>
      </c>
      <c r="AM1540">
        <v>6.6</v>
      </c>
      <c r="AN1540">
        <v>0</v>
      </c>
      <c r="AO1540">
        <v>0</v>
      </c>
      <c r="AP1540">
        <v>0</v>
      </c>
      <c r="AQ1540">
        <v>0</v>
      </c>
      <c r="AR1540" t="s">
        <v>5182</v>
      </c>
      <c r="AS1540" t="s">
        <v>5183</v>
      </c>
      <c r="AT1540">
        <v>0.98</v>
      </c>
      <c r="AU1540" t="s">
        <v>43</v>
      </c>
      <c r="AV1540" t="s">
        <v>44</v>
      </c>
      <c r="AW1540" t="s">
        <v>45</v>
      </c>
      <c r="AX1540" t="s">
        <v>2534</v>
      </c>
      <c r="AY1540" t="s">
        <v>5184</v>
      </c>
      <c r="AZ1540">
        <v>84.999999994179234</v>
      </c>
      <c r="BA1540">
        <v>0</v>
      </c>
      <c r="BB1540">
        <v>0</v>
      </c>
      <c r="BC1540">
        <v>0.5</v>
      </c>
      <c r="BD1540">
        <v>0</v>
      </c>
      <c r="BE1540">
        <f t="shared" si="249"/>
        <v>0</v>
      </c>
    </row>
    <row r="1541" spans="1:57" x14ac:dyDescent="0.25">
      <c r="A1541" t="s">
        <v>39</v>
      </c>
      <c r="B1541" t="s">
        <v>5185</v>
      </c>
      <c r="C1541">
        <v>68.099999999999994</v>
      </c>
      <c r="D1541">
        <v>50</v>
      </c>
      <c r="G1541">
        <f t="shared" si="240"/>
        <v>1</v>
      </c>
      <c r="H1541">
        <f t="shared" si="241"/>
        <v>1</v>
      </c>
      <c r="I1541">
        <f t="shared" si="242"/>
        <v>0</v>
      </c>
      <c r="J1541">
        <v>58.6</v>
      </c>
      <c r="K1541">
        <v>68.099999999999994</v>
      </c>
      <c r="L1541">
        <v>50</v>
      </c>
      <c r="M1541">
        <v>58.6</v>
      </c>
      <c r="N1541">
        <v>46.8</v>
      </c>
      <c r="O1541">
        <v>65.3</v>
      </c>
      <c r="S1541">
        <f t="shared" si="243"/>
        <v>0</v>
      </c>
      <c r="T1541">
        <f t="shared" si="244"/>
        <v>0</v>
      </c>
      <c r="U1541">
        <f t="shared" si="245"/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16.100000000000001</v>
      </c>
      <c r="AG1541">
        <f t="shared" si="246"/>
        <v>0</v>
      </c>
      <c r="AH1541">
        <f t="shared" si="247"/>
        <v>0</v>
      </c>
      <c r="AI1541">
        <f t="shared" si="248"/>
        <v>0</v>
      </c>
      <c r="AJ1541">
        <v>168.8</v>
      </c>
      <c r="AK1541">
        <v>1012.5</v>
      </c>
      <c r="AL1541">
        <v>12.5</v>
      </c>
      <c r="AM1541">
        <v>6.4</v>
      </c>
      <c r="AN1541">
        <v>286</v>
      </c>
      <c r="AO1541">
        <v>24.7</v>
      </c>
      <c r="AP1541">
        <v>9</v>
      </c>
      <c r="AQ1541">
        <v>0</v>
      </c>
      <c r="AR1541" t="s">
        <v>5186</v>
      </c>
      <c r="AS1541" t="s">
        <v>5187</v>
      </c>
      <c r="AT1541">
        <v>0.25</v>
      </c>
      <c r="AU1541" t="s">
        <v>74</v>
      </c>
      <c r="AV1541" t="s">
        <v>2955</v>
      </c>
      <c r="AW1541" t="s">
        <v>75</v>
      </c>
      <c r="AX1541" t="s">
        <v>5188</v>
      </c>
      <c r="AY1541" t="s">
        <v>5189</v>
      </c>
      <c r="AZ1541">
        <v>139.00000000256111</v>
      </c>
      <c r="BA1541">
        <v>0</v>
      </c>
      <c r="BB1541">
        <v>3</v>
      </c>
      <c r="BC1541">
        <v>0</v>
      </c>
      <c r="BD1541">
        <v>0</v>
      </c>
      <c r="BE1541">
        <f t="shared" si="249"/>
        <v>0</v>
      </c>
    </row>
    <row r="1542" spans="1:57" x14ac:dyDescent="0.25">
      <c r="A1542" t="s">
        <v>39</v>
      </c>
      <c r="B1542" t="s">
        <v>5190</v>
      </c>
      <c r="C1542">
        <v>75.2</v>
      </c>
      <c r="D1542">
        <v>64.400000000000006</v>
      </c>
      <c r="G1542">
        <f t="shared" si="240"/>
        <v>1</v>
      </c>
      <c r="H1542">
        <f t="shared" si="241"/>
        <v>1</v>
      </c>
      <c r="I1542">
        <f t="shared" si="242"/>
        <v>0</v>
      </c>
      <c r="J1542">
        <v>69.900000000000006</v>
      </c>
      <c r="K1542">
        <v>75.2</v>
      </c>
      <c r="L1542">
        <v>64.400000000000006</v>
      </c>
      <c r="M1542">
        <v>69.900000000000006</v>
      </c>
      <c r="N1542">
        <v>61.5</v>
      </c>
      <c r="O1542">
        <v>75.2</v>
      </c>
      <c r="S1542">
        <f t="shared" si="243"/>
        <v>1</v>
      </c>
      <c r="T1542">
        <f t="shared" si="244"/>
        <v>1</v>
      </c>
      <c r="U1542">
        <f t="shared" si="245"/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20.8</v>
      </c>
      <c r="AG1542">
        <f t="shared" si="246"/>
        <v>1</v>
      </c>
      <c r="AH1542">
        <f t="shared" si="247"/>
        <v>1</v>
      </c>
      <c r="AI1542">
        <f t="shared" si="248"/>
        <v>0</v>
      </c>
      <c r="AJ1542">
        <v>300.3</v>
      </c>
      <c r="AK1542">
        <v>1013.5</v>
      </c>
      <c r="AL1542">
        <v>56.8</v>
      </c>
      <c r="AM1542">
        <v>6.6</v>
      </c>
      <c r="AN1542">
        <v>138.9</v>
      </c>
      <c r="AO1542">
        <v>11.9</v>
      </c>
      <c r="AP1542">
        <v>4</v>
      </c>
      <c r="AQ1542">
        <v>0</v>
      </c>
      <c r="AR1542" t="s">
        <v>5191</v>
      </c>
      <c r="AS1542" t="s">
        <v>5192</v>
      </c>
      <c r="AT1542">
        <v>0.71</v>
      </c>
      <c r="AU1542" t="s">
        <v>43</v>
      </c>
      <c r="AV1542" t="s">
        <v>44</v>
      </c>
      <c r="AW1542" t="s">
        <v>45</v>
      </c>
      <c r="AX1542" t="s">
        <v>2443</v>
      </c>
      <c r="AY1542" t="s">
        <v>5193</v>
      </c>
      <c r="AZ1542">
        <v>114.99999999767169</v>
      </c>
      <c r="BA1542">
        <v>0</v>
      </c>
      <c r="BB1542">
        <v>0</v>
      </c>
      <c r="BC1542">
        <v>0.3</v>
      </c>
      <c r="BD1542">
        <v>0</v>
      </c>
      <c r="BE1542">
        <f t="shared" si="249"/>
        <v>1</v>
      </c>
    </row>
    <row r="1543" spans="1:57" x14ac:dyDescent="0.25">
      <c r="A1543" t="s">
        <v>39</v>
      </c>
      <c r="B1543" t="s">
        <v>5194</v>
      </c>
      <c r="C1543">
        <v>78.8</v>
      </c>
      <c r="D1543">
        <v>64.400000000000006</v>
      </c>
      <c r="G1543">
        <f t="shared" si="240"/>
        <v>0</v>
      </c>
      <c r="H1543">
        <f t="shared" si="241"/>
        <v>0</v>
      </c>
      <c r="I1543">
        <f t="shared" si="242"/>
        <v>0</v>
      </c>
      <c r="J1543">
        <v>72.400000000000006</v>
      </c>
      <c r="K1543">
        <v>78.8</v>
      </c>
      <c r="L1543">
        <v>64.400000000000006</v>
      </c>
      <c r="M1543">
        <v>72.400000000000006</v>
      </c>
      <c r="N1543">
        <v>61.8</v>
      </c>
      <c r="O1543">
        <v>70.099999999999994</v>
      </c>
      <c r="S1543">
        <f t="shared" si="243"/>
        <v>1</v>
      </c>
      <c r="T1543">
        <f t="shared" si="244"/>
        <v>1</v>
      </c>
      <c r="U1543">
        <f t="shared" si="245"/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13.9</v>
      </c>
      <c r="AG1543">
        <f t="shared" si="246"/>
        <v>1</v>
      </c>
      <c r="AH1543">
        <f t="shared" si="247"/>
        <v>0</v>
      </c>
      <c r="AI1543">
        <f t="shared" si="248"/>
        <v>1</v>
      </c>
      <c r="AJ1543">
        <v>322.10000000000002</v>
      </c>
      <c r="AK1543">
        <v>1012.7</v>
      </c>
      <c r="AL1543">
        <v>3.5</v>
      </c>
      <c r="AM1543">
        <v>6.3</v>
      </c>
      <c r="AN1543">
        <v>365.5</v>
      </c>
      <c r="AO1543">
        <v>31.6</v>
      </c>
      <c r="AP1543">
        <v>10</v>
      </c>
      <c r="AQ1543">
        <v>0</v>
      </c>
      <c r="AR1543" t="s">
        <v>5195</v>
      </c>
      <c r="AS1543" t="s">
        <v>5196</v>
      </c>
      <c r="AT1543">
        <v>0.63</v>
      </c>
      <c r="AU1543" t="s">
        <v>74</v>
      </c>
      <c r="AV1543" t="s">
        <v>2955</v>
      </c>
      <c r="AW1543" t="s">
        <v>75</v>
      </c>
      <c r="AX1543" t="s">
        <v>5197</v>
      </c>
      <c r="AY1543" t="s">
        <v>5198</v>
      </c>
      <c r="AZ1543">
        <v>75.99999999627471</v>
      </c>
      <c r="BA1543">
        <v>0</v>
      </c>
      <c r="BB1543">
        <v>0</v>
      </c>
      <c r="BC1543">
        <v>0.2</v>
      </c>
      <c r="BD1543">
        <v>0</v>
      </c>
      <c r="BE1543">
        <f t="shared" si="249"/>
        <v>0</v>
      </c>
    </row>
    <row r="1544" spans="1:57" x14ac:dyDescent="0.25">
      <c r="A1544" t="s">
        <v>39</v>
      </c>
      <c r="B1544" t="s">
        <v>5101</v>
      </c>
      <c r="C1544">
        <v>89.6</v>
      </c>
      <c r="D1544">
        <v>80.599999999999994</v>
      </c>
      <c r="G1544">
        <f t="shared" si="240"/>
        <v>1</v>
      </c>
      <c r="H1544">
        <f t="shared" si="241"/>
        <v>1</v>
      </c>
      <c r="I1544">
        <f t="shared" si="242"/>
        <v>0</v>
      </c>
      <c r="J1544">
        <v>85.3</v>
      </c>
      <c r="K1544">
        <v>100.3</v>
      </c>
      <c r="L1544">
        <v>83.9</v>
      </c>
      <c r="M1544">
        <v>91.4</v>
      </c>
      <c r="N1544">
        <v>71.900000000000006</v>
      </c>
      <c r="O1544">
        <v>64.7</v>
      </c>
      <c r="S1544">
        <f t="shared" si="243"/>
        <v>1</v>
      </c>
      <c r="T1544">
        <f t="shared" si="244"/>
        <v>1</v>
      </c>
      <c r="U1544">
        <f t="shared" si="245"/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16.100000000000001</v>
      </c>
      <c r="AG1544">
        <f t="shared" si="246"/>
        <v>0</v>
      </c>
      <c r="AH1544">
        <f t="shared" si="247"/>
        <v>0</v>
      </c>
      <c r="AI1544">
        <f t="shared" si="248"/>
        <v>0</v>
      </c>
      <c r="AJ1544">
        <v>312.10000000000002</v>
      </c>
      <c r="AK1544">
        <v>1009.6</v>
      </c>
      <c r="AL1544">
        <v>0</v>
      </c>
      <c r="AM1544">
        <v>6.2</v>
      </c>
      <c r="AN1544">
        <v>0</v>
      </c>
      <c r="AO1544">
        <v>0</v>
      </c>
      <c r="AP1544">
        <v>0</v>
      </c>
      <c r="AQ1544">
        <v>0</v>
      </c>
      <c r="AR1544" t="s">
        <v>5102</v>
      </c>
      <c r="AS1544" t="s">
        <v>5103</v>
      </c>
      <c r="AT1544">
        <v>0.75</v>
      </c>
      <c r="AU1544" t="s">
        <v>74</v>
      </c>
      <c r="AV1544" t="s">
        <v>2955</v>
      </c>
      <c r="AW1544" t="s">
        <v>75</v>
      </c>
      <c r="AX1544" t="s">
        <v>5199</v>
      </c>
      <c r="AY1544" t="s">
        <v>5200</v>
      </c>
      <c r="AZ1544">
        <v>227.00000000651929</v>
      </c>
      <c r="BA1544">
        <v>0</v>
      </c>
      <c r="BB1544">
        <v>1</v>
      </c>
      <c r="BC1544">
        <v>0</v>
      </c>
      <c r="BD1544">
        <v>0</v>
      </c>
      <c r="BE1544">
        <f t="shared" si="249"/>
        <v>0</v>
      </c>
    </row>
    <row r="1545" spans="1:57" x14ac:dyDescent="0.25">
      <c r="A1545" t="s">
        <v>39</v>
      </c>
      <c r="B1545" t="s">
        <v>5201</v>
      </c>
      <c r="C1545">
        <v>86</v>
      </c>
      <c r="D1545">
        <v>73.400000000000006</v>
      </c>
      <c r="G1545">
        <f t="shared" si="240"/>
        <v>1</v>
      </c>
      <c r="H1545">
        <f t="shared" si="241"/>
        <v>1</v>
      </c>
      <c r="I1545">
        <f t="shared" si="242"/>
        <v>0</v>
      </c>
      <c r="J1545">
        <v>81.400000000000006</v>
      </c>
      <c r="K1545">
        <v>92</v>
      </c>
      <c r="L1545">
        <v>73.400000000000006</v>
      </c>
      <c r="M1545">
        <v>84</v>
      </c>
      <c r="N1545">
        <v>68.599999999999994</v>
      </c>
      <c r="O1545">
        <v>66.2</v>
      </c>
      <c r="S1545">
        <f t="shared" si="243"/>
        <v>1</v>
      </c>
      <c r="T1545">
        <f t="shared" si="244"/>
        <v>1</v>
      </c>
      <c r="U1545">
        <f t="shared" si="245"/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16.100000000000001</v>
      </c>
      <c r="AG1545">
        <f t="shared" si="246"/>
        <v>0</v>
      </c>
      <c r="AH1545">
        <f t="shared" si="247"/>
        <v>0</v>
      </c>
      <c r="AI1545">
        <f t="shared" si="248"/>
        <v>0</v>
      </c>
      <c r="AJ1545">
        <v>303.2</v>
      </c>
      <c r="AK1545">
        <v>1010.1</v>
      </c>
      <c r="AL1545">
        <v>0</v>
      </c>
      <c r="AM1545">
        <v>6.2</v>
      </c>
      <c r="AN1545">
        <v>0</v>
      </c>
      <c r="AO1545">
        <v>0</v>
      </c>
      <c r="AP1545">
        <v>0</v>
      </c>
      <c r="AQ1545">
        <v>0</v>
      </c>
      <c r="AR1545" t="s">
        <v>5202</v>
      </c>
      <c r="AS1545" t="s">
        <v>5203</v>
      </c>
      <c r="AT1545">
        <v>0.96</v>
      </c>
      <c r="AU1545" t="s">
        <v>74</v>
      </c>
      <c r="AV1545" t="s">
        <v>2955</v>
      </c>
      <c r="AW1545" t="s">
        <v>75</v>
      </c>
      <c r="AX1545" t="s">
        <v>2383</v>
      </c>
      <c r="AY1545" t="s">
        <v>5204</v>
      </c>
      <c r="AZ1545">
        <v>1530</v>
      </c>
      <c r="BA1545">
        <v>1</v>
      </c>
      <c r="BB1545">
        <v>10</v>
      </c>
      <c r="BC1545">
        <v>0</v>
      </c>
      <c r="BD1545">
        <v>0</v>
      </c>
      <c r="BE1545">
        <f t="shared" si="249"/>
        <v>1</v>
      </c>
    </row>
    <row r="1546" spans="1:57" x14ac:dyDescent="0.25">
      <c r="A1546" t="s">
        <v>39</v>
      </c>
      <c r="B1546" t="s">
        <v>5205</v>
      </c>
      <c r="C1546">
        <v>80.599999999999994</v>
      </c>
      <c r="D1546">
        <v>68</v>
      </c>
      <c r="G1546">
        <f t="shared" si="240"/>
        <v>1</v>
      </c>
      <c r="H1546">
        <f t="shared" si="241"/>
        <v>1</v>
      </c>
      <c r="I1546">
        <f t="shared" si="242"/>
        <v>0</v>
      </c>
      <c r="J1546">
        <v>73.8</v>
      </c>
      <c r="K1546">
        <v>84.6</v>
      </c>
      <c r="L1546">
        <v>68</v>
      </c>
      <c r="M1546">
        <v>74.099999999999994</v>
      </c>
      <c r="N1546">
        <v>68.099999999999994</v>
      </c>
      <c r="O1546">
        <v>82.7</v>
      </c>
      <c r="S1546">
        <f t="shared" si="243"/>
        <v>1</v>
      </c>
      <c r="T1546">
        <f t="shared" si="244"/>
        <v>1</v>
      </c>
      <c r="U1546">
        <f t="shared" si="245"/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10.3</v>
      </c>
      <c r="AG1546">
        <f t="shared" si="246"/>
        <v>1</v>
      </c>
      <c r="AH1546">
        <f t="shared" si="247"/>
        <v>0</v>
      </c>
      <c r="AI1546">
        <f t="shared" si="248"/>
        <v>1</v>
      </c>
      <c r="AJ1546">
        <v>325.7</v>
      </c>
      <c r="AK1546">
        <v>1016.2</v>
      </c>
      <c r="AL1546">
        <v>18.899999999999999</v>
      </c>
      <c r="AM1546">
        <v>6.4</v>
      </c>
      <c r="AN1546">
        <v>0</v>
      </c>
      <c r="AO1546">
        <v>0</v>
      </c>
      <c r="AP1546">
        <v>0</v>
      </c>
      <c r="AQ1546">
        <v>0</v>
      </c>
      <c r="AR1546" t="s">
        <v>5206</v>
      </c>
      <c r="AS1546" t="s">
        <v>5207</v>
      </c>
      <c r="AT1546">
        <v>0.54</v>
      </c>
      <c r="AU1546" t="s">
        <v>74</v>
      </c>
      <c r="AV1546" t="s">
        <v>2955</v>
      </c>
      <c r="AW1546" t="s">
        <v>75</v>
      </c>
      <c r="AX1546" t="s">
        <v>2587</v>
      </c>
      <c r="AY1546" t="s">
        <v>5208</v>
      </c>
      <c r="AZ1546">
        <v>420.00000000698492</v>
      </c>
      <c r="BA1546">
        <v>1</v>
      </c>
      <c r="BB1546">
        <v>3</v>
      </c>
      <c r="BC1546">
        <v>0</v>
      </c>
      <c r="BD1546">
        <v>0</v>
      </c>
      <c r="BE1546">
        <f t="shared" si="249"/>
        <v>1</v>
      </c>
    </row>
    <row r="1547" spans="1:57" x14ac:dyDescent="0.25">
      <c r="A1547" t="s">
        <v>39</v>
      </c>
      <c r="B1547" t="s">
        <v>4817</v>
      </c>
      <c r="C1547">
        <v>84.2</v>
      </c>
      <c r="D1547">
        <v>66.2</v>
      </c>
      <c r="G1547">
        <f t="shared" si="240"/>
        <v>1</v>
      </c>
      <c r="H1547">
        <f t="shared" si="241"/>
        <v>1</v>
      </c>
      <c r="I1547">
        <f t="shared" si="242"/>
        <v>0</v>
      </c>
      <c r="J1547">
        <v>76.099999999999994</v>
      </c>
      <c r="K1547">
        <v>88.5</v>
      </c>
      <c r="L1547">
        <v>66.2</v>
      </c>
      <c r="M1547">
        <v>77.2</v>
      </c>
      <c r="N1547">
        <v>64.8</v>
      </c>
      <c r="O1547">
        <v>69.099999999999994</v>
      </c>
      <c r="S1547">
        <f t="shared" si="243"/>
        <v>1</v>
      </c>
      <c r="T1547">
        <f t="shared" si="244"/>
        <v>1</v>
      </c>
      <c r="U1547">
        <f t="shared" si="245"/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23</v>
      </c>
      <c r="AG1547">
        <f t="shared" si="246"/>
        <v>1</v>
      </c>
      <c r="AH1547">
        <f t="shared" si="247"/>
        <v>1</v>
      </c>
      <c r="AI1547">
        <f t="shared" si="248"/>
        <v>0</v>
      </c>
      <c r="AJ1547">
        <v>280.7</v>
      </c>
      <c r="AK1547">
        <v>1014.4</v>
      </c>
      <c r="AL1547">
        <v>48.8</v>
      </c>
      <c r="AM1547">
        <v>6.6</v>
      </c>
      <c r="AN1547">
        <v>0</v>
      </c>
      <c r="AO1547">
        <v>0</v>
      </c>
      <c r="AP1547">
        <v>0</v>
      </c>
      <c r="AQ1547">
        <v>0</v>
      </c>
      <c r="AR1547" t="s">
        <v>4818</v>
      </c>
      <c r="AS1547" t="s">
        <v>4819</v>
      </c>
      <c r="AT1547">
        <v>0.61</v>
      </c>
      <c r="AU1547" t="s">
        <v>43</v>
      </c>
      <c r="AV1547" t="s">
        <v>44</v>
      </c>
      <c r="AW1547" t="s">
        <v>45</v>
      </c>
      <c r="AX1547" t="s">
        <v>5209</v>
      </c>
      <c r="AY1547" t="s">
        <v>5210</v>
      </c>
      <c r="AZ1547">
        <v>716.00000000791624</v>
      </c>
      <c r="BA1547">
        <v>1</v>
      </c>
      <c r="BB1547">
        <v>15</v>
      </c>
      <c r="BC1547">
        <v>0</v>
      </c>
      <c r="BD1547">
        <v>0</v>
      </c>
      <c r="BE1547">
        <f t="shared" si="249"/>
        <v>1</v>
      </c>
    </row>
    <row r="1548" spans="1:57" x14ac:dyDescent="0.25">
      <c r="A1548" t="s">
        <v>39</v>
      </c>
      <c r="B1548" t="s">
        <v>5211</v>
      </c>
      <c r="C1548">
        <v>78.900000000000006</v>
      </c>
      <c r="D1548">
        <v>66.2</v>
      </c>
      <c r="G1548">
        <f t="shared" si="240"/>
        <v>1</v>
      </c>
      <c r="H1548">
        <f t="shared" si="241"/>
        <v>1</v>
      </c>
      <c r="I1548">
        <f t="shared" si="242"/>
        <v>0</v>
      </c>
      <c r="J1548">
        <v>72.5</v>
      </c>
      <c r="K1548">
        <v>78.900000000000006</v>
      </c>
      <c r="L1548">
        <v>66.2</v>
      </c>
      <c r="M1548">
        <v>72.5</v>
      </c>
      <c r="N1548">
        <v>63.9</v>
      </c>
      <c r="O1548">
        <v>75</v>
      </c>
      <c r="S1548">
        <f t="shared" si="243"/>
        <v>1</v>
      </c>
      <c r="T1548">
        <f t="shared" si="244"/>
        <v>1</v>
      </c>
      <c r="U1548">
        <f t="shared" si="245"/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17.2</v>
      </c>
      <c r="AG1548">
        <f t="shared" si="246"/>
        <v>0</v>
      </c>
      <c r="AH1548">
        <f t="shared" si="247"/>
        <v>0</v>
      </c>
      <c r="AI1548">
        <f t="shared" si="248"/>
        <v>0</v>
      </c>
      <c r="AJ1548">
        <v>279</v>
      </c>
      <c r="AK1548">
        <v>1015.4</v>
      </c>
      <c r="AL1548">
        <v>49.7</v>
      </c>
      <c r="AM1548">
        <v>6.5</v>
      </c>
      <c r="AN1548">
        <v>0</v>
      </c>
      <c r="AO1548">
        <v>0</v>
      </c>
      <c r="AP1548">
        <v>0</v>
      </c>
      <c r="AQ1548">
        <v>0</v>
      </c>
      <c r="AR1548" t="s">
        <v>5212</v>
      </c>
      <c r="AS1548" t="s">
        <v>5213</v>
      </c>
      <c r="AT1548">
        <v>0.75</v>
      </c>
      <c r="AU1548" t="s">
        <v>43</v>
      </c>
      <c r="AV1548" t="s">
        <v>44</v>
      </c>
      <c r="AW1548" t="s">
        <v>45</v>
      </c>
      <c r="AX1548" t="s">
        <v>5214</v>
      </c>
      <c r="AY1548" t="s">
        <v>5215</v>
      </c>
      <c r="AZ1548">
        <v>116.9999999937136</v>
      </c>
      <c r="BA1548">
        <v>0</v>
      </c>
      <c r="BB1548">
        <v>0</v>
      </c>
      <c r="BC1548">
        <v>0.2</v>
      </c>
      <c r="BD1548">
        <v>0</v>
      </c>
      <c r="BE1548">
        <f t="shared" si="249"/>
        <v>0</v>
      </c>
    </row>
    <row r="1549" spans="1:57" x14ac:dyDescent="0.25">
      <c r="A1549" t="s">
        <v>39</v>
      </c>
      <c r="B1549" t="s">
        <v>4987</v>
      </c>
      <c r="C1549">
        <v>80.599999999999994</v>
      </c>
      <c r="D1549">
        <v>68</v>
      </c>
      <c r="G1549">
        <f t="shared" si="240"/>
        <v>0</v>
      </c>
      <c r="H1549">
        <f t="shared" si="241"/>
        <v>0</v>
      </c>
      <c r="I1549">
        <f t="shared" si="242"/>
        <v>0</v>
      </c>
      <c r="J1549">
        <v>75.5</v>
      </c>
      <c r="K1549">
        <v>83.9</v>
      </c>
      <c r="L1549">
        <v>68</v>
      </c>
      <c r="M1549">
        <v>76.5</v>
      </c>
      <c r="N1549">
        <v>65.8</v>
      </c>
      <c r="O1549">
        <v>72.2</v>
      </c>
      <c r="S1549">
        <f t="shared" si="243"/>
        <v>1</v>
      </c>
      <c r="T1549">
        <f t="shared" si="244"/>
        <v>1</v>
      </c>
      <c r="U1549">
        <f t="shared" si="245"/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19.5</v>
      </c>
      <c r="AG1549">
        <f t="shared" si="246"/>
        <v>1</v>
      </c>
      <c r="AH1549">
        <f t="shared" si="247"/>
        <v>1</v>
      </c>
      <c r="AI1549">
        <f t="shared" si="248"/>
        <v>0</v>
      </c>
      <c r="AJ1549">
        <v>307.89999999999998</v>
      </c>
      <c r="AK1549">
        <v>1013.4</v>
      </c>
      <c r="AL1549">
        <v>17.5</v>
      </c>
      <c r="AM1549">
        <v>6.4</v>
      </c>
      <c r="AN1549">
        <v>0</v>
      </c>
      <c r="AO1549">
        <v>0</v>
      </c>
      <c r="AP1549">
        <v>0</v>
      </c>
      <c r="AQ1549">
        <v>0</v>
      </c>
      <c r="AR1549" t="s">
        <v>4988</v>
      </c>
      <c r="AS1549" t="s">
        <v>4989</v>
      </c>
      <c r="AT1549">
        <v>0.59</v>
      </c>
      <c r="AU1549" t="s">
        <v>74</v>
      </c>
      <c r="AV1549" t="s">
        <v>2955</v>
      </c>
      <c r="AW1549" t="s">
        <v>75</v>
      </c>
      <c r="AX1549" t="s">
        <v>4788</v>
      </c>
      <c r="AY1549" t="s">
        <v>5216</v>
      </c>
      <c r="AZ1549">
        <v>280.00000000116421</v>
      </c>
      <c r="BA1549">
        <v>0</v>
      </c>
      <c r="BB1549">
        <v>0</v>
      </c>
      <c r="BC1549">
        <v>15</v>
      </c>
      <c r="BD1549">
        <v>0</v>
      </c>
      <c r="BE1549">
        <f t="shared" si="249"/>
        <v>0</v>
      </c>
    </row>
    <row r="1550" spans="1:57" x14ac:dyDescent="0.25">
      <c r="A1550" t="s">
        <v>39</v>
      </c>
      <c r="B1550" t="s">
        <v>5217</v>
      </c>
      <c r="C1550">
        <v>82.4</v>
      </c>
      <c r="D1550">
        <v>69.8</v>
      </c>
      <c r="G1550">
        <f t="shared" si="240"/>
        <v>1</v>
      </c>
      <c r="H1550">
        <f t="shared" si="241"/>
        <v>1</v>
      </c>
      <c r="I1550">
        <f t="shared" si="242"/>
        <v>0</v>
      </c>
      <c r="J1550">
        <v>76.3</v>
      </c>
      <c r="K1550">
        <v>86.2</v>
      </c>
      <c r="L1550">
        <v>69.8</v>
      </c>
      <c r="M1550">
        <v>77.3</v>
      </c>
      <c r="N1550">
        <v>66.8</v>
      </c>
      <c r="O1550">
        <v>73</v>
      </c>
      <c r="S1550">
        <f t="shared" si="243"/>
        <v>1</v>
      </c>
      <c r="T1550">
        <f t="shared" si="244"/>
        <v>1</v>
      </c>
      <c r="U1550">
        <f t="shared" si="245"/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19.5</v>
      </c>
      <c r="AG1550">
        <f t="shared" si="246"/>
        <v>1</v>
      </c>
      <c r="AH1550">
        <f t="shared" si="247"/>
        <v>1</v>
      </c>
      <c r="AI1550">
        <f t="shared" si="248"/>
        <v>0</v>
      </c>
      <c r="AJ1550">
        <v>314.89999999999998</v>
      </c>
      <c r="AK1550">
        <v>1014.2</v>
      </c>
      <c r="AL1550">
        <v>0.2</v>
      </c>
      <c r="AM1550">
        <v>6.2</v>
      </c>
      <c r="AN1550">
        <v>0</v>
      </c>
      <c r="AO1550">
        <v>0</v>
      </c>
      <c r="AP1550">
        <v>0</v>
      </c>
      <c r="AQ1550">
        <v>0</v>
      </c>
      <c r="AR1550" t="s">
        <v>5218</v>
      </c>
      <c r="AS1550" t="s">
        <v>5219</v>
      </c>
      <c r="AT1550">
        <v>0.47</v>
      </c>
      <c r="AU1550" t="s">
        <v>74</v>
      </c>
      <c r="AV1550" t="s">
        <v>2955</v>
      </c>
      <c r="AW1550" t="s">
        <v>75</v>
      </c>
      <c r="AX1550" t="s">
        <v>4396</v>
      </c>
      <c r="AY1550" t="s">
        <v>5220</v>
      </c>
      <c r="AZ1550">
        <v>1384.9999999988361</v>
      </c>
      <c r="BA1550">
        <v>1</v>
      </c>
      <c r="BB1550">
        <v>3</v>
      </c>
      <c r="BC1550">
        <v>0</v>
      </c>
      <c r="BD1550">
        <v>0</v>
      </c>
      <c r="BE1550">
        <f t="shared" si="249"/>
        <v>1</v>
      </c>
    </row>
    <row r="1551" spans="1:57" x14ac:dyDescent="0.25">
      <c r="A1551" t="s">
        <v>39</v>
      </c>
      <c r="B1551" t="s">
        <v>4699</v>
      </c>
      <c r="C1551">
        <v>77</v>
      </c>
      <c r="D1551">
        <v>62.6</v>
      </c>
      <c r="G1551">
        <f t="shared" si="240"/>
        <v>1</v>
      </c>
      <c r="H1551">
        <f t="shared" si="241"/>
        <v>1</v>
      </c>
      <c r="I1551">
        <f t="shared" si="242"/>
        <v>0</v>
      </c>
      <c r="J1551">
        <v>71.599999999999994</v>
      </c>
      <c r="K1551">
        <v>77</v>
      </c>
      <c r="L1551">
        <v>62.6</v>
      </c>
      <c r="M1551">
        <v>71.599999999999994</v>
      </c>
      <c r="N1551">
        <v>61.1</v>
      </c>
      <c r="O1551">
        <v>69.900000000000006</v>
      </c>
      <c r="S1551">
        <f t="shared" si="243"/>
        <v>1</v>
      </c>
      <c r="T1551">
        <f t="shared" si="244"/>
        <v>1</v>
      </c>
      <c r="U1551">
        <f t="shared" si="245"/>
        <v>0</v>
      </c>
      <c r="V1551">
        <v>1.2E-2</v>
      </c>
      <c r="W1551">
        <v>100</v>
      </c>
      <c r="X1551">
        <v>4.17</v>
      </c>
      <c r="Y1551" t="s">
        <v>103</v>
      </c>
      <c r="Z1551">
        <v>0</v>
      </c>
      <c r="AA1551">
        <v>0</v>
      </c>
      <c r="AB1551">
        <v>39.1</v>
      </c>
      <c r="AC1551">
        <v>27.5</v>
      </c>
      <c r="AG1551">
        <f t="shared" si="246"/>
        <v>1</v>
      </c>
      <c r="AH1551">
        <f t="shared" si="247"/>
        <v>1</v>
      </c>
      <c r="AI1551">
        <f t="shared" si="248"/>
        <v>0</v>
      </c>
      <c r="AJ1551">
        <v>174.4</v>
      </c>
      <c r="AK1551">
        <v>1010.6</v>
      </c>
      <c r="AL1551">
        <v>95.5</v>
      </c>
      <c r="AM1551">
        <v>6.6</v>
      </c>
      <c r="AN1551">
        <v>0</v>
      </c>
      <c r="AO1551">
        <v>0</v>
      </c>
      <c r="AP1551">
        <v>0</v>
      </c>
      <c r="AQ1551">
        <v>0</v>
      </c>
      <c r="AR1551" t="s">
        <v>4700</v>
      </c>
      <c r="AS1551" t="s">
        <v>4701</v>
      </c>
      <c r="AT1551">
        <v>0.59</v>
      </c>
      <c r="AU1551" t="s">
        <v>1357</v>
      </c>
      <c r="AV1551" t="s">
        <v>2819</v>
      </c>
      <c r="AW1551" t="s">
        <v>103</v>
      </c>
      <c r="AX1551" t="s">
        <v>5221</v>
      </c>
      <c r="AY1551" t="s">
        <v>5222</v>
      </c>
      <c r="AZ1551">
        <v>773.99999999790452</v>
      </c>
      <c r="BA1551">
        <v>1</v>
      </c>
      <c r="BB1551">
        <v>5</v>
      </c>
      <c r="BC1551">
        <v>0</v>
      </c>
      <c r="BD1551">
        <v>0</v>
      </c>
      <c r="BE1551">
        <f t="shared" si="249"/>
        <v>1</v>
      </c>
    </row>
    <row r="1552" spans="1:57" x14ac:dyDescent="0.25">
      <c r="A1552" t="s">
        <v>39</v>
      </c>
      <c r="B1552" t="s">
        <v>5223</v>
      </c>
      <c r="C1552">
        <v>80.599999999999994</v>
      </c>
      <c r="D1552">
        <v>68</v>
      </c>
      <c r="G1552">
        <f t="shared" si="240"/>
        <v>1</v>
      </c>
      <c r="H1552">
        <f t="shared" si="241"/>
        <v>1</v>
      </c>
      <c r="I1552">
        <f t="shared" si="242"/>
        <v>0</v>
      </c>
      <c r="J1552">
        <v>73</v>
      </c>
      <c r="K1552">
        <v>78.8</v>
      </c>
      <c r="L1552">
        <v>68</v>
      </c>
      <c r="M1552">
        <v>72.900000000000006</v>
      </c>
      <c r="N1552">
        <v>33.700000000000003</v>
      </c>
      <c r="O1552">
        <v>24.5</v>
      </c>
      <c r="S1552">
        <f t="shared" si="243"/>
        <v>1</v>
      </c>
      <c r="T1552">
        <f t="shared" si="244"/>
        <v>0</v>
      </c>
      <c r="U1552">
        <f t="shared" si="245"/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42.5</v>
      </c>
      <c r="AC1552">
        <v>31.1</v>
      </c>
      <c r="AG1552">
        <f t="shared" si="246"/>
        <v>1</v>
      </c>
      <c r="AH1552">
        <f t="shared" si="247"/>
        <v>1</v>
      </c>
      <c r="AI1552">
        <f t="shared" si="248"/>
        <v>0</v>
      </c>
      <c r="AJ1552">
        <v>174.2</v>
      </c>
      <c r="AK1552">
        <v>1011.1</v>
      </c>
      <c r="AL1552">
        <v>63.2</v>
      </c>
      <c r="AM1552">
        <v>6.6</v>
      </c>
      <c r="AN1552">
        <v>235.8</v>
      </c>
      <c r="AO1552">
        <v>20.5</v>
      </c>
      <c r="AP1552">
        <v>9</v>
      </c>
      <c r="AQ1552">
        <v>0</v>
      </c>
      <c r="AR1552" t="s">
        <v>5224</v>
      </c>
      <c r="AS1552" t="s">
        <v>5225</v>
      </c>
      <c r="AT1552">
        <v>0.45</v>
      </c>
      <c r="AU1552" t="s">
        <v>43</v>
      </c>
      <c r="AV1552" t="s">
        <v>44</v>
      </c>
      <c r="AW1552" t="s">
        <v>419</v>
      </c>
      <c r="AX1552" t="s">
        <v>5226</v>
      </c>
      <c r="AY1552" t="s">
        <v>5227</v>
      </c>
      <c r="AZ1552">
        <v>31.999999999534339</v>
      </c>
      <c r="BA1552">
        <v>0</v>
      </c>
      <c r="BB1552">
        <v>0.1</v>
      </c>
      <c r="BC1552">
        <v>0</v>
      </c>
      <c r="BD1552">
        <v>0</v>
      </c>
      <c r="BE1552">
        <f t="shared" si="249"/>
        <v>1</v>
      </c>
    </row>
    <row r="1553" spans="1:57" x14ac:dyDescent="0.25">
      <c r="A1553" t="s">
        <v>39</v>
      </c>
      <c r="B1553" t="s">
        <v>5228</v>
      </c>
      <c r="C1553">
        <v>86</v>
      </c>
      <c r="D1553">
        <v>59.6</v>
      </c>
      <c r="G1553">
        <f t="shared" si="240"/>
        <v>1</v>
      </c>
      <c r="H1553">
        <f t="shared" si="241"/>
        <v>1</v>
      </c>
      <c r="I1553">
        <f t="shared" si="242"/>
        <v>0</v>
      </c>
      <c r="J1553">
        <v>69.8</v>
      </c>
      <c r="K1553">
        <v>83.6</v>
      </c>
      <c r="L1553">
        <v>59.6</v>
      </c>
      <c r="M1553">
        <v>69.7</v>
      </c>
      <c r="N1553">
        <v>53.8</v>
      </c>
      <c r="O1553">
        <v>59.3</v>
      </c>
      <c r="S1553">
        <f t="shared" si="243"/>
        <v>1</v>
      </c>
      <c r="T1553">
        <f t="shared" si="244"/>
        <v>0</v>
      </c>
      <c r="U1553">
        <f t="shared" si="245"/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19.5</v>
      </c>
      <c r="AG1553">
        <f t="shared" si="246"/>
        <v>1</v>
      </c>
      <c r="AH1553">
        <f t="shared" si="247"/>
        <v>1</v>
      </c>
      <c r="AI1553">
        <f t="shared" si="248"/>
        <v>0</v>
      </c>
      <c r="AJ1553">
        <v>219.6</v>
      </c>
      <c r="AK1553">
        <v>1013.3</v>
      </c>
      <c r="AL1553">
        <v>14.6</v>
      </c>
      <c r="AM1553">
        <v>6.2</v>
      </c>
      <c r="AN1553">
        <v>313.60000000000002</v>
      </c>
      <c r="AO1553">
        <v>27.2</v>
      </c>
      <c r="AP1553">
        <v>9</v>
      </c>
      <c r="AQ1553">
        <v>0</v>
      </c>
      <c r="AR1553" t="s">
        <v>5229</v>
      </c>
      <c r="AS1553" t="s">
        <v>5230</v>
      </c>
      <c r="AT1553">
        <v>0.14000000000000001</v>
      </c>
      <c r="AU1553" t="s">
        <v>74</v>
      </c>
      <c r="AV1553" t="s">
        <v>2955</v>
      </c>
      <c r="AW1553" t="s">
        <v>75</v>
      </c>
      <c r="AX1553" t="s">
        <v>2341</v>
      </c>
      <c r="AY1553" t="s">
        <v>5231</v>
      </c>
      <c r="AZ1553">
        <v>130.00000000465661</v>
      </c>
      <c r="BA1553">
        <v>0</v>
      </c>
      <c r="BB1553">
        <v>0</v>
      </c>
      <c r="BC1553">
        <v>0.2</v>
      </c>
      <c r="BD1553">
        <v>0</v>
      </c>
      <c r="BE1553">
        <f t="shared" si="249"/>
        <v>1</v>
      </c>
    </row>
    <row r="1554" spans="1:57" x14ac:dyDescent="0.25">
      <c r="A1554" t="s">
        <v>39</v>
      </c>
      <c r="B1554" t="s">
        <v>5232</v>
      </c>
      <c r="C1554">
        <v>71.599999999999994</v>
      </c>
      <c r="D1554">
        <v>52.8</v>
      </c>
      <c r="G1554">
        <f t="shared" si="240"/>
        <v>1</v>
      </c>
      <c r="H1554">
        <f t="shared" si="241"/>
        <v>1</v>
      </c>
      <c r="I1554">
        <f t="shared" si="242"/>
        <v>0</v>
      </c>
      <c r="J1554">
        <v>62.1</v>
      </c>
      <c r="K1554">
        <v>71.599999999999994</v>
      </c>
      <c r="L1554">
        <v>52.8</v>
      </c>
      <c r="M1554">
        <v>62.1</v>
      </c>
      <c r="N1554">
        <v>52.5</v>
      </c>
      <c r="O1554">
        <v>71.7</v>
      </c>
      <c r="S1554">
        <f t="shared" si="243"/>
        <v>1</v>
      </c>
      <c r="T1554">
        <f t="shared" si="244"/>
        <v>1</v>
      </c>
      <c r="U1554">
        <f t="shared" si="245"/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9.1999999999999993</v>
      </c>
      <c r="AG1554">
        <f t="shared" si="246"/>
        <v>1</v>
      </c>
      <c r="AH1554">
        <f t="shared" si="247"/>
        <v>0</v>
      </c>
      <c r="AI1554">
        <f t="shared" si="248"/>
        <v>1</v>
      </c>
      <c r="AJ1554">
        <v>292.39999999999998</v>
      </c>
      <c r="AK1554">
        <v>1015.1</v>
      </c>
      <c r="AL1554">
        <v>0</v>
      </c>
      <c r="AM1554">
        <v>6.2</v>
      </c>
      <c r="AN1554">
        <v>339.2</v>
      </c>
      <c r="AO1554">
        <v>29.4</v>
      </c>
      <c r="AP1554">
        <v>10</v>
      </c>
      <c r="AQ1554">
        <v>0</v>
      </c>
      <c r="AR1554" t="s">
        <v>5233</v>
      </c>
      <c r="AS1554" t="s">
        <v>5234</v>
      </c>
      <c r="AT1554">
        <v>0.2</v>
      </c>
      <c r="AU1554" t="s">
        <v>74</v>
      </c>
      <c r="AV1554" t="s">
        <v>2955</v>
      </c>
      <c r="AW1554" t="s">
        <v>75</v>
      </c>
      <c r="AX1554" t="s">
        <v>5235</v>
      </c>
      <c r="AY1554" t="s">
        <v>5236</v>
      </c>
      <c r="AZ1554">
        <v>83.999999990919605</v>
      </c>
      <c r="BA1554">
        <v>0</v>
      </c>
      <c r="BB1554">
        <v>0</v>
      </c>
      <c r="BC1554">
        <v>0.5</v>
      </c>
      <c r="BD1554">
        <v>0</v>
      </c>
      <c r="BE1554">
        <f t="shared" si="249"/>
        <v>1</v>
      </c>
    </row>
    <row r="1555" spans="1:57" x14ac:dyDescent="0.25">
      <c r="A1555" t="s">
        <v>39</v>
      </c>
      <c r="B1555" t="s">
        <v>4934</v>
      </c>
      <c r="C1555">
        <v>84.2</v>
      </c>
      <c r="D1555">
        <v>71.599999999999994</v>
      </c>
      <c r="G1555">
        <f t="shared" si="240"/>
        <v>0</v>
      </c>
      <c r="H1555">
        <f t="shared" si="241"/>
        <v>0</v>
      </c>
      <c r="I1555">
        <f t="shared" si="242"/>
        <v>0</v>
      </c>
      <c r="J1555">
        <v>80</v>
      </c>
      <c r="K1555">
        <v>91</v>
      </c>
      <c r="L1555">
        <v>71.599999999999994</v>
      </c>
      <c r="M1555">
        <v>82.6</v>
      </c>
      <c r="N1555">
        <v>67.8</v>
      </c>
      <c r="O1555">
        <v>66.599999999999994</v>
      </c>
      <c r="S1555">
        <f t="shared" si="243"/>
        <v>1</v>
      </c>
      <c r="T1555">
        <f t="shared" si="244"/>
        <v>1</v>
      </c>
      <c r="U1555">
        <f t="shared" si="245"/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20.8</v>
      </c>
      <c r="AG1555">
        <f t="shared" si="246"/>
        <v>1</v>
      </c>
      <c r="AH1555">
        <f t="shared" si="247"/>
        <v>1</v>
      </c>
      <c r="AI1555">
        <f t="shared" si="248"/>
        <v>0</v>
      </c>
      <c r="AJ1555">
        <v>312.7</v>
      </c>
      <c r="AK1555">
        <v>1007.1</v>
      </c>
      <c r="AL1555">
        <v>0</v>
      </c>
      <c r="AM1555">
        <v>6.2</v>
      </c>
      <c r="AN1555">
        <v>0</v>
      </c>
      <c r="AO1555">
        <v>0</v>
      </c>
      <c r="AP1555">
        <v>0</v>
      </c>
      <c r="AQ1555">
        <v>0</v>
      </c>
      <c r="AR1555" t="s">
        <v>4935</v>
      </c>
      <c r="AS1555" t="s">
        <v>4936</v>
      </c>
      <c r="AT1555">
        <v>0.11</v>
      </c>
      <c r="AU1555" t="s">
        <v>74</v>
      </c>
      <c r="AV1555" t="s">
        <v>2955</v>
      </c>
      <c r="AW1555" t="s">
        <v>75</v>
      </c>
      <c r="AX1555" t="s">
        <v>4148</v>
      </c>
      <c r="AY1555" t="s">
        <v>5237</v>
      </c>
      <c r="AZ1555">
        <v>2847.000000007683</v>
      </c>
      <c r="BA1555">
        <v>1</v>
      </c>
      <c r="BB1555">
        <v>70</v>
      </c>
      <c r="BC1555">
        <v>0</v>
      </c>
      <c r="BD1555">
        <v>0</v>
      </c>
      <c r="BE1555">
        <f t="shared" si="249"/>
        <v>1</v>
      </c>
    </row>
    <row r="1556" spans="1:57" x14ac:dyDescent="0.25">
      <c r="A1556" t="s">
        <v>39</v>
      </c>
      <c r="B1556" t="s">
        <v>5032</v>
      </c>
      <c r="C1556">
        <v>84.2</v>
      </c>
      <c r="D1556">
        <v>66.2</v>
      </c>
      <c r="G1556">
        <f t="shared" si="240"/>
        <v>1</v>
      </c>
      <c r="H1556">
        <f t="shared" si="241"/>
        <v>1</v>
      </c>
      <c r="I1556">
        <f t="shared" si="242"/>
        <v>0</v>
      </c>
      <c r="J1556">
        <v>75.400000000000006</v>
      </c>
      <c r="K1556">
        <v>89.6</v>
      </c>
      <c r="L1556">
        <v>66.2</v>
      </c>
      <c r="M1556">
        <v>77.2</v>
      </c>
      <c r="N1556">
        <v>65.900000000000006</v>
      </c>
      <c r="O1556">
        <v>72.599999999999994</v>
      </c>
      <c r="S1556">
        <f t="shared" si="243"/>
        <v>1</v>
      </c>
      <c r="T1556">
        <f t="shared" si="244"/>
        <v>1</v>
      </c>
      <c r="U1556">
        <f t="shared" si="245"/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8.1</v>
      </c>
      <c r="AG1556">
        <f t="shared" si="246"/>
        <v>1</v>
      </c>
      <c r="AH1556">
        <f t="shared" si="247"/>
        <v>0</v>
      </c>
      <c r="AI1556">
        <f t="shared" si="248"/>
        <v>1</v>
      </c>
      <c r="AJ1556">
        <v>220.3</v>
      </c>
      <c r="AK1556">
        <v>1014.5</v>
      </c>
      <c r="AL1556">
        <v>64.8</v>
      </c>
      <c r="AM1556">
        <v>6.2</v>
      </c>
      <c r="AN1556">
        <v>0</v>
      </c>
      <c r="AO1556">
        <v>0</v>
      </c>
      <c r="AP1556">
        <v>0</v>
      </c>
      <c r="AQ1556">
        <v>0</v>
      </c>
      <c r="AR1556" t="s">
        <v>5033</v>
      </c>
      <c r="AS1556" t="s">
        <v>5034</v>
      </c>
      <c r="AT1556">
        <v>0.4</v>
      </c>
      <c r="AU1556" t="s">
        <v>43</v>
      </c>
      <c r="AV1556" t="s">
        <v>44</v>
      </c>
      <c r="AW1556" t="s">
        <v>45</v>
      </c>
      <c r="AX1556" t="s">
        <v>5238</v>
      </c>
      <c r="AY1556" t="s">
        <v>5239</v>
      </c>
      <c r="AZ1556">
        <v>151.99999999254939</v>
      </c>
      <c r="BA1556">
        <v>0</v>
      </c>
      <c r="BB1556">
        <v>0.5</v>
      </c>
      <c r="BC1556">
        <v>0</v>
      </c>
      <c r="BD1556">
        <v>0</v>
      </c>
      <c r="BE1556">
        <f t="shared" si="249"/>
        <v>1</v>
      </c>
    </row>
    <row r="1557" spans="1:57" x14ac:dyDescent="0.25">
      <c r="A1557" t="s">
        <v>39</v>
      </c>
      <c r="B1557" t="s">
        <v>5152</v>
      </c>
      <c r="C1557">
        <v>78.8</v>
      </c>
      <c r="D1557">
        <v>64.400000000000006</v>
      </c>
      <c r="G1557">
        <f t="shared" si="240"/>
        <v>1</v>
      </c>
      <c r="H1557">
        <f t="shared" si="241"/>
        <v>1</v>
      </c>
      <c r="I1557">
        <f t="shared" si="242"/>
        <v>0</v>
      </c>
      <c r="J1557">
        <v>72.599999999999994</v>
      </c>
      <c r="K1557">
        <v>78.8</v>
      </c>
      <c r="L1557">
        <v>64.400000000000006</v>
      </c>
      <c r="M1557">
        <v>72.599999999999994</v>
      </c>
      <c r="N1557">
        <v>64.599999999999994</v>
      </c>
      <c r="O1557">
        <v>76.599999999999994</v>
      </c>
      <c r="S1557">
        <f t="shared" si="243"/>
        <v>1</v>
      </c>
      <c r="T1557">
        <f t="shared" si="244"/>
        <v>1</v>
      </c>
      <c r="U1557">
        <f t="shared" si="245"/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15</v>
      </c>
      <c r="AG1557">
        <f t="shared" si="246"/>
        <v>1</v>
      </c>
      <c r="AH1557">
        <f t="shared" si="247"/>
        <v>0</v>
      </c>
      <c r="AI1557">
        <f t="shared" si="248"/>
        <v>1</v>
      </c>
      <c r="AJ1557">
        <v>144.1</v>
      </c>
      <c r="AK1557">
        <v>1014.4</v>
      </c>
      <c r="AL1557">
        <v>9.8000000000000007</v>
      </c>
      <c r="AM1557">
        <v>6.3</v>
      </c>
      <c r="AN1557">
        <v>0</v>
      </c>
      <c r="AO1557">
        <v>0</v>
      </c>
      <c r="AP1557">
        <v>0</v>
      </c>
      <c r="AQ1557">
        <v>0</v>
      </c>
      <c r="AR1557" t="s">
        <v>5153</v>
      </c>
      <c r="AS1557" t="s">
        <v>5154</v>
      </c>
      <c r="AT1557">
        <v>0.96</v>
      </c>
      <c r="AU1557" t="s">
        <v>74</v>
      </c>
      <c r="AV1557" t="s">
        <v>2955</v>
      </c>
      <c r="AW1557" t="s">
        <v>75</v>
      </c>
      <c r="AX1557" t="s">
        <v>4801</v>
      </c>
      <c r="AY1557" t="s">
        <v>5155</v>
      </c>
      <c r="AZ1557">
        <v>264.00000000139698</v>
      </c>
      <c r="BA1557">
        <v>0</v>
      </c>
      <c r="BB1557">
        <v>0</v>
      </c>
      <c r="BC1557">
        <v>10</v>
      </c>
      <c r="BD1557">
        <v>0</v>
      </c>
      <c r="BE1557">
        <f t="shared" si="249"/>
        <v>1</v>
      </c>
    </row>
    <row r="1558" spans="1:57" x14ac:dyDescent="0.25">
      <c r="A1558" t="s">
        <v>39</v>
      </c>
      <c r="B1558" t="s">
        <v>5240</v>
      </c>
      <c r="C1558">
        <v>89.6</v>
      </c>
      <c r="D1558">
        <v>69.8</v>
      </c>
      <c r="G1558">
        <f t="shared" si="240"/>
        <v>1</v>
      </c>
      <c r="H1558">
        <f t="shared" si="241"/>
        <v>1</v>
      </c>
      <c r="I1558">
        <f t="shared" si="242"/>
        <v>0</v>
      </c>
      <c r="J1558">
        <v>76.900000000000006</v>
      </c>
      <c r="K1558">
        <v>90.3</v>
      </c>
      <c r="L1558">
        <v>69.8</v>
      </c>
      <c r="M1558">
        <v>77.599999999999994</v>
      </c>
      <c r="N1558">
        <v>62.3</v>
      </c>
      <c r="O1558">
        <v>61.3</v>
      </c>
      <c r="S1558">
        <f t="shared" si="243"/>
        <v>1</v>
      </c>
      <c r="T1558">
        <f t="shared" si="244"/>
        <v>0</v>
      </c>
      <c r="U1558">
        <f t="shared" si="245"/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24.2</v>
      </c>
      <c r="AG1558">
        <f t="shared" si="246"/>
        <v>1</v>
      </c>
      <c r="AH1558">
        <f t="shared" si="247"/>
        <v>1</v>
      </c>
      <c r="AI1558">
        <f t="shared" si="248"/>
        <v>0</v>
      </c>
      <c r="AJ1558">
        <v>168.9</v>
      </c>
      <c r="AK1558">
        <v>1014.6</v>
      </c>
      <c r="AL1558">
        <v>26.4</v>
      </c>
      <c r="AM1558">
        <v>6.4</v>
      </c>
      <c r="AN1558">
        <v>0</v>
      </c>
      <c r="AO1558">
        <v>0</v>
      </c>
      <c r="AP1558">
        <v>0</v>
      </c>
      <c r="AQ1558">
        <v>0</v>
      </c>
      <c r="AR1558" t="s">
        <v>5241</v>
      </c>
      <c r="AS1558" t="s">
        <v>5242</v>
      </c>
      <c r="AT1558">
        <v>0</v>
      </c>
      <c r="AU1558" t="s">
        <v>43</v>
      </c>
      <c r="AV1558" t="s">
        <v>44</v>
      </c>
      <c r="AW1558" t="s">
        <v>45</v>
      </c>
      <c r="AX1558" t="s">
        <v>2423</v>
      </c>
      <c r="AY1558" t="s">
        <v>5243</v>
      </c>
      <c r="AZ1558">
        <v>689.99999999650754</v>
      </c>
      <c r="BA1558">
        <v>1</v>
      </c>
      <c r="BB1558">
        <v>0</v>
      </c>
      <c r="BC1558">
        <v>50</v>
      </c>
      <c r="BD1558">
        <v>0</v>
      </c>
      <c r="BE1558">
        <f t="shared" si="249"/>
        <v>1</v>
      </c>
    </row>
    <row r="1559" spans="1:57" x14ac:dyDescent="0.25">
      <c r="A1559" t="s">
        <v>39</v>
      </c>
      <c r="B1559" t="s">
        <v>4695</v>
      </c>
      <c r="C1559">
        <v>80.599999999999994</v>
      </c>
      <c r="D1559">
        <v>66.2</v>
      </c>
      <c r="G1559">
        <f t="shared" si="240"/>
        <v>1</v>
      </c>
      <c r="H1559">
        <f t="shared" si="241"/>
        <v>1</v>
      </c>
      <c r="I1559">
        <f t="shared" si="242"/>
        <v>0</v>
      </c>
      <c r="J1559">
        <v>74.2</v>
      </c>
      <c r="K1559">
        <v>85.4</v>
      </c>
      <c r="L1559">
        <v>66.2</v>
      </c>
      <c r="M1559">
        <v>74.8</v>
      </c>
      <c r="N1559">
        <v>63.7</v>
      </c>
      <c r="O1559">
        <v>70.3</v>
      </c>
      <c r="S1559">
        <f t="shared" si="243"/>
        <v>1</v>
      </c>
      <c r="T1559">
        <f t="shared" si="244"/>
        <v>1</v>
      </c>
      <c r="U1559">
        <f t="shared" si="245"/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10.3</v>
      </c>
      <c r="AG1559">
        <f t="shared" si="246"/>
        <v>1</v>
      </c>
      <c r="AH1559">
        <f t="shared" si="247"/>
        <v>0</v>
      </c>
      <c r="AI1559">
        <f t="shared" si="248"/>
        <v>1</v>
      </c>
      <c r="AJ1559">
        <v>225.9</v>
      </c>
      <c r="AK1559">
        <v>1018.3</v>
      </c>
      <c r="AL1559">
        <v>29.2</v>
      </c>
      <c r="AM1559">
        <v>6.4</v>
      </c>
      <c r="AN1559">
        <v>0</v>
      </c>
      <c r="AO1559">
        <v>0</v>
      </c>
      <c r="AP1559">
        <v>0</v>
      </c>
      <c r="AQ1559">
        <v>0</v>
      </c>
      <c r="AR1559" t="s">
        <v>4696</v>
      </c>
      <c r="AS1559" t="s">
        <v>4697</v>
      </c>
      <c r="AT1559">
        <v>7.0000000000000007E-2</v>
      </c>
      <c r="AU1559" t="s">
        <v>43</v>
      </c>
      <c r="AV1559" t="s">
        <v>44</v>
      </c>
      <c r="AW1559" t="s">
        <v>45</v>
      </c>
      <c r="AX1559" t="s">
        <v>5244</v>
      </c>
      <c r="AY1559" t="s">
        <v>5245</v>
      </c>
      <c r="AZ1559">
        <v>365.99999999860302</v>
      </c>
      <c r="BA1559">
        <v>1</v>
      </c>
      <c r="BB1559">
        <v>0</v>
      </c>
      <c r="BC1559">
        <v>5</v>
      </c>
      <c r="BD1559">
        <v>0</v>
      </c>
      <c r="BE1559">
        <f t="shared" si="249"/>
        <v>1</v>
      </c>
    </row>
    <row r="1560" spans="1:57" x14ac:dyDescent="0.25">
      <c r="A1560" t="s">
        <v>39</v>
      </c>
      <c r="B1560" t="s">
        <v>5246</v>
      </c>
      <c r="C1560">
        <v>73.400000000000006</v>
      </c>
      <c r="D1560">
        <v>68</v>
      </c>
      <c r="G1560">
        <f t="shared" si="240"/>
        <v>0</v>
      </c>
      <c r="H1560">
        <f t="shared" si="241"/>
        <v>0</v>
      </c>
      <c r="I1560">
        <f t="shared" si="242"/>
        <v>0</v>
      </c>
      <c r="J1560">
        <v>70.599999999999994</v>
      </c>
      <c r="K1560">
        <v>73.400000000000006</v>
      </c>
      <c r="L1560">
        <v>68</v>
      </c>
      <c r="M1560">
        <v>70.599999999999994</v>
      </c>
      <c r="N1560">
        <v>57</v>
      </c>
      <c r="O1560">
        <v>62.2</v>
      </c>
      <c r="S1560">
        <f t="shared" si="243"/>
        <v>1</v>
      </c>
      <c r="T1560">
        <f t="shared" si="244"/>
        <v>0</v>
      </c>
      <c r="U1560">
        <f t="shared" si="245"/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20.8</v>
      </c>
      <c r="AG1560">
        <f t="shared" si="246"/>
        <v>1</v>
      </c>
      <c r="AH1560">
        <f t="shared" si="247"/>
        <v>1</v>
      </c>
      <c r="AI1560">
        <f t="shared" si="248"/>
        <v>0</v>
      </c>
      <c r="AJ1560">
        <v>324.89999999999998</v>
      </c>
      <c r="AK1560">
        <v>1013.8</v>
      </c>
      <c r="AL1560">
        <v>50.3</v>
      </c>
      <c r="AM1560">
        <v>6.6</v>
      </c>
      <c r="AN1560">
        <v>0</v>
      </c>
      <c r="AO1560">
        <v>0</v>
      </c>
      <c r="AP1560">
        <v>0</v>
      </c>
      <c r="AQ1560">
        <v>0</v>
      </c>
      <c r="AR1560" t="s">
        <v>5247</v>
      </c>
      <c r="AS1560" t="s">
        <v>5248</v>
      </c>
      <c r="AT1560">
        <v>0.2</v>
      </c>
      <c r="AU1560" t="s">
        <v>43</v>
      </c>
      <c r="AV1560" t="s">
        <v>44</v>
      </c>
      <c r="AW1560" t="s">
        <v>45</v>
      </c>
      <c r="AX1560" t="s">
        <v>5249</v>
      </c>
      <c r="AY1560" t="s">
        <v>5250</v>
      </c>
      <c r="AZ1560">
        <v>107.0000000030268</v>
      </c>
      <c r="BA1560">
        <v>0</v>
      </c>
      <c r="BB1560">
        <v>0</v>
      </c>
      <c r="BC1560">
        <v>2</v>
      </c>
      <c r="BD1560">
        <v>0</v>
      </c>
      <c r="BE1560">
        <f t="shared" si="249"/>
        <v>0</v>
      </c>
    </row>
    <row r="1561" spans="1:57" x14ac:dyDescent="0.25">
      <c r="A1561" t="s">
        <v>39</v>
      </c>
      <c r="B1561" t="s">
        <v>5251</v>
      </c>
      <c r="C1561">
        <v>71.599999999999994</v>
      </c>
      <c r="D1561">
        <v>62.6</v>
      </c>
      <c r="G1561">
        <f t="shared" si="240"/>
        <v>1</v>
      </c>
      <c r="H1561">
        <f t="shared" si="241"/>
        <v>0</v>
      </c>
      <c r="I1561">
        <f t="shared" si="242"/>
        <v>1</v>
      </c>
      <c r="J1561">
        <v>67.599999999999994</v>
      </c>
      <c r="K1561">
        <v>71.599999999999994</v>
      </c>
      <c r="L1561">
        <v>62.6</v>
      </c>
      <c r="M1561">
        <v>67.599999999999994</v>
      </c>
      <c r="N1561">
        <v>58.9</v>
      </c>
      <c r="O1561">
        <v>74.2</v>
      </c>
      <c r="S1561">
        <f t="shared" si="243"/>
        <v>1</v>
      </c>
      <c r="T1561">
        <f t="shared" si="244"/>
        <v>1</v>
      </c>
      <c r="U1561">
        <f t="shared" si="245"/>
        <v>0</v>
      </c>
      <c r="V1561">
        <v>0.33100000000000002</v>
      </c>
      <c r="W1561">
        <v>100</v>
      </c>
      <c r="X1561">
        <v>8.33</v>
      </c>
      <c r="Y1561" t="s">
        <v>103</v>
      </c>
      <c r="Z1561">
        <v>0</v>
      </c>
      <c r="AA1561">
        <v>0</v>
      </c>
      <c r="AB1561">
        <v>0</v>
      </c>
      <c r="AC1561">
        <v>18.3</v>
      </c>
      <c r="AG1561">
        <f t="shared" si="246"/>
        <v>1</v>
      </c>
      <c r="AH1561">
        <f t="shared" si="247"/>
        <v>1</v>
      </c>
      <c r="AI1561">
        <f t="shared" si="248"/>
        <v>0</v>
      </c>
      <c r="AJ1561">
        <v>313.10000000000002</v>
      </c>
      <c r="AK1561">
        <v>1013</v>
      </c>
      <c r="AL1561">
        <v>56</v>
      </c>
      <c r="AM1561">
        <v>6.6</v>
      </c>
      <c r="AN1561">
        <v>0</v>
      </c>
      <c r="AO1561">
        <v>0</v>
      </c>
      <c r="AP1561">
        <v>0</v>
      </c>
      <c r="AQ1561">
        <v>0</v>
      </c>
      <c r="AR1561" t="s">
        <v>5252</v>
      </c>
      <c r="AS1561" t="s">
        <v>5253</v>
      </c>
      <c r="AT1561">
        <v>0.25</v>
      </c>
      <c r="AU1561" t="s">
        <v>106</v>
      </c>
      <c r="AV1561" t="s">
        <v>107</v>
      </c>
      <c r="AW1561" t="s">
        <v>103</v>
      </c>
      <c r="AX1561" t="s">
        <v>5254</v>
      </c>
      <c r="AY1561" t="s">
        <v>5255</v>
      </c>
      <c r="AZ1561">
        <v>381.99999999837019</v>
      </c>
      <c r="BA1561">
        <v>1</v>
      </c>
      <c r="BB1561">
        <v>0</v>
      </c>
      <c r="BC1561">
        <v>2</v>
      </c>
      <c r="BD1561">
        <v>0</v>
      </c>
      <c r="BE1561">
        <f t="shared" si="249"/>
        <v>1</v>
      </c>
    </row>
    <row r="1562" spans="1:57" x14ac:dyDescent="0.25">
      <c r="A1562" t="s">
        <v>39</v>
      </c>
      <c r="B1562" t="s">
        <v>5256</v>
      </c>
      <c r="C1562">
        <v>75.2</v>
      </c>
      <c r="D1562">
        <v>66.2</v>
      </c>
      <c r="G1562">
        <f t="shared" si="240"/>
        <v>0</v>
      </c>
      <c r="H1562">
        <f t="shared" si="241"/>
        <v>0</v>
      </c>
      <c r="I1562">
        <f t="shared" si="242"/>
        <v>0</v>
      </c>
      <c r="J1562">
        <v>70.3</v>
      </c>
      <c r="K1562">
        <v>75.2</v>
      </c>
      <c r="L1562">
        <v>66.2</v>
      </c>
      <c r="M1562">
        <v>70.3</v>
      </c>
      <c r="N1562">
        <v>59.8</v>
      </c>
      <c r="O1562">
        <v>69.900000000000006</v>
      </c>
      <c r="S1562">
        <f t="shared" si="243"/>
        <v>1</v>
      </c>
      <c r="T1562">
        <f t="shared" si="244"/>
        <v>1</v>
      </c>
      <c r="U1562">
        <f t="shared" si="245"/>
        <v>0</v>
      </c>
      <c r="V1562">
        <v>1.2E-2</v>
      </c>
      <c r="W1562">
        <v>100</v>
      </c>
      <c r="X1562">
        <v>4.17</v>
      </c>
      <c r="Y1562" t="s">
        <v>103</v>
      </c>
      <c r="Z1562">
        <v>0</v>
      </c>
      <c r="AA1562">
        <v>0</v>
      </c>
      <c r="AB1562">
        <v>0</v>
      </c>
      <c r="AC1562">
        <v>20.8</v>
      </c>
      <c r="AG1562">
        <f t="shared" si="246"/>
        <v>1</v>
      </c>
      <c r="AH1562">
        <f t="shared" si="247"/>
        <v>1</v>
      </c>
      <c r="AI1562">
        <f t="shared" si="248"/>
        <v>0</v>
      </c>
      <c r="AJ1562">
        <v>289</v>
      </c>
      <c r="AK1562">
        <v>1011.2</v>
      </c>
      <c r="AL1562">
        <v>67.5</v>
      </c>
      <c r="AM1562">
        <v>6.6</v>
      </c>
      <c r="AN1562">
        <v>0</v>
      </c>
      <c r="AO1562">
        <v>0</v>
      </c>
      <c r="AP1562">
        <v>0</v>
      </c>
      <c r="AQ1562">
        <v>0</v>
      </c>
      <c r="AR1562" t="s">
        <v>5257</v>
      </c>
      <c r="AS1562" t="s">
        <v>5258</v>
      </c>
      <c r="AT1562">
        <v>0.52</v>
      </c>
      <c r="AU1562" t="s">
        <v>106</v>
      </c>
      <c r="AV1562" t="s">
        <v>433</v>
      </c>
      <c r="AW1562" t="s">
        <v>103</v>
      </c>
      <c r="AX1562" t="s">
        <v>5259</v>
      </c>
      <c r="AY1562" t="s">
        <v>5260</v>
      </c>
      <c r="AZ1562">
        <v>152.99999999580899</v>
      </c>
      <c r="BA1562">
        <v>0</v>
      </c>
      <c r="BB1562">
        <v>2</v>
      </c>
      <c r="BC1562">
        <v>0</v>
      </c>
      <c r="BD1562">
        <v>0</v>
      </c>
      <c r="BE1562">
        <f t="shared" si="249"/>
        <v>0</v>
      </c>
    </row>
    <row r="1563" spans="1:57" x14ac:dyDescent="0.25">
      <c r="A1563" t="s">
        <v>39</v>
      </c>
      <c r="B1563" t="s">
        <v>4699</v>
      </c>
      <c r="C1563">
        <v>77</v>
      </c>
      <c r="D1563">
        <v>62.6</v>
      </c>
      <c r="G1563">
        <f t="shared" si="240"/>
        <v>1</v>
      </c>
      <c r="H1563">
        <f t="shared" si="241"/>
        <v>1</v>
      </c>
      <c r="I1563">
        <f t="shared" si="242"/>
        <v>0</v>
      </c>
      <c r="J1563">
        <v>71.599999999999994</v>
      </c>
      <c r="K1563">
        <v>77</v>
      </c>
      <c r="L1563">
        <v>62.6</v>
      </c>
      <c r="M1563">
        <v>71.599999999999994</v>
      </c>
      <c r="N1563">
        <v>61.1</v>
      </c>
      <c r="O1563">
        <v>69.900000000000006</v>
      </c>
      <c r="S1563">
        <f t="shared" si="243"/>
        <v>1</v>
      </c>
      <c r="T1563">
        <f t="shared" si="244"/>
        <v>1</v>
      </c>
      <c r="U1563">
        <f t="shared" si="245"/>
        <v>0</v>
      </c>
      <c r="V1563">
        <v>1.2E-2</v>
      </c>
      <c r="W1563">
        <v>100</v>
      </c>
      <c r="X1563">
        <v>4.17</v>
      </c>
      <c r="Y1563" t="s">
        <v>103</v>
      </c>
      <c r="Z1563">
        <v>0</v>
      </c>
      <c r="AA1563">
        <v>0</v>
      </c>
      <c r="AB1563">
        <v>39.1</v>
      </c>
      <c r="AC1563">
        <v>27.5</v>
      </c>
      <c r="AG1563">
        <f t="shared" si="246"/>
        <v>1</v>
      </c>
      <c r="AH1563">
        <f t="shared" si="247"/>
        <v>1</v>
      </c>
      <c r="AI1563">
        <f t="shared" si="248"/>
        <v>0</v>
      </c>
      <c r="AJ1563">
        <v>174.4</v>
      </c>
      <c r="AK1563">
        <v>1010.6</v>
      </c>
      <c r="AL1563">
        <v>95.5</v>
      </c>
      <c r="AM1563">
        <v>6.6</v>
      </c>
      <c r="AN1563">
        <v>0</v>
      </c>
      <c r="AO1563">
        <v>0</v>
      </c>
      <c r="AP1563">
        <v>0</v>
      </c>
      <c r="AQ1563">
        <v>0</v>
      </c>
      <c r="AR1563" t="s">
        <v>4700</v>
      </c>
      <c r="AS1563" t="s">
        <v>4701</v>
      </c>
      <c r="AT1563">
        <v>0.59</v>
      </c>
      <c r="AU1563" t="s">
        <v>1357</v>
      </c>
      <c r="AV1563" t="s">
        <v>2819</v>
      </c>
      <c r="AW1563" t="s">
        <v>103</v>
      </c>
      <c r="AX1563" t="s">
        <v>2509</v>
      </c>
      <c r="AY1563" t="s">
        <v>5261</v>
      </c>
      <c r="AZ1563">
        <v>70.000000008149073</v>
      </c>
      <c r="BA1563">
        <v>0</v>
      </c>
      <c r="BB1563">
        <v>2</v>
      </c>
      <c r="BC1563">
        <v>0</v>
      </c>
      <c r="BD1563">
        <v>0</v>
      </c>
      <c r="BE1563">
        <f t="shared" si="249"/>
        <v>1</v>
      </c>
    </row>
    <row r="1564" spans="1:57" x14ac:dyDescent="0.25">
      <c r="A1564" t="s">
        <v>39</v>
      </c>
      <c r="B1564" t="s">
        <v>5117</v>
      </c>
      <c r="C1564">
        <v>91.4</v>
      </c>
      <c r="D1564">
        <v>84.2</v>
      </c>
      <c r="G1564">
        <f t="shared" si="240"/>
        <v>1</v>
      </c>
      <c r="H1564">
        <f t="shared" si="241"/>
        <v>1</v>
      </c>
      <c r="I1564">
        <f t="shared" si="242"/>
        <v>0</v>
      </c>
      <c r="J1564">
        <v>87.1</v>
      </c>
      <c r="K1564">
        <v>95.6</v>
      </c>
      <c r="L1564">
        <v>87.4</v>
      </c>
      <c r="M1564">
        <v>91.1</v>
      </c>
      <c r="N1564">
        <v>68.599999999999994</v>
      </c>
      <c r="O1564">
        <v>54.5</v>
      </c>
      <c r="S1564">
        <f t="shared" si="243"/>
        <v>1</v>
      </c>
      <c r="T1564">
        <f t="shared" si="244"/>
        <v>0</v>
      </c>
      <c r="U1564">
        <f t="shared" si="245"/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23</v>
      </c>
      <c r="AG1564">
        <f t="shared" si="246"/>
        <v>1</v>
      </c>
      <c r="AH1564">
        <f t="shared" si="247"/>
        <v>1</v>
      </c>
      <c r="AI1564">
        <f t="shared" si="248"/>
        <v>0</v>
      </c>
      <c r="AJ1564">
        <v>307.39999999999998</v>
      </c>
      <c r="AK1564">
        <v>1005.9</v>
      </c>
      <c r="AL1564">
        <v>0.3</v>
      </c>
      <c r="AM1564">
        <v>6.2</v>
      </c>
      <c r="AN1564">
        <v>0</v>
      </c>
      <c r="AO1564">
        <v>0</v>
      </c>
      <c r="AP1564">
        <v>0</v>
      </c>
      <c r="AQ1564">
        <v>0</v>
      </c>
      <c r="AR1564" t="s">
        <v>5118</v>
      </c>
      <c r="AS1564" t="s">
        <v>5119</v>
      </c>
      <c r="AT1564">
        <v>0.4</v>
      </c>
      <c r="AU1564" t="s">
        <v>74</v>
      </c>
      <c r="AV1564" t="s">
        <v>2955</v>
      </c>
      <c r="AW1564" t="s">
        <v>75</v>
      </c>
      <c r="AX1564" t="s">
        <v>5109</v>
      </c>
      <c r="AY1564" t="s">
        <v>5262</v>
      </c>
      <c r="AZ1564">
        <v>1879.9999999988361</v>
      </c>
      <c r="BA1564">
        <v>1</v>
      </c>
      <c r="BB1564">
        <v>10</v>
      </c>
      <c r="BC1564">
        <v>0</v>
      </c>
      <c r="BD1564">
        <v>0</v>
      </c>
      <c r="BE1564">
        <f t="shared" si="249"/>
        <v>1</v>
      </c>
    </row>
    <row r="1565" spans="1:57" x14ac:dyDescent="0.25">
      <c r="A1565" t="s">
        <v>39</v>
      </c>
      <c r="B1565" t="s">
        <v>5263</v>
      </c>
      <c r="C1565">
        <v>86</v>
      </c>
      <c r="D1565">
        <v>71.599999999999994</v>
      </c>
      <c r="G1565">
        <f t="shared" si="240"/>
        <v>1</v>
      </c>
      <c r="H1565">
        <f t="shared" si="241"/>
        <v>1</v>
      </c>
      <c r="I1565">
        <f t="shared" si="242"/>
        <v>0</v>
      </c>
      <c r="J1565">
        <v>79.7</v>
      </c>
      <c r="K1565">
        <v>93.5</v>
      </c>
      <c r="L1565">
        <v>71.599999999999994</v>
      </c>
      <c r="M1565">
        <v>82.5</v>
      </c>
      <c r="N1565">
        <v>71.5</v>
      </c>
      <c r="O1565">
        <v>76.400000000000006</v>
      </c>
      <c r="S1565">
        <f t="shared" si="243"/>
        <v>1</v>
      </c>
      <c r="T1565">
        <f t="shared" si="244"/>
        <v>1</v>
      </c>
      <c r="U1565">
        <f t="shared" si="245"/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12.8</v>
      </c>
      <c r="AG1565">
        <f t="shared" si="246"/>
        <v>1</v>
      </c>
      <c r="AH1565">
        <f t="shared" si="247"/>
        <v>0</v>
      </c>
      <c r="AI1565">
        <f t="shared" si="248"/>
        <v>1</v>
      </c>
      <c r="AJ1565">
        <v>311.10000000000002</v>
      </c>
      <c r="AK1565">
        <v>1008.7</v>
      </c>
      <c r="AL1565">
        <v>32.4</v>
      </c>
      <c r="AM1565">
        <v>6.6</v>
      </c>
      <c r="AN1565">
        <v>0</v>
      </c>
      <c r="AO1565">
        <v>0</v>
      </c>
      <c r="AP1565">
        <v>0</v>
      </c>
      <c r="AQ1565">
        <v>0</v>
      </c>
      <c r="AR1565" t="s">
        <v>5264</v>
      </c>
      <c r="AS1565" t="s">
        <v>5265</v>
      </c>
      <c r="AT1565">
        <v>0.83</v>
      </c>
      <c r="AU1565" t="s">
        <v>43</v>
      </c>
      <c r="AV1565" t="s">
        <v>44</v>
      </c>
      <c r="AW1565" t="s">
        <v>45</v>
      </c>
      <c r="AX1565" t="s">
        <v>2692</v>
      </c>
      <c r="AY1565" t="s">
        <v>5266</v>
      </c>
      <c r="AZ1565">
        <v>255.00000000349249</v>
      </c>
      <c r="BA1565">
        <v>0</v>
      </c>
      <c r="BB1565">
        <v>3</v>
      </c>
      <c r="BC1565">
        <v>0</v>
      </c>
      <c r="BD1565">
        <v>0</v>
      </c>
      <c r="BE1565">
        <f t="shared" si="249"/>
        <v>1</v>
      </c>
    </row>
    <row r="1566" spans="1:57" x14ac:dyDescent="0.25">
      <c r="A1566" t="s">
        <v>39</v>
      </c>
      <c r="B1566" t="s">
        <v>4812</v>
      </c>
      <c r="C1566">
        <v>84.2</v>
      </c>
      <c r="D1566">
        <v>71.599999999999994</v>
      </c>
      <c r="G1566">
        <f t="shared" si="240"/>
        <v>0</v>
      </c>
      <c r="H1566">
        <f t="shared" si="241"/>
        <v>0</v>
      </c>
      <c r="I1566">
        <f t="shared" si="242"/>
        <v>0</v>
      </c>
      <c r="J1566">
        <v>78.7</v>
      </c>
      <c r="K1566">
        <v>91</v>
      </c>
      <c r="L1566">
        <v>71.599999999999994</v>
      </c>
      <c r="M1566">
        <v>80.8</v>
      </c>
      <c r="N1566">
        <v>70.3</v>
      </c>
      <c r="O1566">
        <v>76.2</v>
      </c>
      <c r="S1566">
        <f t="shared" si="243"/>
        <v>1</v>
      </c>
      <c r="T1566">
        <f t="shared" si="244"/>
        <v>1</v>
      </c>
      <c r="U1566">
        <f t="shared" si="245"/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9.1999999999999993</v>
      </c>
      <c r="AG1566">
        <f t="shared" si="246"/>
        <v>1</v>
      </c>
      <c r="AH1566">
        <f t="shared" si="247"/>
        <v>0</v>
      </c>
      <c r="AI1566">
        <f t="shared" si="248"/>
        <v>1</v>
      </c>
      <c r="AJ1566">
        <v>337.5</v>
      </c>
      <c r="AK1566">
        <v>1010.9</v>
      </c>
      <c r="AL1566">
        <v>22.2</v>
      </c>
      <c r="AM1566">
        <v>6.5</v>
      </c>
      <c r="AN1566">
        <v>0</v>
      </c>
      <c r="AO1566">
        <v>0</v>
      </c>
      <c r="AP1566">
        <v>0</v>
      </c>
      <c r="AQ1566">
        <v>0</v>
      </c>
      <c r="AR1566" t="s">
        <v>4813</v>
      </c>
      <c r="AS1566" t="s">
        <v>4814</v>
      </c>
      <c r="AT1566">
        <v>0.86</v>
      </c>
      <c r="AU1566" t="s">
        <v>43</v>
      </c>
      <c r="AV1566" t="s">
        <v>44</v>
      </c>
      <c r="AW1566" t="s">
        <v>45</v>
      </c>
      <c r="AX1566" t="s">
        <v>2393</v>
      </c>
      <c r="AY1566" t="s">
        <v>5267</v>
      </c>
      <c r="AZ1566">
        <v>445.00000000465661</v>
      </c>
      <c r="BA1566">
        <v>1</v>
      </c>
      <c r="BB1566">
        <v>2</v>
      </c>
      <c r="BC1566">
        <v>0</v>
      </c>
      <c r="BD1566">
        <v>0</v>
      </c>
      <c r="BE1566">
        <f t="shared" si="249"/>
        <v>0</v>
      </c>
    </row>
    <row r="1567" spans="1:57" x14ac:dyDescent="0.25">
      <c r="A1567" t="s">
        <v>39</v>
      </c>
      <c r="B1567" t="s">
        <v>4967</v>
      </c>
      <c r="C1567">
        <v>89.6</v>
      </c>
      <c r="D1567">
        <v>69.8</v>
      </c>
      <c r="G1567">
        <f t="shared" si="240"/>
        <v>1</v>
      </c>
      <c r="H1567">
        <f t="shared" si="241"/>
        <v>1</v>
      </c>
      <c r="I1567">
        <f t="shared" si="242"/>
        <v>0</v>
      </c>
      <c r="J1567">
        <v>80.400000000000006</v>
      </c>
      <c r="K1567">
        <v>98.2</v>
      </c>
      <c r="L1567">
        <v>69.8</v>
      </c>
      <c r="M1567">
        <v>84</v>
      </c>
      <c r="N1567">
        <v>66.7</v>
      </c>
      <c r="O1567">
        <v>63.9</v>
      </c>
      <c r="S1567">
        <f t="shared" si="243"/>
        <v>1</v>
      </c>
      <c r="T1567">
        <f t="shared" si="244"/>
        <v>1</v>
      </c>
      <c r="U1567">
        <f t="shared" si="245"/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17.2</v>
      </c>
      <c r="AG1567">
        <f t="shared" si="246"/>
        <v>0</v>
      </c>
      <c r="AH1567">
        <f t="shared" si="247"/>
        <v>0</v>
      </c>
      <c r="AI1567">
        <f t="shared" si="248"/>
        <v>0</v>
      </c>
      <c r="AJ1567">
        <v>162.1</v>
      </c>
      <c r="AK1567">
        <v>1005.9</v>
      </c>
      <c r="AL1567">
        <v>0.1</v>
      </c>
      <c r="AM1567">
        <v>6.2</v>
      </c>
      <c r="AN1567">
        <v>0</v>
      </c>
      <c r="AO1567">
        <v>0</v>
      </c>
      <c r="AP1567">
        <v>0</v>
      </c>
      <c r="AQ1567">
        <v>0</v>
      </c>
      <c r="AR1567" t="s">
        <v>4968</v>
      </c>
      <c r="AS1567" t="s">
        <v>4969</v>
      </c>
      <c r="AT1567">
        <v>0.35</v>
      </c>
      <c r="AU1567" t="s">
        <v>74</v>
      </c>
      <c r="AV1567" t="s">
        <v>2955</v>
      </c>
      <c r="AW1567" t="s">
        <v>75</v>
      </c>
      <c r="AX1567" t="s">
        <v>4063</v>
      </c>
      <c r="AY1567" t="s">
        <v>5268</v>
      </c>
      <c r="AZ1567">
        <v>380.00000000232831</v>
      </c>
      <c r="BA1567">
        <v>1</v>
      </c>
      <c r="BB1567">
        <v>0.1</v>
      </c>
      <c r="BC1567">
        <v>0</v>
      </c>
      <c r="BD1567">
        <v>0</v>
      </c>
      <c r="BE1567">
        <f t="shared" si="249"/>
        <v>1</v>
      </c>
    </row>
    <row r="1568" spans="1:57" x14ac:dyDescent="0.25">
      <c r="A1568" t="s">
        <v>39</v>
      </c>
      <c r="B1568" t="s">
        <v>5152</v>
      </c>
      <c r="C1568">
        <v>78.8</v>
      </c>
      <c r="D1568">
        <v>64.400000000000006</v>
      </c>
      <c r="G1568">
        <f t="shared" si="240"/>
        <v>1</v>
      </c>
      <c r="H1568">
        <f t="shared" si="241"/>
        <v>1</v>
      </c>
      <c r="I1568">
        <f t="shared" si="242"/>
        <v>0</v>
      </c>
      <c r="J1568">
        <v>72.599999999999994</v>
      </c>
      <c r="K1568">
        <v>78.8</v>
      </c>
      <c r="L1568">
        <v>64.400000000000006</v>
      </c>
      <c r="M1568">
        <v>72.599999999999994</v>
      </c>
      <c r="N1568">
        <v>64.599999999999994</v>
      </c>
      <c r="O1568">
        <v>76.599999999999994</v>
      </c>
      <c r="S1568">
        <f t="shared" si="243"/>
        <v>1</v>
      </c>
      <c r="T1568">
        <f t="shared" si="244"/>
        <v>1</v>
      </c>
      <c r="U1568">
        <f t="shared" si="245"/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15</v>
      </c>
      <c r="AG1568">
        <f t="shared" si="246"/>
        <v>1</v>
      </c>
      <c r="AH1568">
        <f t="shared" si="247"/>
        <v>0</v>
      </c>
      <c r="AI1568">
        <f t="shared" si="248"/>
        <v>1</v>
      </c>
      <c r="AJ1568">
        <v>144.1</v>
      </c>
      <c r="AK1568">
        <v>1014.4</v>
      </c>
      <c r="AL1568">
        <v>9.8000000000000007</v>
      </c>
      <c r="AM1568">
        <v>6.3</v>
      </c>
      <c r="AN1568">
        <v>0</v>
      </c>
      <c r="AO1568">
        <v>0</v>
      </c>
      <c r="AP1568">
        <v>0</v>
      </c>
      <c r="AQ1568">
        <v>0</v>
      </c>
      <c r="AR1568" t="s">
        <v>5153</v>
      </c>
      <c r="AS1568" t="s">
        <v>5154</v>
      </c>
      <c r="AT1568">
        <v>0.96</v>
      </c>
      <c r="AU1568" t="s">
        <v>74</v>
      </c>
      <c r="AV1568" t="s">
        <v>2955</v>
      </c>
      <c r="AW1568" t="s">
        <v>75</v>
      </c>
      <c r="AX1568" t="s">
        <v>5269</v>
      </c>
      <c r="AY1568" t="s">
        <v>5270</v>
      </c>
      <c r="AZ1568">
        <v>174.00000000139701</v>
      </c>
      <c r="BA1568">
        <v>0</v>
      </c>
      <c r="BB1568">
        <v>0</v>
      </c>
      <c r="BC1568">
        <v>0.2</v>
      </c>
      <c r="BD1568">
        <v>0</v>
      </c>
      <c r="BE1568">
        <f t="shared" si="249"/>
        <v>1</v>
      </c>
    </row>
    <row r="1569" spans="1:57" x14ac:dyDescent="0.25">
      <c r="A1569" t="s">
        <v>39</v>
      </c>
      <c r="B1569" t="s">
        <v>5091</v>
      </c>
      <c r="C1569">
        <v>78.8</v>
      </c>
      <c r="D1569">
        <v>60.7</v>
      </c>
      <c r="G1569">
        <f t="shared" si="240"/>
        <v>1</v>
      </c>
      <c r="H1569">
        <f t="shared" si="241"/>
        <v>1</v>
      </c>
      <c r="I1569">
        <f t="shared" si="242"/>
        <v>0</v>
      </c>
      <c r="J1569">
        <v>66.400000000000006</v>
      </c>
      <c r="K1569">
        <v>78.8</v>
      </c>
      <c r="L1569">
        <v>60.7</v>
      </c>
      <c r="M1569">
        <v>66.400000000000006</v>
      </c>
      <c r="N1569">
        <v>45.3</v>
      </c>
      <c r="O1569">
        <v>48.8</v>
      </c>
      <c r="S1569">
        <f t="shared" si="243"/>
        <v>1</v>
      </c>
      <c r="T1569">
        <f t="shared" si="244"/>
        <v>0</v>
      </c>
      <c r="U1569">
        <f t="shared" si="245"/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61.1</v>
      </c>
      <c r="AC1569">
        <v>42.5</v>
      </c>
      <c r="AG1569">
        <f t="shared" si="246"/>
        <v>1</v>
      </c>
      <c r="AH1569">
        <f t="shared" si="247"/>
        <v>1</v>
      </c>
      <c r="AI1569">
        <f t="shared" si="248"/>
        <v>0</v>
      </c>
      <c r="AJ1569">
        <v>231.1</v>
      </c>
      <c r="AK1569">
        <v>997.3</v>
      </c>
      <c r="AL1569">
        <v>54.4</v>
      </c>
      <c r="AM1569">
        <v>6.5</v>
      </c>
      <c r="AN1569">
        <v>238.9</v>
      </c>
      <c r="AO1569">
        <v>20.7</v>
      </c>
      <c r="AP1569">
        <v>7</v>
      </c>
      <c r="AQ1569">
        <v>0</v>
      </c>
      <c r="AR1569" t="s">
        <v>5092</v>
      </c>
      <c r="AS1569" t="s">
        <v>5093</v>
      </c>
      <c r="AT1569">
        <v>0.9</v>
      </c>
      <c r="AU1569" t="s">
        <v>43</v>
      </c>
      <c r="AV1569" t="s">
        <v>44</v>
      </c>
      <c r="AW1569" t="s">
        <v>419</v>
      </c>
      <c r="AX1569" t="s">
        <v>5271</v>
      </c>
      <c r="AY1569" t="s">
        <v>5272</v>
      </c>
      <c r="AZ1569">
        <v>170.9999999916181</v>
      </c>
      <c r="BA1569">
        <v>0</v>
      </c>
      <c r="BB1569">
        <v>0</v>
      </c>
      <c r="BC1569">
        <v>0.5</v>
      </c>
      <c r="BD1569">
        <v>0</v>
      </c>
      <c r="BE1569">
        <f t="shared" si="249"/>
        <v>1</v>
      </c>
    </row>
    <row r="1570" spans="1:57" x14ac:dyDescent="0.25">
      <c r="A1570" t="s">
        <v>39</v>
      </c>
      <c r="B1570" t="s">
        <v>5273</v>
      </c>
      <c r="C1570">
        <v>87.8</v>
      </c>
      <c r="D1570">
        <v>75.2</v>
      </c>
      <c r="G1570">
        <f t="shared" si="240"/>
        <v>1</v>
      </c>
      <c r="H1570">
        <f t="shared" si="241"/>
        <v>1</v>
      </c>
      <c r="I1570">
        <f t="shared" si="242"/>
        <v>0</v>
      </c>
      <c r="J1570">
        <v>82.3</v>
      </c>
      <c r="K1570">
        <v>100</v>
      </c>
      <c r="L1570">
        <v>75.2</v>
      </c>
      <c r="M1570">
        <v>88.1</v>
      </c>
      <c r="N1570">
        <v>70</v>
      </c>
      <c r="O1570">
        <v>67.099999999999994</v>
      </c>
      <c r="S1570">
        <f t="shared" si="243"/>
        <v>1</v>
      </c>
      <c r="T1570">
        <f t="shared" si="244"/>
        <v>1</v>
      </c>
      <c r="U1570">
        <f t="shared" si="245"/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21.9</v>
      </c>
      <c r="AG1570">
        <f t="shared" si="246"/>
        <v>1</v>
      </c>
      <c r="AH1570">
        <f t="shared" si="247"/>
        <v>1</v>
      </c>
      <c r="AI1570">
        <f t="shared" si="248"/>
        <v>0</v>
      </c>
      <c r="AJ1570">
        <v>302.8</v>
      </c>
      <c r="AK1570">
        <v>1007.5</v>
      </c>
      <c r="AL1570">
        <v>5.8</v>
      </c>
      <c r="AM1570">
        <v>6.3</v>
      </c>
      <c r="AN1570">
        <v>0</v>
      </c>
      <c r="AO1570">
        <v>0</v>
      </c>
      <c r="AP1570">
        <v>0</v>
      </c>
      <c r="AQ1570">
        <v>0</v>
      </c>
      <c r="AR1570" t="s">
        <v>5274</v>
      </c>
      <c r="AS1570" t="s">
        <v>5275</v>
      </c>
      <c r="AT1570">
        <v>0.94</v>
      </c>
      <c r="AU1570" t="s">
        <v>74</v>
      </c>
      <c r="AV1570" t="s">
        <v>2955</v>
      </c>
      <c r="AW1570" t="s">
        <v>75</v>
      </c>
      <c r="AX1570" t="s">
        <v>5276</v>
      </c>
      <c r="AY1570" t="s">
        <v>5277</v>
      </c>
      <c r="AZ1570">
        <v>1530</v>
      </c>
      <c r="BA1570">
        <v>1</v>
      </c>
      <c r="BB1570">
        <v>0</v>
      </c>
      <c r="BC1570">
        <v>5</v>
      </c>
      <c r="BD1570">
        <v>0</v>
      </c>
      <c r="BE1570">
        <f t="shared" si="249"/>
        <v>1</v>
      </c>
    </row>
    <row r="1571" spans="1:57" x14ac:dyDescent="0.25">
      <c r="A1571" t="s">
        <v>39</v>
      </c>
      <c r="B1571" t="s">
        <v>5278</v>
      </c>
      <c r="C1571">
        <v>86</v>
      </c>
      <c r="D1571">
        <v>75.2</v>
      </c>
      <c r="G1571">
        <f t="shared" si="240"/>
        <v>1</v>
      </c>
      <c r="H1571">
        <f t="shared" si="241"/>
        <v>1</v>
      </c>
      <c r="I1571">
        <f t="shared" si="242"/>
        <v>0</v>
      </c>
      <c r="J1571">
        <v>81.7</v>
      </c>
      <c r="K1571">
        <v>90.6</v>
      </c>
      <c r="L1571">
        <v>75.2</v>
      </c>
      <c r="M1571">
        <v>83.6</v>
      </c>
      <c r="N1571">
        <v>65.599999999999994</v>
      </c>
      <c r="O1571">
        <v>58.6</v>
      </c>
      <c r="S1571">
        <f t="shared" si="243"/>
        <v>1</v>
      </c>
      <c r="T1571">
        <f t="shared" si="244"/>
        <v>0</v>
      </c>
      <c r="U1571">
        <f t="shared" si="245"/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20.8</v>
      </c>
      <c r="AG1571">
        <f t="shared" si="246"/>
        <v>1</v>
      </c>
      <c r="AH1571">
        <f t="shared" si="247"/>
        <v>1</v>
      </c>
      <c r="AI1571">
        <f t="shared" si="248"/>
        <v>0</v>
      </c>
      <c r="AJ1571">
        <v>306.39999999999998</v>
      </c>
      <c r="AK1571">
        <v>1008.4</v>
      </c>
      <c r="AL1571">
        <v>0</v>
      </c>
      <c r="AM1571">
        <v>6.2</v>
      </c>
      <c r="AN1571">
        <v>0</v>
      </c>
      <c r="AO1571">
        <v>0</v>
      </c>
      <c r="AP1571">
        <v>0</v>
      </c>
      <c r="AQ1571">
        <v>0</v>
      </c>
      <c r="AR1571" t="s">
        <v>5279</v>
      </c>
      <c r="AS1571" t="s">
        <v>5280</v>
      </c>
      <c r="AT1571">
        <v>0.08</v>
      </c>
      <c r="AU1571" t="s">
        <v>74</v>
      </c>
      <c r="AV1571" t="s">
        <v>2955</v>
      </c>
      <c r="AW1571" t="s">
        <v>75</v>
      </c>
      <c r="AX1571" t="s">
        <v>5281</v>
      </c>
      <c r="AY1571" t="s">
        <v>5282</v>
      </c>
      <c r="AZ1571">
        <v>967.99999999115244</v>
      </c>
      <c r="BA1571">
        <v>1</v>
      </c>
      <c r="BB1571">
        <v>0</v>
      </c>
      <c r="BC1571">
        <v>10</v>
      </c>
      <c r="BD1571">
        <v>0</v>
      </c>
      <c r="BE1571">
        <f t="shared" si="249"/>
        <v>1</v>
      </c>
    </row>
    <row r="1572" spans="1:57" x14ac:dyDescent="0.25">
      <c r="A1572" t="s">
        <v>39</v>
      </c>
      <c r="B1572" t="s">
        <v>5283</v>
      </c>
      <c r="C1572">
        <v>86.1</v>
      </c>
      <c r="D1572">
        <v>73.400000000000006</v>
      </c>
      <c r="G1572">
        <f t="shared" si="240"/>
        <v>1</v>
      </c>
      <c r="H1572">
        <f t="shared" si="241"/>
        <v>1</v>
      </c>
      <c r="I1572">
        <f t="shared" si="242"/>
        <v>0</v>
      </c>
      <c r="J1572">
        <v>80.5</v>
      </c>
      <c r="K1572">
        <v>97.2</v>
      </c>
      <c r="L1572">
        <v>73.400000000000006</v>
      </c>
      <c r="M1572">
        <v>84</v>
      </c>
      <c r="N1572">
        <v>69.5</v>
      </c>
      <c r="O1572">
        <v>70.2</v>
      </c>
      <c r="S1572">
        <f t="shared" si="243"/>
        <v>1</v>
      </c>
      <c r="T1572">
        <f t="shared" si="244"/>
        <v>1</v>
      </c>
      <c r="U1572">
        <f t="shared" si="245"/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15</v>
      </c>
      <c r="AG1572">
        <f t="shared" si="246"/>
        <v>1</v>
      </c>
      <c r="AH1572">
        <f t="shared" si="247"/>
        <v>0</v>
      </c>
      <c r="AI1572">
        <f t="shared" si="248"/>
        <v>1</v>
      </c>
      <c r="AJ1572">
        <v>263</v>
      </c>
      <c r="AK1572">
        <v>1010.5</v>
      </c>
      <c r="AL1572">
        <v>0.1</v>
      </c>
      <c r="AM1572">
        <v>6.2</v>
      </c>
      <c r="AN1572">
        <v>0</v>
      </c>
      <c r="AO1572">
        <v>0</v>
      </c>
      <c r="AP1572">
        <v>0</v>
      </c>
      <c r="AQ1572">
        <v>0</v>
      </c>
      <c r="AR1572" t="s">
        <v>5284</v>
      </c>
      <c r="AS1572" t="s">
        <v>5285</v>
      </c>
      <c r="AT1572">
        <v>0.93</v>
      </c>
      <c r="AU1572" t="s">
        <v>74</v>
      </c>
      <c r="AV1572" t="s">
        <v>2955</v>
      </c>
      <c r="AW1572" t="s">
        <v>75</v>
      </c>
      <c r="AX1572" t="s">
        <v>5286</v>
      </c>
      <c r="AY1572" t="s">
        <v>5287</v>
      </c>
      <c r="AZ1572">
        <v>765</v>
      </c>
      <c r="BA1572">
        <v>1</v>
      </c>
      <c r="BB1572">
        <v>0</v>
      </c>
      <c r="BC1572">
        <v>6</v>
      </c>
      <c r="BD1572">
        <v>0</v>
      </c>
      <c r="BE1572">
        <f t="shared" si="249"/>
        <v>1</v>
      </c>
    </row>
    <row r="1573" spans="1:57" x14ac:dyDescent="0.25">
      <c r="A1573" t="s">
        <v>39</v>
      </c>
      <c r="B1573" t="s">
        <v>4678</v>
      </c>
      <c r="C1573">
        <v>84.2</v>
      </c>
      <c r="D1573">
        <v>77</v>
      </c>
      <c r="G1573">
        <f t="shared" si="240"/>
        <v>0</v>
      </c>
      <c r="H1573">
        <f t="shared" si="241"/>
        <v>0</v>
      </c>
      <c r="I1573">
        <f t="shared" si="242"/>
        <v>0</v>
      </c>
      <c r="J1573">
        <v>80.099999999999994</v>
      </c>
      <c r="K1573">
        <v>86.5</v>
      </c>
      <c r="L1573">
        <v>77</v>
      </c>
      <c r="M1573">
        <v>80.900000000000006</v>
      </c>
      <c r="N1573">
        <v>65.599999999999994</v>
      </c>
      <c r="O1573">
        <v>61.6</v>
      </c>
      <c r="S1573">
        <f t="shared" si="243"/>
        <v>0</v>
      </c>
      <c r="T1573">
        <f t="shared" si="244"/>
        <v>0</v>
      </c>
      <c r="U1573">
        <f t="shared" si="245"/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20.8</v>
      </c>
      <c r="AG1573">
        <f t="shared" si="246"/>
        <v>1</v>
      </c>
      <c r="AH1573">
        <f t="shared" si="247"/>
        <v>1</v>
      </c>
      <c r="AI1573">
        <f t="shared" si="248"/>
        <v>0</v>
      </c>
      <c r="AJ1573">
        <v>324.60000000000002</v>
      </c>
      <c r="AK1573">
        <v>1013.1</v>
      </c>
      <c r="AL1573">
        <v>31.6</v>
      </c>
      <c r="AM1573">
        <v>6.6</v>
      </c>
      <c r="AN1573">
        <v>0</v>
      </c>
      <c r="AO1573">
        <v>0</v>
      </c>
      <c r="AP1573">
        <v>0</v>
      </c>
      <c r="AQ1573">
        <v>0</v>
      </c>
      <c r="AR1573" t="s">
        <v>4679</v>
      </c>
      <c r="AS1573" t="s">
        <v>4680</v>
      </c>
      <c r="AT1573">
        <v>0.06</v>
      </c>
      <c r="AU1573" t="s">
        <v>43</v>
      </c>
      <c r="AV1573" t="s">
        <v>44</v>
      </c>
      <c r="AW1573" t="s">
        <v>45</v>
      </c>
      <c r="AX1573" t="s">
        <v>5288</v>
      </c>
      <c r="AY1573" t="s">
        <v>5289</v>
      </c>
      <c r="AZ1573">
        <v>1514.9999999930151</v>
      </c>
      <c r="BA1573">
        <v>1</v>
      </c>
      <c r="BB1573">
        <v>0</v>
      </c>
      <c r="BC1573">
        <v>50</v>
      </c>
      <c r="BD1573">
        <v>0</v>
      </c>
      <c r="BE1573">
        <f t="shared" si="249"/>
        <v>0</v>
      </c>
    </row>
    <row r="1574" spans="1:57" x14ac:dyDescent="0.25">
      <c r="A1574" t="s">
        <v>39</v>
      </c>
      <c r="B1574" t="s">
        <v>5290</v>
      </c>
      <c r="C1574">
        <v>82.4</v>
      </c>
      <c r="D1574">
        <v>71.599999999999994</v>
      </c>
      <c r="G1574">
        <f t="shared" si="240"/>
        <v>0</v>
      </c>
      <c r="H1574">
        <f t="shared" si="241"/>
        <v>0</v>
      </c>
      <c r="I1574">
        <f t="shared" si="242"/>
        <v>0</v>
      </c>
      <c r="J1574">
        <v>78.400000000000006</v>
      </c>
      <c r="K1574">
        <v>86.2</v>
      </c>
      <c r="L1574">
        <v>71.599999999999994</v>
      </c>
      <c r="M1574">
        <v>79.3</v>
      </c>
      <c r="N1574">
        <v>64.5</v>
      </c>
      <c r="O1574">
        <v>63</v>
      </c>
      <c r="S1574">
        <f t="shared" si="243"/>
        <v>1</v>
      </c>
      <c r="T1574">
        <f t="shared" si="244"/>
        <v>1</v>
      </c>
      <c r="U1574">
        <f t="shared" si="245"/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21.9</v>
      </c>
      <c r="AG1574">
        <f t="shared" si="246"/>
        <v>1</v>
      </c>
      <c r="AH1574">
        <f t="shared" si="247"/>
        <v>1</v>
      </c>
      <c r="AI1574">
        <f t="shared" si="248"/>
        <v>0</v>
      </c>
      <c r="AJ1574">
        <v>325.39999999999998</v>
      </c>
      <c r="AK1574">
        <v>1010.6</v>
      </c>
      <c r="AL1574">
        <v>25.4</v>
      </c>
      <c r="AM1574">
        <v>6.5</v>
      </c>
      <c r="AN1574">
        <v>0</v>
      </c>
      <c r="AO1574">
        <v>0</v>
      </c>
      <c r="AP1574">
        <v>0</v>
      </c>
      <c r="AQ1574">
        <v>0</v>
      </c>
      <c r="AR1574" t="s">
        <v>5291</v>
      </c>
      <c r="AS1574" t="s">
        <v>5292</v>
      </c>
      <c r="AT1574">
        <v>0.38</v>
      </c>
      <c r="AU1574" t="s">
        <v>43</v>
      </c>
      <c r="AV1574" t="s">
        <v>44</v>
      </c>
      <c r="AW1574" t="s">
        <v>45</v>
      </c>
      <c r="AX1574" t="s">
        <v>5293</v>
      </c>
      <c r="AY1574" t="s">
        <v>5294</v>
      </c>
      <c r="AZ1574">
        <v>2485.0000000011642</v>
      </c>
      <c r="BA1574">
        <v>1</v>
      </c>
      <c r="BB1574">
        <v>0</v>
      </c>
      <c r="BC1574">
        <v>950</v>
      </c>
      <c r="BD1574">
        <v>0</v>
      </c>
      <c r="BE1574">
        <f t="shared" si="249"/>
        <v>1</v>
      </c>
    </row>
    <row r="1575" spans="1:57" x14ac:dyDescent="0.25">
      <c r="A1575" t="s">
        <v>39</v>
      </c>
      <c r="B1575" t="s">
        <v>5295</v>
      </c>
      <c r="C1575">
        <v>82.4</v>
      </c>
      <c r="D1575">
        <v>70.400000000000006</v>
      </c>
      <c r="G1575">
        <f t="shared" si="240"/>
        <v>1</v>
      </c>
      <c r="H1575">
        <f t="shared" si="241"/>
        <v>1</v>
      </c>
      <c r="I1575">
        <f t="shared" si="242"/>
        <v>0</v>
      </c>
      <c r="J1575">
        <v>77.3</v>
      </c>
      <c r="K1575">
        <v>84.7</v>
      </c>
      <c r="L1575">
        <v>70.400000000000006</v>
      </c>
      <c r="M1575">
        <v>77.900000000000006</v>
      </c>
      <c r="N1575">
        <v>64</v>
      </c>
      <c r="O1575">
        <v>63.9</v>
      </c>
      <c r="S1575">
        <f t="shared" si="243"/>
        <v>1</v>
      </c>
      <c r="T1575">
        <f t="shared" si="244"/>
        <v>0</v>
      </c>
      <c r="U1575">
        <f t="shared" si="245"/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21.9</v>
      </c>
      <c r="AG1575">
        <f t="shared" si="246"/>
        <v>1</v>
      </c>
      <c r="AH1575">
        <f t="shared" si="247"/>
        <v>1</v>
      </c>
      <c r="AI1575">
        <f t="shared" si="248"/>
        <v>0</v>
      </c>
      <c r="AJ1575">
        <v>308</v>
      </c>
      <c r="AK1575">
        <v>1013.5</v>
      </c>
      <c r="AL1575">
        <v>26.8</v>
      </c>
      <c r="AM1575">
        <v>6.6</v>
      </c>
      <c r="AN1575">
        <v>0</v>
      </c>
      <c r="AO1575">
        <v>0</v>
      </c>
      <c r="AP1575">
        <v>0</v>
      </c>
      <c r="AQ1575">
        <v>0</v>
      </c>
      <c r="AR1575" t="s">
        <v>5296</v>
      </c>
      <c r="AS1575" t="s">
        <v>5297</v>
      </c>
      <c r="AT1575">
        <v>0.82</v>
      </c>
      <c r="AU1575" t="s">
        <v>43</v>
      </c>
      <c r="AV1575" t="s">
        <v>44</v>
      </c>
      <c r="AW1575" t="s">
        <v>45</v>
      </c>
      <c r="AX1575" t="s">
        <v>2560</v>
      </c>
      <c r="AY1575" t="s">
        <v>5298</v>
      </c>
      <c r="AZ1575">
        <v>1065.000000003492</v>
      </c>
      <c r="BA1575">
        <v>1</v>
      </c>
      <c r="BB1575">
        <v>0</v>
      </c>
      <c r="BC1575">
        <v>10</v>
      </c>
      <c r="BD1575">
        <v>0</v>
      </c>
      <c r="BE1575">
        <f t="shared" si="249"/>
        <v>1</v>
      </c>
    </row>
    <row r="1576" spans="1:57" x14ac:dyDescent="0.25">
      <c r="A1576" t="s">
        <v>39</v>
      </c>
      <c r="B1576" t="s">
        <v>4860</v>
      </c>
      <c r="C1576">
        <v>78.900000000000006</v>
      </c>
      <c r="D1576">
        <v>68</v>
      </c>
      <c r="G1576">
        <f t="shared" si="240"/>
        <v>0</v>
      </c>
      <c r="H1576">
        <f t="shared" si="241"/>
        <v>0</v>
      </c>
      <c r="I1576">
        <f t="shared" si="242"/>
        <v>0</v>
      </c>
      <c r="J1576">
        <v>74.599999999999994</v>
      </c>
      <c r="K1576">
        <v>78.900000000000006</v>
      </c>
      <c r="L1576">
        <v>68</v>
      </c>
      <c r="M1576">
        <v>74.599999999999994</v>
      </c>
      <c r="N1576">
        <v>63.6</v>
      </c>
      <c r="O1576">
        <v>68.900000000000006</v>
      </c>
      <c r="S1576">
        <f t="shared" si="243"/>
        <v>1</v>
      </c>
      <c r="T1576">
        <f t="shared" si="244"/>
        <v>1</v>
      </c>
      <c r="U1576">
        <f t="shared" si="245"/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18.3</v>
      </c>
      <c r="AG1576">
        <f t="shared" si="246"/>
        <v>1</v>
      </c>
      <c r="AH1576">
        <f t="shared" si="247"/>
        <v>1</v>
      </c>
      <c r="AI1576">
        <f t="shared" si="248"/>
        <v>0</v>
      </c>
      <c r="AJ1576">
        <v>309.3</v>
      </c>
      <c r="AK1576">
        <v>1011.9</v>
      </c>
      <c r="AL1576">
        <v>31.6</v>
      </c>
      <c r="AM1576">
        <v>6.5</v>
      </c>
      <c r="AN1576">
        <v>0</v>
      </c>
      <c r="AO1576">
        <v>0</v>
      </c>
      <c r="AP1576">
        <v>0</v>
      </c>
      <c r="AQ1576">
        <v>0</v>
      </c>
      <c r="AR1576" t="s">
        <v>4861</v>
      </c>
      <c r="AS1576" t="s">
        <v>4862</v>
      </c>
      <c r="AT1576">
        <v>0.88</v>
      </c>
      <c r="AU1576" t="s">
        <v>43</v>
      </c>
      <c r="AV1576" t="s">
        <v>44</v>
      </c>
      <c r="AW1576" t="s">
        <v>45</v>
      </c>
      <c r="AX1576" t="s">
        <v>2534</v>
      </c>
      <c r="AY1576" t="s">
        <v>5299</v>
      </c>
      <c r="AZ1576">
        <v>544.99999999534339</v>
      </c>
      <c r="BA1576">
        <v>1</v>
      </c>
      <c r="BB1576">
        <v>0</v>
      </c>
      <c r="BC1576">
        <v>5</v>
      </c>
      <c r="BD1576">
        <v>0</v>
      </c>
      <c r="BE1576">
        <f t="shared" si="249"/>
        <v>1</v>
      </c>
    </row>
    <row r="1577" spans="1:57" x14ac:dyDescent="0.25">
      <c r="A1577" t="s">
        <v>39</v>
      </c>
      <c r="B1577" t="s">
        <v>5300</v>
      </c>
      <c r="C1577">
        <v>77</v>
      </c>
      <c r="D1577">
        <v>66.2</v>
      </c>
      <c r="G1577">
        <f t="shared" si="240"/>
        <v>1</v>
      </c>
      <c r="H1577">
        <f t="shared" si="241"/>
        <v>0</v>
      </c>
      <c r="I1577">
        <f t="shared" si="242"/>
        <v>1</v>
      </c>
      <c r="J1577">
        <v>73.2</v>
      </c>
      <c r="K1577">
        <v>77</v>
      </c>
      <c r="L1577">
        <v>66.2</v>
      </c>
      <c r="M1577">
        <v>73.2</v>
      </c>
      <c r="N1577">
        <v>63.4</v>
      </c>
      <c r="O1577">
        <v>72</v>
      </c>
      <c r="S1577">
        <f t="shared" si="243"/>
        <v>1</v>
      </c>
      <c r="T1577">
        <f t="shared" si="244"/>
        <v>1</v>
      </c>
      <c r="U1577">
        <f t="shared" si="245"/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11.4</v>
      </c>
      <c r="AG1577">
        <f t="shared" si="246"/>
        <v>1</v>
      </c>
      <c r="AH1577">
        <f t="shared" si="247"/>
        <v>0</v>
      </c>
      <c r="AI1577">
        <f t="shared" si="248"/>
        <v>1</v>
      </c>
      <c r="AJ1577">
        <v>8.1999999999999993</v>
      </c>
      <c r="AK1577">
        <v>1015.8</v>
      </c>
      <c r="AL1577">
        <v>31.3</v>
      </c>
      <c r="AM1577">
        <v>6.5</v>
      </c>
      <c r="AN1577">
        <v>0</v>
      </c>
      <c r="AO1577">
        <v>0</v>
      </c>
      <c r="AP1577">
        <v>0</v>
      </c>
      <c r="AQ1577">
        <v>0</v>
      </c>
      <c r="AR1577" t="s">
        <v>5301</v>
      </c>
      <c r="AS1577" t="s">
        <v>5302</v>
      </c>
      <c r="AT1577">
        <v>0.25</v>
      </c>
      <c r="AU1577" t="s">
        <v>43</v>
      </c>
      <c r="AV1577" t="s">
        <v>80</v>
      </c>
      <c r="AW1577" t="s">
        <v>45</v>
      </c>
      <c r="AX1577" t="s">
        <v>2418</v>
      </c>
      <c r="AY1577" t="s">
        <v>5303</v>
      </c>
      <c r="AZ1577">
        <v>1579.9999999953429</v>
      </c>
      <c r="BA1577">
        <v>1</v>
      </c>
      <c r="BB1577">
        <v>0</v>
      </c>
      <c r="BC1577">
        <v>19</v>
      </c>
      <c r="BD1577">
        <v>0</v>
      </c>
      <c r="BE1577">
        <f t="shared" si="249"/>
        <v>1</v>
      </c>
    </row>
    <row r="1578" spans="1:57" x14ac:dyDescent="0.25">
      <c r="A1578" t="s">
        <v>39</v>
      </c>
      <c r="B1578" t="s">
        <v>5304</v>
      </c>
      <c r="C1578">
        <v>78.8</v>
      </c>
      <c r="D1578">
        <v>64.400000000000006</v>
      </c>
      <c r="G1578">
        <f t="shared" si="240"/>
        <v>0</v>
      </c>
      <c r="H1578">
        <f t="shared" si="241"/>
        <v>0</v>
      </c>
      <c r="I1578">
        <f t="shared" si="242"/>
        <v>0</v>
      </c>
      <c r="J1578">
        <v>72.900000000000006</v>
      </c>
      <c r="K1578">
        <v>78.8</v>
      </c>
      <c r="L1578">
        <v>64.400000000000006</v>
      </c>
      <c r="M1578">
        <v>72.900000000000006</v>
      </c>
      <c r="N1578">
        <v>63.4</v>
      </c>
      <c r="O1578">
        <v>72.7</v>
      </c>
      <c r="S1578">
        <f t="shared" si="243"/>
        <v>1</v>
      </c>
      <c r="T1578">
        <f t="shared" si="244"/>
        <v>1</v>
      </c>
      <c r="U1578">
        <f t="shared" si="245"/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15</v>
      </c>
      <c r="AG1578">
        <f t="shared" si="246"/>
        <v>1</v>
      </c>
      <c r="AH1578">
        <f t="shared" si="247"/>
        <v>0</v>
      </c>
      <c r="AI1578">
        <f t="shared" si="248"/>
        <v>1</v>
      </c>
      <c r="AJ1578">
        <v>318.2</v>
      </c>
      <c r="AK1578">
        <v>1014.4</v>
      </c>
      <c r="AL1578">
        <v>16.2</v>
      </c>
      <c r="AM1578">
        <v>6.4</v>
      </c>
      <c r="AN1578">
        <v>0</v>
      </c>
      <c r="AO1578">
        <v>0</v>
      </c>
      <c r="AP1578">
        <v>0</v>
      </c>
      <c r="AQ1578">
        <v>0</v>
      </c>
      <c r="AR1578" t="s">
        <v>5305</v>
      </c>
      <c r="AS1578" t="s">
        <v>5306</v>
      </c>
      <c r="AT1578">
        <v>0.28999999999999998</v>
      </c>
      <c r="AU1578" t="s">
        <v>74</v>
      </c>
      <c r="AV1578" t="s">
        <v>2955</v>
      </c>
      <c r="AW1578" t="s">
        <v>75</v>
      </c>
      <c r="AX1578" t="s">
        <v>2560</v>
      </c>
      <c r="AY1578" t="s">
        <v>5307</v>
      </c>
      <c r="AZ1578">
        <v>705.00000000349246</v>
      </c>
      <c r="BA1578">
        <v>1</v>
      </c>
      <c r="BB1578">
        <v>0</v>
      </c>
      <c r="BC1578">
        <v>2</v>
      </c>
      <c r="BD1578">
        <v>0</v>
      </c>
      <c r="BE1578">
        <f t="shared" si="249"/>
        <v>0</v>
      </c>
    </row>
    <row r="1579" spans="1:57" x14ac:dyDescent="0.25">
      <c r="A1579" t="s">
        <v>39</v>
      </c>
      <c r="B1579" t="s">
        <v>5308</v>
      </c>
      <c r="C1579">
        <v>84.2</v>
      </c>
      <c r="D1579">
        <v>66.2</v>
      </c>
      <c r="G1579">
        <f t="shared" si="240"/>
        <v>1</v>
      </c>
      <c r="H1579">
        <f t="shared" si="241"/>
        <v>1</v>
      </c>
      <c r="I1579">
        <f t="shared" si="242"/>
        <v>0</v>
      </c>
      <c r="J1579">
        <v>74.7</v>
      </c>
      <c r="K1579">
        <v>91</v>
      </c>
      <c r="L1579">
        <v>66.2</v>
      </c>
      <c r="M1579">
        <v>76.7</v>
      </c>
      <c r="N1579">
        <v>66.7</v>
      </c>
      <c r="O1579">
        <v>76.8</v>
      </c>
      <c r="S1579">
        <f t="shared" si="243"/>
        <v>1</v>
      </c>
      <c r="T1579">
        <f t="shared" si="244"/>
        <v>1</v>
      </c>
      <c r="U1579">
        <f t="shared" si="245"/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8.1</v>
      </c>
      <c r="AG1579">
        <f t="shared" si="246"/>
        <v>1</v>
      </c>
      <c r="AH1579">
        <f t="shared" si="247"/>
        <v>0</v>
      </c>
      <c r="AI1579">
        <f t="shared" si="248"/>
        <v>1</v>
      </c>
      <c r="AJ1579">
        <v>170.4</v>
      </c>
      <c r="AK1579">
        <v>1012.9</v>
      </c>
      <c r="AL1579">
        <v>8.1</v>
      </c>
      <c r="AM1579">
        <v>6.3</v>
      </c>
      <c r="AN1579">
        <v>0</v>
      </c>
      <c r="AO1579">
        <v>0</v>
      </c>
      <c r="AP1579">
        <v>0</v>
      </c>
      <c r="AQ1579">
        <v>0</v>
      </c>
      <c r="AR1579" t="s">
        <v>5309</v>
      </c>
      <c r="AS1579" t="s">
        <v>5310</v>
      </c>
      <c r="AT1579">
        <v>0.37</v>
      </c>
      <c r="AU1579" t="s">
        <v>74</v>
      </c>
      <c r="AV1579" t="s">
        <v>2955</v>
      </c>
      <c r="AW1579" t="s">
        <v>75</v>
      </c>
      <c r="AX1579" t="s">
        <v>4311</v>
      </c>
      <c r="AY1579" t="s">
        <v>5311</v>
      </c>
      <c r="AZ1579">
        <v>294.99999999767169</v>
      </c>
      <c r="BA1579">
        <v>0</v>
      </c>
      <c r="BB1579">
        <v>0</v>
      </c>
      <c r="BC1579">
        <v>1</v>
      </c>
      <c r="BD1579">
        <v>0</v>
      </c>
      <c r="BE1579">
        <f t="shared" si="249"/>
        <v>1</v>
      </c>
    </row>
    <row r="1580" spans="1:57" x14ac:dyDescent="0.25">
      <c r="A1580" t="s">
        <v>39</v>
      </c>
      <c r="B1580" t="s">
        <v>5032</v>
      </c>
      <c r="C1580">
        <v>84.2</v>
      </c>
      <c r="D1580">
        <v>66.2</v>
      </c>
      <c r="G1580">
        <f t="shared" si="240"/>
        <v>1</v>
      </c>
      <c r="H1580">
        <f t="shared" si="241"/>
        <v>1</v>
      </c>
      <c r="I1580">
        <f t="shared" si="242"/>
        <v>0</v>
      </c>
      <c r="J1580">
        <v>75.400000000000006</v>
      </c>
      <c r="K1580">
        <v>89.6</v>
      </c>
      <c r="L1580">
        <v>66.2</v>
      </c>
      <c r="M1580">
        <v>77.2</v>
      </c>
      <c r="N1580">
        <v>65.900000000000006</v>
      </c>
      <c r="O1580">
        <v>72.599999999999994</v>
      </c>
      <c r="S1580">
        <f t="shared" si="243"/>
        <v>1</v>
      </c>
      <c r="T1580">
        <f t="shared" si="244"/>
        <v>1</v>
      </c>
      <c r="U1580">
        <f t="shared" si="245"/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8.1</v>
      </c>
      <c r="AG1580">
        <f t="shared" si="246"/>
        <v>1</v>
      </c>
      <c r="AH1580">
        <f t="shared" si="247"/>
        <v>0</v>
      </c>
      <c r="AI1580">
        <f t="shared" si="248"/>
        <v>1</v>
      </c>
      <c r="AJ1580">
        <v>220.3</v>
      </c>
      <c r="AK1580">
        <v>1014.5</v>
      </c>
      <c r="AL1580">
        <v>64.8</v>
      </c>
      <c r="AM1580">
        <v>6.2</v>
      </c>
      <c r="AN1580">
        <v>0</v>
      </c>
      <c r="AO1580">
        <v>0</v>
      </c>
      <c r="AP1580">
        <v>0</v>
      </c>
      <c r="AQ1580">
        <v>0</v>
      </c>
      <c r="AR1580" t="s">
        <v>5033</v>
      </c>
      <c r="AS1580" t="s">
        <v>5034</v>
      </c>
      <c r="AT1580">
        <v>0.4</v>
      </c>
      <c r="AU1580" t="s">
        <v>43</v>
      </c>
      <c r="AV1580" t="s">
        <v>44</v>
      </c>
      <c r="AW1580" t="s">
        <v>45</v>
      </c>
      <c r="AX1580" t="s">
        <v>5312</v>
      </c>
      <c r="AY1580" t="s">
        <v>5313</v>
      </c>
      <c r="AZ1580">
        <v>780.99999999976717</v>
      </c>
      <c r="BA1580">
        <v>1</v>
      </c>
      <c r="BB1580">
        <v>0</v>
      </c>
      <c r="BC1580">
        <v>50</v>
      </c>
      <c r="BD1580">
        <v>0</v>
      </c>
      <c r="BE1580">
        <f t="shared" si="249"/>
        <v>1</v>
      </c>
    </row>
    <row r="1581" spans="1:57" x14ac:dyDescent="0.25">
      <c r="A1581" t="s">
        <v>39</v>
      </c>
      <c r="B1581" t="s">
        <v>5177</v>
      </c>
      <c r="C1581">
        <v>78.8</v>
      </c>
      <c r="D1581">
        <v>68</v>
      </c>
      <c r="G1581">
        <f t="shared" si="240"/>
        <v>1</v>
      </c>
      <c r="H1581">
        <f t="shared" si="241"/>
        <v>1</v>
      </c>
      <c r="I1581">
        <f t="shared" si="242"/>
        <v>0</v>
      </c>
      <c r="J1581">
        <v>73.900000000000006</v>
      </c>
      <c r="K1581">
        <v>78.8</v>
      </c>
      <c r="L1581">
        <v>68</v>
      </c>
      <c r="M1581">
        <v>73.900000000000006</v>
      </c>
      <c r="N1581">
        <v>67.2</v>
      </c>
      <c r="O1581">
        <v>80.2</v>
      </c>
      <c r="S1581">
        <f t="shared" si="243"/>
        <v>1</v>
      </c>
      <c r="T1581">
        <f t="shared" si="244"/>
        <v>1</v>
      </c>
      <c r="U1581">
        <f t="shared" si="245"/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17.2</v>
      </c>
      <c r="AG1581">
        <f t="shared" si="246"/>
        <v>0</v>
      </c>
      <c r="AH1581">
        <f t="shared" si="247"/>
        <v>0</v>
      </c>
      <c r="AI1581">
        <f t="shared" si="248"/>
        <v>0</v>
      </c>
      <c r="AJ1581">
        <v>294.2</v>
      </c>
      <c r="AK1581">
        <v>1017.8</v>
      </c>
      <c r="AL1581">
        <v>31.9</v>
      </c>
      <c r="AM1581">
        <v>6.5</v>
      </c>
      <c r="AN1581">
        <v>0</v>
      </c>
      <c r="AO1581">
        <v>0</v>
      </c>
      <c r="AP1581">
        <v>0</v>
      </c>
      <c r="AQ1581">
        <v>0</v>
      </c>
      <c r="AR1581" t="s">
        <v>5178</v>
      </c>
      <c r="AS1581" t="s">
        <v>5179</v>
      </c>
      <c r="AT1581">
        <v>0.1</v>
      </c>
      <c r="AU1581" t="s">
        <v>43</v>
      </c>
      <c r="AV1581" t="s">
        <v>44</v>
      </c>
      <c r="AW1581" t="s">
        <v>45</v>
      </c>
      <c r="AX1581" t="s">
        <v>4428</v>
      </c>
      <c r="AY1581" t="s">
        <v>5314</v>
      </c>
      <c r="AZ1581">
        <v>147.00000000768341</v>
      </c>
      <c r="BA1581">
        <v>0</v>
      </c>
      <c r="BB1581">
        <v>0</v>
      </c>
      <c r="BC1581">
        <v>0.1</v>
      </c>
      <c r="BD1581">
        <v>0</v>
      </c>
      <c r="BE1581">
        <f t="shared" si="249"/>
        <v>0</v>
      </c>
    </row>
    <row r="1582" spans="1:57" x14ac:dyDescent="0.25">
      <c r="A1582" t="s">
        <v>39</v>
      </c>
      <c r="B1582" t="s">
        <v>5315</v>
      </c>
      <c r="C1582">
        <v>77</v>
      </c>
      <c r="D1582">
        <v>71.599999999999994</v>
      </c>
      <c r="G1582">
        <f t="shared" si="240"/>
        <v>1</v>
      </c>
      <c r="H1582">
        <f t="shared" si="241"/>
        <v>1</v>
      </c>
      <c r="I1582">
        <f t="shared" si="242"/>
        <v>0</v>
      </c>
      <c r="J1582">
        <v>74.2</v>
      </c>
      <c r="K1582">
        <v>77</v>
      </c>
      <c r="L1582">
        <v>71.599999999999994</v>
      </c>
      <c r="M1582">
        <v>74.2</v>
      </c>
      <c r="N1582">
        <v>64.900000000000006</v>
      </c>
      <c r="O1582">
        <v>73.099999999999994</v>
      </c>
      <c r="S1582">
        <f t="shared" si="243"/>
        <v>1</v>
      </c>
      <c r="T1582">
        <f t="shared" si="244"/>
        <v>1</v>
      </c>
      <c r="U1582">
        <f t="shared" si="245"/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16.100000000000001</v>
      </c>
      <c r="AG1582">
        <f t="shared" si="246"/>
        <v>0</v>
      </c>
      <c r="AH1582">
        <f t="shared" si="247"/>
        <v>0</v>
      </c>
      <c r="AI1582">
        <f t="shared" si="248"/>
        <v>0</v>
      </c>
      <c r="AJ1582">
        <v>315.3</v>
      </c>
      <c r="AK1582">
        <v>1017.3</v>
      </c>
      <c r="AL1582">
        <v>31.5</v>
      </c>
      <c r="AM1582">
        <v>6.6</v>
      </c>
      <c r="AN1582">
        <v>0</v>
      </c>
      <c r="AO1582">
        <v>0</v>
      </c>
      <c r="AP1582">
        <v>0</v>
      </c>
      <c r="AQ1582">
        <v>0</v>
      </c>
      <c r="AR1582" t="s">
        <v>5316</v>
      </c>
      <c r="AS1582" t="s">
        <v>5317</v>
      </c>
      <c r="AT1582">
        <v>0.14000000000000001</v>
      </c>
      <c r="AU1582" t="s">
        <v>43</v>
      </c>
      <c r="AV1582" t="s">
        <v>44</v>
      </c>
      <c r="AW1582" t="s">
        <v>45</v>
      </c>
      <c r="AX1582" t="s">
        <v>4536</v>
      </c>
      <c r="AY1582" t="s">
        <v>5318</v>
      </c>
      <c r="AZ1582">
        <v>739.99999999185093</v>
      </c>
      <c r="BA1582">
        <v>1</v>
      </c>
      <c r="BB1582">
        <v>0</v>
      </c>
      <c r="BC1582">
        <v>30</v>
      </c>
      <c r="BD1582">
        <v>0</v>
      </c>
      <c r="BE1582">
        <f t="shared" si="249"/>
        <v>1</v>
      </c>
    </row>
    <row r="1583" spans="1:57" x14ac:dyDescent="0.25">
      <c r="A1583" t="s">
        <v>39</v>
      </c>
      <c r="B1583" t="s">
        <v>5315</v>
      </c>
      <c r="C1583">
        <v>77</v>
      </c>
      <c r="D1583">
        <v>71.599999999999994</v>
      </c>
      <c r="G1583">
        <f t="shared" si="240"/>
        <v>1</v>
      </c>
      <c r="H1583">
        <f t="shared" si="241"/>
        <v>1</v>
      </c>
      <c r="I1583">
        <f t="shared" si="242"/>
        <v>0</v>
      </c>
      <c r="J1583">
        <v>74.2</v>
      </c>
      <c r="K1583">
        <v>77</v>
      </c>
      <c r="L1583">
        <v>71.599999999999994</v>
      </c>
      <c r="M1583">
        <v>74.2</v>
      </c>
      <c r="N1583">
        <v>64.900000000000006</v>
      </c>
      <c r="O1583">
        <v>73.099999999999994</v>
      </c>
      <c r="S1583">
        <f t="shared" si="243"/>
        <v>1</v>
      </c>
      <c r="T1583">
        <f t="shared" si="244"/>
        <v>1</v>
      </c>
      <c r="U1583">
        <f t="shared" si="245"/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16.100000000000001</v>
      </c>
      <c r="AG1583">
        <f t="shared" si="246"/>
        <v>0</v>
      </c>
      <c r="AH1583">
        <f t="shared" si="247"/>
        <v>0</v>
      </c>
      <c r="AI1583">
        <f t="shared" si="248"/>
        <v>0</v>
      </c>
      <c r="AJ1583">
        <v>315.3</v>
      </c>
      <c r="AK1583">
        <v>1017.3</v>
      </c>
      <c r="AL1583">
        <v>31.5</v>
      </c>
      <c r="AM1583">
        <v>6.6</v>
      </c>
      <c r="AN1583">
        <v>0</v>
      </c>
      <c r="AO1583">
        <v>0</v>
      </c>
      <c r="AP1583">
        <v>0</v>
      </c>
      <c r="AQ1583">
        <v>0</v>
      </c>
      <c r="AR1583" t="s">
        <v>5316</v>
      </c>
      <c r="AS1583" t="s">
        <v>5317</v>
      </c>
      <c r="AT1583">
        <v>0.14000000000000001</v>
      </c>
      <c r="AU1583" t="s">
        <v>43</v>
      </c>
      <c r="AV1583" t="s">
        <v>44</v>
      </c>
      <c r="AW1583" t="s">
        <v>45</v>
      </c>
      <c r="AX1583" t="s">
        <v>5319</v>
      </c>
      <c r="AY1583" t="s">
        <v>5320</v>
      </c>
      <c r="AZ1583">
        <v>609.99999999767169</v>
      </c>
      <c r="BA1583">
        <v>1</v>
      </c>
      <c r="BB1583">
        <v>0</v>
      </c>
      <c r="BC1583">
        <v>10</v>
      </c>
      <c r="BD1583">
        <v>0</v>
      </c>
      <c r="BE1583">
        <f t="shared" si="249"/>
        <v>1</v>
      </c>
    </row>
    <row r="1584" spans="1:57" x14ac:dyDescent="0.25">
      <c r="A1584" t="s">
        <v>39</v>
      </c>
      <c r="B1584" t="s">
        <v>5321</v>
      </c>
      <c r="C1584">
        <v>77</v>
      </c>
      <c r="D1584">
        <v>68</v>
      </c>
      <c r="G1584">
        <f t="shared" si="240"/>
        <v>1</v>
      </c>
      <c r="H1584">
        <f t="shared" si="241"/>
        <v>1</v>
      </c>
      <c r="I1584">
        <f t="shared" si="242"/>
        <v>0</v>
      </c>
      <c r="J1584">
        <v>72.7</v>
      </c>
      <c r="K1584">
        <v>77</v>
      </c>
      <c r="L1584">
        <v>68</v>
      </c>
      <c r="M1584">
        <v>72.7</v>
      </c>
      <c r="N1584">
        <v>61.9</v>
      </c>
      <c r="O1584">
        <v>69.599999999999994</v>
      </c>
      <c r="S1584">
        <f t="shared" si="243"/>
        <v>1</v>
      </c>
      <c r="T1584">
        <f t="shared" si="244"/>
        <v>1</v>
      </c>
      <c r="U1584">
        <f t="shared" si="245"/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16.100000000000001</v>
      </c>
      <c r="AG1584">
        <f t="shared" si="246"/>
        <v>0</v>
      </c>
      <c r="AH1584">
        <f t="shared" si="247"/>
        <v>0</v>
      </c>
      <c r="AI1584">
        <f t="shared" si="248"/>
        <v>0</v>
      </c>
      <c r="AJ1584">
        <v>316.39999999999998</v>
      </c>
      <c r="AK1584">
        <v>1015.7</v>
      </c>
      <c r="AL1584">
        <v>30.5</v>
      </c>
      <c r="AM1584">
        <v>6.6</v>
      </c>
      <c r="AN1584">
        <v>0</v>
      </c>
      <c r="AO1584">
        <v>0</v>
      </c>
      <c r="AP1584">
        <v>0</v>
      </c>
      <c r="AQ1584">
        <v>0</v>
      </c>
      <c r="AR1584" t="s">
        <v>5322</v>
      </c>
      <c r="AS1584" t="s">
        <v>5323</v>
      </c>
      <c r="AT1584">
        <v>0.17</v>
      </c>
      <c r="AU1584" t="s">
        <v>43</v>
      </c>
      <c r="AV1584" t="s">
        <v>44</v>
      </c>
      <c r="AW1584" t="s">
        <v>45</v>
      </c>
      <c r="AX1584" t="s">
        <v>5288</v>
      </c>
      <c r="AY1584" t="s">
        <v>5324</v>
      </c>
      <c r="AZ1584">
        <v>1454.999999996508</v>
      </c>
      <c r="BA1584">
        <v>1</v>
      </c>
      <c r="BB1584">
        <v>0</v>
      </c>
      <c r="BC1584">
        <v>100</v>
      </c>
      <c r="BD1584">
        <v>0</v>
      </c>
      <c r="BE1584">
        <f t="shared" si="249"/>
        <v>1</v>
      </c>
    </row>
    <row r="1585" spans="1:57" x14ac:dyDescent="0.25">
      <c r="A1585" t="s">
        <v>39</v>
      </c>
      <c r="B1585" t="s">
        <v>4699</v>
      </c>
      <c r="C1585">
        <v>77</v>
      </c>
      <c r="D1585">
        <v>62.6</v>
      </c>
      <c r="G1585">
        <f t="shared" si="240"/>
        <v>1</v>
      </c>
      <c r="H1585">
        <f t="shared" si="241"/>
        <v>1</v>
      </c>
      <c r="I1585">
        <f t="shared" si="242"/>
        <v>0</v>
      </c>
      <c r="J1585">
        <v>71.599999999999994</v>
      </c>
      <c r="K1585">
        <v>77</v>
      </c>
      <c r="L1585">
        <v>62.6</v>
      </c>
      <c r="M1585">
        <v>71.599999999999994</v>
      </c>
      <c r="N1585">
        <v>61.1</v>
      </c>
      <c r="O1585">
        <v>69.900000000000006</v>
      </c>
      <c r="S1585">
        <f t="shared" si="243"/>
        <v>1</v>
      </c>
      <c r="T1585">
        <f t="shared" si="244"/>
        <v>1</v>
      </c>
      <c r="U1585">
        <f t="shared" si="245"/>
        <v>0</v>
      </c>
      <c r="V1585">
        <v>1.2E-2</v>
      </c>
      <c r="W1585">
        <v>100</v>
      </c>
      <c r="X1585">
        <v>4.17</v>
      </c>
      <c r="Y1585" t="s">
        <v>103</v>
      </c>
      <c r="Z1585">
        <v>0</v>
      </c>
      <c r="AA1585">
        <v>0</v>
      </c>
      <c r="AB1585">
        <v>39.1</v>
      </c>
      <c r="AC1585">
        <v>27.5</v>
      </c>
      <c r="AG1585">
        <f t="shared" si="246"/>
        <v>1</v>
      </c>
      <c r="AH1585">
        <f t="shared" si="247"/>
        <v>1</v>
      </c>
      <c r="AI1585">
        <f t="shared" si="248"/>
        <v>0</v>
      </c>
      <c r="AJ1585">
        <v>174.4</v>
      </c>
      <c r="AK1585">
        <v>1010.6</v>
      </c>
      <c r="AL1585">
        <v>95.5</v>
      </c>
      <c r="AM1585">
        <v>6.6</v>
      </c>
      <c r="AN1585">
        <v>0</v>
      </c>
      <c r="AO1585">
        <v>0</v>
      </c>
      <c r="AP1585">
        <v>0</v>
      </c>
      <c r="AQ1585">
        <v>0</v>
      </c>
      <c r="AR1585" t="s">
        <v>4700</v>
      </c>
      <c r="AS1585" t="s">
        <v>4701</v>
      </c>
      <c r="AT1585">
        <v>0.59</v>
      </c>
      <c r="AU1585" t="s">
        <v>1357</v>
      </c>
      <c r="AV1585" t="s">
        <v>2819</v>
      </c>
      <c r="AW1585" t="s">
        <v>103</v>
      </c>
      <c r="AX1585" t="s">
        <v>5325</v>
      </c>
      <c r="AY1585" t="s">
        <v>5326</v>
      </c>
      <c r="AZ1585">
        <v>537.99999999348074</v>
      </c>
      <c r="BA1585">
        <v>1</v>
      </c>
      <c r="BB1585">
        <v>0</v>
      </c>
      <c r="BC1585">
        <v>5</v>
      </c>
      <c r="BD1585">
        <v>0</v>
      </c>
      <c r="BE1585">
        <f t="shared" si="249"/>
        <v>1</v>
      </c>
    </row>
    <row r="1586" spans="1:57" x14ac:dyDescent="0.25">
      <c r="A1586" t="s">
        <v>39</v>
      </c>
      <c r="B1586" t="s">
        <v>5327</v>
      </c>
      <c r="C1586">
        <v>66.2</v>
      </c>
      <c r="D1586">
        <v>62.6</v>
      </c>
      <c r="G1586">
        <f t="shared" si="240"/>
        <v>0</v>
      </c>
      <c r="H1586">
        <f t="shared" si="241"/>
        <v>0</v>
      </c>
      <c r="I1586">
        <f t="shared" si="242"/>
        <v>0</v>
      </c>
      <c r="J1586">
        <v>64.599999999999994</v>
      </c>
      <c r="K1586">
        <v>66.2</v>
      </c>
      <c r="L1586">
        <v>62.6</v>
      </c>
      <c r="M1586">
        <v>64.599999999999994</v>
      </c>
      <c r="N1586">
        <v>52.9</v>
      </c>
      <c r="O1586">
        <v>65.900000000000006</v>
      </c>
      <c r="S1586">
        <f t="shared" si="243"/>
        <v>0</v>
      </c>
      <c r="T1586">
        <f t="shared" si="244"/>
        <v>0</v>
      </c>
      <c r="U1586">
        <f t="shared" si="245"/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17.2</v>
      </c>
      <c r="AG1586">
        <f t="shared" si="246"/>
        <v>0</v>
      </c>
      <c r="AH1586">
        <f t="shared" si="247"/>
        <v>0</v>
      </c>
      <c r="AI1586">
        <f t="shared" si="248"/>
        <v>0</v>
      </c>
      <c r="AJ1586">
        <v>324.7</v>
      </c>
      <c r="AK1586">
        <v>1021.5</v>
      </c>
      <c r="AL1586">
        <v>72.8</v>
      </c>
      <c r="AM1586">
        <v>6.6</v>
      </c>
      <c r="AN1586">
        <v>0</v>
      </c>
      <c r="AO1586">
        <v>0</v>
      </c>
      <c r="AP1586">
        <v>0</v>
      </c>
      <c r="AQ1586">
        <v>0</v>
      </c>
      <c r="AR1586" t="s">
        <v>5328</v>
      </c>
      <c r="AS1586" t="s">
        <v>5329</v>
      </c>
      <c r="AT1586">
        <v>0.95</v>
      </c>
      <c r="AU1586" t="s">
        <v>43</v>
      </c>
      <c r="AV1586" t="s">
        <v>44</v>
      </c>
      <c r="AW1586" t="s">
        <v>45</v>
      </c>
      <c r="AX1586" t="s">
        <v>5330</v>
      </c>
      <c r="AY1586" t="s">
        <v>5331</v>
      </c>
      <c r="AZ1586">
        <v>82.000000005355105</v>
      </c>
      <c r="BA1586">
        <v>0</v>
      </c>
      <c r="BB1586">
        <v>0</v>
      </c>
      <c r="BC1586">
        <v>0.2</v>
      </c>
      <c r="BD1586">
        <v>0</v>
      </c>
      <c r="BE1586">
        <f t="shared" si="249"/>
        <v>0</v>
      </c>
    </row>
    <row r="1587" spans="1:57" x14ac:dyDescent="0.25">
      <c r="A1587" t="s">
        <v>39</v>
      </c>
      <c r="B1587" t="s">
        <v>5332</v>
      </c>
      <c r="C1587">
        <v>91.4</v>
      </c>
      <c r="D1587">
        <v>78.8</v>
      </c>
      <c r="G1587">
        <f t="shared" si="240"/>
        <v>1</v>
      </c>
      <c r="H1587">
        <f t="shared" si="241"/>
        <v>1</v>
      </c>
      <c r="I1587">
        <f t="shared" si="242"/>
        <v>0</v>
      </c>
      <c r="J1587">
        <v>84.4</v>
      </c>
      <c r="K1587">
        <v>98.7</v>
      </c>
      <c r="L1587">
        <v>78.8</v>
      </c>
      <c r="M1587">
        <v>88.9</v>
      </c>
      <c r="N1587">
        <v>71</v>
      </c>
      <c r="O1587">
        <v>64.8</v>
      </c>
      <c r="S1587">
        <f t="shared" si="243"/>
        <v>1</v>
      </c>
      <c r="T1587">
        <f t="shared" si="244"/>
        <v>1</v>
      </c>
      <c r="U1587">
        <f t="shared" si="245"/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21.9</v>
      </c>
      <c r="AG1587">
        <f t="shared" si="246"/>
        <v>1</v>
      </c>
      <c r="AH1587">
        <f t="shared" si="247"/>
        <v>1</v>
      </c>
      <c r="AI1587">
        <f t="shared" si="248"/>
        <v>0</v>
      </c>
      <c r="AJ1587">
        <v>309</v>
      </c>
      <c r="AK1587">
        <v>1010.5</v>
      </c>
      <c r="AL1587">
        <v>0</v>
      </c>
      <c r="AM1587">
        <v>6.2</v>
      </c>
      <c r="AN1587">
        <v>0</v>
      </c>
      <c r="AO1587">
        <v>0</v>
      </c>
      <c r="AP1587">
        <v>0</v>
      </c>
      <c r="AQ1587">
        <v>0</v>
      </c>
      <c r="AR1587" t="s">
        <v>5333</v>
      </c>
      <c r="AS1587" t="s">
        <v>5334</v>
      </c>
      <c r="AT1587">
        <v>0.6</v>
      </c>
      <c r="AU1587" t="s">
        <v>74</v>
      </c>
      <c r="AV1587" t="s">
        <v>2955</v>
      </c>
      <c r="AW1587" t="s">
        <v>75</v>
      </c>
      <c r="AX1587" t="s">
        <v>4778</v>
      </c>
      <c r="AY1587" t="s">
        <v>5335</v>
      </c>
      <c r="AZ1587">
        <v>130.00000000465661</v>
      </c>
      <c r="BA1587">
        <v>0</v>
      </c>
      <c r="BB1587">
        <v>0</v>
      </c>
      <c r="BC1587">
        <v>2</v>
      </c>
      <c r="BD1587">
        <v>0</v>
      </c>
      <c r="BE1587">
        <f t="shared" si="249"/>
        <v>1</v>
      </c>
    </row>
    <row r="1588" spans="1:57" x14ac:dyDescent="0.25">
      <c r="A1588" t="s">
        <v>39</v>
      </c>
      <c r="B1588" t="s">
        <v>5263</v>
      </c>
      <c r="C1588">
        <v>86</v>
      </c>
      <c r="D1588">
        <v>71.599999999999994</v>
      </c>
      <c r="G1588">
        <f t="shared" si="240"/>
        <v>1</v>
      </c>
      <c r="H1588">
        <f t="shared" si="241"/>
        <v>1</v>
      </c>
      <c r="I1588">
        <f t="shared" si="242"/>
        <v>0</v>
      </c>
      <c r="J1588">
        <v>79.7</v>
      </c>
      <c r="K1588">
        <v>93.5</v>
      </c>
      <c r="L1588">
        <v>71.599999999999994</v>
      </c>
      <c r="M1588">
        <v>82.5</v>
      </c>
      <c r="N1588">
        <v>71.5</v>
      </c>
      <c r="O1588">
        <v>76.400000000000006</v>
      </c>
      <c r="S1588">
        <f t="shared" si="243"/>
        <v>1</v>
      </c>
      <c r="T1588">
        <f t="shared" si="244"/>
        <v>1</v>
      </c>
      <c r="U1588">
        <f t="shared" si="245"/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12.8</v>
      </c>
      <c r="AG1588">
        <f t="shared" si="246"/>
        <v>1</v>
      </c>
      <c r="AH1588">
        <f t="shared" si="247"/>
        <v>0</v>
      </c>
      <c r="AI1588">
        <f t="shared" si="248"/>
        <v>1</v>
      </c>
      <c r="AJ1588">
        <v>311.10000000000002</v>
      </c>
      <c r="AK1588">
        <v>1008.7</v>
      </c>
      <c r="AL1588">
        <v>32.4</v>
      </c>
      <c r="AM1588">
        <v>6.6</v>
      </c>
      <c r="AN1588">
        <v>0</v>
      </c>
      <c r="AO1588">
        <v>0</v>
      </c>
      <c r="AP1588">
        <v>0</v>
      </c>
      <c r="AQ1588">
        <v>0</v>
      </c>
      <c r="AR1588" t="s">
        <v>5264</v>
      </c>
      <c r="AS1588" t="s">
        <v>5265</v>
      </c>
      <c r="AT1588">
        <v>0.83</v>
      </c>
      <c r="AU1588" t="s">
        <v>43</v>
      </c>
      <c r="AV1588" t="s">
        <v>44</v>
      </c>
      <c r="AW1588" t="s">
        <v>45</v>
      </c>
      <c r="AX1588" t="s">
        <v>4530</v>
      </c>
      <c r="AY1588" t="s">
        <v>5336</v>
      </c>
      <c r="AZ1588">
        <v>239.99999999650751</v>
      </c>
      <c r="BA1588">
        <v>0</v>
      </c>
      <c r="BB1588">
        <v>0</v>
      </c>
      <c r="BC1588">
        <v>0.8</v>
      </c>
      <c r="BD1588">
        <v>0</v>
      </c>
      <c r="BE1588">
        <f t="shared" si="249"/>
        <v>1</v>
      </c>
    </row>
    <row r="1589" spans="1:57" x14ac:dyDescent="0.25">
      <c r="A1589" t="s">
        <v>39</v>
      </c>
      <c r="B1589" t="s">
        <v>4960</v>
      </c>
      <c r="C1589">
        <v>82.4</v>
      </c>
      <c r="D1589">
        <v>72.400000000000006</v>
      </c>
      <c r="G1589">
        <f t="shared" si="240"/>
        <v>0</v>
      </c>
      <c r="H1589">
        <f t="shared" si="241"/>
        <v>0</v>
      </c>
      <c r="I1589">
        <f t="shared" si="242"/>
        <v>0</v>
      </c>
      <c r="J1589">
        <v>79</v>
      </c>
      <c r="K1589">
        <v>84.7</v>
      </c>
      <c r="L1589">
        <v>72.400000000000006</v>
      </c>
      <c r="M1589">
        <v>79.8</v>
      </c>
      <c r="N1589">
        <v>65.8</v>
      </c>
      <c r="O1589">
        <v>64.3</v>
      </c>
      <c r="S1589">
        <f t="shared" si="243"/>
        <v>1</v>
      </c>
      <c r="T1589">
        <f t="shared" si="244"/>
        <v>1</v>
      </c>
      <c r="U1589">
        <f t="shared" si="245"/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20.8</v>
      </c>
      <c r="AG1589">
        <f t="shared" si="246"/>
        <v>1</v>
      </c>
      <c r="AH1589">
        <f t="shared" si="247"/>
        <v>1</v>
      </c>
      <c r="AI1589">
        <f t="shared" si="248"/>
        <v>0</v>
      </c>
      <c r="AJ1589">
        <v>320.39999999999998</v>
      </c>
      <c r="AK1589">
        <v>1013.8</v>
      </c>
      <c r="AL1589">
        <v>27.3</v>
      </c>
      <c r="AM1589">
        <v>6.6</v>
      </c>
      <c r="AN1589">
        <v>0</v>
      </c>
      <c r="AO1589">
        <v>0</v>
      </c>
      <c r="AP1589">
        <v>0</v>
      </c>
      <c r="AQ1589">
        <v>0</v>
      </c>
      <c r="AR1589" t="s">
        <v>4961</v>
      </c>
      <c r="AS1589" t="s">
        <v>4962</v>
      </c>
      <c r="AT1589">
        <v>0.1</v>
      </c>
      <c r="AU1589" t="s">
        <v>43</v>
      </c>
      <c r="AV1589" t="s">
        <v>44</v>
      </c>
      <c r="AW1589" t="s">
        <v>45</v>
      </c>
      <c r="AX1589" t="s">
        <v>5337</v>
      </c>
      <c r="AY1589" t="s">
        <v>5338</v>
      </c>
      <c r="AZ1589">
        <v>180</v>
      </c>
      <c r="BA1589">
        <v>0</v>
      </c>
      <c r="BB1589">
        <v>0</v>
      </c>
      <c r="BC1589">
        <v>3</v>
      </c>
      <c r="BD1589">
        <v>0</v>
      </c>
      <c r="BE1589">
        <f t="shared" si="249"/>
        <v>0</v>
      </c>
    </row>
    <row r="1590" spans="1:57" x14ac:dyDescent="0.25">
      <c r="A1590" t="s">
        <v>39</v>
      </c>
      <c r="B1590" t="s">
        <v>5339</v>
      </c>
      <c r="C1590">
        <v>87.8</v>
      </c>
      <c r="D1590">
        <v>71.599999999999994</v>
      </c>
      <c r="G1590">
        <f t="shared" si="240"/>
        <v>1</v>
      </c>
      <c r="H1590">
        <f t="shared" si="241"/>
        <v>1</v>
      </c>
      <c r="I1590">
        <f t="shared" si="242"/>
        <v>0</v>
      </c>
      <c r="J1590">
        <v>80.3</v>
      </c>
      <c r="K1590">
        <v>95.9</v>
      </c>
      <c r="L1590">
        <v>71.599999999999994</v>
      </c>
      <c r="M1590">
        <v>82.9</v>
      </c>
      <c r="N1590">
        <v>65.400000000000006</v>
      </c>
      <c r="O1590">
        <v>60.8</v>
      </c>
      <c r="S1590">
        <f t="shared" si="243"/>
        <v>0</v>
      </c>
      <c r="T1590">
        <f t="shared" si="244"/>
        <v>0</v>
      </c>
      <c r="U1590">
        <f t="shared" si="245"/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19.5</v>
      </c>
      <c r="AG1590">
        <f t="shared" si="246"/>
        <v>1</v>
      </c>
      <c r="AH1590">
        <f t="shared" si="247"/>
        <v>1</v>
      </c>
      <c r="AI1590">
        <f t="shared" si="248"/>
        <v>0</v>
      </c>
      <c r="AJ1590">
        <v>289.5</v>
      </c>
      <c r="AK1590">
        <v>1009.6</v>
      </c>
      <c r="AL1590">
        <v>0</v>
      </c>
      <c r="AM1590">
        <v>6.2</v>
      </c>
      <c r="AN1590">
        <v>0</v>
      </c>
      <c r="AO1590">
        <v>0</v>
      </c>
      <c r="AP1590">
        <v>0</v>
      </c>
      <c r="AQ1590">
        <v>0</v>
      </c>
      <c r="AR1590" t="s">
        <v>5340</v>
      </c>
      <c r="AS1590" t="s">
        <v>5341</v>
      </c>
      <c r="AT1590">
        <v>0.28000000000000003</v>
      </c>
      <c r="AU1590" t="s">
        <v>74</v>
      </c>
      <c r="AV1590" t="s">
        <v>2955</v>
      </c>
      <c r="AW1590" t="s">
        <v>75</v>
      </c>
      <c r="AX1590" t="s">
        <v>5342</v>
      </c>
      <c r="AY1590" t="s">
        <v>5343</v>
      </c>
      <c r="AZ1590">
        <v>1090.0000000011639</v>
      </c>
      <c r="BA1590">
        <v>1</v>
      </c>
      <c r="BB1590">
        <v>0</v>
      </c>
      <c r="BC1590">
        <v>60</v>
      </c>
      <c r="BD1590">
        <v>0</v>
      </c>
      <c r="BE1590">
        <f t="shared" si="249"/>
        <v>1</v>
      </c>
    </row>
    <row r="1591" spans="1:57" x14ac:dyDescent="0.25">
      <c r="A1591" t="s">
        <v>39</v>
      </c>
      <c r="B1591" t="s">
        <v>5157</v>
      </c>
      <c r="C1591">
        <v>82.4</v>
      </c>
      <c r="D1591">
        <v>69.8</v>
      </c>
      <c r="G1591">
        <f t="shared" si="240"/>
        <v>1</v>
      </c>
      <c r="H1591">
        <f t="shared" si="241"/>
        <v>1</v>
      </c>
      <c r="I1591">
        <f t="shared" si="242"/>
        <v>0</v>
      </c>
      <c r="J1591">
        <v>76.2</v>
      </c>
      <c r="K1591">
        <v>86.2</v>
      </c>
      <c r="L1591">
        <v>69.8</v>
      </c>
      <c r="M1591">
        <v>77</v>
      </c>
      <c r="N1591">
        <v>65.8</v>
      </c>
      <c r="O1591">
        <v>71.3</v>
      </c>
      <c r="S1591">
        <f t="shared" si="243"/>
        <v>1</v>
      </c>
      <c r="T1591">
        <f t="shared" si="244"/>
        <v>1</v>
      </c>
      <c r="U1591">
        <f t="shared" si="245"/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12.8</v>
      </c>
      <c r="AG1591">
        <f t="shared" si="246"/>
        <v>1</v>
      </c>
      <c r="AH1591">
        <f t="shared" si="247"/>
        <v>0</v>
      </c>
      <c r="AI1591">
        <f t="shared" si="248"/>
        <v>1</v>
      </c>
      <c r="AJ1591">
        <v>190.3</v>
      </c>
      <c r="AK1591">
        <v>1017.4</v>
      </c>
      <c r="AL1591">
        <v>27.7</v>
      </c>
      <c r="AM1591">
        <v>6.6</v>
      </c>
      <c r="AN1591">
        <v>0</v>
      </c>
      <c r="AO1591">
        <v>0</v>
      </c>
      <c r="AP1591">
        <v>0</v>
      </c>
      <c r="AQ1591">
        <v>0</v>
      </c>
      <c r="AR1591" t="s">
        <v>5158</v>
      </c>
      <c r="AS1591" t="s">
        <v>5159</v>
      </c>
      <c r="AT1591">
        <v>0.03</v>
      </c>
      <c r="AU1591" t="s">
        <v>43</v>
      </c>
      <c r="AV1591" t="s">
        <v>44</v>
      </c>
      <c r="AW1591" t="s">
        <v>45</v>
      </c>
      <c r="AX1591" t="s">
        <v>4143</v>
      </c>
      <c r="AY1591" t="s">
        <v>5344</v>
      </c>
      <c r="AZ1591">
        <v>280.00000000116421</v>
      </c>
      <c r="BA1591">
        <v>0</v>
      </c>
      <c r="BB1591">
        <v>0</v>
      </c>
      <c r="BC1591">
        <v>7</v>
      </c>
      <c r="BD1591">
        <v>0</v>
      </c>
      <c r="BE1591">
        <f t="shared" si="249"/>
        <v>1</v>
      </c>
    </row>
    <row r="1592" spans="1:57" x14ac:dyDescent="0.25">
      <c r="A1592" t="s">
        <v>39</v>
      </c>
      <c r="B1592" t="s">
        <v>5345</v>
      </c>
      <c r="C1592">
        <v>59</v>
      </c>
      <c r="D1592">
        <v>37.4</v>
      </c>
      <c r="G1592">
        <f t="shared" si="240"/>
        <v>0</v>
      </c>
      <c r="H1592">
        <f t="shared" si="241"/>
        <v>0</v>
      </c>
      <c r="I1592">
        <f t="shared" si="242"/>
        <v>0</v>
      </c>
      <c r="J1592">
        <v>50.2</v>
      </c>
      <c r="K1592">
        <v>59</v>
      </c>
      <c r="L1592">
        <v>32.799999999999997</v>
      </c>
      <c r="M1592">
        <v>48.9</v>
      </c>
      <c r="N1592">
        <v>40.200000000000003</v>
      </c>
      <c r="O1592">
        <v>68.8</v>
      </c>
      <c r="S1592">
        <f t="shared" si="243"/>
        <v>0</v>
      </c>
      <c r="T1592">
        <f t="shared" si="244"/>
        <v>0</v>
      </c>
      <c r="U1592">
        <f t="shared" si="245"/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17.2</v>
      </c>
      <c r="AG1592">
        <f t="shared" si="246"/>
        <v>1</v>
      </c>
      <c r="AH1592">
        <f t="shared" si="247"/>
        <v>0</v>
      </c>
      <c r="AI1592">
        <f t="shared" si="248"/>
        <v>1</v>
      </c>
      <c r="AJ1592">
        <v>232.4</v>
      </c>
      <c r="AK1592">
        <v>1023.2</v>
      </c>
      <c r="AL1592">
        <v>28.7</v>
      </c>
      <c r="AM1592">
        <v>6.6</v>
      </c>
      <c r="AN1592">
        <v>131.9</v>
      </c>
      <c r="AO1592">
        <v>11.5</v>
      </c>
      <c r="AP1592">
        <v>5</v>
      </c>
      <c r="AQ1592">
        <v>0</v>
      </c>
      <c r="AR1592" t="s">
        <v>5346</v>
      </c>
      <c r="AS1592" t="s">
        <v>5347</v>
      </c>
      <c r="AT1592">
        <v>0.9</v>
      </c>
      <c r="AU1592" t="s">
        <v>43</v>
      </c>
      <c r="AV1592" t="s">
        <v>44</v>
      </c>
      <c r="AW1592" t="s">
        <v>45</v>
      </c>
      <c r="AX1592" t="s">
        <v>5348</v>
      </c>
      <c r="AY1592" t="s">
        <v>5349</v>
      </c>
      <c r="AZ1592">
        <v>135</v>
      </c>
      <c r="BA1592">
        <v>0</v>
      </c>
      <c r="BB1592">
        <v>0</v>
      </c>
      <c r="BC1592">
        <v>0.1</v>
      </c>
      <c r="BD1592">
        <v>0</v>
      </c>
      <c r="BE1592">
        <f t="shared" si="249"/>
        <v>0</v>
      </c>
    </row>
    <row r="1593" spans="1:57" x14ac:dyDescent="0.25">
      <c r="A1593" t="s">
        <v>39</v>
      </c>
      <c r="B1593" t="s">
        <v>5194</v>
      </c>
      <c r="C1593">
        <v>78.8</v>
      </c>
      <c r="D1593">
        <v>64.400000000000006</v>
      </c>
      <c r="G1593">
        <f t="shared" si="240"/>
        <v>0</v>
      </c>
      <c r="H1593">
        <f t="shared" si="241"/>
        <v>0</v>
      </c>
      <c r="I1593">
        <f t="shared" si="242"/>
        <v>0</v>
      </c>
      <c r="J1593">
        <v>72.400000000000006</v>
      </c>
      <c r="K1593">
        <v>78.8</v>
      </c>
      <c r="L1593">
        <v>64.400000000000006</v>
      </c>
      <c r="M1593">
        <v>72.400000000000006</v>
      </c>
      <c r="N1593">
        <v>61.8</v>
      </c>
      <c r="O1593">
        <v>70.099999999999994</v>
      </c>
      <c r="S1593">
        <f t="shared" si="243"/>
        <v>1</v>
      </c>
      <c r="T1593">
        <f t="shared" si="244"/>
        <v>1</v>
      </c>
      <c r="U1593">
        <f t="shared" si="245"/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13.9</v>
      </c>
      <c r="AG1593">
        <f t="shared" si="246"/>
        <v>1</v>
      </c>
      <c r="AH1593">
        <f t="shared" si="247"/>
        <v>0</v>
      </c>
      <c r="AI1593">
        <f t="shared" si="248"/>
        <v>1</v>
      </c>
      <c r="AJ1593">
        <v>322.10000000000002</v>
      </c>
      <c r="AK1593">
        <v>1012.7</v>
      </c>
      <c r="AL1593">
        <v>3.5</v>
      </c>
      <c r="AM1593">
        <v>6.3</v>
      </c>
      <c r="AN1593">
        <v>365.5</v>
      </c>
      <c r="AO1593">
        <v>31.6</v>
      </c>
      <c r="AP1593">
        <v>10</v>
      </c>
      <c r="AQ1593">
        <v>0</v>
      </c>
      <c r="AR1593" t="s">
        <v>5195</v>
      </c>
      <c r="AS1593" t="s">
        <v>5196</v>
      </c>
      <c r="AT1593">
        <v>0.63</v>
      </c>
      <c r="AU1593" t="s">
        <v>74</v>
      </c>
      <c r="AV1593" t="s">
        <v>2955</v>
      </c>
      <c r="AW1593" t="s">
        <v>75</v>
      </c>
      <c r="AX1593" t="s">
        <v>5350</v>
      </c>
      <c r="AY1593" t="s">
        <v>5351</v>
      </c>
      <c r="AZ1593">
        <v>769.99999999534339</v>
      </c>
      <c r="BA1593">
        <v>1</v>
      </c>
      <c r="BB1593">
        <v>0</v>
      </c>
      <c r="BC1593">
        <v>2</v>
      </c>
      <c r="BD1593">
        <v>0</v>
      </c>
      <c r="BE1593">
        <f t="shared" si="249"/>
        <v>0</v>
      </c>
    </row>
    <row r="1594" spans="1:57" x14ac:dyDescent="0.25">
      <c r="A1594" t="s">
        <v>39</v>
      </c>
      <c r="B1594" t="s">
        <v>4924</v>
      </c>
      <c r="C1594">
        <v>87.8</v>
      </c>
      <c r="D1594">
        <v>73.400000000000006</v>
      </c>
      <c r="G1594">
        <f t="shared" si="240"/>
        <v>1</v>
      </c>
      <c r="H1594">
        <f t="shared" si="241"/>
        <v>1</v>
      </c>
      <c r="I1594">
        <f t="shared" si="242"/>
        <v>0</v>
      </c>
      <c r="J1594">
        <v>82.7</v>
      </c>
      <c r="K1594">
        <v>100</v>
      </c>
      <c r="L1594">
        <v>73.400000000000006</v>
      </c>
      <c r="M1594">
        <v>87.7</v>
      </c>
      <c r="N1594">
        <v>68.3</v>
      </c>
      <c r="O1594">
        <v>62.3</v>
      </c>
      <c r="S1594">
        <f t="shared" si="243"/>
        <v>1</v>
      </c>
      <c r="T1594">
        <f t="shared" si="244"/>
        <v>1</v>
      </c>
      <c r="U1594">
        <f t="shared" si="245"/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11.4</v>
      </c>
      <c r="AG1594">
        <f t="shared" si="246"/>
        <v>1</v>
      </c>
      <c r="AH1594">
        <f t="shared" si="247"/>
        <v>0</v>
      </c>
      <c r="AI1594">
        <f t="shared" si="248"/>
        <v>1</v>
      </c>
      <c r="AJ1594">
        <v>302.8</v>
      </c>
      <c r="AK1594">
        <v>1007.8</v>
      </c>
      <c r="AL1594">
        <v>0</v>
      </c>
      <c r="AM1594">
        <v>6.2</v>
      </c>
      <c r="AN1594">
        <v>0</v>
      </c>
      <c r="AO1594">
        <v>0</v>
      </c>
      <c r="AP1594">
        <v>0</v>
      </c>
      <c r="AQ1594">
        <v>0</v>
      </c>
      <c r="AR1594" t="s">
        <v>4925</v>
      </c>
      <c r="AS1594" t="s">
        <v>4926</v>
      </c>
      <c r="AT1594">
        <v>0.84</v>
      </c>
      <c r="AU1594" t="s">
        <v>74</v>
      </c>
      <c r="AV1594" t="s">
        <v>2955</v>
      </c>
      <c r="AW1594" t="s">
        <v>75</v>
      </c>
      <c r="AX1594" t="s">
        <v>5352</v>
      </c>
      <c r="AY1594" t="s">
        <v>5353</v>
      </c>
      <c r="AZ1594">
        <v>1424.0000000002331</v>
      </c>
      <c r="BA1594">
        <v>1</v>
      </c>
      <c r="BB1594">
        <v>0</v>
      </c>
      <c r="BC1594">
        <v>10</v>
      </c>
      <c r="BD1594">
        <v>0</v>
      </c>
      <c r="BE1594">
        <f t="shared" si="249"/>
        <v>1</v>
      </c>
    </row>
    <row r="1595" spans="1:57" x14ac:dyDescent="0.25">
      <c r="A1595" t="s">
        <v>39</v>
      </c>
      <c r="B1595" t="s">
        <v>5117</v>
      </c>
      <c r="C1595">
        <v>91.4</v>
      </c>
      <c r="D1595">
        <v>84.2</v>
      </c>
      <c r="G1595">
        <f t="shared" si="240"/>
        <v>1</v>
      </c>
      <c r="H1595">
        <f t="shared" si="241"/>
        <v>1</v>
      </c>
      <c r="I1595">
        <f t="shared" si="242"/>
        <v>0</v>
      </c>
      <c r="J1595">
        <v>87.1</v>
      </c>
      <c r="K1595">
        <v>95.6</v>
      </c>
      <c r="L1595">
        <v>87.4</v>
      </c>
      <c r="M1595">
        <v>91.1</v>
      </c>
      <c r="N1595">
        <v>68.599999999999994</v>
      </c>
      <c r="O1595">
        <v>54.5</v>
      </c>
      <c r="S1595">
        <f t="shared" si="243"/>
        <v>1</v>
      </c>
      <c r="T1595">
        <f t="shared" si="244"/>
        <v>0</v>
      </c>
      <c r="U1595">
        <f t="shared" si="245"/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23</v>
      </c>
      <c r="AG1595">
        <f t="shared" si="246"/>
        <v>1</v>
      </c>
      <c r="AH1595">
        <f t="shared" si="247"/>
        <v>1</v>
      </c>
      <c r="AI1595">
        <f t="shared" si="248"/>
        <v>0</v>
      </c>
      <c r="AJ1595">
        <v>307.39999999999998</v>
      </c>
      <c r="AK1595">
        <v>1005.9</v>
      </c>
      <c r="AL1595">
        <v>0.3</v>
      </c>
      <c r="AM1595">
        <v>6.2</v>
      </c>
      <c r="AN1595">
        <v>0</v>
      </c>
      <c r="AO1595">
        <v>0</v>
      </c>
      <c r="AP1595">
        <v>0</v>
      </c>
      <c r="AQ1595">
        <v>0</v>
      </c>
      <c r="AR1595" t="s">
        <v>5118</v>
      </c>
      <c r="AS1595" t="s">
        <v>5119</v>
      </c>
      <c r="AT1595">
        <v>0.4</v>
      </c>
      <c r="AU1595" t="s">
        <v>74</v>
      </c>
      <c r="AV1595" t="s">
        <v>2955</v>
      </c>
      <c r="AW1595" t="s">
        <v>75</v>
      </c>
      <c r="AX1595" t="s">
        <v>5354</v>
      </c>
      <c r="AY1595" t="s">
        <v>5355</v>
      </c>
      <c r="AZ1595">
        <v>1566.999999994878</v>
      </c>
      <c r="BA1595">
        <v>1</v>
      </c>
      <c r="BB1595">
        <v>0</v>
      </c>
      <c r="BC1595">
        <v>10</v>
      </c>
      <c r="BD1595">
        <v>0</v>
      </c>
      <c r="BE1595">
        <f t="shared" si="249"/>
        <v>1</v>
      </c>
    </row>
    <row r="1596" spans="1:57" x14ac:dyDescent="0.25">
      <c r="A1596" t="s">
        <v>39</v>
      </c>
      <c r="B1596" t="s">
        <v>5356</v>
      </c>
      <c r="C1596">
        <v>89.6</v>
      </c>
      <c r="D1596">
        <v>82.4</v>
      </c>
      <c r="G1596">
        <f t="shared" si="240"/>
        <v>1</v>
      </c>
      <c r="H1596">
        <f t="shared" si="241"/>
        <v>1</v>
      </c>
      <c r="I1596">
        <f t="shared" si="242"/>
        <v>0</v>
      </c>
      <c r="J1596">
        <v>85.2</v>
      </c>
      <c r="K1596">
        <v>97.8</v>
      </c>
      <c r="L1596">
        <v>84.7</v>
      </c>
      <c r="M1596">
        <v>90.1</v>
      </c>
      <c r="N1596">
        <v>70.099999999999994</v>
      </c>
      <c r="O1596">
        <v>60.9</v>
      </c>
      <c r="S1596">
        <f t="shared" si="243"/>
        <v>0</v>
      </c>
      <c r="T1596">
        <f t="shared" si="244"/>
        <v>0</v>
      </c>
      <c r="U1596">
        <f t="shared" si="245"/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21.9</v>
      </c>
      <c r="AG1596">
        <f t="shared" si="246"/>
        <v>1</v>
      </c>
      <c r="AH1596">
        <f t="shared" si="247"/>
        <v>1</v>
      </c>
      <c r="AI1596">
        <f t="shared" si="248"/>
        <v>0</v>
      </c>
      <c r="AJ1596">
        <v>305.3</v>
      </c>
      <c r="AK1596">
        <v>1010.3</v>
      </c>
      <c r="AL1596">
        <v>0</v>
      </c>
      <c r="AM1596">
        <v>6.2</v>
      </c>
      <c r="AN1596">
        <v>0</v>
      </c>
      <c r="AO1596">
        <v>0</v>
      </c>
      <c r="AP1596">
        <v>0</v>
      </c>
      <c r="AQ1596">
        <v>0</v>
      </c>
      <c r="AR1596" t="s">
        <v>5357</v>
      </c>
      <c r="AS1596" t="s">
        <v>5358</v>
      </c>
      <c r="AT1596">
        <v>0.64</v>
      </c>
      <c r="AU1596" t="s">
        <v>74</v>
      </c>
      <c r="AV1596" t="s">
        <v>2955</v>
      </c>
      <c r="AW1596" t="s">
        <v>75</v>
      </c>
      <c r="AX1596" t="s">
        <v>5348</v>
      </c>
      <c r="AY1596" t="s">
        <v>5359</v>
      </c>
      <c r="AZ1596">
        <v>10395</v>
      </c>
      <c r="BA1596">
        <v>1</v>
      </c>
      <c r="BB1596">
        <v>0</v>
      </c>
      <c r="BC1596">
        <v>100</v>
      </c>
      <c r="BD1596">
        <v>0</v>
      </c>
      <c r="BE1596">
        <f t="shared" si="249"/>
        <v>1</v>
      </c>
    </row>
    <row r="1597" spans="1:57" x14ac:dyDescent="0.25">
      <c r="A1597" t="s">
        <v>39</v>
      </c>
      <c r="B1597" t="s">
        <v>5356</v>
      </c>
      <c r="C1597">
        <v>89.6</v>
      </c>
      <c r="D1597">
        <v>82.4</v>
      </c>
      <c r="G1597">
        <f t="shared" si="240"/>
        <v>1</v>
      </c>
      <c r="H1597">
        <f t="shared" si="241"/>
        <v>1</v>
      </c>
      <c r="I1597">
        <f t="shared" si="242"/>
        <v>0</v>
      </c>
      <c r="J1597">
        <v>85.2</v>
      </c>
      <c r="K1597">
        <v>97.8</v>
      </c>
      <c r="L1597">
        <v>84.7</v>
      </c>
      <c r="M1597">
        <v>90.1</v>
      </c>
      <c r="N1597">
        <v>70.099999999999994</v>
      </c>
      <c r="O1597">
        <v>60.9</v>
      </c>
      <c r="S1597">
        <f t="shared" si="243"/>
        <v>0</v>
      </c>
      <c r="T1597">
        <f t="shared" si="244"/>
        <v>0</v>
      </c>
      <c r="U1597">
        <f t="shared" si="245"/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21.9</v>
      </c>
      <c r="AG1597">
        <f t="shared" si="246"/>
        <v>1</v>
      </c>
      <c r="AH1597">
        <f t="shared" si="247"/>
        <v>1</v>
      </c>
      <c r="AI1597">
        <f t="shared" si="248"/>
        <v>0</v>
      </c>
      <c r="AJ1597">
        <v>305.3</v>
      </c>
      <c r="AK1597">
        <v>1010.3</v>
      </c>
      <c r="AL1597">
        <v>0</v>
      </c>
      <c r="AM1597">
        <v>6.2</v>
      </c>
      <c r="AN1597">
        <v>0</v>
      </c>
      <c r="AO1597">
        <v>0</v>
      </c>
      <c r="AP1597">
        <v>0</v>
      </c>
      <c r="AQ1597">
        <v>0</v>
      </c>
      <c r="AR1597" t="s">
        <v>5357</v>
      </c>
      <c r="AS1597" t="s">
        <v>5358</v>
      </c>
      <c r="AT1597">
        <v>0.64</v>
      </c>
      <c r="AU1597" t="s">
        <v>74</v>
      </c>
      <c r="AV1597" t="s">
        <v>2955</v>
      </c>
      <c r="AW1597" t="s">
        <v>75</v>
      </c>
      <c r="AX1597" t="s">
        <v>2504</v>
      </c>
      <c r="AY1597" t="s">
        <v>5360</v>
      </c>
      <c r="AZ1597">
        <v>10325.00000000233</v>
      </c>
      <c r="BA1597">
        <v>1</v>
      </c>
      <c r="BB1597">
        <v>0</v>
      </c>
      <c r="BC1597">
        <v>100</v>
      </c>
      <c r="BD1597">
        <v>0</v>
      </c>
      <c r="BE1597">
        <f t="shared" si="249"/>
        <v>1</v>
      </c>
    </row>
    <row r="1598" spans="1:57" x14ac:dyDescent="0.25">
      <c r="A1598" t="s">
        <v>39</v>
      </c>
      <c r="B1598" t="s">
        <v>5356</v>
      </c>
      <c r="C1598">
        <v>89.6</v>
      </c>
      <c r="D1598">
        <v>82.4</v>
      </c>
      <c r="G1598">
        <f t="shared" si="240"/>
        <v>1</v>
      </c>
      <c r="H1598">
        <f t="shared" si="241"/>
        <v>1</v>
      </c>
      <c r="I1598">
        <f t="shared" si="242"/>
        <v>0</v>
      </c>
      <c r="J1598">
        <v>85.2</v>
      </c>
      <c r="K1598">
        <v>97.8</v>
      </c>
      <c r="L1598">
        <v>84.7</v>
      </c>
      <c r="M1598">
        <v>90.1</v>
      </c>
      <c r="N1598">
        <v>70.099999999999994</v>
      </c>
      <c r="O1598">
        <v>60.9</v>
      </c>
      <c r="S1598">
        <f t="shared" si="243"/>
        <v>0</v>
      </c>
      <c r="T1598">
        <f t="shared" si="244"/>
        <v>0</v>
      </c>
      <c r="U1598">
        <f t="shared" si="245"/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21.9</v>
      </c>
      <c r="AG1598">
        <f t="shared" si="246"/>
        <v>1</v>
      </c>
      <c r="AH1598">
        <f t="shared" si="247"/>
        <v>1</v>
      </c>
      <c r="AI1598">
        <f t="shared" si="248"/>
        <v>0</v>
      </c>
      <c r="AJ1598">
        <v>305.3</v>
      </c>
      <c r="AK1598">
        <v>1010.3</v>
      </c>
      <c r="AL1598">
        <v>0</v>
      </c>
      <c r="AM1598">
        <v>6.2</v>
      </c>
      <c r="AN1598">
        <v>0</v>
      </c>
      <c r="AO1598">
        <v>0</v>
      </c>
      <c r="AP1598">
        <v>0</v>
      </c>
      <c r="AQ1598">
        <v>0</v>
      </c>
      <c r="AR1598" t="s">
        <v>5357</v>
      </c>
      <c r="AS1598" t="s">
        <v>5358</v>
      </c>
      <c r="AT1598">
        <v>0.64</v>
      </c>
      <c r="AU1598" t="s">
        <v>74</v>
      </c>
      <c r="AV1598" t="s">
        <v>2955</v>
      </c>
      <c r="AW1598" t="s">
        <v>75</v>
      </c>
      <c r="AX1598" t="s">
        <v>4311</v>
      </c>
      <c r="AY1598" t="s">
        <v>5361</v>
      </c>
      <c r="AZ1598">
        <v>10215</v>
      </c>
      <c r="BA1598">
        <v>1</v>
      </c>
      <c r="BB1598">
        <v>0</v>
      </c>
      <c r="BC1598">
        <v>100</v>
      </c>
      <c r="BD1598">
        <v>0</v>
      </c>
      <c r="BE1598">
        <f t="shared" si="249"/>
        <v>1</v>
      </c>
    </row>
    <row r="1599" spans="1:57" x14ac:dyDescent="0.25">
      <c r="A1599" t="s">
        <v>39</v>
      </c>
      <c r="B1599" t="s">
        <v>5362</v>
      </c>
      <c r="C1599">
        <v>77</v>
      </c>
      <c r="D1599">
        <v>62.6</v>
      </c>
      <c r="G1599">
        <f t="shared" si="240"/>
        <v>1</v>
      </c>
      <c r="H1599">
        <f t="shared" si="241"/>
        <v>1</v>
      </c>
      <c r="I1599">
        <f t="shared" si="242"/>
        <v>0</v>
      </c>
      <c r="J1599">
        <v>70</v>
      </c>
      <c r="K1599">
        <v>77</v>
      </c>
      <c r="L1599">
        <v>62.6</v>
      </c>
      <c r="M1599">
        <v>70</v>
      </c>
      <c r="N1599">
        <v>63.5</v>
      </c>
      <c r="O1599">
        <v>80.5</v>
      </c>
      <c r="S1599">
        <f t="shared" si="243"/>
        <v>1</v>
      </c>
      <c r="T1599">
        <f t="shared" si="244"/>
        <v>1</v>
      </c>
      <c r="U1599">
        <f t="shared" si="245"/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10.3</v>
      </c>
      <c r="AG1599">
        <f t="shared" si="246"/>
        <v>1</v>
      </c>
      <c r="AH1599">
        <f t="shared" si="247"/>
        <v>0</v>
      </c>
      <c r="AI1599">
        <f t="shared" si="248"/>
        <v>1</v>
      </c>
      <c r="AJ1599">
        <v>123</v>
      </c>
      <c r="AK1599">
        <v>1014.8</v>
      </c>
      <c r="AL1599">
        <v>47.8</v>
      </c>
      <c r="AM1599">
        <v>6.6</v>
      </c>
      <c r="AN1599">
        <v>0</v>
      </c>
      <c r="AO1599">
        <v>0</v>
      </c>
      <c r="AP1599">
        <v>0</v>
      </c>
      <c r="AQ1599">
        <v>0</v>
      </c>
      <c r="AR1599" t="s">
        <v>5363</v>
      </c>
      <c r="AS1599" t="s">
        <v>5364</v>
      </c>
      <c r="AT1599">
        <v>0.9</v>
      </c>
      <c r="AU1599" t="s">
        <v>43</v>
      </c>
      <c r="AV1599" t="s">
        <v>2026</v>
      </c>
      <c r="AW1599" t="s">
        <v>45</v>
      </c>
      <c r="AX1599" t="s">
        <v>5365</v>
      </c>
      <c r="AY1599" t="s">
        <v>5366</v>
      </c>
      <c r="AZ1599">
        <v>717.00000000069849</v>
      </c>
      <c r="BA1599">
        <v>1</v>
      </c>
      <c r="BB1599">
        <v>0</v>
      </c>
      <c r="BC1599">
        <v>0.5</v>
      </c>
      <c r="BD1599">
        <v>0</v>
      </c>
      <c r="BE1599">
        <f t="shared" si="249"/>
        <v>1</v>
      </c>
    </row>
    <row r="1600" spans="1:57" x14ac:dyDescent="0.25">
      <c r="A1600" t="s">
        <v>39</v>
      </c>
      <c r="B1600" t="s">
        <v>5367</v>
      </c>
      <c r="C1600">
        <v>55.4</v>
      </c>
      <c r="D1600">
        <v>44.6</v>
      </c>
      <c r="G1600">
        <f t="shared" si="240"/>
        <v>1</v>
      </c>
      <c r="H1600">
        <f t="shared" si="241"/>
        <v>0</v>
      </c>
      <c r="I1600">
        <f t="shared" si="242"/>
        <v>1</v>
      </c>
      <c r="J1600">
        <v>49.5</v>
      </c>
      <c r="K1600">
        <v>55.4</v>
      </c>
      <c r="L1600">
        <v>39.700000000000003</v>
      </c>
      <c r="M1600">
        <v>47.8</v>
      </c>
      <c r="N1600">
        <v>42.8</v>
      </c>
      <c r="O1600">
        <v>78.5</v>
      </c>
      <c r="S1600">
        <f t="shared" si="243"/>
        <v>1</v>
      </c>
      <c r="T1600">
        <f t="shared" si="244"/>
        <v>1</v>
      </c>
      <c r="U1600">
        <f t="shared" si="245"/>
        <v>0</v>
      </c>
      <c r="V1600">
        <v>0.28000000000000003</v>
      </c>
      <c r="W1600">
        <v>100</v>
      </c>
      <c r="X1600">
        <v>4.17</v>
      </c>
      <c r="Y1600" t="s">
        <v>103</v>
      </c>
      <c r="Z1600">
        <v>0</v>
      </c>
      <c r="AA1600">
        <v>0</v>
      </c>
      <c r="AB1600">
        <v>0</v>
      </c>
      <c r="AC1600">
        <v>13.9</v>
      </c>
      <c r="AG1600">
        <f t="shared" si="246"/>
        <v>1</v>
      </c>
      <c r="AH1600">
        <f t="shared" si="247"/>
        <v>0</v>
      </c>
      <c r="AI1600">
        <f t="shared" si="248"/>
        <v>1</v>
      </c>
      <c r="AJ1600">
        <v>215</v>
      </c>
      <c r="AK1600">
        <v>1011.1</v>
      </c>
      <c r="AL1600">
        <v>70</v>
      </c>
      <c r="AM1600">
        <v>6.6</v>
      </c>
      <c r="AN1600">
        <v>99.8</v>
      </c>
      <c r="AO1600">
        <v>8.6</v>
      </c>
      <c r="AP1600">
        <v>4</v>
      </c>
      <c r="AQ1600">
        <v>0</v>
      </c>
      <c r="AR1600" t="s">
        <v>5368</v>
      </c>
      <c r="AS1600" t="s">
        <v>5369</v>
      </c>
      <c r="AT1600">
        <v>0.52</v>
      </c>
      <c r="AU1600" t="s">
        <v>106</v>
      </c>
      <c r="AV1600" t="s">
        <v>438</v>
      </c>
      <c r="AW1600" t="s">
        <v>103</v>
      </c>
      <c r="AX1600" t="s">
        <v>4980</v>
      </c>
      <c r="AY1600" t="s">
        <v>5370</v>
      </c>
      <c r="AZ1600">
        <v>58.000000000465661</v>
      </c>
      <c r="BA1600">
        <v>0</v>
      </c>
      <c r="BB1600">
        <v>0</v>
      </c>
      <c r="BC1600">
        <v>0.3</v>
      </c>
      <c r="BD1600">
        <v>0</v>
      </c>
      <c r="BE1600">
        <f t="shared" si="249"/>
        <v>0</v>
      </c>
    </row>
    <row r="1601" spans="1:57" x14ac:dyDescent="0.25">
      <c r="A1601" t="s">
        <v>39</v>
      </c>
      <c r="B1601" t="s">
        <v>5371</v>
      </c>
      <c r="C1601">
        <v>62.6</v>
      </c>
      <c r="D1601">
        <v>48.2</v>
      </c>
      <c r="G1601">
        <f t="shared" si="240"/>
        <v>0</v>
      </c>
      <c r="H1601">
        <f t="shared" si="241"/>
        <v>0</v>
      </c>
      <c r="I1601">
        <f t="shared" si="242"/>
        <v>0</v>
      </c>
      <c r="J1601">
        <v>55</v>
      </c>
      <c r="K1601">
        <v>62.6</v>
      </c>
      <c r="L1601">
        <v>44.6</v>
      </c>
      <c r="M1601">
        <v>54.6</v>
      </c>
      <c r="N1601">
        <v>49.4</v>
      </c>
      <c r="O1601">
        <v>81.7</v>
      </c>
      <c r="S1601">
        <f t="shared" si="243"/>
        <v>1</v>
      </c>
      <c r="T1601">
        <f t="shared" si="244"/>
        <v>1</v>
      </c>
      <c r="U1601">
        <f t="shared" si="245"/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9.1999999999999993</v>
      </c>
      <c r="AG1601">
        <f t="shared" si="246"/>
        <v>1</v>
      </c>
      <c r="AH1601">
        <f t="shared" si="247"/>
        <v>0</v>
      </c>
      <c r="AI1601">
        <f t="shared" si="248"/>
        <v>1</v>
      </c>
      <c r="AJ1601">
        <v>149.19999999999999</v>
      </c>
      <c r="AK1601">
        <v>1028.4000000000001</v>
      </c>
      <c r="AL1601">
        <v>33.4</v>
      </c>
      <c r="AM1601">
        <v>6.6</v>
      </c>
      <c r="AN1601">
        <v>267.5</v>
      </c>
      <c r="AO1601">
        <v>23.1</v>
      </c>
      <c r="AP1601">
        <v>9</v>
      </c>
      <c r="AQ1601">
        <v>0</v>
      </c>
      <c r="AR1601" t="s">
        <v>5372</v>
      </c>
      <c r="AS1601" t="s">
        <v>5373</v>
      </c>
      <c r="AT1601">
        <v>0.89</v>
      </c>
      <c r="AU1601" t="s">
        <v>43</v>
      </c>
      <c r="AV1601" t="s">
        <v>44</v>
      </c>
      <c r="AW1601" t="s">
        <v>45</v>
      </c>
      <c r="AX1601" t="s">
        <v>5374</v>
      </c>
      <c r="AY1601" t="s">
        <v>5375</v>
      </c>
      <c r="AZ1601">
        <v>452.99999999930151</v>
      </c>
      <c r="BA1601">
        <v>1</v>
      </c>
      <c r="BB1601">
        <v>0</v>
      </c>
      <c r="BC1601">
        <v>50</v>
      </c>
      <c r="BD1601">
        <v>0</v>
      </c>
      <c r="BE1601">
        <f t="shared" si="249"/>
        <v>0</v>
      </c>
    </row>
    <row r="1602" spans="1:57" x14ac:dyDescent="0.25">
      <c r="A1602" t="s">
        <v>39</v>
      </c>
      <c r="B1602" t="s">
        <v>4678</v>
      </c>
      <c r="C1602">
        <v>84.2</v>
      </c>
      <c r="D1602">
        <v>77</v>
      </c>
      <c r="G1602">
        <f t="shared" si="240"/>
        <v>0</v>
      </c>
      <c r="H1602">
        <f t="shared" si="241"/>
        <v>0</v>
      </c>
      <c r="I1602">
        <f t="shared" si="242"/>
        <v>0</v>
      </c>
      <c r="J1602">
        <v>80.099999999999994</v>
      </c>
      <c r="K1602">
        <v>86.5</v>
      </c>
      <c r="L1602">
        <v>77</v>
      </c>
      <c r="M1602">
        <v>80.900000000000006</v>
      </c>
      <c r="N1602">
        <v>65.599999999999994</v>
      </c>
      <c r="O1602">
        <v>61.6</v>
      </c>
      <c r="S1602">
        <f t="shared" si="243"/>
        <v>0</v>
      </c>
      <c r="T1602">
        <f t="shared" si="244"/>
        <v>0</v>
      </c>
      <c r="U1602">
        <f t="shared" si="245"/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20.8</v>
      </c>
      <c r="AG1602">
        <f t="shared" si="246"/>
        <v>1</v>
      </c>
      <c r="AH1602">
        <f t="shared" si="247"/>
        <v>1</v>
      </c>
      <c r="AI1602">
        <f t="shared" si="248"/>
        <v>0</v>
      </c>
      <c r="AJ1602">
        <v>324.60000000000002</v>
      </c>
      <c r="AK1602">
        <v>1013.1</v>
      </c>
      <c r="AL1602">
        <v>31.6</v>
      </c>
      <c r="AM1602">
        <v>6.6</v>
      </c>
      <c r="AN1602">
        <v>0</v>
      </c>
      <c r="AO1602">
        <v>0</v>
      </c>
      <c r="AP1602">
        <v>0</v>
      </c>
      <c r="AQ1602">
        <v>0</v>
      </c>
      <c r="AR1602" t="s">
        <v>4679</v>
      </c>
      <c r="AS1602" t="s">
        <v>4680</v>
      </c>
      <c r="AT1602">
        <v>0.06</v>
      </c>
      <c r="AU1602" t="s">
        <v>43</v>
      </c>
      <c r="AV1602" t="s">
        <v>44</v>
      </c>
      <c r="AW1602" t="s">
        <v>45</v>
      </c>
      <c r="AX1602" t="s">
        <v>5376</v>
      </c>
      <c r="AY1602" t="s">
        <v>5377</v>
      </c>
      <c r="AZ1602">
        <v>1313.999999997905</v>
      </c>
      <c r="BA1602">
        <v>1</v>
      </c>
      <c r="BB1602">
        <v>0</v>
      </c>
      <c r="BC1602">
        <v>1</v>
      </c>
      <c r="BD1602">
        <v>0</v>
      </c>
      <c r="BE1602">
        <f t="shared" si="249"/>
        <v>0</v>
      </c>
    </row>
    <row r="1603" spans="1:57" x14ac:dyDescent="0.25">
      <c r="A1603" t="s">
        <v>39</v>
      </c>
      <c r="B1603" t="s">
        <v>5290</v>
      </c>
      <c r="C1603">
        <v>82.4</v>
      </c>
      <c r="D1603">
        <v>71.599999999999994</v>
      </c>
      <c r="G1603">
        <f t="shared" ref="G1603:G1666" si="250">IF(ABS(C1603-INDEX($F$2:$F$13,MONTH(B1603)))&gt;1.8,1,0)</f>
        <v>0</v>
      </c>
      <c r="H1603">
        <f t="shared" ref="H1603:H1666" si="251">IF(C1603&gt;=INDEX($F$2:$F$13,MONTH(B1603))+1.8,1,0)</f>
        <v>0</v>
      </c>
      <c r="I1603">
        <f t="shared" ref="I1603:I1666" si="252">IF(C1603&lt;=INDEX($F$2:$F$13,MONTH(B1603))-1.8,1,0)</f>
        <v>0</v>
      </c>
      <c r="J1603">
        <v>78.400000000000006</v>
      </c>
      <c r="K1603">
        <v>86.2</v>
      </c>
      <c r="L1603">
        <v>71.599999999999994</v>
      </c>
      <c r="M1603">
        <v>79.3</v>
      </c>
      <c r="N1603">
        <v>64.5</v>
      </c>
      <c r="O1603">
        <v>63</v>
      </c>
      <c r="S1603">
        <f t="shared" ref="S1603:S1666" si="253">IF(OR(O1603&lt;INDEX($Q$2:$Q$13,MONTH(B1603)),O1603&gt;INDEX($R$2:$R$13,MONTH(B1603))),1,0)</f>
        <v>1</v>
      </c>
      <c r="T1603">
        <f t="shared" ref="T1603:T1666" si="254">IF(O1603&gt;INDEX($R$2:$R$13,MONTH(B1603)),1,0)</f>
        <v>1</v>
      </c>
      <c r="U1603">
        <f t="shared" ref="U1603:U1666" si="255">IF(O1603&lt;INDEX($Q$2:$Q$13,MONTH(B1603)),1,0)</f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21.9</v>
      </c>
      <c r="AG1603">
        <f t="shared" ref="AG1603:AG1666" si="256">IF(OR(AC1603&lt;INDEX($AE$2:$AE$13,MONTH(B1603)),AC1603&gt;INDEX($AF$2:$AF$13,MONTH(B1603))),1,0)</f>
        <v>1</v>
      </c>
      <c r="AH1603">
        <f t="shared" ref="AH1603:AH1666" si="257">IF(AC1603&gt;INDEX($AF$2:$AF$13,MONTH(B1603)),1,0)</f>
        <v>1</v>
      </c>
      <c r="AI1603">
        <f t="shared" ref="AI1603:AI1666" si="258">IF(AC1603&lt;INDEX($AE$2:$AE$13,MONTH(B1603)),1,0)</f>
        <v>0</v>
      </c>
      <c r="AJ1603">
        <v>325.39999999999998</v>
      </c>
      <c r="AK1603">
        <v>1010.6</v>
      </c>
      <c r="AL1603">
        <v>25.4</v>
      </c>
      <c r="AM1603">
        <v>6.5</v>
      </c>
      <c r="AN1603">
        <v>0</v>
      </c>
      <c r="AO1603">
        <v>0</v>
      </c>
      <c r="AP1603">
        <v>0</v>
      </c>
      <c r="AQ1603">
        <v>0</v>
      </c>
      <c r="AR1603" t="s">
        <v>5291</v>
      </c>
      <c r="AS1603" t="s">
        <v>5292</v>
      </c>
      <c r="AT1603">
        <v>0.38</v>
      </c>
      <c r="AU1603" t="s">
        <v>43</v>
      </c>
      <c r="AV1603" t="s">
        <v>44</v>
      </c>
      <c r="AW1603" t="s">
        <v>45</v>
      </c>
      <c r="AX1603" t="s">
        <v>5378</v>
      </c>
      <c r="AY1603" t="s">
        <v>5379</v>
      </c>
      <c r="AZ1603">
        <v>946.00000000325963</v>
      </c>
      <c r="BA1603">
        <v>1</v>
      </c>
      <c r="BB1603">
        <v>0</v>
      </c>
      <c r="BC1603">
        <v>1</v>
      </c>
      <c r="BD1603">
        <v>0</v>
      </c>
      <c r="BE1603">
        <f t="shared" ref="BE1603:BE1666" si="259">IF((3*AH1603+3*H1603+2*U1603+2*BA1603-(2*(1-T1603)+2*(1-I1603)+2*(1-AI1603)))&gt;=1,1,0)</f>
        <v>1</v>
      </c>
    </row>
    <row r="1604" spans="1:57" x14ac:dyDescent="0.25">
      <c r="A1604" t="s">
        <v>39</v>
      </c>
      <c r="B1604" t="s">
        <v>4977</v>
      </c>
      <c r="C1604">
        <v>84.2</v>
      </c>
      <c r="D1604">
        <v>69.5</v>
      </c>
      <c r="G1604">
        <f t="shared" si="250"/>
        <v>0</v>
      </c>
      <c r="H1604">
        <f t="shared" si="251"/>
        <v>0</v>
      </c>
      <c r="I1604">
        <f t="shared" si="252"/>
        <v>0</v>
      </c>
      <c r="J1604">
        <v>78.599999999999994</v>
      </c>
      <c r="K1604">
        <v>85</v>
      </c>
      <c r="L1604">
        <v>69.5</v>
      </c>
      <c r="M1604">
        <v>78.900000000000006</v>
      </c>
      <c r="N1604">
        <v>63.1</v>
      </c>
      <c r="O1604">
        <v>59.8</v>
      </c>
      <c r="S1604">
        <f t="shared" si="253"/>
        <v>0</v>
      </c>
      <c r="T1604">
        <f t="shared" si="254"/>
        <v>0</v>
      </c>
      <c r="U1604">
        <f t="shared" si="255"/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23</v>
      </c>
      <c r="AG1604">
        <f t="shared" si="256"/>
        <v>1</v>
      </c>
      <c r="AH1604">
        <f t="shared" si="257"/>
        <v>1</v>
      </c>
      <c r="AI1604">
        <f t="shared" si="258"/>
        <v>0</v>
      </c>
      <c r="AJ1604">
        <v>311.3</v>
      </c>
      <c r="AK1604">
        <v>1012.6</v>
      </c>
      <c r="AL1604">
        <v>8.9</v>
      </c>
      <c r="AM1604">
        <v>6.3</v>
      </c>
      <c r="AN1604">
        <v>0</v>
      </c>
      <c r="AO1604">
        <v>0</v>
      </c>
      <c r="AP1604">
        <v>0</v>
      </c>
      <c r="AQ1604">
        <v>0</v>
      </c>
      <c r="AR1604" t="s">
        <v>4978</v>
      </c>
      <c r="AS1604" t="s">
        <v>4979</v>
      </c>
      <c r="AT1604">
        <v>0.46</v>
      </c>
      <c r="AU1604" t="s">
        <v>74</v>
      </c>
      <c r="AV1604" t="s">
        <v>2955</v>
      </c>
      <c r="AW1604" t="s">
        <v>75</v>
      </c>
      <c r="AX1604" t="s">
        <v>5380</v>
      </c>
      <c r="AY1604" t="s">
        <v>5381</v>
      </c>
      <c r="AZ1604">
        <v>3469.9999999953429</v>
      </c>
      <c r="BA1604">
        <v>1</v>
      </c>
      <c r="BB1604">
        <v>0</v>
      </c>
      <c r="BC1604">
        <v>500</v>
      </c>
      <c r="BD1604">
        <v>0</v>
      </c>
      <c r="BE1604">
        <f t="shared" si="259"/>
        <v>0</v>
      </c>
    </row>
    <row r="1605" spans="1:57" x14ac:dyDescent="0.25">
      <c r="A1605" t="s">
        <v>39</v>
      </c>
      <c r="B1605" t="s">
        <v>5295</v>
      </c>
      <c r="C1605">
        <v>82.4</v>
      </c>
      <c r="D1605">
        <v>70.400000000000006</v>
      </c>
      <c r="G1605">
        <f t="shared" si="250"/>
        <v>1</v>
      </c>
      <c r="H1605">
        <f t="shared" si="251"/>
        <v>1</v>
      </c>
      <c r="I1605">
        <f t="shared" si="252"/>
        <v>0</v>
      </c>
      <c r="J1605">
        <v>77.3</v>
      </c>
      <c r="K1605">
        <v>84.7</v>
      </c>
      <c r="L1605">
        <v>70.400000000000006</v>
      </c>
      <c r="M1605">
        <v>77.900000000000006</v>
      </c>
      <c r="N1605">
        <v>64</v>
      </c>
      <c r="O1605">
        <v>63.9</v>
      </c>
      <c r="S1605">
        <f t="shared" si="253"/>
        <v>1</v>
      </c>
      <c r="T1605">
        <f t="shared" si="254"/>
        <v>0</v>
      </c>
      <c r="U1605">
        <f t="shared" si="255"/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21.9</v>
      </c>
      <c r="AG1605">
        <f t="shared" si="256"/>
        <v>1</v>
      </c>
      <c r="AH1605">
        <f t="shared" si="257"/>
        <v>1</v>
      </c>
      <c r="AI1605">
        <f t="shared" si="258"/>
        <v>0</v>
      </c>
      <c r="AJ1605">
        <v>308</v>
      </c>
      <c r="AK1605">
        <v>1013.5</v>
      </c>
      <c r="AL1605">
        <v>26.8</v>
      </c>
      <c r="AM1605">
        <v>6.6</v>
      </c>
      <c r="AN1605">
        <v>0</v>
      </c>
      <c r="AO1605">
        <v>0</v>
      </c>
      <c r="AP1605">
        <v>0</v>
      </c>
      <c r="AQ1605">
        <v>0</v>
      </c>
      <c r="AR1605" t="s">
        <v>5296</v>
      </c>
      <c r="AS1605" t="s">
        <v>5297</v>
      </c>
      <c r="AT1605">
        <v>0.82</v>
      </c>
      <c r="AU1605" t="s">
        <v>43</v>
      </c>
      <c r="AV1605" t="s">
        <v>44</v>
      </c>
      <c r="AW1605" t="s">
        <v>45</v>
      </c>
      <c r="AX1605" t="s">
        <v>4306</v>
      </c>
      <c r="AY1605" t="s">
        <v>5382</v>
      </c>
      <c r="AZ1605">
        <v>1429.9999999988361</v>
      </c>
      <c r="BA1605">
        <v>1</v>
      </c>
      <c r="BB1605">
        <v>0</v>
      </c>
      <c r="BC1605">
        <v>3</v>
      </c>
      <c r="BD1605">
        <v>0</v>
      </c>
      <c r="BE1605">
        <f t="shared" si="259"/>
        <v>1</v>
      </c>
    </row>
    <row r="1606" spans="1:57" x14ac:dyDescent="0.25">
      <c r="A1606" t="s">
        <v>39</v>
      </c>
      <c r="B1606" t="s">
        <v>5362</v>
      </c>
      <c r="C1606">
        <v>77</v>
      </c>
      <c r="D1606">
        <v>62.6</v>
      </c>
      <c r="G1606">
        <f t="shared" si="250"/>
        <v>1</v>
      </c>
      <c r="H1606">
        <f t="shared" si="251"/>
        <v>1</v>
      </c>
      <c r="I1606">
        <f t="shared" si="252"/>
        <v>0</v>
      </c>
      <c r="J1606">
        <v>70</v>
      </c>
      <c r="K1606">
        <v>77</v>
      </c>
      <c r="L1606">
        <v>62.6</v>
      </c>
      <c r="M1606">
        <v>70</v>
      </c>
      <c r="N1606">
        <v>63.5</v>
      </c>
      <c r="O1606">
        <v>80.5</v>
      </c>
      <c r="S1606">
        <f t="shared" si="253"/>
        <v>1</v>
      </c>
      <c r="T1606">
        <f t="shared" si="254"/>
        <v>1</v>
      </c>
      <c r="U1606">
        <f t="shared" si="255"/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10.3</v>
      </c>
      <c r="AG1606">
        <f t="shared" si="256"/>
        <v>1</v>
      </c>
      <c r="AH1606">
        <f t="shared" si="257"/>
        <v>0</v>
      </c>
      <c r="AI1606">
        <f t="shared" si="258"/>
        <v>1</v>
      </c>
      <c r="AJ1606">
        <v>123</v>
      </c>
      <c r="AK1606">
        <v>1014.8</v>
      </c>
      <c r="AL1606">
        <v>47.8</v>
      </c>
      <c r="AM1606">
        <v>6.6</v>
      </c>
      <c r="AN1606">
        <v>0</v>
      </c>
      <c r="AO1606">
        <v>0</v>
      </c>
      <c r="AP1606">
        <v>0</v>
      </c>
      <c r="AQ1606">
        <v>0</v>
      </c>
      <c r="AR1606" t="s">
        <v>5363</v>
      </c>
      <c r="AS1606" t="s">
        <v>5364</v>
      </c>
      <c r="AT1606">
        <v>0.9</v>
      </c>
      <c r="AU1606" t="s">
        <v>43</v>
      </c>
      <c r="AV1606" t="s">
        <v>2026</v>
      </c>
      <c r="AW1606" t="s">
        <v>45</v>
      </c>
      <c r="AX1606" t="s">
        <v>2383</v>
      </c>
      <c r="AY1606" t="s">
        <v>5383</v>
      </c>
      <c r="AZ1606">
        <v>334.99999999185093</v>
      </c>
      <c r="BA1606">
        <v>0</v>
      </c>
      <c r="BB1606">
        <v>0</v>
      </c>
      <c r="BC1606">
        <v>10</v>
      </c>
      <c r="BD1606">
        <v>0</v>
      </c>
      <c r="BE1606">
        <f t="shared" si="259"/>
        <v>1</v>
      </c>
    </row>
    <row r="1607" spans="1:57" x14ac:dyDescent="0.25">
      <c r="A1607" t="s">
        <v>39</v>
      </c>
      <c r="B1607" t="s">
        <v>5384</v>
      </c>
      <c r="C1607">
        <v>62.6</v>
      </c>
      <c r="D1607">
        <v>46.4</v>
      </c>
      <c r="G1607">
        <f t="shared" si="250"/>
        <v>1</v>
      </c>
      <c r="H1607">
        <f t="shared" si="251"/>
        <v>1</v>
      </c>
      <c r="I1607">
        <f t="shared" si="252"/>
        <v>0</v>
      </c>
      <c r="J1607">
        <v>54.4</v>
      </c>
      <c r="K1607">
        <v>62.6</v>
      </c>
      <c r="L1607">
        <v>42.4</v>
      </c>
      <c r="M1607">
        <v>53.4</v>
      </c>
      <c r="N1607">
        <v>46.3</v>
      </c>
      <c r="O1607">
        <v>74.7</v>
      </c>
      <c r="S1607">
        <f t="shared" si="253"/>
        <v>1</v>
      </c>
      <c r="T1607">
        <f t="shared" si="254"/>
        <v>1</v>
      </c>
      <c r="U1607">
        <f t="shared" si="255"/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9.6</v>
      </c>
      <c r="AC1607">
        <v>9.1999999999999993</v>
      </c>
      <c r="AG1607">
        <f t="shared" si="256"/>
        <v>1</v>
      </c>
      <c r="AH1607">
        <f t="shared" si="257"/>
        <v>0</v>
      </c>
      <c r="AI1607">
        <f t="shared" si="258"/>
        <v>1</v>
      </c>
      <c r="AJ1607">
        <v>160.80000000000001</v>
      </c>
      <c r="AK1607">
        <v>1022.5</v>
      </c>
      <c r="AL1607">
        <v>9.3000000000000007</v>
      </c>
      <c r="AM1607">
        <v>6.2</v>
      </c>
      <c r="AN1607">
        <v>195.9</v>
      </c>
      <c r="AO1607">
        <v>16.899999999999999</v>
      </c>
      <c r="AP1607">
        <v>7</v>
      </c>
      <c r="AQ1607">
        <v>0</v>
      </c>
      <c r="AR1607" t="s">
        <v>5385</v>
      </c>
      <c r="AS1607" t="s">
        <v>5386</v>
      </c>
      <c r="AT1607">
        <v>0.57999999999999996</v>
      </c>
      <c r="AU1607" t="s">
        <v>74</v>
      </c>
      <c r="AV1607" t="s">
        <v>2955</v>
      </c>
      <c r="AW1607" t="s">
        <v>75</v>
      </c>
      <c r="AX1607" t="s">
        <v>2443</v>
      </c>
      <c r="AY1607" t="s">
        <v>5387</v>
      </c>
      <c r="AZ1607">
        <v>1094.999999996508</v>
      </c>
      <c r="BA1607">
        <v>1</v>
      </c>
      <c r="BB1607">
        <v>0</v>
      </c>
      <c r="BC1607">
        <v>6</v>
      </c>
      <c r="BD1607">
        <v>0</v>
      </c>
      <c r="BE1607">
        <f t="shared" si="259"/>
        <v>1</v>
      </c>
    </row>
    <row r="1608" spans="1:57" x14ac:dyDescent="0.25">
      <c r="A1608" t="s">
        <v>39</v>
      </c>
      <c r="B1608" t="s">
        <v>5388</v>
      </c>
      <c r="C1608">
        <v>68</v>
      </c>
      <c r="D1608">
        <v>51.8</v>
      </c>
      <c r="G1608">
        <f t="shared" si="250"/>
        <v>0</v>
      </c>
      <c r="H1608">
        <f t="shared" si="251"/>
        <v>0</v>
      </c>
      <c r="I1608">
        <f t="shared" si="252"/>
        <v>0</v>
      </c>
      <c r="J1608">
        <v>60.1</v>
      </c>
      <c r="K1608">
        <v>68</v>
      </c>
      <c r="L1608">
        <v>51.8</v>
      </c>
      <c r="M1608">
        <v>60.1</v>
      </c>
      <c r="N1608">
        <v>52.4</v>
      </c>
      <c r="O1608">
        <v>76.900000000000006</v>
      </c>
      <c r="S1608">
        <f t="shared" si="253"/>
        <v>1</v>
      </c>
      <c r="T1608">
        <f t="shared" si="254"/>
        <v>1</v>
      </c>
      <c r="U1608">
        <f t="shared" si="255"/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16.100000000000001</v>
      </c>
      <c r="AC1608">
        <v>8.1</v>
      </c>
      <c r="AG1608">
        <f t="shared" si="256"/>
        <v>1</v>
      </c>
      <c r="AH1608">
        <f t="shared" si="257"/>
        <v>0</v>
      </c>
      <c r="AI1608">
        <f t="shared" si="258"/>
        <v>1</v>
      </c>
      <c r="AJ1608">
        <v>173.3</v>
      </c>
      <c r="AK1608">
        <v>1014.7</v>
      </c>
      <c r="AL1608">
        <v>32</v>
      </c>
      <c r="AM1608">
        <v>6.2</v>
      </c>
      <c r="AN1608">
        <v>281.7</v>
      </c>
      <c r="AO1608">
        <v>24.3</v>
      </c>
      <c r="AP1608">
        <v>9</v>
      </c>
      <c r="AQ1608">
        <v>0</v>
      </c>
      <c r="AR1608" t="s">
        <v>5389</v>
      </c>
      <c r="AS1608" t="s">
        <v>5390</v>
      </c>
      <c r="AT1608">
        <v>0.12</v>
      </c>
      <c r="AU1608" t="s">
        <v>43</v>
      </c>
      <c r="AV1608" t="s">
        <v>44</v>
      </c>
      <c r="AW1608" t="s">
        <v>45</v>
      </c>
      <c r="AX1608" t="s">
        <v>5391</v>
      </c>
      <c r="AY1608" t="s">
        <v>5392</v>
      </c>
      <c r="AZ1608">
        <v>272.99999999930151</v>
      </c>
      <c r="BA1608">
        <v>0</v>
      </c>
      <c r="BB1608">
        <v>0</v>
      </c>
      <c r="BC1608">
        <v>0.5</v>
      </c>
      <c r="BD1608">
        <v>0</v>
      </c>
      <c r="BE1608">
        <f t="shared" si="259"/>
        <v>0</v>
      </c>
    </row>
    <row r="1609" spans="1:57" x14ac:dyDescent="0.25">
      <c r="A1609" t="s">
        <v>39</v>
      </c>
      <c r="B1609" t="s">
        <v>5393</v>
      </c>
      <c r="C1609">
        <v>64.400000000000006</v>
      </c>
      <c r="D1609">
        <v>48.6</v>
      </c>
      <c r="G1609">
        <f t="shared" si="250"/>
        <v>1</v>
      </c>
      <c r="H1609">
        <f t="shared" si="251"/>
        <v>1</v>
      </c>
      <c r="I1609">
        <f t="shared" si="252"/>
        <v>0</v>
      </c>
      <c r="J1609">
        <v>55.9</v>
      </c>
      <c r="K1609">
        <v>64.400000000000006</v>
      </c>
      <c r="L1609">
        <v>48</v>
      </c>
      <c r="M1609">
        <v>55.9</v>
      </c>
      <c r="N1609">
        <v>48.2</v>
      </c>
      <c r="O1609">
        <v>76</v>
      </c>
      <c r="S1609">
        <f t="shared" si="253"/>
        <v>1</v>
      </c>
      <c r="T1609">
        <f t="shared" si="254"/>
        <v>1</v>
      </c>
      <c r="U1609">
        <f t="shared" si="255"/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11.6</v>
      </c>
      <c r="AC1609">
        <v>10.3</v>
      </c>
      <c r="AG1609">
        <f t="shared" si="256"/>
        <v>1</v>
      </c>
      <c r="AH1609">
        <f t="shared" si="257"/>
        <v>0</v>
      </c>
      <c r="AI1609">
        <f t="shared" si="258"/>
        <v>1</v>
      </c>
      <c r="AJ1609">
        <v>205.2</v>
      </c>
      <c r="AK1609">
        <v>1020.7</v>
      </c>
      <c r="AL1609">
        <v>32.1</v>
      </c>
      <c r="AM1609">
        <v>6.2</v>
      </c>
      <c r="AN1609">
        <v>132.5</v>
      </c>
      <c r="AO1609">
        <v>11.3</v>
      </c>
      <c r="AP1609">
        <v>5</v>
      </c>
      <c r="AQ1609">
        <v>0</v>
      </c>
      <c r="AR1609" t="s">
        <v>5394</v>
      </c>
      <c r="AS1609" t="s">
        <v>5395</v>
      </c>
      <c r="AT1609">
        <v>0.3</v>
      </c>
      <c r="AU1609" t="s">
        <v>43</v>
      </c>
      <c r="AV1609" t="s">
        <v>44</v>
      </c>
      <c r="AW1609" t="s">
        <v>45</v>
      </c>
      <c r="AX1609" t="s">
        <v>2572</v>
      </c>
      <c r="AY1609" t="s">
        <v>5396</v>
      </c>
      <c r="AZ1609">
        <v>90</v>
      </c>
      <c r="BA1609">
        <v>0</v>
      </c>
      <c r="BB1609">
        <v>0</v>
      </c>
      <c r="BC1609">
        <v>0.1</v>
      </c>
      <c r="BD1609">
        <v>0</v>
      </c>
      <c r="BE1609">
        <f t="shared" si="259"/>
        <v>1</v>
      </c>
    </row>
    <row r="1610" spans="1:57" x14ac:dyDescent="0.25">
      <c r="A1610" t="s">
        <v>39</v>
      </c>
      <c r="B1610" t="s">
        <v>5397</v>
      </c>
      <c r="C1610">
        <v>66.2</v>
      </c>
      <c r="D1610">
        <v>53.6</v>
      </c>
      <c r="G1610">
        <f t="shared" si="250"/>
        <v>1</v>
      </c>
      <c r="H1610">
        <f t="shared" si="251"/>
        <v>1</v>
      </c>
      <c r="I1610">
        <f t="shared" si="252"/>
        <v>0</v>
      </c>
      <c r="J1610">
        <v>60.5</v>
      </c>
      <c r="K1610">
        <v>66.2</v>
      </c>
      <c r="L1610">
        <v>53.6</v>
      </c>
      <c r="M1610">
        <v>60.5</v>
      </c>
      <c r="N1610">
        <v>52.4</v>
      </c>
      <c r="O1610">
        <v>74.8</v>
      </c>
      <c r="S1610">
        <f t="shared" si="253"/>
        <v>1</v>
      </c>
      <c r="T1610">
        <f t="shared" si="254"/>
        <v>1</v>
      </c>
      <c r="U1610">
        <f t="shared" si="255"/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22.6</v>
      </c>
      <c r="AC1610">
        <v>20.8</v>
      </c>
      <c r="AG1610">
        <f t="shared" si="256"/>
        <v>1</v>
      </c>
      <c r="AH1610">
        <f t="shared" si="257"/>
        <v>1</v>
      </c>
      <c r="AI1610">
        <f t="shared" si="258"/>
        <v>0</v>
      </c>
      <c r="AJ1610">
        <v>291.10000000000002</v>
      </c>
      <c r="AK1610">
        <v>1019.7</v>
      </c>
      <c r="AL1610">
        <v>42.2</v>
      </c>
      <c r="AM1610">
        <v>6.2</v>
      </c>
      <c r="AN1610">
        <v>250.8</v>
      </c>
      <c r="AO1610">
        <v>21.7</v>
      </c>
      <c r="AP1610">
        <v>8</v>
      </c>
      <c r="AQ1610">
        <v>0</v>
      </c>
      <c r="AR1610" t="s">
        <v>5398</v>
      </c>
      <c r="AS1610" t="s">
        <v>5399</v>
      </c>
      <c r="AT1610">
        <v>0.63</v>
      </c>
      <c r="AU1610" t="s">
        <v>43</v>
      </c>
      <c r="AV1610" t="s">
        <v>44</v>
      </c>
      <c r="AW1610" t="s">
        <v>45</v>
      </c>
      <c r="AX1610" t="s">
        <v>2459</v>
      </c>
      <c r="AY1610" t="s">
        <v>5400</v>
      </c>
      <c r="AZ1610">
        <v>1560.000000003492</v>
      </c>
      <c r="BA1610">
        <v>1</v>
      </c>
      <c r="BB1610">
        <v>0</v>
      </c>
      <c r="BC1610">
        <v>15</v>
      </c>
      <c r="BD1610">
        <v>0</v>
      </c>
      <c r="BE1610">
        <f t="shared" si="259"/>
        <v>1</v>
      </c>
    </row>
    <row r="1611" spans="1:57" x14ac:dyDescent="0.25">
      <c r="A1611" t="s">
        <v>39</v>
      </c>
      <c r="B1611" t="s">
        <v>5401</v>
      </c>
      <c r="C1611">
        <v>72.900000000000006</v>
      </c>
      <c r="D1611">
        <v>48.2</v>
      </c>
      <c r="G1611">
        <f t="shared" si="250"/>
        <v>1</v>
      </c>
      <c r="H1611">
        <f t="shared" si="251"/>
        <v>1</v>
      </c>
      <c r="I1611">
        <f t="shared" si="252"/>
        <v>0</v>
      </c>
      <c r="J1611">
        <v>60.7</v>
      </c>
      <c r="K1611">
        <v>72.900000000000006</v>
      </c>
      <c r="L1611">
        <v>45.6</v>
      </c>
      <c r="M1611">
        <v>60.6</v>
      </c>
      <c r="N1611">
        <v>49.4</v>
      </c>
      <c r="O1611">
        <v>69.5</v>
      </c>
      <c r="S1611">
        <f t="shared" si="253"/>
        <v>1</v>
      </c>
      <c r="T1611">
        <f t="shared" si="254"/>
        <v>1</v>
      </c>
      <c r="U1611">
        <f t="shared" si="255"/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19.7</v>
      </c>
      <c r="AC1611">
        <v>17.2</v>
      </c>
      <c r="AG1611">
        <f t="shared" si="256"/>
        <v>0</v>
      </c>
      <c r="AH1611">
        <f t="shared" si="257"/>
        <v>0</v>
      </c>
      <c r="AI1611">
        <f t="shared" si="258"/>
        <v>0</v>
      </c>
      <c r="AJ1611">
        <v>160</v>
      </c>
      <c r="AK1611">
        <v>1015.3</v>
      </c>
      <c r="AL1611">
        <v>67.900000000000006</v>
      </c>
      <c r="AM1611">
        <v>6.2</v>
      </c>
      <c r="AN1611">
        <v>274</v>
      </c>
      <c r="AO1611">
        <v>23.8</v>
      </c>
      <c r="AP1611">
        <v>9</v>
      </c>
      <c r="AQ1611">
        <v>0</v>
      </c>
      <c r="AR1611" t="s">
        <v>5402</v>
      </c>
      <c r="AS1611" t="s">
        <v>5403</v>
      </c>
      <c r="AT1611">
        <v>0.15</v>
      </c>
      <c r="AU1611" t="s">
        <v>43</v>
      </c>
      <c r="AV1611" t="s">
        <v>44</v>
      </c>
      <c r="AW1611" t="s">
        <v>45</v>
      </c>
      <c r="AX1611" t="s">
        <v>5404</v>
      </c>
      <c r="AY1611" t="s">
        <v>5405</v>
      </c>
      <c r="AZ1611">
        <v>150.9999999997672</v>
      </c>
      <c r="BA1611">
        <v>0</v>
      </c>
      <c r="BB1611">
        <v>0</v>
      </c>
      <c r="BC1611">
        <v>1</v>
      </c>
      <c r="BD1611">
        <v>0</v>
      </c>
      <c r="BE1611">
        <f t="shared" si="259"/>
        <v>0</v>
      </c>
    </row>
    <row r="1612" spans="1:57" x14ac:dyDescent="0.25">
      <c r="A1612" t="s">
        <v>39</v>
      </c>
      <c r="B1612" t="s">
        <v>5401</v>
      </c>
      <c r="C1612">
        <v>72.900000000000006</v>
      </c>
      <c r="D1612">
        <v>48.2</v>
      </c>
      <c r="G1612">
        <f t="shared" si="250"/>
        <v>1</v>
      </c>
      <c r="H1612">
        <f t="shared" si="251"/>
        <v>1</v>
      </c>
      <c r="I1612">
        <f t="shared" si="252"/>
        <v>0</v>
      </c>
      <c r="J1612">
        <v>60.7</v>
      </c>
      <c r="K1612">
        <v>72.900000000000006</v>
      </c>
      <c r="L1612">
        <v>45.6</v>
      </c>
      <c r="M1612">
        <v>60.6</v>
      </c>
      <c r="N1612">
        <v>49.4</v>
      </c>
      <c r="O1612">
        <v>69.5</v>
      </c>
      <c r="S1612">
        <f t="shared" si="253"/>
        <v>1</v>
      </c>
      <c r="T1612">
        <f t="shared" si="254"/>
        <v>1</v>
      </c>
      <c r="U1612">
        <f t="shared" si="255"/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19.7</v>
      </c>
      <c r="AC1612">
        <v>17.2</v>
      </c>
      <c r="AG1612">
        <f t="shared" si="256"/>
        <v>0</v>
      </c>
      <c r="AH1612">
        <f t="shared" si="257"/>
        <v>0</v>
      </c>
      <c r="AI1612">
        <f t="shared" si="258"/>
        <v>0</v>
      </c>
      <c r="AJ1612">
        <v>160</v>
      </c>
      <c r="AK1612">
        <v>1015.3</v>
      </c>
      <c r="AL1612">
        <v>67.900000000000006</v>
      </c>
      <c r="AM1612">
        <v>6.2</v>
      </c>
      <c r="AN1612">
        <v>274</v>
      </c>
      <c r="AO1612">
        <v>23.8</v>
      </c>
      <c r="AP1612">
        <v>9</v>
      </c>
      <c r="AQ1612">
        <v>0</v>
      </c>
      <c r="AR1612" t="s">
        <v>5402</v>
      </c>
      <c r="AS1612" t="s">
        <v>5403</v>
      </c>
      <c r="AT1612">
        <v>0.15</v>
      </c>
      <c r="AU1612" t="s">
        <v>43</v>
      </c>
      <c r="AV1612" t="s">
        <v>44</v>
      </c>
      <c r="AW1612" t="s">
        <v>45</v>
      </c>
      <c r="AX1612" t="s">
        <v>4254</v>
      </c>
      <c r="AY1612" t="s">
        <v>5406</v>
      </c>
      <c r="AZ1612">
        <v>220.00000000465661</v>
      </c>
      <c r="BA1612">
        <v>0</v>
      </c>
      <c r="BB1612">
        <v>0</v>
      </c>
      <c r="BC1612">
        <v>3</v>
      </c>
      <c r="BD1612">
        <v>0</v>
      </c>
      <c r="BE1612">
        <f t="shared" si="259"/>
        <v>0</v>
      </c>
    </row>
    <row r="1613" spans="1:57" x14ac:dyDescent="0.25">
      <c r="A1613" t="s">
        <v>39</v>
      </c>
      <c r="B1613" t="s">
        <v>5407</v>
      </c>
      <c r="C1613">
        <v>68</v>
      </c>
      <c r="D1613">
        <v>51.8</v>
      </c>
      <c r="G1613">
        <f t="shared" si="250"/>
        <v>0</v>
      </c>
      <c r="H1613">
        <f t="shared" si="251"/>
        <v>0</v>
      </c>
      <c r="I1613">
        <f t="shared" si="252"/>
        <v>0</v>
      </c>
      <c r="J1613">
        <v>60.6</v>
      </c>
      <c r="K1613">
        <v>68</v>
      </c>
      <c r="L1613">
        <v>51.8</v>
      </c>
      <c r="M1613">
        <v>60.6</v>
      </c>
      <c r="N1613">
        <v>53.2</v>
      </c>
      <c r="O1613">
        <v>77.400000000000006</v>
      </c>
      <c r="S1613">
        <f t="shared" si="253"/>
        <v>1</v>
      </c>
      <c r="T1613">
        <f t="shared" si="254"/>
        <v>1</v>
      </c>
      <c r="U1613">
        <f t="shared" si="255"/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23</v>
      </c>
      <c r="AC1613">
        <v>16.100000000000001</v>
      </c>
      <c r="AG1613">
        <f t="shared" si="256"/>
        <v>0</v>
      </c>
      <c r="AH1613">
        <f t="shared" si="257"/>
        <v>0</v>
      </c>
      <c r="AI1613">
        <f t="shared" si="258"/>
        <v>0</v>
      </c>
      <c r="AJ1613">
        <v>312.10000000000002</v>
      </c>
      <c r="AK1613">
        <v>1015.4</v>
      </c>
      <c r="AL1613">
        <v>29.2</v>
      </c>
      <c r="AM1613">
        <v>6.2</v>
      </c>
      <c r="AN1613">
        <v>270</v>
      </c>
      <c r="AO1613">
        <v>23.3</v>
      </c>
      <c r="AP1613">
        <v>9</v>
      </c>
      <c r="AQ1613">
        <v>0</v>
      </c>
      <c r="AR1613" t="s">
        <v>5408</v>
      </c>
      <c r="AS1613" t="s">
        <v>5409</v>
      </c>
      <c r="AT1613">
        <v>0.31</v>
      </c>
      <c r="AU1613" t="s">
        <v>43</v>
      </c>
      <c r="AV1613" t="s">
        <v>44</v>
      </c>
      <c r="AW1613" t="s">
        <v>45</v>
      </c>
      <c r="AX1613" t="s">
        <v>4132</v>
      </c>
      <c r="AY1613" t="s">
        <v>5410</v>
      </c>
      <c r="AZ1613">
        <v>3209.999999996508</v>
      </c>
      <c r="BA1613">
        <v>1</v>
      </c>
      <c r="BB1613">
        <v>0</v>
      </c>
      <c r="BC1613">
        <v>13</v>
      </c>
      <c r="BD1613">
        <v>0</v>
      </c>
      <c r="BE1613">
        <f t="shared" si="259"/>
        <v>0</v>
      </c>
    </row>
    <row r="1614" spans="1:57" x14ac:dyDescent="0.25">
      <c r="A1614" t="s">
        <v>39</v>
      </c>
      <c r="B1614" t="s">
        <v>5411</v>
      </c>
      <c r="C1614">
        <v>71.599999999999994</v>
      </c>
      <c r="D1614">
        <v>62.6</v>
      </c>
      <c r="G1614">
        <f t="shared" si="250"/>
        <v>0</v>
      </c>
      <c r="H1614">
        <f t="shared" si="251"/>
        <v>0</v>
      </c>
      <c r="I1614">
        <f t="shared" si="252"/>
        <v>0</v>
      </c>
      <c r="J1614">
        <v>67.7</v>
      </c>
      <c r="K1614">
        <v>71.599999999999994</v>
      </c>
      <c r="L1614">
        <v>62.6</v>
      </c>
      <c r="M1614">
        <v>67.7</v>
      </c>
      <c r="N1614">
        <v>53.8</v>
      </c>
      <c r="O1614">
        <v>61.5</v>
      </c>
      <c r="S1614">
        <f t="shared" si="253"/>
        <v>1</v>
      </c>
      <c r="T1614">
        <f t="shared" si="254"/>
        <v>0</v>
      </c>
      <c r="U1614">
        <f t="shared" si="255"/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28</v>
      </c>
      <c r="AC1614">
        <v>27.6</v>
      </c>
      <c r="AG1614">
        <f t="shared" si="256"/>
        <v>1</v>
      </c>
      <c r="AH1614">
        <f t="shared" si="257"/>
        <v>1</v>
      </c>
      <c r="AI1614">
        <f t="shared" si="258"/>
        <v>0</v>
      </c>
      <c r="AJ1614">
        <v>298.39999999999998</v>
      </c>
      <c r="AK1614">
        <v>1010.3</v>
      </c>
      <c r="AL1614">
        <v>27.8</v>
      </c>
      <c r="AM1614">
        <v>6.2</v>
      </c>
      <c r="AN1614">
        <v>331.6</v>
      </c>
      <c r="AO1614">
        <v>28.8</v>
      </c>
      <c r="AP1614">
        <v>10</v>
      </c>
      <c r="AQ1614">
        <v>0</v>
      </c>
      <c r="AR1614" t="s">
        <v>5412</v>
      </c>
      <c r="AS1614" t="s">
        <v>5413</v>
      </c>
      <c r="AT1614">
        <v>0.52</v>
      </c>
      <c r="AU1614" t="s">
        <v>43</v>
      </c>
      <c r="AV1614" t="s">
        <v>44</v>
      </c>
      <c r="AW1614" t="s">
        <v>45</v>
      </c>
      <c r="AX1614" t="s">
        <v>2675</v>
      </c>
      <c r="AY1614" t="s">
        <v>5414</v>
      </c>
      <c r="AZ1614">
        <v>90</v>
      </c>
      <c r="BA1614">
        <v>0</v>
      </c>
      <c r="BB1614">
        <v>0</v>
      </c>
      <c r="BC1614">
        <v>0.5</v>
      </c>
      <c r="BD1614">
        <v>0</v>
      </c>
      <c r="BE1614">
        <f t="shared" si="259"/>
        <v>0</v>
      </c>
    </row>
    <row r="1615" spans="1:57" x14ac:dyDescent="0.25">
      <c r="A1615" t="s">
        <v>39</v>
      </c>
      <c r="B1615" t="s">
        <v>5415</v>
      </c>
      <c r="C1615">
        <v>84.2</v>
      </c>
      <c r="D1615">
        <v>71.599999999999994</v>
      </c>
      <c r="G1615">
        <f t="shared" si="250"/>
        <v>0</v>
      </c>
      <c r="H1615">
        <f t="shared" si="251"/>
        <v>0</v>
      </c>
      <c r="I1615">
        <f t="shared" si="252"/>
        <v>0</v>
      </c>
      <c r="J1615">
        <v>78.900000000000006</v>
      </c>
      <c r="K1615">
        <v>91</v>
      </c>
      <c r="L1615">
        <v>71.599999999999994</v>
      </c>
      <c r="M1615">
        <v>81.099999999999994</v>
      </c>
      <c r="N1615">
        <v>69</v>
      </c>
      <c r="O1615">
        <v>72</v>
      </c>
      <c r="S1615">
        <f t="shared" si="253"/>
        <v>1</v>
      </c>
      <c r="T1615">
        <f t="shared" si="254"/>
        <v>1</v>
      </c>
      <c r="U1615">
        <f t="shared" si="255"/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21.9</v>
      </c>
      <c r="AC1615">
        <v>12.8</v>
      </c>
      <c r="AG1615">
        <f t="shared" si="256"/>
        <v>1</v>
      </c>
      <c r="AH1615">
        <f t="shared" si="257"/>
        <v>0</v>
      </c>
      <c r="AI1615">
        <f t="shared" si="258"/>
        <v>1</v>
      </c>
      <c r="AJ1615">
        <v>349.4</v>
      </c>
      <c r="AK1615">
        <v>1007.6</v>
      </c>
      <c r="AL1615">
        <v>13.9</v>
      </c>
      <c r="AM1615">
        <v>6.2</v>
      </c>
      <c r="AN1615">
        <v>315.3</v>
      </c>
      <c r="AO1615">
        <v>27.4</v>
      </c>
      <c r="AP1615">
        <v>9</v>
      </c>
      <c r="AQ1615">
        <v>0</v>
      </c>
      <c r="AR1615" t="s">
        <v>5416</v>
      </c>
      <c r="AS1615" t="s">
        <v>5417</v>
      </c>
      <c r="AT1615">
        <v>0.88</v>
      </c>
      <c r="AU1615" t="s">
        <v>74</v>
      </c>
      <c r="AV1615" t="s">
        <v>2955</v>
      </c>
      <c r="AW1615" t="s">
        <v>75</v>
      </c>
      <c r="AX1615" t="s">
        <v>5276</v>
      </c>
      <c r="AY1615" t="s">
        <v>5418</v>
      </c>
      <c r="AZ1615">
        <v>670.00000000465661</v>
      </c>
      <c r="BA1615">
        <v>1</v>
      </c>
      <c r="BB1615">
        <v>0</v>
      </c>
      <c r="BC1615">
        <v>0.5</v>
      </c>
      <c r="BD1615">
        <v>0</v>
      </c>
      <c r="BE1615">
        <f t="shared" si="259"/>
        <v>0</v>
      </c>
    </row>
    <row r="1616" spans="1:57" x14ac:dyDescent="0.25">
      <c r="A1616" t="s">
        <v>39</v>
      </c>
      <c r="B1616" t="s">
        <v>5419</v>
      </c>
      <c r="C1616">
        <v>86</v>
      </c>
      <c r="D1616">
        <v>71.599999999999994</v>
      </c>
      <c r="G1616">
        <f t="shared" si="250"/>
        <v>1</v>
      </c>
      <c r="H1616">
        <f t="shared" si="251"/>
        <v>1</v>
      </c>
      <c r="I1616">
        <f t="shared" si="252"/>
        <v>0</v>
      </c>
      <c r="J1616">
        <v>80.8</v>
      </c>
      <c r="K1616">
        <v>93.5</v>
      </c>
      <c r="L1616">
        <v>71.599999999999994</v>
      </c>
      <c r="M1616">
        <v>83.5</v>
      </c>
      <c r="N1616">
        <v>66.8</v>
      </c>
      <c r="O1616">
        <v>62.7</v>
      </c>
      <c r="S1616">
        <f t="shared" si="253"/>
        <v>1</v>
      </c>
      <c r="T1616">
        <f t="shared" si="254"/>
        <v>1</v>
      </c>
      <c r="U1616">
        <f t="shared" si="255"/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34.4</v>
      </c>
      <c r="AC1616">
        <v>25.3</v>
      </c>
      <c r="AG1616">
        <f t="shared" si="256"/>
        <v>1</v>
      </c>
      <c r="AH1616">
        <f t="shared" si="257"/>
        <v>1</v>
      </c>
      <c r="AI1616">
        <f t="shared" si="258"/>
        <v>0</v>
      </c>
      <c r="AJ1616">
        <v>298.60000000000002</v>
      </c>
      <c r="AK1616">
        <v>1006.3</v>
      </c>
      <c r="AL1616">
        <v>0.1</v>
      </c>
      <c r="AM1616">
        <v>6.2</v>
      </c>
      <c r="AN1616">
        <v>305.2</v>
      </c>
      <c r="AO1616">
        <v>26.5</v>
      </c>
      <c r="AP1616">
        <v>9</v>
      </c>
      <c r="AQ1616">
        <v>0</v>
      </c>
      <c r="AR1616" t="s">
        <v>5420</v>
      </c>
      <c r="AS1616" t="s">
        <v>5421</v>
      </c>
      <c r="AT1616">
        <v>0.75</v>
      </c>
      <c r="AU1616" t="s">
        <v>74</v>
      </c>
      <c r="AV1616" t="s">
        <v>2955</v>
      </c>
      <c r="AW1616" t="s">
        <v>75</v>
      </c>
      <c r="AX1616" t="s">
        <v>4190</v>
      </c>
      <c r="AY1616" t="s">
        <v>5422</v>
      </c>
      <c r="AZ1616">
        <v>2849.999999996508</v>
      </c>
      <c r="BA1616">
        <v>1</v>
      </c>
      <c r="BB1616">
        <v>0</v>
      </c>
      <c r="BC1616">
        <v>30</v>
      </c>
      <c r="BD1616">
        <v>0</v>
      </c>
      <c r="BE1616">
        <f t="shared" si="259"/>
        <v>1</v>
      </c>
    </row>
    <row r="1617" spans="1:57" x14ac:dyDescent="0.25">
      <c r="A1617" t="s">
        <v>39</v>
      </c>
      <c r="B1617" t="s">
        <v>5423</v>
      </c>
      <c r="C1617">
        <v>86.1</v>
      </c>
      <c r="D1617">
        <v>73.400000000000006</v>
      </c>
      <c r="G1617">
        <f t="shared" si="250"/>
        <v>1</v>
      </c>
      <c r="H1617">
        <f t="shared" si="251"/>
        <v>1</v>
      </c>
      <c r="I1617">
        <f t="shared" si="252"/>
        <v>0</v>
      </c>
      <c r="J1617">
        <v>80.2</v>
      </c>
      <c r="K1617">
        <v>95.2</v>
      </c>
      <c r="L1617">
        <v>73.400000000000006</v>
      </c>
      <c r="M1617">
        <v>83.5</v>
      </c>
      <c r="N1617">
        <v>67.599999999999994</v>
      </c>
      <c r="O1617">
        <v>65.900000000000006</v>
      </c>
      <c r="S1617">
        <f t="shared" si="253"/>
        <v>1</v>
      </c>
      <c r="T1617">
        <f t="shared" si="254"/>
        <v>1</v>
      </c>
      <c r="U1617">
        <f t="shared" si="255"/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26.2</v>
      </c>
      <c r="AC1617">
        <v>11.4</v>
      </c>
      <c r="AG1617">
        <f t="shared" si="256"/>
        <v>1</v>
      </c>
      <c r="AH1617">
        <f t="shared" si="257"/>
        <v>0</v>
      </c>
      <c r="AI1617">
        <f t="shared" si="258"/>
        <v>1</v>
      </c>
      <c r="AJ1617">
        <v>257.89999999999998</v>
      </c>
      <c r="AK1617">
        <v>1010.3</v>
      </c>
      <c r="AL1617">
        <v>0</v>
      </c>
      <c r="AM1617">
        <v>6.2</v>
      </c>
      <c r="AN1617">
        <v>294</v>
      </c>
      <c r="AO1617">
        <v>25.4</v>
      </c>
      <c r="AP1617">
        <v>9</v>
      </c>
      <c r="AQ1617">
        <v>0</v>
      </c>
      <c r="AR1617" t="s">
        <v>5424</v>
      </c>
      <c r="AS1617" t="s">
        <v>5425</v>
      </c>
      <c r="AT1617">
        <v>0.96</v>
      </c>
      <c r="AU1617" t="s">
        <v>74</v>
      </c>
      <c r="AV1617" t="s">
        <v>2955</v>
      </c>
      <c r="AW1617" t="s">
        <v>75</v>
      </c>
      <c r="AX1617" t="s">
        <v>2486</v>
      </c>
      <c r="AY1617" t="s">
        <v>5426</v>
      </c>
      <c r="AZ1617">
        <v>1200.000000003492</v>
      </c>
      <c r="BA1617">
        <v>1</v>
      </c>
      <c r="BB1617">
        <v>0</v>
      </c>
      <c r="BC1617">
        <v>1</v>
      </c>
      <c r="BD1617">
        <v>0</v>
      </c>
      <c r="BE1617">
        <f t="shared" si="259"/>
        <v>1</v>
      </c>
    </row>
    <row r="1618" spans="1:57" x14ac:dyDescent="0.25">
      <c r="A1618" t="s">
        <v>39</v>
      </c>
      <c r="B1618" t="s">
        <v>5427</v>
      </c>
      <c r="C1618">
        <v>86.6</v>
      </c>
      <c r="D1618">
        <v>70.400000000000006</v>
      </c>
      <c r="G1618">
        <f t="shared" si="250"/>
        <v>1</v>
      </c>
      <c r="H1618">
        <f t="shared" si="251"/>
        <v>1</v>
      </c>
      <c r="I1618">
        <f t="shared" si="252"/>
        <v>0</v>
      </c>
      <c r="J1618">
        <v>80.099999999999994</v>
      </c>
      <c r="K1618">
        <v>87.5</v>
      </c>
      <c r="L1618">
        <v>70.400000000000006</v>
      </c>
      <c r="M1618">
        <v>80.900000000000006</v>
      </c>
      <c r="N1618">
        <v>64</v>
      </c>
      <c r="O1618">
        <v>61.2</v>
      </c>
      <c r="S1618">
        <f t="shared" si="253"/>
        <v>0</v>
      </c>
      <c r="T1618">
        <f t="shared" si="254"/>
        <v>0</v>
      </c>
      <c r="U1618">
        <f t="shared" si="255"/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23.9</v>
      </c>
      <c r="AC1618">
        <v>11.4</v>
      </c>
      <c r="AG1618">
        <f t="shared" si="256"/>
        <v>1</v>
      </c>
      <c r="AH1618">
        <f t="shared" si="257"/>
        <v>0</v>
      </c>
      <c r="AI1618">
        <f t="shared" si="258"/>
        <v>1</v>
      </c>
      <c r="AJ1618">
        <v>319.10000000000002</v>
      </c>
      <c r="AK1618">
        <v>1009.5</v>
      </c>
      <c r="AL1618">
        <v>6.9</v>
      </c>
      <c r="AM1618">
        <v>6.4</v>
      </c>
      <c r="AN1618">
        <v>290.7</v>
      </c>
      <c r="AO1618">
        <v>25.1</v>
      </c>
      <c r="AP1618">
        <v>9</v>
      </c>
      <c r="AQ1618">
        <v>0</v>
      </c>
      <c r="AR1618" t="s">
        <v>5428</v>
      </c>
      <c r="AS1618" t="s">
        <v>5429</v>
      </c>
      <c r="AT1618">
        <v>0.06</v>
      </c>
      <c r="AU1618" t="s">
        <v>74</v>
      </c>
      <c r="AV1618" t="s">
        <v>2955</v>
      </c>
      <c r="AW1618" t="s">
        <v>75</v>
      </c>
      <c r="AX1618" t="s">
        <v>5430</v>
      </c>
      <c r="AY1618" t="s">
        <v>5431</v>
      </c>
      <c r="AZ1618">
        <v>316.00000000325957</v>
      </c>
      <c r="BA1618">
        <v>0</v>
      </c>
      <c r="BB1618">
        <v>0</v>
      </c>
      <c r="BC1618">
        <v>0.4</v>
      </c>
      <c r="BD1618">
        <v>0</v>
      </c>
      <c r="BE1618">
        <f t="shared" si="259"/>
        <v>0</v>
      </c>
    </row>
    <row r="1619" spans="1:57" x14ac:dyDescent="0.25">
      <c r="A1619" t="s">
        <v>39</v>
      </c>
      <c r="B1619" t="s">
        <v>5432</v>
      </c>
      <c r="C1619">
        <v>87.8</v>
      </c>
      <c r="D1619">
        <v>67.400000000000006</v>
      </c>
      <c r="G1619">
        <f t="shared" si="250"/>
        <v>1</v>
      </c>
      <c r="H1619">
        <f t="shared" si="251"/>
        <v>1</v>
      </c>
      <c r="I1619">
        <f t="shared" si="252"/>
        <v>0</v>
      </c>
      <c r="J1619">
        <v>76.599999999999994</v>
      </c>
      <c r="K1619">
        <v>88.4</v>
      </c>
      <c r="L1619">
        <v>67.400000000000006</v>
      </c>
      <c r="M1619">
        <v>77.400000000000006</v>
      </c>
      <c r="N1619">
        <v>63.4</v>
      </c>
      <c r="O1619">
        <v>64.900000000000006</v>
      </c>
      <c r="S1619">
        <f t="shared" si="253"/>
        <v>0</v>
      </c>
      <c r="T1619">
        <f t="shared" si="254"/>
        <v>0</v>
      </c>
      <c r="U1619">
        <f t="shared" si="255"/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24.4</v>
      </c>
      <c r="AC1619">
        <v>16.100000000000001</v>
      </c>
      <c r="AG1619">
        <f t="shared" si="256"/>
        <v>0</v>
      </c>
      <c r="AH1619">
        <f t="shared" si="257"/>
        <v>0</v>
      </c>
      <c r="AI1619">
        <f t="shared" si="258"/>
        <v>0</v>
      </c>
      <c r="AJ1619">
        <v>189.1</v>
      </c>
      <c r="AK1619">
        <v>1012.4</v>
      </c>
      <c r="AL1619">
        <v>37.4</v>
      </c>
      <c r="AM1619">
        <v>6.2</v>
      </c>
      <c r="AN1619">
        <v>224.2</v>
      </c>
      <c r="AO1619">
        <v>19.5</v>
      </c>
      <c r="AP1619">
        <v>7</v>
      </c>
      <c r="AQ1619">
        <v>0</v>
      </c>
      <c r="AR1619" t="s">
        <v>5433</v>
      </c>
      <c r="AS1619" t="s">
        <v>5434</v>
      </c>
      <c r="AT1619">
        <v>7.0000000000000007E-2</v>
      </c>
      <c r="AU1619" t="s">
        <v>43</v>
      </c>
      <c r="AV1619" t="s">
        <v>44</v>
      </c>
      <c r="AW1619" t="s">
        <v>45</v>
      </c>
      <c r="AX1619" t="s">
        <v>5337</v>
      </c>
      <c r="AY1619" t="s">
        <v>5435</v>
      </c>
      <c r="AZ1619">
        <v>959.99999999650754</v>
      </c>
      <c r="BA1619">
        <v>1</v>
      </c>
      <c r="BB1619">
        <v>0</v>
      </c>
      <c r="BC1619">
        <v>4</v>
      </c>
      <c r="BD1619">
        <v>0</v>
      </c>
      <c r="BE1619">
        <f t="shared" si="259"/>
        <v>0</v>
      </c>
    </row>
    <row r="1620" spans="1:57" x14ac:dyDescent="0.25">
      <c r="A1620" t="s">
        <v>39</v>
      </c>
      <c r="B1620" t="s">
        <v>5436</v>
      </c>
      <c r="C1620">
        <v>73.400000000000006</v>
      </c>
      <c r="D1620">
        <v>63.6</v>
      </c>
      <c r="G1620">
        <f t="shared" si="250"/>
        <v>1</v>
      </c>
      <c r="H1620">
        <f t="shared" si="251"/>
        <v>0</v>
      </c>
      <c r="I1620">
        <f t="shared" si="252"/>
        <v>1</v>
      </c>
      <c r="J1620">
        <v>69.8</v>
      </c>
      <c r="K1620">
        <v>73.400000000000006</v>
      </c>
      <c r="L1620">
        <v>63.6</v>
      </c>
      <c r="M1620">
        <v>69.8</v>
      </c>
      <c r="N1620">
        <v>56.7</v>
      </c>
      <c r="O1620">
        <v>63.4</v>
      </c>
      <c r="S1620">
        <f t="shared" si="253"/>
        <v>1</v>
      </c>
      <c r="T1620">
        <f t="shared" si="254"/>
        <v>0</v>
      </c>
      <c r="U1620">
        <f t="shared" si="255"/>
        <v>1</v>
      </c>
      <c r="V1620">
        <v>6.0000000000000001E-3</v>
      </c>
      <c r="W1620">
        <v>100</v>
      </c>
      <c r="X1620">
        <v>4.17</v>
      </c>
      <c r="Y1620" t="s">
        <v>103</v>
      </c>
      <c r="Z1620">
        <v>0</v>
      </c>
      <c r="AA1620">
        <v>0</v>
      </c>
      <c r="AB1620">
        <v>40.700000000000003</v>
      </c>
      <c r="AC1620">
        <v>25.3</v>
      </c>
      <c r="AG1620">
        <f t="shared" si="256"/>
        <v>1</v>
      </c>
      <c r="AH1620">
        <f t="shared" si="257"/>
        <v>1</v>
      </c>
      <c r="AI1620">
        <f t="shared" si="258"/>
        <v>0</v>
      </c>
      <c r="AJ1620">
        <v>351.7</v>
      </c>
      <c r="AK1620">
        <v>1021</v>
      </c>
      <c r="AL1620">
        <v>61.2</v>
      </c>
      <c r="AM1620">
        <v>6.2</v>
      </c>
      <c r="AN1620">
        <v>169.1</v>
      </c>
      <c r="AO1620">
        <v>14.7</v>
      </c>
      <c r="AP1620">
        <v>6</v>
      </c>
      <c r="AQ1620">
        <v>0</v>
      </c>
      <c r="AR1620" t="s">
        <v>5437</v>
      </c>
      <c r="AS1620" t="s">
        <v>5438</v>
      </c>
      <c r="AT1620">
        <v>0.18</v>
      </c>
      <c r="AU1620" t="s">
        <v>106</v>
      </c>
      <c r="AV1620" t="s">
        <v>438</v>
      </c>
      <c r="AW1620" t="s">
        <v>103</v>
      </c>
      <c r="AX1620" t="s">
        <v>4184</v>
      </c>
      <c r="AY1620" t="s">
        <v>5439</v>
      </c>
      <c r="AZ1620">
        <v>6480</v>
      </c>
      <c r="BA1620">
        <v>1</v>
      </c>
      <c r="BB1620">
        <v>200</v>
      </c>
      <c r="BC1620">
        <v>0</v>
      </c>
      <c r="BD1620">
        <v>0</v>
      </c>
      <c r="BE1620">
        <f t="shared" si="259"/>
        <v>1</v>
      </c>
    </row>
    <row r="1621" spans="1:57" x14ac:dyDescent="0.25">
      <c r="A1621" t="s">
        <v>39</v>
      </c>
      <c r="B1621" t="s">
        <v>5440</v>
      </c>
      <c r="C1621">
        <v>73.400000000000006</v>
      </c>
      <c r="D1621">
        <v>62.9</v>
      </c>
      <c r="G1621">
        <f t="shared" si="250"/>
        <v>0</v>
      </c>
      <c r="H1621">
        <f t="shared" si="251"/>
        <v>0</v>
      </c>
      <c r="I1621">
        <f t="shared" si="252"/>
        <v>0</v>
      </c>
      <c r="J1621">
        <v>69.599999999999994</v>
      </c>
      <c r="K1621">
        <v>73.400000000000006</v>
      </c>
      <c r="L1621">
        <v>62.9</v>
      </c>
      <c r="M1621">
        <v>69.599999999999994</v>
      </c>
      <c r="N1621">
        <v>56.4</v>
      </c>
      <c r="O1621">
        <v>63.3</v>
      </c>
      <c r="S1621">
        <f t="shared" si="253"/>
        <v>1</v>
      </c>
      <c r="T1621">
        <f t="shared" si="254"/>
        <v>0</v>
      </c>
      <c r="U1621">
        <f t="shared" si="255"/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27.5</v>
      </c>
      <c r="AC1621">
        <v>18.3</v>
      </c>
      <c r="AG1621">
        <f t="shared" si="256"/>
        <v>1</v>
      </c>
      <c r="AH1621">
        <f t="shared" si="257"/>
        <v>1</v>
      </c>
      <c r="AI1621">
        <f t="shared" si="258"/>
        <v>0</v>
      </c>
      <c r="AJ1621">
        <v>324.3</v>
      </c>
      <c r="AK1621">
        <v>1016.7</v>
      </c>
      <c r="AL1621">
        <v>51.5</v>
      </c>
      <c r="AM1621">
        <v>6.2</v>
      </c>
      <c r="AN1621">
        <v>184.1</v>
      </c>
      <c r="AO1621">
        <v>16</v>
      </c>
      <c r="AP1621">
        <v>6</v>
      </c>
      <c r="AQ1621">
        <v>0</v>
      </c>
      <c r="AR1621" t="s">
        <v>5441</v>
      </c>
      <c r="AS1621" t="s">
        <v>5442</v>
      </c>
      <c r="AT1621">
        <v>0.36</v>
      </c>
      <c r="AU1621" t="s">
        <v>43</v>
      </c>
      <c r="AV1621" t="s">
        <v>44</v>
      </c>
      <c r="AW1621" t="s">
        <v>45</v>
      </c>
      <c r="AX1621" t="s">
        <v>2631</v>
      </c>
      <c r="AY1621" t="s">
        <v>5443</v>
      </c>
      <c r="AZ1621">
        <v>1050.0000000069849</v>
      </c>
      <c r="BA1621">
        <v>1</v>
      </c>
      <c r="BB1621">
        <v>0</v>
      </c>
      <c r="BC1621">
        <v>4</v>
      </c>
      <c r="BD1621">
        <v>0</v>
      </c>
      <c r="BE1621">
        <f t="shared" si="259"/>
        <v>1</v>
      </c>
    </row>
    <row r="1622" spans="1:57" x14ac:dyDescent="0.25">
      <c r="A1622" t="s">
        <v>39</v>
      </c>
      <c r="B1622" t="s">
        <v>5440</v>
      </c>
      <c r="C1622">
        <v>73.400000000000006</v>
      </c>
      <c r="D1622">
        <v>62.9</v>
      </c>
      <c r="G1622">
        <f t="shared" si="250"/>
        <v>0</v>
      </c>
      <c r="H1622">
        <f t="shared" si="251"/>
        <v>0</v>
      </c>
      <c r="I1622">
        <f t="shared" si="252"/>
        <v>0</v>
      </c>
      <c r="J1622">
        <v>69.599999999999994</v>
      </c>
      <c r="K1622">
        <v>73.400000000000006</v>
      </c>
      <c r="L1622">
        <v>62.9</v>
      </c>
      <c r="M1622">
        <v>69.599999999999994</v>
      </c>
      <c r="N1622">
        <v>56.4</v>
      </c>
      <c r="O1622">
        <v>63.3</v>
      </c>
      <c r="S1622">
        <f t="shared" si="253"/>
        <v>1</v>
      </c>
      <c r="T1622">
        <f t="shared" si="254"/>
        <v>0</v>
      </c>
      <c r="U1622">
        <f t="shared" si="255"/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27.5</v>
      </c>
      <c r="AC1622">
        <v>18.3</v>
      </c>
      <c r="AG1622">
        <f t="shared" si="256"/>
        <v>1</v>
      </c>
      <c r="AH1622">
        <f t="shared" si="257"/>
        <v>1</v>
      </c>
      <c r="AI1622">
        <f t="shared" si="258"/>
        <v>0</v>
      </c>
      <c r="AJ1622">
        <v>324.3</v>
      </c>
      <c r="AK1622">
        <v>1016.7</v>
      </c>
      <c r="AL1622">
        <v>51.5</v>
      </c>
      <c r="AM1622">
        <v>6.2</v>
      </c>
      <c r="AN1622">
        <v>184.1</v>
      </c>
      <c r="AO1622">
        <v>16</v>
      </c>
      <c r="AP1622">
        <v>6</v>
      </c>
      <c r="AQ1622">
        <v>0</v>
      </c>
      <c r="AR1622" t="s">
        <v>5441</v>
      </c>
      <c r="AS1622" t="s">
        <v>5442</v>
      </c>
      <c r="AT1622">
        <v>0.36</v>
      </c>
      <c r="AU1622" t="s">
        <v>43</v>
      </c>
      <c r="AV1622" t="s">
        <v>44</v>
      </c>
      <c r="AW1622" t="s">
        <v>45</v>
      </c>
      <c r="AX1622" t="s">
        <v>2383</v>
      </c>
      <c r="AY1622" t="s">
        <v>5444</v>
      </c>
      <c r="AZ1622">
        <v>1.9999999960418791</v>
      </c>
      <c r="BA1622">
        <v>0</v>
      </c>
      <c r="BB1622">
        <v>0</v>
      </c>
      <c r="BC1622">
        <v>0.1</v>
      </c>
      <c r="BD1622">
        <v>0</v>
      </c>
      <c r="BE1622">
        <f t="shared" si="259"/>
        <v>0</v>
      </c>
    </row>
    <row r="1623" spans="1:57" x14ac:dyDescent="0.25">
      <c r="A1623" t="s">
        <v>39</v>
      </c>
      <c r="B1623" t="s">
        <v>5445</v>
      </c>
      <c r="C1623">
        <v>66.2</v>
      </c>
      <c r="D1623">
        <v>55.4</v>
      </c>
      <c r="G1623">
        <f t="shared" si="250"/>
        <v>1</v>
      </c>
      <c r="H1623">
        <f t="shared" si="251"/>
        <v>1</v>
      </c>
      <c r="I1623">
        <f t="shared" si="252"/>
        <v>0</v>
      </c>
      <c r="J1623">
        <v>60.3</v>
      </c>
      <c r="K1623">
        <v>66.2</v>
      </c>
      <c r="L1623">
        <v>55.4</v>
      </c>
      <c r="M1623">
        <v>60.3</v>
      </c>
      <c r="N1623">
        <v>50.1</v>
      </c>
      <c r="O1623">
        <v>69.3</v>
      </c>
      <c r="S1623">
        <f t="shared" si="253"/>
        <v>1</v>
      </c>
      <c r="T1623">
        <f t="shared" si="254"/>
        <v>1</v>
      </c>
      <c r="U1623">
        <f t="shared" si="255"/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23.9</v>
      </c>
      <c r="AC1623">
        <v>19.600000000000001</v>
      </c>
      <c r="AG1623">
        <f t="shared" si="256"/>
        <v>1</v>
      </c>
      <c r="AH1623">
        <f t="shared" si="257"/>
        <v>1</v>
      </c>
      <c r="AI1623">
        <f t="shared" si="258"/>
        <v>0</v>
      </c>
      <c r="AJ1623">
        <v>176.6</v>
      </c>
      <c r="AK1623">
        <v>1008.4</v>
      </c>
      <c r="AL1623">
        <v>79.3</v>
      </c>
      <c r="AM1623">
        <v>6.2</v>
      </c>
      <c r="AN1623">
        <v>198.6</v>
      </c>
      <c r="AO1623">
        <v>17.100000000000001</v>
      </c>
      <c r="AP1623">
        <v>7</v>
      </c>
      <c r="AQ1623">
        <v>0</v>
      </c>
      <c r="AR1623" t="s">
        <v>5446</v>
      </c>
      <c r="AS1623" t="s">
        <v>5447</v>
      </c>
      <c r="AT1623">
        <v>0.5</v>
      </c>
      <c r="AU1623" t="s">
        <v>43</v>
      </c>
      <c r="AV1623" t="s">
        <v>44</v>
      </c>
      <c r="AW1623" t="s">
        <v>45</v>
      </c>
      <c r="AX1623" t="s">
        <v>4788</v>
      </c>
      <c r="AY1623" t="s">
        <v>5448</v>
      </c>
      <c r="AZ1623">
        <v>344.99999999301508</v>
      </c>
      <c r="BA1623">
        <v>0</v>
      </c>
      <c r="BB1623">
        <v>0</v>
      </c>
      <c r="BC1623">
        <v>10</v>
      </c>
      <c r="BD1623">
        <v>0</v>
      </c>
      <c r="BE1623">
        <f t="shared" si="259"/>
        <v>1</v>
      </c>
    </row>
    <row r="1624" spans="1:57" x14ac:dyDescent="0.25">
      <c r="A1624" t="s">
        <v>39</v>
      </c>
      <c r="B1624" t="s">
        <v>5449</v>
      </c>
      <c r="C1624">
        <v>62.6</v>
      </c>
      <c r="D1624">
        <v>44.9</v>
      </c>
      <c r="G1624">
        <f t="shared" si="250"/>
        <v>0</v>
      </c>
      <c r="H1624">
        <f t="shared" si="251"/>
        <v>0</v>
      </c>
      <c r="I1624">
        <f t="shared" si="252"/>
        <v>0</v>
      </c>
      <c r="J1624">
        <v>55.4</v>
      </c>
      <c r="K1624">
        <v>62.6</v>
      </c>
      <c r="L1624">
        <v>44.9</v>
      </c>
      <c r="M1624">
        <v>55.2</v>
      </c>
      <c r="N1624">
        <v>45.1</v>
      </c>
      <c r="O1624">
        <v>68.7</v>
      </c>
      <c r="S1624">
        <f t="shared" si="253"/>
        <v>1</v>
      </c>
      <c r="T1624">
        <f t="shared" si="254"/>
        <v>1</v>
      </c>
      <c r="U1624">
        <f t="shared" si="255"/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15</v>
      </c>
      <c r="AC1624">
        <v>6.9</v>
      </c>
      <c r="AG1624">
        <f t="shared" si="256"/>
        <v>1</v>
      </c>
      <c r="AH1624">
        <f t="shared" si="257"/>
        <v>0</v>
      </c>
      <c r="AI1624">
        <f t="shared" si="258"/>
        <v>1</v>
      </c>
      <c r="AJ1624">
        <v>48.1</v>
      </c>
      <c r="AK1624">
        <v>1013.1</v>
      </c>
      <c r="AL1624">
        <v>49.4</v>
      </c>
      <c r="AM1624">
        <v>6.2</v>
      </c>
      <c r="AN1624">
        <v>244.6</v>
      </c>
      <c r="AO1624">
        <v>21.1</v>
      </c>
      <c r="AP1624">
        <v>8</v>
      </c>
      <c r="AQ1624">
        <v>0</v>
      </c>
      <c r="AR1624" t="s">
        <v>5450</v>
      </c>
      <c r="AS1624" t="s">
        <v>5451</v>
      </c>
      <c r="AT1624">
        <v>0.02</v>
      </c>
      <c r="AU1624" t="s">
        <v>43</v>
      </c>
      <c r="AV1624" t="s">
        <v>44</v>
      </c>
      <c r="AW1624" t="s">
        <v>45</v>
      </c>
      <c r="AX1624" t="s">
        <v>4712</v>
      </c>
      <c r="AY1624" t="s">
        <v>5452</v>
      </c>
      <c r="AZ1624">
        <v>55.000000001164153</v>
      </c>
      <c r="BA1624">
        <v>0</v>
      </c>
      <c r="BB1624">
        <v>0</v>
      </c>
      <c r="BC1624">
        <v>0.1</v>
      </c>
      <c r="BD1624">
        <v>0</v>
      </c>
      <c r="BE1624">
        <f t="shared" si="259"/>
        <v>0</v>
      </c>
    </row>
    <row r="1625" spans="1:57" x14ac:dyDescent="0.25">
      <c r="A1625" t="s">
        <v>39</v>
      </c>
      <c r="B1625" t="s">
        <v>5401</v>
      </c>
      <c r="C1625">
        <v>72.900000000000006</v>
      </c>
      <c r="D1625">
        <v>48.2</v>
      </c>
      <c r="G1625">
        <f t="shared" si="250"/>
        <v>1</v>
      </c>
      <c r="H1625">
        <f t="shared" si="251"/>
        <v>1</v>
      </c>
      <c r="I1625">
        <f t="shared" si="252"/>
        <v>0</v>
      </c>
      <c r="J1625">
        <v>60.7</v>
      </c>
      <c r="K1625">
        <v>72.900000000000006</v>
      </c>
      <c r="L1625">
        <v>45.6</v>
      </c>
      <c r="M1625">
        <v>60.6</v>
      </c>
      <c r="N1625">
        <v>49.4</v>
      </c>
      <c r="O1625">
        <v>69.5</v>
      </c>
      <c r="S1625">
        <f t="shared" si="253"/>
        <v>1</v>
      </c>
      <c r="T1625">
        <f t="shared" si="254"/>
        <v>1</v>
      </c>
      <c r="U1625">
        <f t="shared" si="255"/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19.7</v>
      </c>
      <c r="AC1625">
        <v>17.2</v>
      </c>
      <c r="AG1625">
        <f t="shared" si="256"/>
        <v>0</v>
      </c>
      <c r="AH1625">
        <f t="shared" si="257"/>
        <v>0</v>
      </c>
      <c r="AI1625">
        <f t="shared" si="258"/>
        <v>0</v>
      </c>
      <c r="AJ1625">
        <v>160</v>
      </c>
      <c r="AK1625">
        <v>1015.3</v>
      </c>
      <c r="AL1625">
        <v>67.900000000000006</v>
      </c>
      <c r="AM1625">
        <v>6.2</v>
      </c>
      <c r="AN1625">
        <v>274</v>
      </c>
      <c r="AO1625">
        <v>23.8</v>
      </c>
      <c r="AP1625">
        <v>9</v>
      </c>
      <c r="AQ1625">
        <v>0</v>
      </c>
      <c r="AR1625" t="s">
        <v>5402</v>
      </c>
      <c r="AS1625" t="s">
        <v>5403</v>
      </c>
      <c r="AT1625">
        <v>0.15</v>
      </c>
      <c r="AU1625" t="s">
        <v>43</v>
      </c>
      <c r="AV1625" t="s">
        <v>44</v>
      </c>
      <c r="AW1625" t="s">
        <v>45</v>
      </c>
      <c r="AX1625" t="s">
        <v>4985</v>
      </c>
      <c r="AY1625" t="s">
        <v>5453</v>
      </c>
      <c r="AZ1625">
        <v>110.00000000232831</v>
      </c>
      <c r="BA1625">
        <v>0</v>
      </c>
      <c r="BB1625">
        <v>0</v>
      </c>
      <c r="BC1625">
        <v>0.5</v>
      </c>
      <c r="BD1625">
        <v>0</v>
      </c>
      <c r="BE1625">
        <f t="shared" si="259"/>
        <v>0</v>
      </c>
    </row>
    <row r="1626" spans="1:57" x14ac:dyDescent="0.25">
      <c r="A1626" t="s">
        <v>39</v>
      </c>
      <c r="B1626" t="s">
        <v>5454</v>
      </c>
      <c r="C1626">
        <v>73.400000000000006</v>
      </c>
      <c r="D1626">
        <v>53.6</v>
      </c>
      <c r="G1626">
        <f t="shared" si="250"/>
        <v>1</v>
      </c>
      <c r="H1626">
        <f t="shared" si="251"/>
        <v>1</v>
      </c>
      <c r="I1626">
        <f t="shared" si="252"/>
        <v>0</v>
      </c>
      <c r="J1626">
        <v>62.1</v>
      </c>
      <c r="K1626">
        <v>73.400000000000006</v>
      </c>
      <c r="L1626">
        <v>53.6</v>
      </c>
      <c r="M1626">
        <v>62.1</v>
      </c>
      <c r="N1626">
        <v>51.1</v>
      </c>
      <c r="O1626">
        <v>68.7</v>
      </c>
      <c r="S1626">
        <f t="shared" si="253"/>
        <v>1</v>
      </c>
      <c r="T1626">
        <f t="shared" si="254"/>
        <v>1</v>
      </c>
      <c r="U1626">
        <f t="shared" si="255"/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21.7</v>
      </c>
      <c r="AC1626">
        <v>15</v>
      </c>
      <c r="AG1626">
        <f t="shared" si="256"/>
        <v>1</v>
      </c>
      <c r="AH1626">
        <f t="shared" si="257"/>
        <v>0</v>
      </c>
      <c r="AI1626">
        <f t="shared" si="258"/>
        <v>1</v>
      </c>
      <c r="AJ1626">
        <v>172.8</v>
      </c>
      <c r="AK1626">
        <v>1011.9</v>
      </c>
      <c r="AL1626">
        <v>60.3</v>
      </c>
      <c r="AM1626">
        <v>6.2</v>
      </c>
      <c r="AN1626">
        <v>256.39999999999998</v>
      </c>
      <c r="AO1626">
        <v>22.1</v>
      </c>
      <c r="AP1626">
        <v>8</v>
      </c>
      <c r="AQ1626">
        <v>0</v>
      </c>
      <c r="AR1626" t="s">
        <v>5455</v>
      </c>
      <c r="AS1626" t="s">
        <v>5456</v>
      </c>
      <c r="AT1626">
        <v>0.54</v>
      </c>
      <c r="AU1626" t="s">
        <v>43</v>
      </c>
      <c r="AV1626" t="s">
        <v>44</v>
      </c>
      <c r="AW1626" t="s">
        <v>45</v>
      </c>
      <c r="AX1626" t="s">
        <v>2423</v>
      </c>
      <c r="AY1626" t="s">
        <v>5457</v>
      </c>
      <c r="AZ1626">
        <v>689.99999999650754</v>
      </c>
      <c r="BA1626">
        <v>1</v>
      </c>
      <c r="BB1626">
        <v>0</v>
      </c>
      <c r="BC1626">
        <v>2</v>
      </c>
      <c r="BD1626">
        <v>0</v>
      </c>
      <c r="BE1626">
        <f t="shared" si="259"/>
        <v>1</v>
      </c>
    </row>
    <row r="1627" spans="1:57" x14ac:dyDescent="0.25">
      <c r="A1627" t="s">
        <v>39</v>
      </c>
      <c r="B1627" t="s">
        <v>5458</v>
      </c>
      <c r="C1627">
        <v>80.599999999999994</v>
      </c>
      <c r="D1627">
        <v>57.1</v>
      </c>
      <c r="G1627">
        <f t="shared" si="250"/>
        <v>1</v>
      </c>
      <c r="H1627">
        <f t="shared" si="251"/>
        <v>1</v>
      </c>
      <c r="I1627">
        <f t="shared" si="252"/>
        <v>0</v>
      </c>
      <c r="J1627">
        <v>66.3</v>
      </c>
      <c r="K1627">
        <v>79.7</v>
      </c>
      <c r="L1627">
        <v>57.1</v>
      </c>
      <c r="M1627">
        <v>66.3</v>
      </c>
      <c r="N1627">
        <v>54.9</v>
      </c>
      <c r="O1627">
        <v>70.2</v>
      </c>
      <c r="S1627">
        <f t="shared" si="253"/>
        <v>1</v>
      </c>
      <c r="T1627">
        <f t="shared" si="254"/>
        <v>1</v>
      </c>
      <c r="U1627">
        <f t="shared" si="255"/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24.6</v>
      </c>
      <c r="AC1627">
        <v>23</v>
      </c>
      <c r="AG1627">
        <f t="shared" si="256"/>
        <v>1</v>
      </c>
      <c r="AH1627">
        <f t="shared" si="257"/>
        <v>1</v>
      </c>
      <c r="AI1627">
        <f t="shared" si="258"/>
        <v>0</v>
      </c>
      <c r="AJ1627">
        <v>193.2</v>
      </c>
      <c r="AK1627">
        <v>1009.5</v>
      </c>
      <c r="AL1627">
        <v>28.5</v>
      </c>
      <c r="AM1627">
        <v>6.2</v>
      </c>
      <c r="AN1627">
        <v>296.10000000000002</v>
      </c>
      <c r="AO1627">
        <v>25.6</v>
      </c>
      <c r="AP1627">
        <v>9</v>
      </c>
      <c r="AQ1627">
        <v>0</v>
      </c>
      <c r="AR1627" t="s">
        <v>5459</v>
      </c>
      <c r="AS1627" t="s">
        <v>5460</v>
      </c>
      <c r="AT1627">
        <v>0.1</v>
      </c>
      <c r="AU1627" t="s">
        <v>43</v>
      </c>
      <c r="AV1627" t="s">
        <v>44</v>
      </c>
      <c r="AW1627" t="s">
        <v>45</v>
      </c>
      <c r="AX1627" t="s">
        <v>4263</v>
      </c>
      <c r="AY1627" t="s">
        <v>5461</v>
      </c>
      <c r="AZ1627">
        <v>220.00000000465661</v>
      </c>
      <c r="BA1627">
        <v>0</v>
      </c>
      <c r="BB1627">
        <v>0</v>
      </c>
      <c r="BC1627">
        <v>0.5</v>
      </c>
      <c r="BD1627">
        <v>0</v>
      </c>
      <c r="BE1627">
        <f t="shared" si="259"/>
        <v>1</v>
      </c>
    </row>
    <row r="1628" spans="1:57" x14ac:dyDescent="0.25">
      <c r="A1628" t="s">
        <v>39</v>
      </c>
      <c r="B1628" t="s">
        <v>5462</v>
      </c>
      <c r="C1628">
        <v>84.2</v>
      </c>
      <c r="D1628">
        <v>70.599999999999994</v>
      </c>
      <c r="G1628">
        <f t="shared" si="250"/>
        <v>1</v>
      </c>
      <c r="H1628">
        <f t="shared" si="251"/>
        <v>1</v>
      </c>
      <c r="I1628">
        <f t="shared" si="252"/>
        <v>0</v>
      </c>
      <c r="J1628">
        <v>78.400000000000006</v>
      </c>
      <c r="K1628">
        <v>91</v>
      </c>
      <c r="L1628">
        <v>70.599999999999994</v>
      </c>
      <c r="M1628">
        <v>80.8</v>
      </c>
      <c r="N1628">
        <v>65.099999999999994</v>
      </c>
      <c r="O1628">
        <v>65.400000000000006</v>
      </c>
      <c r="S1628">
        <f t="shared" si="253"/>
        <v>1</v>
      </c>
      <c r="T1628">
        <f t="shared" si="254"/>
        <v>1</v>
      </c>
      <c r="U1628">
        <f t="shared" si="255"/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19.2</v>
      </c>
      <c r="AC1628">
        <v>10.3</v>
      </c>
      <c r="AG1628">
        <f t="shared" si="256"/>
        <v>1</v>
      </c>
      <c r="AH1628">
        <f t="shared" si="257"/>
        <v>0</v>
      </c>
      <c r="AI1628">
        <f t="shared" si="258"/>
        <v>1</v>
      </c>
      <c r="AJ1628">
        <v>124.8</v>
      </c>
      <c r="AK1628">
        <v>1013</v>
      </c>
      <c r="AL1628">
        <v>8.8000000000000007</v>
      </c>
      <c r="AM1628">
        <v>6.2</v>
      </c>
      <c r="AN1628">
        <v>341</v>
      </c>
      <c r="AO1628">
        <v>29.5</v>
      </c>
      <c r="AP1628">
        <v>10</v>
      </c>
      <c r="AQ1628">
        <v>0</v>
      </c>
      <c r="AR1628" t="s">
        <v>5463</v>
      </c>
      <c r="AS1628" t="s">
        <v>5464</v>
      </c>
      <c r="AT1628">
        <v>0.68</v>
      </c>
      <c r="AU1628" t="s">
        <v>74</v>
      </c>
      <c r="AV1628" t="s">
        <v>2955</v>
      </c>
      <c r="AW1628" t="s">
        <v>75</v>
      </c>
      <c r="AX1628" t="s">
        <v>4290</v>
      </c>
      <c r="AY1628" t="s">
        <v>5465</v>
      </c>
      <c r="AZ1628">
        <v>52.000000001862652</v>
      </c>
      <c r="BA1628">
        <v>0</v>
      </c>
      <c r="BB1628">
        <v>0</v>
      </c>
      <c r="BC1628">
        <v>0.1</v>
      </c>
      <c r="BD1628">
        <v>0</v>
      </c>
      <c r="BE1628">
        <f t="shared" si="259"/>
        <v>1</v>
      </c>
    </row>
    <row r="1629" spans="1:57" x14ac:dyDescent="0.25">
      <c r="A1629" t="s">
        <v>39</v>
      </c>
      <c r="B1629" t="s">
        <v>5466</v>
      </c>
      <c r="C1629">
        <v>82.4</v>
      </c>
      <c r="D1629">
        <v>69.8</v>
      </c>
      <c r="G1629">
        <f t="shared" si="250"/>
        <v>1</v>
      </c>
      <c r="H1629">
        <f t="shared" si="251"/>
        <v>1</v>
      </c>
      <c r="I1629">
        <f t="shared" si="252"/>
        <v>0</v>
      </c>
      <c r="J1629">
        <v>77</v>
      </c>
      <c r="K1629">
        <v>84</v>
      </c>
      <c r="L1629">
        <v>69.8</v>
      </c>
      <c r="M1629">
        <v>77.599999999999994</v>
      </c>
      <c r="N1629">
        <v>61</v>
      </c>
      <c r="O1629">
        <v>58.1</v>
      </c>
      <c r="S1629">
        <f t="shared" si="253"/>
        <v>1</v>
      </c>
      <c r="T1629">
        <f t="shared" si="254"/>
        <v>0</v>
      </c>
      <c r="U1629">
        <f t="shared" si="255"/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31.8</v>
      </c>
      <c r="AC1629">
        <v>19.600000000000001</v>
      </c>
      <c r="AG1629">
        <f t="shared" si="256"/>
        <v>1</v>
      </c>
      <c r="AH1629">
        <f t="shared" si="257"/>
        <v>1</v>
      </c>
      <c r="AI1629">
        <f t="shared" si="258"/>
        <v>0</v>
      </c>
      <c r="AJ1629">
        <v>309</v>
      </c>
      <c r="AK1629">
        <v>1015.5</v>
      </c>
      <c r="AL1629">
        <v>3.6</v>
      </c>
      <c r="AM1629">
        <v>6.2</v>
      </c>
      <c r="AN1629">
        <v>347.2</v>
      </c>
      <c r="AO1629">
        <v>30</v>
      </c>
      <c r="AP1629">
        <v>10</v>
      </c>
      <c r="AQ1629">
        <v>0</v>
      </c>
      <c r="AR1629" t="s">
        <v>5467</v>
      </c>
      <c r="AS1629" t="s">
        <v>5468</v>
      </c>
      <c r="AT1629">
        <v>0.9</v>
      </c>
      <c r="AU1629" t="s">
        <v>74</v>
      </c>
      <c r="AV1629" t="s">
        <v>2955</v>
      </c>
      <c r="AW1629" t="s">
        <v>75</v>
      </c>
      <c r="AX1629" t="s">
        <v>5469</v>
      </c>
      <c r="AY1629" t="s">
        <v>5470</v>
      </c>
      <c r="AZ1629">
        <v>29.999999993015081</v>
      </c>
      <c r="BA1629">
        <v>0</v>
      </c>
      <c r="BB1629">
        <v>0</v>
      </c>
      <c r="BC1629">
        <v>0.1</v>
      </c>
      <c r="BD1629">
        <v>0</v>
      </c>
      <c r="BE1629">
        <f t="shared" si="259"/>
        <v>1</v>
      </c>
    </row>
    <row r="1630" spans="1:57" x14ac:dyDescent="0.25">
      <c r="A1630" t="s">
        <v>39</v>
      </c>
      <c r="B1630" t="s">
        <v>5471</v>
      </c>
      <c r="C1630">
        <v>87.8</v>
      </c>
      <c r="D1630">
        <v>73.400000000000006</v>
      </c>
      <c r="G1630">
        <f t="shared" si="250"/>
        <v>1</v>
      </c>
      <c r="H1630">
        <f t="shared" si="251"/>
        <v>1</v>
      </c>
      <c r="I1630">
        <f t="shared" si="252"/>
        <v>0</v>
      </c>
      <c r="J1630">
        <v>78.7</v>
      </c>
      <c r="K1630">
        <v>89.6</v>
      </c>
      <c r="L1630">
        <v>73.400000000000006</v>
      </c>
      <c r="M1630">
        <v>80.400000000000006</v>
      </c>
      <c r="N1630">
        <v>69.5</v>
      </c>
      <c r="O1630">
        <v>74.3</v>
      </c>
      <c r="S1630">
        <f t="shared" si="253"/>
        <v>1</v>
      </c>
      <c r="T1630">
        <f t="shared" si="254"/>
        <v>1</v>
      </c>
      <c r="U1630">
        <f t="shared" si="255"/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33.299999999999997</v>
      </c>
      <c r="AC1630">
        <v>9.1999999999999993</v>
      </c>
      <c r="AG1630">
        <f t="shared" si="256"/>
        <v>1</v>
      </c>
      <c r="AH1630">
        <f t="shared" si="257"/>
        <v>0</v>
      </c>
      <c r="AI1630">
        <f t="shared" si="258"/>
        <v>1</v>
      </c>
      <c r="AJ1630">
        <v>42.8</v>
      </c>
      <c r="AK1630">
        <v>1006.1</v>
      </c>
      <c r="AL1630">
        <v>18</v>
      </c>
      <c r="AM1630">
        <v>6.2</v>
      </c>
      <c r="AN1630">
        <v>301.5</v>
      </c>
      <c r="AO1630">
        <v>26.1</v>
      </c>
      <c r="AP1630">
        <v>9</v>
      </c>
      <c r="AQ1630">
        <v>0</v>
      </c>
      <c r="AR1630" t="s">
        <v>5472</v>
      </c>
      <c r="AS1630" t="s">
        <v>5473</v>
      </c>
      <c r="AT1630">
        <v>0.46</v>
      </c>
      <c r="AU1630" t="s">
        <v>74</v>
      </c>
      <c r="AV1630" t="s">
        <v>2955</v>
      </c>
      <c r="AW1630" t="s">
        <v>75</v>
      </c>
      <c r="AX1630" t="s">
        <v>4228</v>
      </c>
      <c r="AY1630" t="s">
        <v>5474</v>
      </c>
      <c r="AZ1630">
        <v>120.0000000034925</v>
      </c>
      <c r="BA1630">
        <v>0</v>
      </c>
      <c r="BB1630">
        <v>0</v>
      </c>
      <c r="BC1630">
        <v>1</v>
      </c>
      <c r="BD1630">
        <v>0</v>
      </c>
      <c r="BE1630">
        <f t="shared" si="259"/>
        <v>1</v>
      </c>
    </row>
    <row r="1631" spans="1:57" x14ac:dyDescent="0.25">
      <c r="A1631" t="s">
        <v>39</v>
      </c>
      <c r="B1631" t="s">
        <v>5475</v>
      </c>
      <c r="C1631">
        <v>75.2</v>
      </c>
      <c r="D1631">
        <v>66.2</v>
      </c>
      <c r="G1631">
        <f t="shared" si="250"/>
        <v>0</v>
      </c>
      <c r="H1631">
        <f t="shared" si="251"/>
        <v>0</v>
      </c>
      <c r="I1631">
        <f t="shared" si="252"/>
        <v>0</v>
      </c>
      <c r="J1631">
        <v>70.599999999999994</v>
      </c>
      <c r="K1631">
        <v>75.2</v>
      </c>
      <c r="L1631">
        <v>66.2</v>
      </c>
      <c r="M1631">
        <v>70.599999999999994</v>
      </c>
      <c r="N1631">
        <v>59</v>
      </c>
      <c r="O1631">
        <v>67.099999999999994</v>
      </c>
      <c r="S1631">
        <f t="shared" si="253"/>
        <v>0</v>
      </c>
      <c r="T1631">
        <f t="shared" si="254"/>
        <v>0</v>
      </c>
      <c r="U1631">
        <f t="shared" si="255"/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26.6</v>
      </c>
      <c r="AC1631">
        <v>16.100000000000001</v>
      </c>
      <c r="AG1631">
        <f t="shared" si="256"/>
        <v>0</v>
      </c>
      <c r="AH1631">
        <f t="shared" si="257"/>
        <v>0</v>
      </c>
      <c r="AI1631">
        <f t="shared" si="258"/>
        <v>0</v>
      </c>
      <c r="AJ1631">
        <v>317.2</v>
      </c>
      <c r="AK1631">
        <v>1017.3</v>
      </c>
      <c r="AL1631">
        <v>42.6</v>
      </c>
      <c r="AM1631">
        <v>6.2</v>
      </c>
      <c r="AN1631">
        <v>198.2</v>
      </c>
      <c r="AO1631">
        <v>17.2</v>
      </c>
      <c r="AP1631">
        <v>7</v>
      </c>
      <c r="AQ1631">
        <v>0</v>
      </c>
      <c r="AR1631" t="s">
        <v>5476</v>
      </c>
      <c r="AS1631" t="s">
        <v>5477</v>
      </c>
      <c r="AT1631">
        <v>0.32</v>
      </c>
      <c r="AU1631" t="s">
        <v>43</v>
      </c>
      <c r="AV1631" t="s">
        <v>44</v>
      </c>
      <c r="AW1631" t="s">
        <v>45</v>
      </c>
      <c r="AX1631" t="s">
        <v>5478</v>
      </c>
      <c r="AY1631" t="s">
        <v>5479</v>
      </c>
      <c r="AZ1631">
        <v>180</v>
      </c>
      <c r="BA1631">
        <v>0</v>
      </c>
      <c r="BB1631">
        <v>0</v>
      </c>
      <c r="BC1631">
        <v>0.1</v>
      </c>
      <c r="BD1631">
        <v>0</v>
      </c>
      <c r="BE1631">
        <f t="shared" si="259"/>
        <v>0</v>
      </c>
    </row>
    <row r="1632" spans="1:57" x14ac:dyDescent="0.25">
      <c r="A1632" t="s">
        <v>39</v>
      </c>
      <c r="B1632" t="s">
        <v>5480</v>
      </c>
      <c r="C1632">
        <v>73.400000000000006</v>
      </c>
      <c r="D1632">
        <v>69.8</v>
      </c>
      <c r="G1632">
        <f t="shared" si="250"/>
        <v>0</v>
      </c>
      <c r="H1632">
        <f t="shared" si="251"/>
        <v>0</v>
      </c>
      <c r="I1632">
        <f t="shared" si="252"/>
        <v>0</v>
      </c>
      <c r="J1632">
        <v>71.3</v>
      </c>
      <c r="K1632">
        <v>73.400000000000006</v>
      </c>
      <c r="L1632">
        <v>69.8</v>
      </c>
      <c r="M1632">
        <v>71.3</v>
      </c>
      <c r="N1632">
        <v>60.7</v>
      </c>
      <c r="O1632">
        <v>69.2</v>
      </c>
      <c r="S1632">
        <f t="shared" si="253"/>
        <v>1</v>
      </c>
      <c r="T1632">
        <f t="shared" si="254"/>
        <v>1</v>
      </c>
      <c r="U1632">
        <f t="shared" si="255"/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28</v>
      </c>
      <c r="AC1632">
        <v>17.2</v>
      </c>
      <c r="AG1632">
        <f t="shared" si="256"/>
        <v>0</v>
      </c>
      <c r="AH1632">
        <f t="shared" si="257"/>
        <v>0</v>
      </c>
      <c r="AI1632">
        <f t="shared" si="258"/>
        <v>0</v>
      </c>
      <c r="AJ1632">
        <v>334.8</v>
      </c>
      <c r="AK1632">
        <v>1016.5</v>
      </c>
      <c r="AL1632">
        <v>50</v>
      </c>
      <c r="AM1632">
        <v>6.2</v>
      </c>
      <c r="AN1632">
        <v>169.6</v>
      </c>
      <c r="AO1632">
        <v>14.8</v>
      </c>
      <c r="AP1632">
        <v>6</v>
      </c>
      <c r="AQ1632">
        <v>0</v>
      </c>
      <c r="AR1632" t="s">
        <v>5481</v>
      </c>
      <c r="AS1632" t="s">
        <v>5482</v>
      </c>
      <c r="AT1632">
        <v>0.56000000000000005</v>
      </c>
      <c r="AU1632" t="s">
        <v>43</v>
      </c>
      <c r="AV1632" t="s">
        <v>44</v>
      </c>
      <c r="AW1632" t="s">
        <v>45</v>
      </c>
      <c r="AX1632" t="s">
        <v>2609</v>
      </c>
      <c r="AY1632" t="s">
        <v>5483</v>
      </c>
      <c r="AZ1632">
        <v>115.0000000081491</v>
      </c>
      <c r="BA1632">
        <v>0</v>
      </c>
      <c r="BB1632">
        <v>0</v>
      </c>
      <c r="BC1632">
        <v>0.5</v>
      </c>
      <c r="BD1632">
        <v>0</v>
      </c>
      <c r="BE1632">
        <f t="shared" si="259"/>
        <v>0</v>
      </c>
    </row>
    <row r="1633" spans="1:57" x14ac:dyDescent="0.25">
      <c r="A1633" t="s">
        <v>39</v>
      </c>
      <c r="B1633" t="s">
        <v>5484</v>
      </c>
      <c r="C1633">
        <v>87.5</v>
      </c>
      <c r="D1633">
        <v>68.099999999999994</v>
      </c>
      <c r="G1633">
        <f t="shared" si="250"/>
        <v>1</v>
      </c>
      <c r="H1633">
        <f t="shared" si="251"/>
        <v>1</v>
      </c>
      <c r="I1633">
        <f t="shared" si="252"/>
        <v>0</v>
      </c>
      <c r="J1633">
        <v>77.900000000000006</v>
      </c>
      <c r="K1633">
        <v>84.1</v>
      </c>
      <c r="L1633">
        <v>68.099999999999994</v>
      </c>
      <c r="M1633">
        <v>76.900000000000006</v>
      </c>
      <c r="N1633">
        <v>43.9</v>
      </c>
      <c r="O1633">
        <v>31.9</v>
      </c>
      <c r="S1633">
        <f t="shared" si="253"/>
        <v>1</v>
      </c>
      <c r="T1633">
        <f t="shared" si="254"/>
        <v>0</v>
      </c>
      <c r="U1633">
        <f t="shared" si="255"/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31.8</v>
      </c>
      <c r="AC1633">
        <v>12.3</v>
      </c>
      <c r="AG1633">
        <f t="shared" si="256"/>
        <v>1</v>
      </c>
      <c r="AH1633">
        <f t="shared" si="257"/>
        <v>0</v>
      </c>
      <c r="AI1633">
        <f t="shared" si="258"/>
        <v>1</v>
      </c>
      <c r="AJ1633">
        <v>293.89999999999998</v>
      </c>
      <c r="AK1633">
        <v>1019</v>
      </c>
      <c r="AL1633">
        <v>62.7</v>
      </c>
      <c r="AM1633">
        <v>6.5</v>
      </c>
      <c r="AN1633">
        <v>185</v>
      </c>
      <c r="AO1633">
        <v>15.9</v>
      </c>
      <c r="AP1633">
        <v>7</v>
      </c>
      <c r="AQ1633">
        <v>0</v>
      </c>
      <c r="AR1633" t="s">
        <v>5485</v>
      </c>
      <c r="AS1633" t="s">
        <v>5486</v>
      </c>
      <c r="AT1633">
        <v>0.79</v>
      </c>
      <c r="AU1633" t="s">
        <v>43</v>
      </c>
      <c r="AV1633" t="s">
        <v>44</v>
      </c>
      <c r="AW1633" t="s">
        <v>45</v>
      </c>
      <c r="AX1633" t="s">
        <v>4426</v>
      </c>
      <c r="AY1633" t="s">
        <v>5487</v>
      </c>
      <c r="AZ1633">
        <v>1564.9999999988361</v>
      </c>
      <c r="BA1633">
        <v>1</v>
      </c>
      <c r="BB1633">
        <v>0</v>
      </c>
      <c r="BC1633">
        <v>2</v>
      </c>
      <c r="BD1633">
        <v>0</v>
      </c>
      <c r="BE1633">
        <f t="shared" si="259"/>
        <v>1</v>
      </c>
    </row>
    <row r="1634" spans="1:57" x14ac:dyDescent="0.25">
      <c r="A1634" t="s">
        <v>39</v>
      </c>
      <c r="B1634" t="s">
        <v>5488</v>
      </c>
      <c r="C1634">
        <v>68</v>
      </c>
      <c r="D1634">
        <v>55.4</v>
      </c>
      <c r="G1634">
        <f t="shared" si="250"/>
        <v>0</v>
      </c>
      <c r="H1634">
        <f t="shared" si="251"/>
        <v>0</v>
      </c>
      <c r="I1634">
        <f t="shared" si="252"/>
        <v>0</v>
      </c>
      <c r="J1634">
        <v>61.6</v>
      </c>
      <c r="K1634">
        <v>68</v>
      </c>
      <c r="L1634">
        <v>55.4</v>
      </c>
      <c r="M1634">
        <v>61.6</v>
      </c>
      <c r="N1634">
        <v>52.8</v>
      </c>
      <c r="O1634">
        <v>73.099999999999994</v>
      </c>
      <c r="S1634">
        <f t="shared" si="253"/>
        <v>1</v>
      </c>
      <c r="T1634">
        <f t="shared" si="254"/>
        <v>1</v>
      </c>
      <c r="U1634">
        <f t="shared" si="255"/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23.3</v>
      </c>
      <c r="AC1634">
        <v>15</v>
      </c>
      <c r="AG1634">
        <f t="shared" si="256"/>
        <v>1</v>
      </c>
      <c r="AH1634">
        <f t="shared" si="257"/>
        <v>0</v>
      </c>
      <c r="AI1634">
        <f t="shared" si="258"/>
        <v>1</v>
      </c>
      <c r="AJ1634">
        <v>333.2</v>
      </c>
      <c r="AK1634">
        <v>1020.5</v>
      </c>
      <c r="AL1634">
        <v>62.8</v>
      </c>
      <c r="AM1634">
        <v>6.2</v>
      </c>
      <c r="AN1634">
        <v>113.2</v>
      </c>
      <c r="AO1634">
        <v>10</v>
      </c>
      <c r="AP1634">
        <v>4</v>
      </c>
      <c r="AQ1634">
        <v>0</v>
      </c>
      <c r="AR1634" t="s">
        <v>5489</v>
      </c>
      <c r="AS1634" t="s">
        <v>5490</v>
      </c>
      <c r="AT1634">
        <v>0.41</v>
      </c>
      <c r="AU1634" t="s">
        <v>43</v>
      </c>
      <c r="AV1634" t="s">
        <v>44</v>
      </c>
      <c r="AW1634" t="s">
        <v>45</v>
      </c>
      <c r="AX1634" t="s">
        <v>4712</v>
      </c>
      <c r="AY1634" t="s">
        <v>5491</v>
      </c>
      <c r="AZ1634">
        <v>110.00000000232831</v>
      </c>
      <c r="BA1634">
        <v>0</v>
      </c>
      <c r="BB1634">
        <v>0</v>
      </c>
      <c r="BC1634">
        <v>0.02</v>
      </c>
      <c r="BD1634">
        <v>0</v>
      </c>
      <c r="BE1634">
        <f t="shared" si="259"/>
        <v>0</v>
      </c>
    </row>
    <row r="1635" spans="1:57" x14ac:dyDescent="0.25">
      <c r="A1635" t="s">
        <v>39</v>
      </c>
      <c r="B1635" t="s">
        <v>5492</v>
      </c>
      <c r="C1635">
        <v>69.8</v>
      </c>
      <c r="D1635">
        <v>53.5</v>
      </c>
      <c r="G1635">
        <f t="shared" si="250"/>
        <v>1</v>
      </c>
      <c r="H1635">
        <f t="shared" si="251"/>
        <v>1</v>
      </c>
      <c r="I1635">
        <f t="shared" si="252"/>
        <v>0</v>
      </c>
      <c r="J1635">
        <v>62.6</v>
      </c>
      <c r="K1635">
        <v>69.8</v>
      </c>
      <c r="L1635">
        <v>53.5</v>
      </c>
      <c r="M1635">
        <v>62.6</v>
      </c>
      <c r="N1635">
        <v>51</v>
      </c>
      <c r="O1635">
        <v>66.599999999999994</v>
      </c>
      <c r="S1635">
        <f t="shared" si="253"/>
        <v>1</v>
      </c>
      <c r="T1635">
        <f t="shared" si="254"/>
        <v>0</v>
      </c>
      <c r="U1635">
        <f t="shared" si="255"/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36.9</v>
      </c>
      <c r="AC1635">
        <v>28.9</v>
      </c>
      <c r="AG1635">
        <f t="shared" si="256"/>
        <v>1</v>
      </c>
      <c r="AH1635">
        <f t="shared" si="257"/>
        <v>1</v>
      </c>
      <c r="AI1635">
        <f t="shared" si="258"/>
        <v>0</v>
      </c>
      <c r="AJ1635">
        <v>179.3</v>
      </c>
      <c r="AK1635">
        <v>1015.7</v>
      </c>
      <c r="AL1635">
        <v>26.9</v>
      </c>
      <c r="AM1635">
        <v>6.2</v>
      </c>
      <c r="AN1635">
        <v>144.80000000000001</v>
      </c>
      <c r="AO1635">
        <v>12.3</v>
      </c>
      <c r="AP1635">
        <v>6</v>
      </c>
      <c r="AQ1635">
        <v>0</v>
      </c>
      <c r="AR1635" t="s">
        <v>5493</v>
      </c>
      <c r="AS1635" t="s">
        <v>5494</v>
      </c>
      <c r="AT1635">
        <v>0.64</v>
      </c>
      <c r="AU1635" t="s">
        <v>43</v>
      </c>
      <c r="AV1635" t="s">
        <v>44</v>
      </c>
      <c r="AW1635" t="s">
        <v>45</v>
      </c>
      <c r="AX1635" t="s">
        <v>4025</v>
      </c>
      <c r="AY1635" t="s">
        <v>5495</v>
      </c>
      <c r="AZ1635">
        <v>95.000000005820766</v>
      </c>
      <c r="BA1635">
        <v>0</v>
      </c>
      <c r="BB1635">
        <v>0</v>
      </c>
      <c r="BC1635">
        <v>0.3</v>
      </c>
      <c r="BD1635">
        <v>0</v>
      </c>
      <c r="BE1635">
        <f t="shared" si="259"/>
        <v>1</v>
      </c>
    </row>
    <row r="1636" spans="1:57" x14ac:dyDescent="0.25">
      <c r="A1636" t="s">
        <v>39</v>
      </c>
      <c r="B1636" t="s">
        <v>5496</v>
      </c>
      <c r="C1636">
        <v>84.2</v>
      </c>
      <c r="D1636">
        <v>70.099999999999994</v>
      </c>
      <c r="G1636">
        <f t="shared" si="250"/>
        <v>0</v>
      </c>
      <c r="H1636">
        <f t="shared" si="251"/>
        <v>0</v>
      </c>
      <c r="I1636">
        <f t="shared" si="252"/>
        <v>0</v>
      </c>
      <c r="J1636">
        <v>78.900000000000006</v>
      </c>
      <c r="K1636">
        <v>90.9</v>
      </c>
      <c r="L1636">
        <v>70.099999999999994</v>
      </c>
      <c r="M1636">
        <v>81.7</v>
      </c>
      <c r="N1636">
        <v>72.099999999999994</v>
      </c>
      <c r="O1636">
        <v>80</v>
      </c>
      <c r="S1636">
        <f t="shared" si="253"/>
        <v>1</v>
      </c>
      <c r="T1636">
        <f t="shared" si="254"/>
        <v>1</v>
      </c>
      <c r="U1636">
        <f t="shared" si="255"/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24.2</v>
      </c>
      <c r="AC1636">
        <v>17.2</v>
      </c>
      <c r="AG1636">
        <f t="shared" si="256"/>
        <v>0</v>
      </c>
      <c r="AH1636">
        <f t="shared" si="257"/>
        <v>0</v>
      </c>
      <c r="AI1636">
        <f t="shared" si="258"/>
        <v>0</v>
      </c>
      <c r="AJ1636">
        <v>321.39999999999998</v>
      </c>
      <c r="AK1636">
        <v>1006</v>
      </c>
      <c r="AL1636">
        <v>36.1</v>
      </c>
      <c r="AM1636">
        <v>6.2</v>
      </c>
      <c r="AN1636">
        <v>284.60000000000002</v>
      </c>
      <c r="AO1636">
        <v>24.7</v>
      </c>
      <c r="AP1636">
        <v>9</v>
      </c>
      <c r="AQ1636">
        <v>0</v>
      </c>
      <c r="AR1636" t="s">
        <v>5497</v>
      </c>
      <c r="AS1636" t="s">
        <v>5498</v>
      </c>
      <c r="AT1636">
        <v>0.39</v>
      </c>
      <c r="AU1636" t="s">
        <v>43</v>
      </c>
      <c r="AV1636" t="s">
        <v>44</v>
      </c>
      <c r="AW1636" t="s">
        <v>45</v>
      </c>
      <c r="AX1636" t="s">
        <v>5499</v>
      </c>
      <c r="AY1636" t="s">
        <v>5500</v>
      </c>
      <c r="AZ1636">
        <v>240.9999999997672</v>
      </c>
      <c r="BA1636">
        <v>0</v>
      </c>
      <c r="BB1636">
        <v>0</v>
      </c>
      <c r="BC1636">
        <v>1</v>
      </c>
      <c r="BD1636">
        <v>0</v>
      </c>
      <c r="BE1636">
        <f t="shared" si="259"/>
        <v>0</v>
      </c>
    </row>
    <row r="1637" spans="1:57" x14ac:dyDescent="0.25">
      <c r="A1637" t="s">
        <v>39</v>
      </c>
      <c r="B1637" t="s">
        <v>5501</v>
      </c>
      <c r="C1637">
        <v>75.2</v>
      </c>
      <c r="D1637">
        <v>60.8</v>
      </c>
      <c r="G1637">
        <f t="shared" si="250"/>
        <v>1</v>
      </c>
      <c r="H1637">
        <f t="shared" si="251"/>
        <v>0</v>
      </c>
      <c r="I1637">
        <f t="shared" si="252"/>
        <v>1</v>
      </c>
      <c r="J1637">
        <v>68.5</v>
      </c>
      <c r="K1637">
        <v>75.2</v>
      </c>
      <c r="L1637">
        <v>60.8</v>
      </c>
      <c r="M1637">
        <v>68.5</v>
      </c>
      <c r="N1637">
        <v>56.6</v>
      </c>
      <c r="O1637">
        <v>66.3</v>
      </c>
      <c r="S1637">
        <f t="shared" si="253"/>
        <v>1</v>
      </c>
      <c r="T1637">
        <f t="shared" si="254"/>
        <v>1</v>
      </c>
      <c r="U1637">
        <f t="shared" si="255"/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36</v>
      </c>
      <c r="AC1637">
        <v>13.9</v>
      </c>
      <c r="AG1637">
        <f t="shared" si="256"/>
        <v>1</v>
      </c>
      <c r="AH1637">
        <f t="shared" si="257"/>
        <v>0</v>
      </c>
      <c r="AI1637">
        <f t="shared" si="258"/>
        <v>1</v>
      </c>
      <c r="AJ1637">
        <v>33.200000000000003</v>
      </c>
      <c r="AK1637">
        <v>1012.2</v>
      </c>
      <c r="AL1637">
        <v>75.8</v>
      </c>
      <c r="AM1637">
        <v>6.2</v>
      </c>
      <c r="AN1637">
        <v>229.7</v>
      </c>
      <c r="AO1637">
        <v>19.8</v>
      </c>
      <c r="AP1637">
        <v>7</v>
      </c>
      <c r="AQ1637">
        <v>0</v>
      </c>
      <c r="AR1637" t="s">
        <v>5502</v>
      </c>
      <c r="AS1637" t="s">
        <v>5503</v>
      </c>
      <c r="AT1637">
        <v>0.15</v>
      </c>
      <c r="AU1637" t="s">
        <v>43</v>
      </c>
      <c r="AV1637" t="s">
        <v>44</v>
      </c>
      <c r="AW1637" t="s">
        <v>45</v>
      </c>
      <c r="AX1637" t="s">
        <v>5504</v>
      </c>
      <c r="AY1637" t="s">
        <v>5505</v>
      </c>
      <c r="AZ1637">
        <v>71.999999993713573</v>
      </c>
      <c r="BA1637">
        <v>0</v>
      </c>
      <c r="BB1637">
        <v>0</v>
      </c>
      <c r="BC1637">
        <v>1</v>
      </c>
      <c r="BD1637">
        <v>0</v>
      </c>
      <c r="BE1637">
        <f t="shared" si="259"/>
        <v>0</v>
      </c>
    </row>
    <row r="1638" spans="1:57" x14ac:dyDescent="0.25">
      <c r="A1638" t="s">
        <v>39</v>
      </c>
      <c r="B1638" t="s">
        <v>5506</v>
      </c>
      <c r="C1638">
        <v>86</v>
      </c>
      <c r="D1638">
        <v>75.2</v>
      </c>
      <c r="G1638">
        <f t="shared" si="250"/>
        <v>1</v>
      </c>
      <c r="H1638">
        <f t="shared" si="251"/>
        <v>1</v>
      </c>
      <c r="I1638">
        <f t="shared" si="252"/>
        <v>0</v>
      </c>
      <c r="J1638">
        <v>79.900000000000006</v>
      </c>
      <c r="K1638">
        <v>87.2</v>
      </c>
      <c r="L1638">
        <v>75.2</v>
      </c>
      <c r="M1638">
        <v>81.099999999999994</v>
      </c>
      <c r="N1638">
        <v>64.3</v>
      </c>
      <c r="O1638">
        <v>60.8</v>
      </c>
      <c r="S1638">
        <f t="shared" si="253"/>
        <v>0</v>
      </c>
      <c r="T1638">
        <f t="shared" si="254"/>
        <v>0</v>
      </c>
      <c r="U1638">
        <f t="shared" si="255"/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31.1</v>
      </c>
      <c r="AC1638">
        <v>25.3</v>
      </c>
      <c r="AG1638">
        <f t="shared" si="256"/>
        <v>1</v>
      </c>
      <c r="AH1638">
        <f t="shared" si="257"/>
        <v>1</v>
      </c>
      <c r="AI1638">
        <f t="shared" si="258"/>
        <v>0</v>
      </c>
      <c r="AJ1638">
        <v>306.8</v>
      </c>
      <c r="AK1638">
        <v>1012.7</v>
      </c>
      <c r="AL1638">
        <v>8.3000000000000007</v>
      </c>
      <c r="AM1638">
        <v>6.2</v>
      </c>
      <c r="AN1638">
        <v>332.8</v>
      </c>
      <c r="AO1638">
        <v>28.6</v>
      </c>
      <c r="AP1638">
        <v>9</v>
      </c>
      <c r="AQ1638">
        <v>0</v>
      </c>
      <c r="AR1638" t="s">
        <v>5507</v>
      </c>
      <c r="AS1638" t="s">
        <v>5508</v>
      </c>
      <c r="AT1638">
        <v>0.03</v>
      </c>
      <c r="AU1638" t="s">
        <v>74</v>
      </c>
      <c r="AV1638" t="s">
        <v>2955</v>
      </c>
      <c r="AW1638" t="s">
        <v>75</v>
      </c>
      <c r="AX1638" t="s">
        <v>4366</v>
      </c>
      <c r="AY1638" t="s">
        <v>5509</v>
      </c>
      <c r="AZ1638">
        <v>1094.999999996508</v>
      </c>
      <c r="BA1638">
        <v>1</v>
      </c>
      <c r="BB1638">
        <v>0</v>
      </c>
      <c r="BC1638">
        <v>4</v>
      </c>
      <c r="BD1638">
        <v>0</v>
      </c>
      <c r="BE1638">
        <f t="shared" si="259"/>
        <v>1</v>
      </c>
    </row>
    <row r="1639" spans="1:57" x14ac:dyDescent="0.25">
      <c r="A1639" t="s">
        <v>39</v>
      </c>
      <c r="B1639" t="s">
        <v>5510</v>
      </c>
      <c r="C1639">
        <v>80.599999999999994</v>
      </c>
      <c r="D1639">
        <v>73.400000000000006</v>
      </c>
      <c r="G1639">
        <f t="shared" si="250"/>
        <v>0</v>
      </c>
      <c r="H1639">
        <f t="shared" si="251"/>
        <v>0</v>
      </c>
      <c r="I1639">
        <f t="shared" si="252"/>
        <v>0</v>
      </c>
      <c r="J1639">
        <v>76.3</v>
      </c>
      <c r="K1639">
        <v>82.3</v>
      </c>
      <c r="L1639">
        <v>73.400000000000006</v>
      </c>
      <c r="M1639">
        <v>76.400000000000006</v>
      </c>
      <c r="N1639">
        <v>63.7</v>
      </c>
      <c r="O1639">
        <v>65.3</v>
      </c>
      <c r="S1639">
        <f t="shared" si="253"/>
        <v>1</v>
      </c>
      <c r="T1639">
        <f t="shared" si="254"/>
        <v>1</v>
      </c>
      <c r="U1639">
        <f t="shared" si="255"/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26.8</v>
      </c>
      <c r="AC1639">
        <v>23</v>
      </c>
      <c r="AG1639">
        <f t="shared" si="256"/>
        <v>1</v>
      </c>
      <c r="AH1639">
        <f t="shared" si="257"/>
        <v>1</v>
      </c>
      <c r="AI1639">
        <f t="shared" si="258"/>
        <v>0</v>
      </c>
      <c r="AJ1639">
        <v>317.60000000000002</v>
      </c>
      <c r="AK1639">
        <v>1011.3</v>
      </c>
      <c r="AL1639">
        <v>8.8000000000000007</v>
      </c>
      <c r="AM1639">
        <v>6.2</v>
      </c>
      <c r="AN1639">
        <v>344.5</v>
      </c>
      <c r="AO1639">
        <v>29.8</v>
      </c>
      <c r="AP1639">
        <v>10</v>
      </c>
      <c r="AQ1639">
        <v>0</v>
      </c>
      <c r="AR1639" t="s">
        <v>5511</v>
      </c>
      <c r="AS1639" t="s">
        <v>5512</v>
      </c>
      <c r="AT1639">
        <v>0.1</v>
      </c>
      <c r="AU1639" t="s">
        <v>74</v>
      </c>
      <c r="AV1639" t="s">
        <v>2955</v>
      </c>
      <c r="AW1639" t="s">
        <v>75</v>
      </c>
      <c r="AX1639" t="s">
        <v>5513</v>
      </c>
      <c r="AY1639" t="s">
        <v>5514</v>
      </c>
      <c r="AZ1639">
        <v>1051.999999992549</v>
      </c>
      <c r="BA1639">
        <v>1</v>
      </c>
      <c r="BB1639">
        <v>0</v>
      </c>
      <c r="BC1639">
        <v>20</v>
      </c>
      <c r="BD1639">
        <v>0</v>
      </c>
      <c r="BE1639">
        <f t="shared" si="259"/>
        <v>1</v>
      </c>
    </row>
    <row r="1640" spans="1:57" x14ac:dyDescent="0.25">
      <c r="A1640" t="s">
        <v>39</v>
      </c>
      <c r="B1640" t="s">
        <v>5515</v>
      </c>
      <c r="C1640">
        <v>91.4</v>
      </c>
      <c r="D1640">
        <v>69.8</v>
      </c>
      <c r="G1640">
        <f t="shared" si="250"/>
        <v>1</v>
      </c>
      <c r="H1640">
        <f t="shared" si="251"/>
        <v>1</v>
      </c>
      <c r="I1640">
        <f t="shared" si="252"/>
        <v>0</v>
      </c>
      <c r="J1640">
        <v>81.099999999999994</v>
      </c>
      <c r="K1640">
        <v>93.1</v>
      </c>
      <c r="L1640">
        <v>69.8</v>
      </c>
      <c r="M1640">
        <v>83.1</v>
      </c>
      <c r="N1640">
        <v>65.400000000000006</v>
      </c>
      <c r="O1640">
        <v>60.4</v>
      </c>
      <c r="S1640">
        <f t="shared" si="253"/>
        <v>0</v>
      </c>
      <c r="T1640">
        <f t="shared" si="254"/>
        <v>0</v>
      </c>
      <c r="U1640">
        <f t="shared" si="255"/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31.1</v>
      </c>
      <c r="AC1640">
        <v>25.2</v>
      </c>
      <c r="AG1640">
        <f t="shared" si="256"/>
        <v>1</v>
      </c>
      <c r="AH1640">
        <f t="shared" si="257"/>
        <v>1</v>
      </c>
      <c r="AI1640">
        <f t="shared" si="258"/>
        <v>0</v>
      </c>
      <c r="AJ1640">
        <v>292.7</v>
      </c>
      <c r="AK1640">
        <v>1007.8</v>
      </c>
      <c r="AL1640">
        <v>0</v>
      </c>
      <c r="AM1640">
        <v>6.5</v>
      </c>
      <c r="AN1640">
        <v>341.4</v>
      </c>
      <c r="AO1640">
        <v>29.5</v>
      </c>
      <c r="AP1640">
        <v>10</v>
      </c>
      <c r="AQ1640">
        <v>0</v>
      </c>
      <c r="AR1640" t="s">
        <v>5516</v>
      </c>
      <c r="AS1640" t="s">
        <v>5517</v>
      </c>
      <c r="AT1640">
        <v>0.4</v>
      </c>
      <c r="AU1640" t="s">
        <v>74</v>
      </c>
      <c r="AV1640" t="s">
        <v>2955</v>
      </c>
      <c r="AW1640" t="s">
        <v>75</v>
      </c>
      <c r="AX1640" t="s">
        <v>2572</v>
      </c>
      <c r="AY1640" t="s">
        <v>5518</v>
      </c>
      <c r="AZ1640">
        <v>3119.999999996508</v>
      </c>
      <c r="BA1640">
        <v>1</v>
      </c>
      <c r="BB1640">
        <v>0</v>
      </c>
      <c r="BC1640">
        <v>700</v>
      </c>
      <c r="BD1640">
        <v>0</v>
      </c>
      <c r="BE1640">
        <f t="shared" si="259"/>
        <v>1</v>
      </c>
    </row>
    <row r="1641" spans="1:57" x14ac:dyDescent="0.25">
      <c r="A1641" t="s">
        <v>39</v>
      </c>
      <c r="B1641" t="s">
        <v>5519</v>
      </c>
      <c r="C1641">
        <v>86</v>
      </c>
      <c r="D1641">
        <v>77</v>
      </c>
      <c r="G1641">
        <f t="shared" si="250"/>
        <v>1</v>
      </c>
      <c r="H1641">
        <f t="shared" si="251"/>
        <v>1</v>
      </c>
      <c r="I1641">
        <f t="shared" si="252"/>
        <v>0</v>
      </c>
      <c r="J1641">
        <v>81.8</v>
      </c>
      <c r="K1641">
        <v>87.5</v>
      </c>
      <c r="L1641">
        <v>77</v>
      </c>
      <c r="M1641">
        <v>84.2</v>
      </c>
      <c r="N1641">
        <v>68</v>
      </c>
      <c r="O1641">
        <v>64.2</v>
      </c>
      <c r="S1641">
        <f t="shared" si="253"/>
        <v>1</v>
      </c>
      <c r="T1641">
        <f t="shared" si="254"/>
        <v>1</v>
      </c>
      <c r="U1641">
        <f t="shared" si="255"/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22.1</v>
      </c>
      <c r="AC1641">
        <v>9.1999999999999993</v>
      </c>
      <c r="AG1641">
        <f t="shared" si="256"/>
        <v>1</v>
      </c>
      <c r="AH1641">
        <f t="shared" si="257"/>
        <v>0</v>
      </c>
      <c r="AI1641">
        <f t="shared" si="258"/>
        <v>1</v>
      </c>
      <c r="AJ1641">
        <v>338.6</v>
      </c>
      <c r="AK1641">
        <v>1007</v>
      </c>
      <c r="AL1641">
        <v>5.6</v>
      </c>
      <c r="AM1641">
        <v>6.5</v>
      </c>
      <c r="AN1641">
        <v>338.2</v>
      </c>
      <c r="AO1641">
        <v>29.1</v>
      </c>
      <c r="AP1641">
        <v>10</v>
      </c>
      <c r="AQ1641">
        <v>0</v>
      </c>
      <c r="AR1641" t="s">
        <v>5520</v>
      </c>
      <c r="AS1641" t="s">
        <v>5521</v>
      </c>
      <c r="AT1641">
        <v>0.43</v>
      </c>
      <c r="AU1641" t="s">
        <v>74</v>
      </c>
      <c r="AV1641" t="s">
        <v>2955</v>
      </c>
      <c r="AW1641" t="s">
        <v>75</v>
      </c>
      <c r="AX1641" t="s">
        <v>2670</v>
      </c>
      <c r="AY1641" t="s">
        <v>5522</v>
      </c>
      <c r="AZ1641">
        <v>929.99999999301508</v>
      </c>
      <c r="BA1641">
        <v>1</v>
      </c>
      <c r="BB1641">
        <v>0</v>
      </c>
      <c r="BC1641">
        <v>10</v>
      </c>
      <c r="BD1641">
        <v>0</v>
      </c>
      <c r="BE1641">
        <f t="shared" si="259"/>
        <v>1</v>
      </c>
    </row>
    <row r="1642" spans="1:57" x14ac:dyDescent="0.25">
      <c r="A1642" t="s">
        <v>39</v>
      </c>
      <c r="B1642" t="s">
        <v>5523</v>
      </c>
      <c r="C1642">
        <v>82.4</v>
      </c>
      <c r="D1642">
        <v>68</v>
      </c>
      <c r="G1642">
        <f t="shared" si="250"/>
        <v>0</v>
      </c>
      <c r="H1642">
        <f t="shared" si="251"/>
        <v>0</v>
      </c>
      <c r="I1642">
        <f t="shared" si="252"/>
        <v>0</v>
      </c>
      <c r="J1642">
        <v>76.5</v>
      </c>
      <c r="K1642">
        <v>84.7</v>
      </c>
      <c r="L1642">
        <v>68</v>
      </c>
      <c r="M1642">
        <v>77.400000000000006</v>
      </c>
      <c r="N1642">
        <v>64.599999999999994</v>
      </c>
      <c r="O1642">
        <v>67.3</v>
      </c>
      <c r="S1642">
        <f t="shared" si="253"/>
        <v>1</v>
      </c>
      <c r="T1642">
        <f t="shared" si="254"/>
        <v>1</v>
      </c>
      <c r="U1642">
        <f t="shared" si="255"/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25.9</v>
      </c>
      <c r="AC1642">
        <v>20.8</v>
      </c>
      <c r="AG1642">
        <f t="shared" si="256"/>
        <v>1</v>
      </c>
      <c r="AH1642">
        <f t="shared" si="257"/>
        <v>1</v>
      </c>
      <c r="AI1642">
        <f t="shared" si="258"/>
        <v>0</v>
      </c>
      <c r="AJ1642">
        <v>304.2</v>
      </c>
      <c r="AK1642">
        <v>1012.7</v>
      </c>
      <c r="AL1642">
        <v>5.7</v>
      </c>
      <c r="AM1642">
        <v>6.2</v>
      </c>
      <c r="AN1642">
        <v>337.2</v>
      </c>
      <c r="AO1642">
        <v>29.2</v>
      </c>
      <c r="AP1642">
        <v>10</v>
      </c>
      <c r="AQ1642">
        <v>0</v>
      </c>
      <c r="AR1642" t="s">
        <v>5524</v>
      </c>
      <c r="AS1642" t="s">
        <v>5525</v>
      </c>
      <c r="AT1642">
        <v>0.53</v>
      </c>
      <c r="AU1642" t="s">
        <v>74</v>
      </c>
      <c r="AV1642" t="s">
        <v>2955</v>
      </c>
      <c r="AW1642" t="s">
        <v>75</v>
      </c>
      <c r="AX1642" t="s">
        <v>5319</v>
      </c>
      <c r="AY1642" t="s">
        <v>5526</v>
      </c>
      <c r="AZ1642">
        <v>1090.0000000011639</v>
      </c>
      <c r="BA1642">
        <v>1</v>
      </c>
      <c r="BB1642">
        <v>0</v>
      </c>
      <c r="BC1642">
        <v>60</v>
      </c>
      <c r="BD1642">
        <v>0</v>
      </c>
      <c r="BE1642">
        <f t="shared" si="259"/>
        <v>1</v>
      </c>
    </row>
    <row r="1643" spans="1:57" x14ac:dyDescent="0.25">
      <c r="A1643" t="s">
        <v>39</v>
      </c>
      <c r="B1643" t="s">
        <v>5527</v>
      </c>
      <c r="C1643">
        <v>82.4</v>
      </c>
      <c r="D1643">
        <v>68</v>
      </c>
      <c r="G1643">
        <f t="shared" si="250"/>
        <v>0</v>
      </c>
      <c r="H1643">
        <f t="shared" si="251"/>
        <v>0</v>
      </c>
      <c r="I1643">
        <f t="shared" si="252"/>
        <v>0</v>
      </c>
      <c r="J1643">
        <v>76.400000000000006</v>
      </c>
      <c r="K1643">
        <v>86.2</v>
      </c>
      <c r="L1643">
        <v>68</v>
      </c>
      <c r="M1643">
        <v>77.7</v>
      </c>
      <c r="N1643">
        <v>64.8</v>
      </c>
      <c r="O1643">
        <v>67.8</v>
      </c>
      <c r="S1643">
        <f t="shared" si="253"/>
        <v>1</v>
      </c>
      <c r="T1643">
        <f t="shared" si="254"/>
        <v>1</v>
      </c>
      <c r="U1643">
        <f t="shared" si="255"/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32.200000000000003</v>
      </c>
      <c r="AC1643">
        <v>23</v>
      </c>
      <c r="AG1643">
        <f t="shared" si="256"/>
        <v>1</v>
      </c>
      <c r="AH1643">
        <f t="shared" si="257"/>
        <v>1</v>
      </c>
      <c r="AI1643">
        <f t="shared" si="258"/>
        <v>0</v>
      </c>
      <c r="AJ1643">
        <v>305.3</v>
      </c>
      <c r="AK1643">
        <v>1010.4</v>
      </c>
      <c r="AL1643">
        <v>0.4</v>
      </c>
      <c r="AM1643">
        <v>6.5</v>
      </c>
      <c r="AN1643">
        <v>338.5</v>
      </c>
      <c r="AO1643">
        <v>29.3</v>
      </c>
      <c r="AP1643">
        <v>10</v>
      </c>
      <c r="AQ1643">
        <v>0</v>
      </c>
      <c r="AR1643" t="s">
        <v>5528</v>
      </c>
      <c r="AS1643" t="s">
        <v>5529</v>
      </c>
      <c r="AT1643">
        <v>0.56999999999999995</v>
      </c>
      <c r="AU1643" t="s">
        <v>74</v>
      </c>
      <c r="AV1643" t="s">
        <v>2955</v>
      </c>
      <c r="AW1643" t="s">
        <v>75</v>
      </c>
      <c r="AX1643" t="s">
        <v>5530</v>
      </c>
      <c r="AY1643" t="s">
        <v>5531</v>
      </c>
      <c r="AZ1643">
        <v>225</v>
      </c>
      <c r="BA1643">
        <v>0</v>
      </c>
      <c r="BB1643">
        <v>0</v>
      </c>
      <c r="BC1643">
        <v>2</v>
      </c>
      <c r="BD1643">
        <v>0</v>
      </c>
      <c r="BE1643">
        <f t="shared" si="259"/>
        <v>0</v>
      </c>
    </row>
    <row r="1644" spans="1:57" x14ac:dyDescent="0.25">
      <c r="A1644" t="s">
        <v>39</v>
      </c>
      <c r="B1644" t="s">
        <v>5532</v>
      </c>
      <c r="C1644">
        <v>82.4</v>
      </c>
      <c r="D1644">
        <v>71.599999999999994</v>
      </c>
      <c r="G1644">
        <f t="shared" si="250"/>
        <v>0</v>
      </c>
      <c r="H1644">
        <f t="shared" si="251"/>
        <v>0</v>
      </c>
      <c r="I1644">
        <f t="shared" si="252"/>
        <v>0</v>
      </c>
      <c r="J1644">
        <v>78.3</v>
      </c>
      <c r="K1644">
        <v>86.2</v>
      </c>
      <c r="L1644">
        <v>71.599999999999994</v>
      </c>
      <c r="M1644">
        <v>79.5</v>
      </c>
      <c r="N1644">
        <v>65.7</v>
      </c>
      <c r="O1644">
        <v>65.400000000000006</v>
      </c>
      <c r="S1644">
        <f t="shared" si="253"/>
        <v>1</v>
      </c>
      <c r="T1644">
        <f t="shared" si="254"/>
        <v>1</v>
      </c>
      <c r="U1644">
        <f t="shared" si="255"/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32.700000000000003</v>
      </c>
      <c r="AC1644">
        <v>25.3</v>
      </c>
      <c r="AG1644">
        <f t="shared" si="256"/>
        <v>1</v>
      </c>
      <c r="AH1644">
        <f t="shared" si="257"/>
        <v>1</v>
      </c>
      <c r="AI1644">
        <f t="shared" si="258"/>
        <v>0</v>
      </c>
      <c r="AJ1644">
        <v>306.89999999999998</v>
      </c>
      <c r="AK1644">
        <v>1008.5</v>
      </c>
      <c r="AL1644">
        <v>13</v>
      </c>
      <c r="AM1644">
        <v>6.3</v>
      </c>
      <c r="AN1644">
        <v>331.9</v>
      </c>
      <c r="AO1644">
        <v>28.9</v>
      </c>
      <c r="AP1644">
        <v>10</v>
      </c>
      <c r="AQ1644">
        <v>0</v>
      </c>
      <c r="AR1644" t="s">
        <v>5533</v>
      </c>
      <c r="AS1644" t="s">
        <v>5534</v>
      </c>
      <c r="AT1644">
        <v>0.6</v>
      </c>
      <c r="AU1644" t="s">
        <v>74</v>
      </c>
      <c r="AV1644" t="s">
        <v>2955</v>
      </c>
      <c r="AW1644" t="s">
        <v>75</v>
      </c>
      <c r="AX1644" t="s">
        <v>2790</v>
      </c>
      <c r="AY1644" t="s">
        <v>5535</v>
      </c>
      <c r="AZ1644">
        <v>679.99999999534339</v>
      </c>
      <c r="BA1644">
        <v>1</v>
      </c>
      <c r="BB1644">
        <v>0</v>
      </c>
      <c r="BC1644">
        <v>4</v>
      </c>
      <c r="BD1644">
        <v>0</v>
      </c>
      <c r="BE1644">
        <f t="shared" si="259"/>
        <v>1</v>
      </c>
    </row>
    <row r="1645" spans="1:57" x14ac:dyDescent="0.25">
      <c r="A1645" t="s">
        <v>39</v>
      </c>
      <c r="B1645" t="s">
        <v>5532</v>
      </c>
      <c r="C1645">
        <v>82.4</v>
      </c>
      <c r="D1645">
        <v>71.599999999999994</v>
      </c>
      <c r="G1645">
        <f t="shared" si="250"/>
        <v>0</v>
      </c>
      <c r="H1645">
        <f t="shared" si="251"/>
        <v>0</v>
      </c>
      <c r="I1645">
        <f t="shared" si="252"/>
        <v>0</v>
      </c>
      <c r="J1645">
        <v>78.3</v>
      </c>
      <c r="K1645">
        <v>86.2</v>
      </c>
      <c r="L1645">
        <v>71.599999999999994</v>
      </c>
      <c r="M1645">
        <v>79.5</v>
      </c>
      <c r="N1645">
        <v>65.7</v>
      </c>
      <c r="O1645">
        <v>65.400000000000006</v>
      </c>
      <c r="S1645">
        <f t="shared" si="253"/>
        <v>1</v>
      </c>
      <c r="T1645">
        <f t="shared" si="254"/>
        <v>1</v>
      </c>
      <c r="U1645">
        <f t="shared" si="255"/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32.700000000000003</v>
      </c>
      <c r="AC1645">
        <v>25.3</v>
      </c>
      <c r="AG1645">
        <f t="shared" si="256"/>
        <v>1</v>
      </c>
      <c r="AH1645">
        <f t="shared" si="257"/>
        <v>1</v>
      </c>
      <c r="AI1645">
        <f t="shared" si="258"/>
        <v>0</v>
      </c>
      <c r="AJ1645">
        <v>306.89999999999998</v>
      </c>
      <c r="AK1645">
        <v>1008.5</v>
      </c>
      <c r="AL1645">
        <v>13</v>
      </c>
      <c r="AM1645">
        <v>6.3</v>
      </c>
      <c r="AN1645">
        <v>331.9</v>
      </c>
      <c r="AO1645">
        <v>28.9</v>
      </c>
      <c r="AP1645">
        <v>10</v>
      </c>
      <c r="AQ1645">
        <v>0</v>
      </c>
      <c r="AR1645" t="s">
        <v>5533</v>
      </c>
      <c r="AS1645" t="s">
        <v>5534</v>
      </c>
      <c r="AT1645">
        <v>0.6</v>
      </c>
      <c r="AU1645" t="s">
        <v>74</v>
      </c>
      <c r="AV1645" t="s">
        <v>2955</v>
      </c>
      <c r="AW1645" t="s">
        <v>75</v>
      </c>
      <c r="AX1645" t="s">
        <v>5536</v>
      </c>
      <c r="AY1645" t="s">
        <v>5537</v>
      </c>
      <c r="AZ1645">
        <v>641.00000000442378</v>
      </c>
      <c r="BA1645">
        <v>1</v>
      </c>
      <c r="BB1645">
        <v>0</v>
      </c>
      <c r="BC1645">
        <v>10</v>
      </c>
      <c r="BD1645">
        <v>0</v>
      </c>
      <c r="BE1645">
        <f t="shared" si="259"/>
        <v>1</v>
      </c>
    </row>
    <row r="1646" spans="1:57" x14ac:dyDescent="0.25">
      <c r="A1646" t="s">
        <v>39</v>
      </c>
      <c r="B1646" t="s">
        <v>5538</v>
      </c>
      <c r="C1646">
        <v>86</v>
      </c>
      <c r="D1646">
        <v>73.400000000000006</v>
      </c>
      <c r="G1646">
        <f t="shared" si="250"/>
        <v>1</v>
      </c>
      <c r="H1646">
        <f t="shared" si="251"/>
        <v>1</v>
      </c>
      <c r="I1646">
        <f t="shared" si="252"/>
        <v>0</v>
      </c>
      <c r="J1646">
        <v>79.8</v>
      </c>
      <c r="K1646">
        <v>90.6</v>
      </c>
      <c r="L1646">
        <v>73.400000000000006</v>
      </c>
      <c r="M1646">
        <v>81.900000000000006</v>
      </c>
      <c r="N1646">
        <v>68</v>
      </c>
      <c r="O1646">
        <v>68</v>
      </c>
      <c r="S1646">
        <f t="shared" si="253"/>
        <v>1</v>
      </c>
      <c r="T1646">
        <f t="shared" si="254"/>
        <v>1</v>
      </c>
      <c r="U1646">
        <f t="shared" si="255"/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28.2</v>
      </c>
      <c r="AC1646">
        <v>26.4</v>
      </c>
      <c r="AG1646">
        <f t="shared" si="256"/>
        <v>1</v>
      </c>
      <c r="AH1646">
        <f t="shared" si="257"/>
        <v>1</v>
      </c>
      <c r="AI1646">
        <f t="shared" si="258"/>
        <v>0</v>
      </c>
      <c r="AJ1646">
        <v>301</v>
      </c>
      <c r="AK1646">
        <v>1004.9</v>
      </c>
      <c r="AL1646">
        <v>17.5</v>
      </c>
      <c r="AM1646">
        <v>6.3</v>
      </c>
      <c r="AN1646">
        <v>320.10000000000002</v>
      </c>
      <c r="AO1646">
        <v>27.6</v>
      </c>
      <c r="AP1646">
        <v>10</v>
      </c>
      <c r="AQ1646">
        <v>0</v>
      </c>
      <c r="AR1646" t="s">
        <v>5539</v>
      </c>
      <c r="AS1646" t="s">
        <v>5540</v>
      </c>
      <c r="AT1646">
        <v>0.18</v>
      </c>
      <c r="AU1646" t="s">
        <v>74</v>
      </c>
      <c r="AV1646" t="s">
        <v>2955</v>
      </c>
      <c r="AW1646" t="s">
        <v>75</v>
      </c>
      <c r="AX1646" t="s">
        <v>5541</v>
      </c>
      <c r="AY1646" t="s">
        <v>5542</v>
      </c>
      <c r="AZ1646">
        <v>2930.0000000058212</v>
      </c>
      <c r="BA1646">
        <v>1</v>
      </c>
      <c r="BB1646">
        <v>0</v>
      </c>
      <c r="BC1646">
        <v>600</v>
      </c>
      <c r="BD1646">
        <v>0</v>
      </c>
      <c r="BE1646">
        <f t="shared" si="259"/>
        <v>1</v>
      </c>
    </row>
    <row r="1647" spans="1:57" x14ac:dyDescent="0.25">
      <c r="A1647" t="s">
        <v>39</v>
      </c>
      <c r="B1647" t="s">
        <v>5543</v>
      </c>
      <c r="C1647">
        <v>86</v>
      </c>
      <c r="D1647">
        <v>75.2</v>
      </c>
      <c r="G1647">
        <f t="shared" si="250"/>
        <v>1</v>
      </c>
      <c r="H1647">
        <f t="shared" si="251"/>
        <v>1</v>
      </c>
      <c r="I1647">
        <f t="shared" si="252"/>
        <v>0</v>
      </c>
      <c r="J1647">
        <v>80.8</v>
      </c>
      <c r="K1647">
        <v>90.5</v>
      </c>
      <c r="L1647">
        <v>75.2</v>
      </c>
      <c r="M1647">
        <v>83.3</v>
      </c>
      <c r="N1647">
        <v>70.2</v>
      </c>
      <c r="O1647">
        <v>70.900000000000006</v>
      </c>
      <c r="S1647">
        <f t="shared" si="253"/>
        <v>1</v>
      </c>
      <c r="T1647">
        <f t="shared" si="254"/>
        <v>1</v>
      </c>
      <c r="U1647">
        <f t="shared" si="255"/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30</v>
      </c>
      <c r="AC1647">
        <v>18.3</v>
      </c>
      <c r="AG1647">
        <f t="shared" si="256"/>
        <v>0</v>
      </c>
      <c r="AH1647">
        <f t="shared" si="257"/>
        <v>0</v>
      </c>
      <c r="AI1647">
        <f t="shared" si="258"/>
        <v>0</v>
      </c>
      <c r="AJ1647">
        <v>307.2</v>
      </c>
      <c r="AK1647">
        <v>1012.2</v>
      </c>
      <c r="AL1647">
        <v>27.6</v>
      </c>
      <c r="AM1647">
        <v>6.2</v>
      </c>
      <c r="AN1647">
        <v>301.10000000000002</v>
      </c>
      <c r="AO1647">
        <v>25.9</v>
      </c>
      <c r="AP1647">
        <v>9</v>
      </c>
      <c r="AQ1647">
        <v>0</v>
      </c>
      <c r="AR1647" t="s">
        <v>5544</v>
      </c>
      <c r="AS1647" t="s">
        <v>5545</v>
      </c>
      <c r="AT1647">
        <v>0.45</v>
      </c>
      <c r="AU1647" t="s">
        <v>43</v>
      </c>
      <c r="AV1647" t="s">
        <v>44</v>
      </c>
      <c r="AW1647" t="s">
        <v>45</v>
      </c>
      <c r="AX1647" t="s">
        <v>5546</v>
      </c>
      <c r="AY1647" t="s">
        <v>5547</v>
      </c>
      <c r="AZ1647">
        <v>1151.0000000009311</v>
      </c>
      <c r="BA1647">
        <v>1</v>
      </c>
      <c r="BB1647">
        <v>0</v>
      </c>
      <c r="BC1647">
        <v>5</v>
      </c>
      <c r="BD1647">
        <v>0</v>
      </c>
      <c r="BE1647">
        <f t="shared" si="259"/>
        <v>1</v>
      </c>
    </row>
    <row r="1648" spans="1:57" x14ac:dyDescent="0.25">
      <c r="A1648" t="s">
        <v>39</v>
      </c>
      <c r="B1648" t="s">
        <v>5419</v>
      </c>
      <c r="C1648">
        <v>86</v>
      </c>
      <c r="D1648">
        <v>71.599999999999994</v>
      </c>
      <c r="G1648">
        <f t="shared" si="250"/>
        <v>1</v>
      </c>
      <c r="H1648">
        <f t="shared" si="251"/>
        <v>1</v>
      </c>
      <c r="I1648">
        <f t="shared" si="252"/>
        <v>0</v>
      </c>
      <c r="J1648">
        <v>80.8</v>
      </c>
      <c r="K1648">
        <v>93.5</v>
      </c>
      <c r="L1648">
        <v>71.599999999999994</v>
      </c>
      <c r="M1648">
        <v>83.5</v>
      </c>
      <c r="N1648">
        <v>66.8</v>
      </c>
      <c r="O1648">
        <v>62.7</v>
      </c>
      <c r="S1648">
        <f t="shared" si="253"/>
        <v>1</v>
      </c>
      <c r="T1648">
        <f t="shared" si="254"/>
        <v>1</v>
      </c>
      <c r="U1648">
        <f t="shared" si="255"/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34.4</v>
      </c>
      <c r="AC1648">
        <v>25.3</v>
      </c>
      <c r="AG1648">
        <f t="shared" si="256"/>
        <v>1</v>
      </c>
      <c r="AH1648">
        <f t="shared" si="257"/>
        <v>1</v>
      </c>
      <c r="AI1648">
        <f t="shared" si="258"/>
        <v>0</v>
      </c>
      <c r="AJ1648">
        <v>298.60000000000002</v>
      </c>
      <c r="AK1648">
        <v>1006.3</v>
      </c>
      <c r="AL1648">
        <v>0.1</v>
      </c>
      <c r="AM1648">
        <v>6.2</v>
      </c>
      <c r="AN1648">
        <v>305.2</v>
      </c>
      <c r="AO1648">
        <v>26.5</v>
      </c>
      <c r="AP1648">
        <v>9</v>
      </c>
      <c r="AQ1648">
        <v>0</v>
      </c>
      <c r="AR1648" t="s">
        <v>5420</v>
      </c>
      <c r="AS1648" t="s">
        <v>5421</v>
      </c>
      <c r="AT1648">
        <v>0.75</v>
      </c>
      <c r="AU1648" t="s">
        <v>74</v>
      </c>
      <c r="AV1648" t="s">
        <v>2955</v>
      </c>
      <c r="AW1648" t="s">
        <v>75</v>
      </c>
      <c r="AX1648" t="s">
        <v>5548</v>
      </c>
      <c r="AY1648" t="s">
        <v>5549</v>
      </c>
      <c r="AZ1648">
        <v>2999.0000000002328</v>
      </c>
      <c r="BA1648">
        <v>1</v>
      </c>
      <c r="BB1648">
        <v>0</v>
      </c>
      <c r="BC1648">
        <v>70</v>
      </c>
      <c r="BD1648">
        <v>0</v>
      </c>
      <c r="BE1648">
        <f t="shared" si="259"/>
        <v>1</v>
      </c>
    </row>
    <row r="1649" spans="1:57" x14ac:dyDescent="0.25">
      <c r="A1649" t="s">
        <v>39</v>
      </c>
      <c r="B1649" t="s">
        <v>5419</v>
      </c>
      <c r="C1649">
        <v>86</v>
      </c>
      <c r="D1649">
        <v>71.599999999999994</v>
      </c>
      <c r="G1649">
        <f t="shared" si="250"/>
        <v>1</v>
      </c>
      <c r="H1649">
        <f t="shared" si="251"/>
        <v>1</v>
      </c>
      <c r="I1649">
        <f t="shared" si="252"/>
        <v>0</v>
      </c>
      <c r="J1649">
        <v>80.8</v>
      </c>
      <c r="K1649">
        <v>93.5</v>
      </c>
      <c r="L1649">
        <v>71.599999999999994</v>
      </c>
      <c r="M1649">
        <v>83.5</v>
      </c>
      <c r="N1649">
        <v>66.8</v>
      </c>
      <c r="O1649">
        <v>62.7</v>
      </c>
      <c r="S1649">
        <f t="shared" si="253"/>
        <v>1</v>
      </c>
      <c r="T1649">
        <f t="shared" si="254"/>
        <v>1</v>
      </c>
      <c r="U1649">
        <f t="shared" si="255"/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34.4</v>
      </c>
      <c r="AC1649">
        <v>25.3</v>
      </c>
      <c r="AG1649">
        <f t="shared" si="256"/>
        <v>1</v>
      </c>
      <c r="AH1649">
        <f t="shared" si="257"/>
        <v>1</v>
      </c>
      <c r="AI1649">
        <f t="shared" si="258"/>
        <v>0</v>
      </c>
      <c r="AJ1649">
        <v>298.60000000000002</v>
      </c>
      <c r="AK1649">
        <v>1006.3</v>
      </c>
      <c r="AL1649">
        <v>0.1</v>
      </c>
      <c r="AM1649">
        <v>6.2</v>
      </c>
      <c r="AN1649">
        <v>305.2</v>
      </c>
      <c r="AO1649">
        <v>26.5</v>
      </c>
      <c r="AP1649">
        <v>9</v>
      </c>
      <c r="AQ1649">
        <v>0</v>
      </c>
      <c r="AR1649" t="s">
        <v>5420</v>
      </c>
      <c r="AS1649" t="s">
        <v>5421</v>
      </c>
      <c r="AT1649">
        <v>0.75</v>
      </c>
      <c r="AU1649" t="s">
        <v>74</v>
      </c>
      <c r="AV1649" t="s">
        <v>2955</v>
      </c>
      <c r="AW1649" t="s">
        <v>75</v>
      </c>
      <c r="AX1649" t="s">
        <v>2582</v>
      </c>
      <c r="AY1649" t="s">
        <v>5550</v>
      </c>
      <c r="AZ1649">
        <v>1145.0000000023281</v>
      </c>
      <c r="BA1649">
        <v>1</v>
      </c>
      <c r="BB1649">
        <v>0</v>
      </c>
      <c r="BC1649">
        <v>500</v>
      </c>
      <c r="BD1649">
        <v>0</v>
      </c>
      <c r="BE1649">
        <f t="shared" si="259"/>
        <v>1</v>
      </c>
    </row>
    <row r="1650" spans="1:57" x14ac:dyDescent="0.25">
      <c r="A1650" t="s">
        <v>39</v>
      </c>
      <c r="B1650" t="s">
        <v>5419</v>
      </c>
      <c r="C1650">
        <v>86</v>
      </c>
      <c r="D1650">
        <v>71.599999999999994</v>
      </c>
      <c r="G1650">
        <f t="shared" si="250"/>
        <v>1</v>
      </c>
      <c r="H1650">
        <f t="shared" si="251"/>
        <v>1</v>
      </c>
      <c r="I1650">
        <f t="shared" si="252"/>
        <v>0</v>
      </c>
      <c r="J1650">
        <v>80.8</v>
      </c>
      <c r="K1650">
        <v>93.5</v>
      </c>
      <c r="L1650">
        <v>71.599999999999994</v>
      </c>
      <c r="M1650">
        <v>83.5</v>
      </c>
      <c r="N1650">
        <v>66.8</v>
      </c>
      <c r="O1650">
        <v>62.7</v>
      </c>
      <c r="S1650">
        <f t="shared" si="253"/>
        <v>1</v>
      </c>
      <c r="T1650">
        <f t="shared" si="254"/>
        <v>1</v>
      </c>
      <c r="U1650">
        <f t="shared" si="255"/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34.4</v>
      </c>
      <c r="AC1650">
        <v>25.3</v>
      </c>
      <c r="AG1650">
        <f t="shared" si="256"/>
        <v>1</v>
      </c>
      <c r="AH1650">
        <f t="shared" si="257"/>
        <v>1</v>
      </c>
      <c r="AI1650">
        <f t="shared" si="258"/>
        <v>0</v>
      </c>
      <c r="AJ1650">
        <v>298.60000000000002</v>
      </c>
      <c r="AK1650">
        <v>1006.3</v>
      </c>
      <c r="AL1650">
        <v>0.1</v>
      </c>
      <c r="AM1650">
        <v>6.2</v>
      </c>
      <c r="AN1650">
        <v>305.2</v>
      </c>
      <c r="AO1650">
        <v>26.5</v>
      </c>
      <c r="AP1650">
        <v>9</v>
      </c>
      <c r="AQ1650">
        <v>0</v>
      </c>
      <c r="AR1650" t="s">
        <v>5420</v>
      </c>
      <c r="AS1650" t="s">
        <v>5421</v>
      </c>
      <c r="AT1650">
        <v>0.75</v>
      </c>
      <c r="AU1650" t="s">
        <v>74</v>
      </c>
      <c r="AV1650" t="s">
        <v>2955</v>
      </c>
      <c r="AW1650" t="s">
        <v>75</v>
      </c>
      <c r="AX1650" t="s">
        <v>2631</v>
      </c>
      <c r="AY1650" t="s">
        <v>5551</v>
      </c>
      <c r="AZ1650">
        <v>2910.000000003492</v>
      </c>
      <c r="BA1650">
        <v>1</v>
      </c>
      <c r="BB1650">
        <v>0</v>
      </c>
      <c r="BC1650">
        <v>70</v>
      </c>
      <c r="BD1650">
        <v>0</v>
      </c>
      <c r="BE1650">
        <f t="shared" si="259"/>
        <v>1</v>
      </c>
    </row>
    <row r="1651" spans="1:57" x14ac:dyDescent="0.25">
      <c r="A1651" t="s">
        <v>39</v>
      </c>
      <c r="B1651" t="s">
        <v>5552</v>
      </c>
      <c r="C1651">
        <v>87.9</v>
      </c>
      <c r="D1651">
        <v>75.2</v>
      </c>
      <c r="G1651">
        <f t="shared" si="250"/>
        <v>1</v>
      </c>
      <c r="H1651">
        <f t="shared" si="251"/>
        <v>1</v>
      </c>
      <c r="I1651">
        <f t="shared" si="252"/>
        <v>0</v>
      </c>
      <c r="J1651">
        <v>81.400000000000006</v>
      </c>
      <c r="K1651">
        <v>97.2</v>
      </c>
      <c r="L1651">
        <v>75.2</v>
      </c>
      <c r="M1651">
        <v>84.9</v>
      </c>
      <c r="N1651">
        <v>67.099999999999994</v>
      </c>
      <c r="O1651">
        <v>63.2</v>
      </c>
      <c r="S1651">
        <f t="shared" si="253"/>
        <v>1</v>
      </c>
      <c r="T1651">
        <f t="shared" si="254"/>
        <v>1</v>
      </c>
      <c r="U1651">
        <f t="shared" si="255"/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24.2</v>
      </c>
      <c r="AC1651">
        <v>9.1999999999999993</v>
      </c>
      <c r="AG1651">
        <f t="shared" si="256"/>
        <v>1</v>
      </c>
      <c r="AH1651">
        <f t="shared" si="257"/>
        <v>0</v>
      </c>
      <c r="AI1651">
        <f t="shared" si="258"/>
        <v>1</v>
      </c>
      <c r="AJ1651">
        <v>154</v>
      </c>
      <c r="AK1651">
        <v>1011.7</v>
      </c>
      <c r="AL1651">
        <v>1.2</v>
      </c>
      <c r="AM1651">
        <v>6.4</v>
      </c>
      <c r="AN1651">
        <v>294.60000000000002</v>
      </c>
      <c r="AO1651">
        <v>25.4</v>
      </c>
      <c r="AP1651">
        <v>9</v>
      </c>
      <c r="AQ1651">
        <v>0</v>
      </c>
      <c r="AR1651" t="s">
        <v>5553</v>
      </c>
      <c r="AS1651" t="s">
        <v>5554</v>
      </c>
      <c r="AT1651">
        <v>0.93</v>
      </c>
      <c r="AU1651" t="s">
        <v>74</v>
      </c>
      <c r="AV1651" t="s">
        <v>2955</v>
      </c>
      <c r="AW1651" t="s">
        <v>75</v>
      </c>
      <c r="AX1651" t="s">
        <v>2763</v>
      </c>
      <c r="AY1651" t="s">
        <v>5555</v>
      </c>
      <c r="AZ1651">
        <v>169.99999999883579</v>
      </c>
      <c r="BA1651">
        <v>0</v>
      </c>
      <c r="BB1651">
        <v>0</v>
      </c>
      <c r="BC1651">
        <v>0.57999999999999996</v>
      </c>
      <c r="BD1651">
        <v>0</v>
      </c>
      <c r="BE1651">
        <f t="shared" si="259"/>
        <v>1</v>
      </c>
    </row>
    <row r="1652" spans="1:57" x14ac:dyDescent="0.25">
      <c r="A1652" t="s">
        <v>39</v>
      </c>
      <c r="B1652" t="s">
        <v>5556</v>
      </c>
      <c r="C1652">
        <v>87.8</v>
      </c>
      <c r="D1652">
        <v>69.8</v>
      </c>
      <c r="G1652">
        <f t="shared" si="250"/>
        <v>1</v>
      </c>
      <c r="H1652">
        <f t="shared" si="251"/>
        <v>1</v>
      </c>
      <c r="I1652">
        <f t="shared" si="252"/>
        <v>0</v>
      </c>
      <c r="J1652">
        <v>79.5</v>
      </c>
      <c r="K1652">
        <v>92.5</v>
      </c>
      <c r="L1652">
        <v>69.8</v>
      </c>
      <c r="M1652">
        <v>81.5</v>
      </c>
      <c r="N1652">
        <v>64.2</v>
      </c>
      <c r="O1652">
        <v>61.2</v>
      </c>
      <c r="S1652">
        <f t="shared" si="253"/>
        <v>0</v>
      </c>
      <c r="T1652">
        <f t="shared" si="254"/>
        <v>0</v>
      </c>
      <c r="U1652">
        <f t="shared" si="255"/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23.3</v>
      </c>
      <c r="AC1652">
        <v>11.4</v>
      </c>
      <c r="AG1652">
        <f t="shared" si="256"/>
        <v>1</v>
      </c>
      <c r="AH1652">
        <f t="shared" si="257"/>
        <v>0</v>
      </c>
      <c r="AI1652">
        <f t="shared" si="258"/>
        <v>1</v>
      </c>
      <c r="AJ1652">
        <v>286.89999999999998</v>
      </c>
      <c r="AK1652">
        <v>1007.7</v>
      </c>
      <c r="AL1652">
        <v>2.2999999999999998</v>
      </c>
      <c r="AM1652">
        <v>6.4</v>
      </c>
      <c r="AN1652">
        <v>286.60000000000002</v>
      </c>
      <c r="AO1652">
        <v>24.8</v>
      </c>
      <c r="AP1652">
        <v>9</v>
      </c>
      <c r="AQ1652">
        <v>0</v>
      </c>
      <c r="AR1652" t="s">
        <v>5557</v>
      </c>
      <c r="AS1652" t="s">
        <v>5558</v>
      </c>
      <c r="AT1652">
        <v>0.1</v>
      </c>
      <c r="AU1652" t="s">
        <v>74</v>
      </c>
      <c r="AV1652" t="s">
        <v>2955</v>
      </c>
      <c r="AW1652" t="s">
        <v>75</v>
      </c>
      <c r="AX1652" t="s">
        <v>4788</v>
      </c>
      <c r="AY1652" t="s">
        <v>5559</v>
      </c>
      <c r="AZ1652">
        <v>394.99999999883579</v>
      </c>
      <c r="BA1652">
        <v>1</v>
      </c>
      <c r="BB1652">
        <v>0</v>
      </c>
      <c r="BC1652">
        <v>5</v>
      </c>
      <c r="BD1652">
        <v>0</v>
      </c>
      <c r="BE1652">
        <f t="shared" si="259"/>
        <v>1</v>
      </c>
    </row>
    <row r="1653" spans="1:57" x14ac:dyDescent="0.25">
      <c r="A1653" t="s">
        <v>39</v>
      </c>
      <c r="B1653" t="s">
        <v>5556</v>
      </c>
      <c r="C1653">
        <v>87.8</v>
      </c>
      <c r="D1653">
        <v>69.8</v>
      </c>
      <c r="G1653">
        <f t="shared" si="250"/>
        <v>1</v>
      </c>
      <c r="H1653">
        <f t="shared" si="251"/>
        <v>1</v>
      </c>
      <c r="I1653">
        <f t="shared" si="252"/>
        <v>0</v>
      </c>
      <c r="J1653">
        <v>79.5</v>
      </c>
      <c r="K1653">
        <v>92.5</v>
      </c>
      <c r="L1653">
        <v>69.8</v>
      </c>
      <c r="M1653">
        <v>81.5</v>
      </c>
      <c r="N1653">
        <v>64.2</v>
      </c>
      <c r="O1653">
        <v>61.2</v>
      </c>
      <c r="S1653">
        <f t="shared" si="253"/>
        <v>0</v>
      </c>
      <c r="T1653">
        <f t="shared" si="254"/>
        <v>0</v>
      </c>
      <c r="U1653">
        <f t="shared" si="255"/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23.3</v>
      </c>
      <c r="AC1653">
        <v>11.4</v>
      </c>
      <c r="AG1653">
        <f t="shared" si="256"/>
        <v>1</v>
      </c>
      <c r="AH1653">
        <f t="shared" si="257"/>
        <v>0</v>
      </c>
      <c r="AI1653">
        <f t="shared" si="258"/>
        <v>1</v>
      </c>
      <c r="AJ1653">
        <v>286.89999999999998</v>
      </c>
      <c r="AK1653">
        <v>1007.7</v>
      </c>
      <c r="AL1653">
        <v>2.2999999999999998</v>
      </c>
      <c r="AM1653">
        <v>6.4</v>
      </c>
      <c r="AN1653">
        <v>286.60000000000002</v>
      </c>
      <c r="AO1653">
        <v>24.8</v>
      </c>
      <c r="AP1653">
        <v>9</v>
      </c>
      <c r="AQ1653">
        <v>0</v>
      </c>
      <c r="AR1653" t="s">
        <v>5557</v>
      </c>
      <c r="AS1653" t="s">
        <v>5558</v>
      </c>
      <c r="AT1653">
        <v>0.1</v>
      </c>
      <c r="AU1653" t="s">
        <v>74</v>
      </c>
      <c r="AV1653" t="s">
        <v>2955</v>
      </c>
      <c r="AW1653" t="s">
        <v>75</v>
      </c>
      <c r="AX1653" t="s">
        <v>5560</v>
      </c>
      <c r="AY1653" t="s">
        <v>5561</v>
      </c>
      <c r="AZ1653">
        <v>399.00000000139698</v>
      </c>
      <c r="BA1653">
        <v>1</v>
      </c>
      <c r="BB1653">
        <v>0</v>
      </c>
      <c r="BC1653">
        <v>1</v>
      </c>
      <c r="BD1653">
        <v>0</v>
      </c>
      <c r="BE1653">
        <f t="shared" si="259"/>
        <v>1</v>
      </c>
    </row>
    <row r="1654" spans="1:57" x14ac:dyDescent="0.25">
      <c r="A1654" t="s">
        <v>39</v>
      </c>
      <c r="B1654" t="s">
        <v>5562</v>
      </c>
      <c r="C1654">
        <v>82.4</v>
      </c>
      <c r="D1654">
        <v>74.7</v>
      </c>
      <c r="G1654">
        <f t="shared" si="250"/>
        <v>0</v>
      </c>
      <c r="H1654">
        <f t="shared" si="251"/>
        <v>0</v>
      </c>
      <c r="I1654">
        <f t="shared" si="252"/>
        <v>0</v>
      </c>
      <c r="J1654">
        <v>77.8</v>
      </c>
      <c r="K1654">
        <v>84.7</v>
      </c>
      <c r="L1654">
        <v>74.7</v>
      </c>
      <c r="M1654">
        <v>78.5</v>
      </c>
      <c r="N1654">
        <v>64</v>
      </c>
      <c r="O1654">
        <v>62.6</v>
      </c>
      <c r="S1654">
        <f t="shared" si="253"/>
        <v>1</v>
      </c>
      <c r="T1654">
        <f t="shared" si="254"/>
        <v>1</v>
      </c>
      <c r="U1654">
        <f t="shared" si="255"/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30</v>
      </c>
      <c r="AC1654">
        <v>18.3</v>
      </c>
      <c r="AG1654">
        <f t="shared" si="256"/>
        <v>0</v>
      </c>
      <c r="AH1654">
        <f t="shared" si="257"/>
        <v>0</v>
      </c>
      <c r="AI1654">
        <f t="shared" si="258"/>
        <v>0</v>
      </c>
      <c r="AJ1654">
        <v>313.3</v>
      </c>
      <c r="AK1654">
        <v>1011.5</v>
      </c>
      <c r="AL1654">
        <v>47</v>
      </c>
      <c r="AM1654">
        <v>6.2</v>
      </c>
      <c r="AN1654">
        <v>250.1</v>
      </c>
      <c r="AO1654">
        <v>21.6</v>
      </c>
      <c r="AP1654">
        <v>8</v>
      </c>
      <c r="AQ1654">
        <v>0</v>
      </c>
      <c r="AR1654" t="s">
        <v>5563</v>
      </c>
      <c r="AS1654" t="s">
        <v>5564</v>
      </c>
      <c r="AT1654">
        <v>0.2</v>
      </c>
      <c r="AU1654" t="s">
        <v>43</v>
      </c>
      <c r="AV1654" t="s">
        <v>44</v>
      </c>
      <c r="AW1654" t="s">
        <v>45</v>
      </c>
      <c r="AX1654" t="s">
        <v>2529</v>
      </c>
      <c r="AY1654" t="s">
        <v>5565</v>
      </c>
      <c r="AZ1654">
        <v>1255.0000000046571</v>
      </c>
      <c r="BA1654">
        <v>1</v>
      </c>
      <c r="BB1654">
        <v>0</v>
      </c>
      <c r="BC1654">
        <v>15</v>
      </c>
      <c r="BD1654">
        <v>0</v>
      </c>
      <c r="BE1654">
        <f t="shared" si="259"/>
        <v>0</v>
      </c>
    </row>
    <row r="1655" spans="1:57" x14ac:dyDescent="0.25">
      <c r="A1655" t="s">
        <v>39</v>
      </c>
      <c r="B1655" t="s">
        <v>5562</v>
      </c>
      <c r="C1655">
        <v>82.4</v>
      </c>
      <c r="D1655">
        <v>74.7</v>
      </c>
      <c r="G1655">
        <f t="shared" si="250"/>
        <v>0</v>
      </c>
      <c r="H1655">
        <f t="shared" si="251"/>
        <v>0</v>
      </c>
      <c r="I1655">
        <f t="shared" si="252"/>
        <v>0</v>
      </c>
      <c r="J1655">
        <v>77.8</v>
      </c>
      <c r="K1655">
        <v>84.7</v>
      </c>
      <c r="L1655">
        <v>74.7</v>
      </c>
      <c r="M1655">
        <v>78.5</v>
      </c>
      <c r="N1655">
        <v>64</v>
      </c>
      <c r="O1655">
        <v>62.6</v>
      </c>
      <c r="S1655">
        <f t="shared" si="253"/>
        <v>1</v>
      </c>
      <c r="T1655">
        <f t="shared" si="254"/>
        <v>1</v>
      </c>
      <c r="U1655">
        <f t="shared" si="255"/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30</v>
      </c>
      <c r="AC1655">
        <v>18.3</v>
      </c>
      <c r="AG1655">
        <f t="shared" si="256"/>
        <v>0</v>
      </c>
      <c r="AH1655">
        <f t="shared" si="257"/>
        <v>0</v>
      </c>
      <c r="AI1655">
        <f t="shared" si="258"/>
        <v>0</v>
      </c>
      <c r="AJ1655">
        <v>313.3</v>
      </c>
      <c r="AK1655">
        <v>1011.5</v>
      </c>
      <c r="AL1655">
        <v>47</v>
      </c>
      <c r="AM1655">
        <v>6.2</v>
      </c>
      <c r="AN1655">
        <v>250.1</v>
      </c>
      <c r="AO1655">
        <v>21.6</v>
      </c>
      <c r="AP1655">
        <v>8</v>
      </c>
      <c r="AQ1655">
        <v>0</v>
      </c>
      <c r="AR1655" t="s">
        <v>5563</v>
      </c>
      <c r="AS1655" t="s">
        <v>5564</v>
      </c>
      <c r="AT1655">
        <v>0.2</v>
      </c>
      <c r="AU1655" t="s">
        <v>43</v>
      </c>
      <c r="AV1655" t="s">
        <v>44</v>
      </c>
      <c r="AW1655" t="s">
        <v>45</v>
      </c>
      <c r="AX1655" t="s">
        <v>4132</v>
      </c>
      <c r="AY1655" t="s">
        <v>5566</v>
      </c>
      <c r="AZ1655">
        <v>679.99999999534339</v>
      </c>
      <c r="BA1655">
        <v>1</v>
      </c>
      <c r="BB1655">
        <v>0</v>
      </c>
      <c r="BC1655">
        <v>1</v>
      </c>
      <c r="BD1655">
        <v>0</v>
      </c>
      <c r="BE1655">
        <f t="shared" si="259"/>
        <v>0</v>
      </c>
    </row>
    <row r="1656" spans="1:57" x14ac:dyDescent="0.25">
      <c r="A1656" t="s">
        <v>39</v>
      </c>
      <c r="B1656" t="s">
        <v>5567</v>
      </c>
      <c r="C1656">
        <v>86</v>
      </c>
      <c r="D1656">
        <v>66.5</v>
      </c>
      <c r="G1656">
        <f t="shared" si="250"/>
        <v>1</v>
      </c>
      <c r="H1656">
        <f t="shared" si="251"/>
        <v>1</v>
      </c>
      <c r="I1656">
        <f t="shared" si="252"/>
        <v>0</v>
      </c>
      <c r="J1656">
        <v>77.7</v>
      </c>
      <c r="K1656">
        <v>92</v>
      </c>
      <c r="L1656">
        <v>66.5</v>
      </c>
      <c r="M1656">
        <v>79.7</v>
      </c>
      <c r="N1656">
        <v>67.3</v>
      </c>
      <c r="O1656">
        <v>71.099999999999994</v>
      </c>
      <c r="S1656">
        <f t="shared" si="253"/>
        <v>1</v>
      </c>
      <c r="T1656">
        <f t="shared" si="254"/>
        <v>1</v>
      </c>
      <c r="U1656">
        <f t="shared" si="255"/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30</v>
      </c>
      <c r="AC1656">
        <v>11.4</v>
      </c>
      <c r="AG1656">
        <f t="shared" si="256"/>
        <v>1</v>
      </c>
      <c r="AH1656">
        <f t="shared" si="257"/>
        <v>0</v>
      </c>
      <c r="AI1656">
        <f t="shared" si="258"/>
        <v>1</v>
      </c>
      <c r="AJ1656">
        <v>111.7</v>
      </c>
      <c r="AK1656">
        <v>1007.1</v>
      </c>
      <c r="AL1656">
        <v>33.799999999999997</v>
      </c>
      <c r="AM1656">
        <v>6.3</v>
      </c>
      <c r="AN1656">
        <v>258.3</v>
      </c>
      <c r="AO1656">
        <v>22.4</v>
      </c>
      <c r="AP1656">
        <v>8</v>
      </c>
      <c r="AQ1656">
        <v>0</v>
      </c>
      <c r="AR1656" t="s">
        <v>5568</v>
      </c>
      <c r="AS1656" t="s">
        <v>5569</v>
      </c>
      <c r="AT1656">
        <v>0.25</v>
      </c>
      <c r="AU1656" t="s">
        <v>43</v>
      </c>
      <c r="AV1656" t="s">
        <v>80</v>
      </c>
      <c r="AW1656" t="s">
        <v>45</v>
      </c>
      <c r="AX1656" t="s">
        <v>5570</v>
      </c>
      <c r="AY1656" t="s">
        <v>5571</v>
      </c>
      <c r="AZ1656">
        <v>971.00000000093132</v>
      </c>
      <c r="BA1656">
        <v>1</v>
      </c>
      <c r="BB1656">
        <v>0</v>
      </c>
      <c r="BC1656">
        <v>70</v>
      </c>
      <c r="BD1656">
        <v>0</v>
      </c>
      <c r="BE1656">
        <f t="shared" si="259"/>
        <v>1</v>
      </c>
    </row>
    <row r="1657" spans="1:57" x14ac:dyDescent="0.25">
      <c r="A1657" t="s">
        <v>39</v>
      </c>
      <c r="B1657" t="s">
        <v>5572</v>
      </c>
      <c r="C1657">
        <v>85.4</v>
      </c>
      <c r="D1657">
        <v>68</v>
      </c>
      <c r="G1657">
        <f t="shared" si="250"/>
        <v>1</v>
      </c>
      <c r="H1657">
        <f t="shared" si="251"/>
        <v>1</v>
      </c>
      <c r="I1657">
        <f t="shared" si="252"/>
        <v>0</v>
      </c>
      <c r="J1657">
        <v>76.8</v>
      </c>
      <c r="K1657">
        <v>87.2</v>
      </c>
      <c r="L1657">
        <v>68</v>
      </c>
      <c r="M1657">
        <v>78.099999999999994</v>
      </c>
      <c r="N1657">
        <v>67.099999999999994</v>
      </c>
      <c r="O1657">
        <v>72.7</v>
      </c>
      <c r="S1657">
        <f t="shared" si="253"/>
        <v>1</v>
      </c>
      <c r="T1657">
        <f t="shared" si="254"/>
        <v>1</v>
      </c>
      <c r="U1657">
        <f t="shared" si="255"/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24.8</v>
      </c>
      <c r="AC1657">
        <v>20.8</v>
      </c>
      <c r="AG1657">
        <f t="shared" si="256"/>
        <v>1</v>
      </c>
      <c r="AH1657">
        <f t="shared" si="257"/>
        <v>1</v>
      </c>
      <c r="AI1657">
        <f t="shared" si="258"/>
        <v>0</v>
      </c>
      <c r="AJ1657">
        <v>303.7</v>
      </c>
      <c r="AK1657">
        <v>1007.8</v>
      </c>
      <c r="AL1657">
        <v>28.1</v>
      </c>
      <c r="AM1657">
        <v>6.2</v>
      </c>
      <c r="AN1657">
        <v>254.5</v>
      </c>
      <c r="AO1657">
        <v>22</v>
      </c>
      <c r="AP1657">
        <v>9</v>
      </c>
      <c r="AQ1657">
        <v>0</v>
      </c>
      <c r="AR1657" t="s">
        <v>5573</v>
      </c>
      <c r="AS1657" t="s">
        <v>5574</v>
      </c>
      <c r="AT1657">
        <v>0.37</v>
      </c>
      <c r="AU1657" t="s">
        <v>43</v>
      </c>
      <c r="AV1657" t="s">
        <v>44</v>
      </c>
      <c r="AW1657" t="s">
        <v>45</v>
      </c>
      <c r="AX1657" t="s">
        <v>2341</v>
      </c>
      <c r="AY1657" t="s">
        <v>5575</v>
      </c>
      <c r="AZ1657">
        <v>235.00000000116421</v>
      </c>
      <c r="BA1657">
        <v>0</v>
      </c>
      <c r="BB1657">
        <v>0</v>
      </c>
      <c r="BC1657">
        <v>1</v>
      </c>
      <c r="BD1657">
        <v>0</v>
      </c>
      <c r="BE1657">
        <f t="shared" si="259"/>
        <v>1</v>
      </c>
    </row>
    <row r="1658" spans="1:57" x14ac:dyDescent="0.25">
      <c r="A1658" t="s">
        <v>39</v>
      </c>
      <c r="B1658" t="s">
        <v>5572</v>
      </c>
      <c r="C1658">
        <v>85.4</v>
      </c>
      <c r="D1658">
        <v>68</v>
      </c>
      <c r="G1658">
        <f t="shared" si="250"/>
        <v>1</v>
      </c>
      <c r="H1658">
        <f t="shared" si="251"/>
        <v>1</v>
      </c>
      <c r="I1658">
        <f t="shared" si="252"/>
        <v>0</v>
      </c>
      <c r="J1658">
        <v>76.8</v>
      </c>
      <c r="K1658">
        <v>87.2</v>
      </c>
      <c r="L1658">
        <v>68</v>
      </c>
      <c r="M1658">
        <v>78.099999999999994</v>
      </c>
      <c r="N1658">
        <v>67.099999999999994</v>
      </c>
      <c r="O1658">
        <v>72.7</v>
      </c>
      <c r="S1658">
        <f t="shared" si="253"/>
        <v>1</v>
      </c>
      <c r="T1658">
        <f t="shared" si="254"/>
        <v>1</v>
      </c>
      <c r="U1658">
        <f t="shared" si="255"/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24.8</v>
      </c>
      <c r="AC1658">
        <v>20.8</v>
      </c>
      <c r="AG1658">
        <f t="shared" si="256"/>
        <v>1</v>
      </c>
      <c r="AH1658">
        <f t="shared" si="257"/>
        <v>1</v>
      </c>
      <c r="AI1658">
        <f t="shared" si="258"/>
        <v>0</v>
      </c>
      <c r="AJ1658">
        <v>303.7</v>
      </c>
      <c r="AK1658">
        <v>1007.8</v>
      </c>
      <c r="AL1658">
        <v>28.1</v>
      </c>
      <c r="AM1658">
        <v>6.2</v>
      </c>
      <c r="AN1658">
        <v>254.5</v>
      </c>
      <c r="AO1658">
        <v>22</v>
      </c>
      <c r="AP1658">
        <v>9</v>
      </c>
      <c r="AQ1658">
        <v>0</v>
      </c>
      <c r="AR1658" t="s">
        <v>5573</v>
      </c>
      <c r="AS1658" t="s">
        <v>5574</v>
      </c>
      <c r="AT1658">
        <v>0.37</v>
      </c>
      <c r="AU1658" t="s">
        <v>43</v>
      </c>
      <c r="AV1658" t="s">
        <v>44</v>
      </c>
      <c r="AW1658" t="s">
        <v>45</v>
      </c>
      <c r="AX1658" t="s">
        <v>4223</v>
      </c>
      <c r="AY1658" t="s">
        <v>5576</v>
      </c>
      <c r="AZ1658">
        <v>174.99999999417921</v>
      </c>
      <c r="BA1658">
        <v>0</v>
      </c>
      <c r="BB1658">
        <v>0</v>
      </c>
      <c r="BC1658">
        <v>1</v>
      </c>
      <c r="BD1658">
        <v>0</v>
      </c>
      <c r="BE1658">
        <f t="shared" si="259"/>
        <v>1</v>
      </c>
    </row>
    <row r="1659" spans="1:57" x14ac:dyDescent="0.25">
      <c r="A1659" t="s">
        <v>39</v>
      </c>
      <c r="B1659" t="s">
        <v>5577</v>
      </c>
      <c r="C1659">
        <v>82.4</v>
      </c>
      <c r="D1659">
        <v>69.8</v>
      </c>
      <c r="G1659">
        <f t="shared" si="250"/>
        <v>1</v>
      </c>
      <c r="H1659">
        <f t="shared" si="251"/>
        <v>1</v>
      </c>
      <c r="I1659">
        <f t="shared" si="252"/>
        <v>0</v>
      </c>
      <c r="J1659">
        <v>76.5</v>
      </c>
      <c r="K1659">
        <v>87.2</v>
      </c>
      <c r="L1659">
        <v>69.8</v>
      </c>
      <c r="M1659">
        <v>77.7</v>
      </c>
      <c r="N1659">
        <v>67.7</v>
      </c>
      <c r="O1659">
        <v>74.599999999999994</v>
      </c>
      <c r="S1659">
        <f t="shared" si="253"/>
        <v>1</v>
      </c>
      <c r="T1659">
        <f t="shared" si="254"/>
        <v>1</v>
      </c>
      <c r="U1659">
        <f t="shared" si="255"/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20.8</v>
      </c>
      <c r="AC1659">
        <v>11.4</v>
      </c>
      <c r="AG1659">
        <f t="shared" si="256"/>
        <v>1</v>
      </c>
      <c r="AH1659">
        <f t="shared" si="257"/>
        <v>0</v>
      </c>
      <c r="AI1659">
        <f t="shared" si="258"/>
        <v>1</v>
      </c>
      <c r="AJ1659">
        <v>309.3</v>
      </c>
      <c r="AK1659">
        <v>1012.3</v>
      </c>
      <c r="AL1659">
        <v>33.4</v>
      </c>
      <c r="AM1659">
        <v>6.2</v>
      </c>
      <c r="AN1659">
        <v>229.1</v>
      </c>
      <c r="AO1659">
        <v>19.899999999999999</v>
      </c>
      <c r="AP1659">
        <v>8</v>
      </c>
      <c r="AQ1659">
        <v>0</v>
      </c>
      <c r="AR1659" t="s">
        <v>5578</v>
      </c>
      <c r="AS1659" t="s">
        <v>5579</v>
      </c>
      <c r="AT1659">
        <v>0.48</v>
      </c>
      <c r="AU1659" t="s">
        <v>43</v>
      </c>
      <c r="AV1659" t="s">
        <v>44</v>
      </c>
      <c r="AW1659" t="s">
        <v>45</v>
      </c>
      <c r="AX1659" t="s">
        <v>4208</v>
      </c>
      <c r="AY1659" t="s">
        <v>5580</v>
      </c>
      <c r="AZ1659">
        <v>34.999999998835847</v>
      </c>
      <c r="BA1659">
        <v>0</v>
      </c>
      <c r="BB1659">
        <v>0</v>
      </c>
      <c r="BC1659">
        <v>0.5</v>
      </c>
      <c r="BD1659">
        <v>0</v>
      </c>
      <c r="BE1659">
        <f t="shared" si="259"/>
        <v>1</v>
      </c>
    </row>
    <row r="1660" spans="1:57" x14ac:dyDescent="0.25">
      <c r="A1660" t="s">
        <v>39</v>
      </c>
      <c r="B1660" t="s">
        <v>5577</v>
      </c>
      <c r="C1660">
        <v>82.4</v>
      </c>
      <c r="D1660">
        <v>69.8</v>
      </c>
      <c r="G1660">
        <f t="shared" si="250"/>
        <v>1</v>
      </c>
      <c r="H1660">
        <f t="shared" si="251"/>
        <v>1</v>
      </c>
      <c r="I1660">
        <f t="shared" si="252"/>
        <v>0</v>
      </c>
      <c r="J1660">
        <v>76.5</v>
      </c>
      <c r="K1660">
        <v>87.2</v>
      </c>
      <c r="L1660">
        <v>69.8</v>
      </c>
      <c r="M1660">
        <v>77.7</v>
      </c>
      <c r="N1660">
        <v>67.7</v>
      </c>
      <c r="O1660">
        <v>74.599999999999994</v>
      </c>
      <c r="S1660">
        <f t="shared" si="253"/>
        <v>1</v>
      </c>
      <c r="T1660">
        <f t="shared" si="254"/>
        <v>1</v>
      </c>
      <c r="U1660">
        <f t="shared" si="255"/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20.8</v>
      </c>
      <c r="AC1660">
        <v>11.4</v>
      </c>
      <c r="AG1660">
        <f t="shared" si="256"/>
        <v>1</v>
      </c>
      <c r="AH1660">
        <f t="shared" si="257"/>
        <v>0</v>
      </c>
      <c r="AI1660">
        <f t="shared" si="258"/>
        <v>1</v>
      </c>
      <c r="AJ1660">
        <v>309.3</v>
      </c>
      <c r="AK1660">
        <v>1012.3</v>
      </c>
      <c r="AL1660">
        <v>33.4</v>
      </c>
      <c r="AM1660">
        <v>6.2</v>
      </c>
      <c r="AN1660">
        <v>229.1</v>
      </c>
      <c r="AO1660">
        <v>19.899999999999999</v>
      </c>
      <c r="AP1660">
        <v>8</v>
      </c>
      <c r="AQ1660">
        <v>0</v>
      </c>
      <c r="AR1660" t="s">
        <v>5578</v>
      </c>
      <c r="AS1660" t="s">
        <v>5579</v>
      </c>
      <c r="AT1660">
        <v>0.48</v>
      </c>
      <c r="AU1660" t="s">
        <v>43</v>
      </c>
      <c r="AV1660" t="s">
        <v>44</v>
      </c>
      <c r="AW1660" t="s">
        <v>45</v>
      </c>
      <c r="AX1660" t="s">
        <v>2486</v>
      </c>
      <c r="AY1660" t="s">
        <v>5581</v>
      </c>
      <c r="AZ1660">
        <v>90</v>
      </c>
      <c r="BA1660">
        <v>0</v>
      </c>
      <c r="BB1660">
        <v>0</v>
      </c>
      <c r="BC1660">
        <v>1</v>
      </c>
      <c r="BD1660">
        <v>0</v>
      </c>
      <c r="BE1660">
        <f t="shared" si="259"/>
        <v>1</v>
      </c>
    </row>
    <row r="1661" spans="1:57" x14ac:dyDescent="0.25">
      <c r="A1661" t="s">
        <v>39</v>
      </c>
      <c r="B1661" t="s">
        <v>5582</v>
      </c>
      <c r="C1661">
        <v>82.4</v>
      </c>
      <c r="D1661">
        <v>68</v>
      </c>
      <c r="G1661">
        <f t="shared" si="250"/>
        <v>1</v>
      </c>
      <c r="H1661">
        <f t="shared" si="251"/>
        <v>1</v>
      </c>
      <c r="I1661">
        <f t="shared" si="252"/>
        <v>0</v>
      </c>
      <c r="J1661">
        <v>74.900000000000006</v>
      </c>
      <c r="K1661">
        <v>87.2</v>
      </c>
      <c r="L1661">
        <v>68</v>
      </c>
      <c r="M1661">
        <v>76.2</v>
      </c>
      <c r="N1661">
        <v>66.3</v>
      </c>
      <c r="O1661">
        <v>74.8</v>
      </c>
      <c r="S1661">
        <f t="shared" si="253"/>
        <v>1</v>
      </c>
      <c r="T1661">
        <f t="shared" si="254"/>
        <v>1</v>
      </c>
      <c r="U1661">
        <f t="shared" si="255"/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31.1</v>
      </c>
      <c r="AC1661">
        <v>11.4</v>
      </c>
      <c r="AG1661">
        <f t="shared" si="256"/>
        <v>1</v>
      </c>
      <c r="AH1661">
        <f t="shared" si="257"/>
        <v>0</v>
      </c>
      <c r="AI1661">
        <f t="shared" si="258"/>
        <v>1</v>
      </c>
      <c r="AJ1661">
        <v>277.2</v>
      </c>
      <c r="AK1661">
        <v>1012.7</v>
      </c>
      <c r="AL1661">
        <v>29.6</v>
      </c>
      <c r="AM1661">
        <v>6.2</v>
      </c>
      <c r="AN1661">
        <v>254.2</v>
      </c>
      <c r="AO1661">
        <v>22</v>
      </c>
      <c r="AP1661">
        <v>8</v>
      </c>
      <c r="AQ1661">
        <v>0</v>
      </c>
      <c r="AR1661" t="s">
        <v>5583</v>
      </c>
      <c r="AS1661" t="s">
        <v>5584</v>
      </c>
      <c r="AT1661">
        <v>0.57999999999999996</v>
      </c>
      <c r="AU1661" t="s">
        <v>43</v>
      </c>
      <c r="AV1661" t="s">
        <v>44</v>
      </c>
      <c r="AW1661" t="s">
        <v>45</v>
      </c>
      <c r="AX1661" t="s">
        <v>2486</v>
      </c>
      <c r="AY1661" t="s">
        <v>5585</v>
      </c>
      <c r="AZ1661">
        <v>515.00000000232831</v>
      </c>
      <c r="BA1661">
        <v>1</v>
      </c>
      <c r="BB1661">
        <v>0</v>
      </c>
      <c r="BC1661">
        <v>5</v>
      </c>
      <c r="BD1661">
        <v>0</v>
      </c>
      <c r="BE1661">
        <f t="shared" si="259"/>
        <v>1</v>
      </c>
    </row>
    <row r="1662" spans="1:57" x14ac:dyDescent="0.25">
      <c r="A1662" t="s">
        <v>39</v>
      </c>
      <c r="B1662" t="s">
        <v>5582</v>
      </c>
      <c r="C1662">
        <v>82.4</v>
      </c>
      <c r="D1662">
        <v>68</v>
      </c>
      <c r="G1662">
        <f t="shared" si="250"/>
        <v>1</v>
      </c>
      <c r="H1662">
        <f t="shared" si="251"/>
        <v>1</v>
      </c>
      <c r="I1662">
        <f t="shared" si="252"/>
        <v>0</v>
      </c>
      <c r="J1662">
        <v>74.900000000000006</v>
      </c>
      <c r="K1662">
        <v>87.2</v>
      </c>
      <c r="L1662">
        <v>68</v>
      </c>
      <c r="M1662">
        <v>76.2</v>
      </c>
      <c r="N1662">
        <v>66.3</v>
      </c>
      <c r="O1662">
        <v>74.8</v>
      </c>
      <c r="S1662">
        <f t="shared" si="253"/>
        <v>1</v>
      </c>
      <c r="T1662">
        <f t="shared" si="254"/>
        <v>1</v>
      </c>
      <c r="U1662">
        <f t="shared" si="255"/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31.1</v>
      </c>
      <c r="AC1662">
        <v>11.4</v>
      </c>
      <c r="AG1662">
        <f t="shared" si="256"/>
        <v>1</v>
      </c>
      <c r="AH1662">
        <f t="shared" si="257"/>
        <v>0</v>
      </c>
      <c r="AI1662">
        <f t="shared" si="258"/>
        <v>1</v>
      </c>
      <c r="AJ1662">
        <v>277.2</v>
      </c>
      <c r="AK1662">
        <v>1012.7</v>
      </c>
      <c r="AL1662">
        <v>29.6</v>
      </c>
      <c r="AM1662">
        <v>6.2</v>
      </c>
      <c r="AN1662">
        <v>254.2</v>
      </c>
      <c r="AO1662">
        <v>22</v>
      </c>
      <c r="AP1662">
        <v>8</v>
      </c>
      <c r="AQ1662">
        <v>0</v>
      </c>
      <c r="AR1662" t="s">
        <v>5583</v>
      </c>
      <c r="AS1662" t="s">
        <v>5584</v>
      </c>
      <c r="AT1662">
        <v>0.57999999999999996</v>
      </c>
      <c r="AU1662" t="s">
        <v>43</v>
      </c>
      <c r="AV1662" t="s">
        <v>44</v>
      </c>
      <c r="AW1662" t="s">
        <v>45</v>
      </c>
      <c r="AX1662" t="s">
        <v>2582</v>
      </c>
      <c r="AY1662" t="s">
        <v>5586</v>
      </c>
      <c r="AZ1662">
        <v>510.00000000698492</v>
      </c>
      <c r="BA1662">
        <v>1</v>
      </c>
      <c r="BB1662">
        <v>0</v>
      </c>
      <c r="BC1662">
        <v>15</v>
      </c>
      <c r="BD1662">
        <v>0</v>
      </c>
      <c r="BE1662">
        <f t="shared" si="259"/>
        <v>1</v>
      </c>
    </row>
    <row r="1663" spans="1:57" x14ac:dyDescent="0.25">
      <c r="A1663" t="s">
        <v>39</v>
      </c>
      <c r="B1663" t="s">
        <v>5587</v>
      </c>
      <c r="C1663">
        <v>82.4</v>
      </c>
      <c r="D1663">
        <v>69.8</v>
      </c>
      <c r="G1663">
        <f t="shared" si="250"/>
        <v>1</v>
      </c>
      <c r="H1663">
        <f t="shared" si="251"/>
        <v>1</v>
      </c>
      <c r="I1663">
        <f t="shared" si="252"/>
        <v>0</v>
      </c>
      <c r="J1663">
        <v>76.3</v>
      </c>
      <c r="K1663">
        <v>85.4</v>
      </c>
      <c r="L1663">
        <v>69.8</v>
      </c>
      <c r="M1663">
        <v>77</v>
      </c>
      <c r="N1663">
        <v>66.3</v>
      </c>
      <c r="O1663">
        <v>71.7</v>
      </c>
      <c r="S1663">
        <f t="shared" si="253"/>
        <v>1</v>
      </c>
      <c r="T1663">
        <f t="shared" si="254"/>
        <v>1</v>
      </c>
      <c r="U1663">
        <f t="shared" si="255"/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23</v>
      </c>
      <c r="AC1663">
        <v>11.4</v>
      </c>
      <c r="AG1663">
        <f t="shared" si="256"/>
        <v>1</v>
      </c>
      <c r="AH1663">
        <f t="shared" si="257"/>
        <v>0</v>
      </c>
      <c r="AI1663">
        <f t="shared" si="258"/>
        <v>1</v>
      </c>
      <c r="AJ1663">
        <v>327.10000000000002</v>
      </c>
      <c r="AK1663">
        <v>1011</v>
      </c>
      <c r="AL1663">
        <v>34.299999999999997</v>
      </c>
      <c r="AM1663">
        <v>6.2</v>
      </c>
      <c r="AN1663">
        <v>218.5</v>
      </c>
      <c r="AO1663">
        <v>18.899999999999999</v>
      </c>
      <c r="AP1663">
        <v>7</v>
      </c>
      <c r="AQ1663">
        <v>0</v>
      </c>
      <c r="AR1663" t="s">
        <v>5588</v>
      </c>
      <c r="AS1663" t="s">
        <v>5589</v>
      </c>
      <c r="AT1663">
        <v>0.77</v>
      </c>
      <c r="AU1663" t="s">
        <v>43</v>
      </c>
      <c r="AV1663" t="s">
        <v>44</v>
      </c>
      <c r="AW1663" t="s">
        <v>45</v>
      </c>
      <c r="AX1663" t="s">
        <v>4990</v>
      </c>
      <c r="AY1663" t="s">
        <v>5590</v>
      </c>
      <c r="AZ1663">
        <v>1176.999999991385</v>
      </c>
      <c r="BA1663">
        <v>1</v>
      </c>
      <c r="BB1663">
        <v>0</v>
      </c>
      <c r="BC1663">
        <v>15</v>
      </c>
      <c r="BD1663">
        <v>0</v>
      </c>
      <c r="BE1663">
        <f t="shared" si="259"/>
        <v>1</v>
      </c>
    </row>
    <row r="1664" spans="1:57" x14ac:dyDescent="0.25">
      <c r="A1664" t="s">
        <v>39</v>
      </c>
      <c r="B1664" t="s">
        <v>5587</v>
      </c>
      <c r="C1664">
        <v>82.4</v>
      </c>
      <c r="D1664">
        <v>69.8</v>
      </c>
      <c r="G1664">
        <f t="shared" si="250"/>
        <v>1</v>
      </c>
      <c r="H1664">
        <f t="shared" si="251"/>
        <v>1</v>
      </c>
      <c r="I1664">
        <f t="shared" si="252"/>
        <v>0</v>
      </c>
      <c r="J1664">
        <v>76.3</v>
      </c>
      <c r="K1664">
        <v>85.4</v>
      </c>
      <c r="L1664">
        <v>69.8</v>
      </c>
      <c r="M1664">
        <v>77</v>
      </c>
      <c r="N1664">
        <v>66.3</v>
      </c>
      <c r="O1664">
        <v>71.7</v>
      </c>
      <c r="S1664">
        <f t="shared" si="253"/>
        <v>1</v>
      </c>
      <c r="T1664">
        <f t="shared" si="254"/>
        <v>1</v>
      </c>
      <c r="U1664">
        <f t="shared" si="255"/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23</v>
      </c>
      <c r="AC1664">
        <v>11.4</v>
      </c>
      <c r="AG1664">
        <f t="shared" si="256"/>
        <v>1</v>
      </c>
      <c r="AH1664">
        <f t="shared" si="257"/>
        <v>0</v>
      </c>
      <c r="AI1664">
        <f t="shared" si="258"/>
        <v>1</v>
      </c>
      <c r="AJ1664">
        <v>327.10000000000002</v>
      </c>
      <c r="AK1664">
        <v>1011</v>
      </c>
      <c r="AL1664">
        <v>34.299999999999997</v>
      </c>
      <c r="AM1664">
        <v>6.2</v>
      </c>
      <c r="AN1664">
        <v>218.5</v>
      </c>
      <c r="AO1664">
        <v>18.899999999999999</v>
      </c>
      <c r="AP1664">
        <v>7</v>
      </c>
      <c r="AQ1664">
        <v>0</v>
      </c>
      <c r="AR1664" t="s">
        <v>5588</v>
      </c>
      <c r="AS1664" t="s">
        <v>5589</v>
      </c>
      <c r="AT1664">
        <v>0.77</v>
      </c>
      <c r="AU1664" t="s">
        <v>43</v>
      </c>
      <c r="AV1664" t="s">
        <v>44</v>
      </c>
      <c r="AW1664" t="s">
        <v>45</v>
      </c>
      <c r="AX1664" t="s">
        <v>2476</v>
      </c>
      <c r="AY1664" t="s">
        <v>5591</v>
      </c>
      <c r="AZ1664">
        <v>1129.9999999953429</v>
      </c>
      <c r="BA1664">
        <v>1</v>
      </c>
      <c r="BB1664">
        <v>20</v>
      </c>
      <c r="BC1664">
        <v>0</v>
      </c>
      <c r="BD1664">
        <v>0</v>
      </c>
      <c r="BE1664">
        <f t="shared" si="259"/>
        <v>1</v>
      </c>
    </row>
    <row r="1665" spans="1:57" x14ac:dyDescent="0.25">
      <c r="A1665" t="s">
        <v>39</v>
      </c>
      <c r="B1665" t="s">
        <v>5592</v>
      </c>
      <c r="C1665">
        <v>78.8</v>
      </c>
      <c r="D1665">
        <v>70.099999999999994</v>
      </c>
      <c r="G1665">
        <f t="shared" si="250"/>
        <v>0</v>
      </c>
      <c r="H1665">
        <f t="shared" si="251"/>
        <v>0</v>
      </c>
      <c r="I1665">
        <f t="shared" si="252"/>
        <v>0</v>
      </c>
      <c r="J1665">
        <v>75.599999999999994</v>
      </c>
      <c r="K1665">
        <v>78.8</v>
      </c>
      <c r="L1665">
        <v>70.099999999999994</v>
      </c>
      <c r="M1665">
        <v>75.599999999999994</v>
      </c>
      <c r="N1665">
        <v>64.5</v>
      </c>
      <c r="O1665">
        <v>68.8</v>
      </c>
      <c r="S1665">
        <f t="shared" si="253"/>
        <v>0</v>
      </c>
      <c r="T1665">
        <f t="shared" si="254"/>
        <v>0</v>
      </c>
      <c r="U1665">
        <f t="shared" si="255"/>
        <v>0</v>
      </c>
      <c r="V1665">
        <v>0.11700000000000001</v>
      </c>
      <c r="W1665">
        <v>100</v>
      </c>
      <c r="X1665">
        <v>4.17</v>
      </c>
      <c r="Y1665" t="s">
        <v>103</v>
      </c>
      <c r="Z1665">
        <v>0</v>
      </c>
      <c r="AA1665">
        <v>0</v>
      </c>
      <c r="AB1665">
        <v>25.9</v>
      </c>
      <c r="AC1665">
        <v>15</v>
      </c>
      <c r="AG1665">
        <f t="shared" si="256"/>
        <v>1</v>
      </c>
      <c r="AH1665">
        <f t="shared" si="257"/>
        <v>0</v>
      </c>
      <c r="AI1665">
        <f t="shared" si="258"/>
        <v>1</v>
      </c>
      <c r="AJ1665">
        <v>334.4</v>
      </c>
      <c r="AK1665">
        <v>1014.4</v>
      </c>
      <c r="AL1665">
        <v>40.4</v>
      </c>
      <c r="AM1665">
        <v>6.2</v>
      </c>
      <c r="AN1665">
        <v>210.6</v>
      </c>
      <c r="AO1665">
        <v>18.100000000000001</v>
      </c>
      <c r="AP1665">
        <v>7</v>
      </c>
      <c r="AQ1665">
        <v>0</v>
      </c>
      <c r="AR1665" t="s">
        <v>5593</v>
      </c>
      <c r="AS1665" t="s">
        <v>5594</v>
      </c>
      <c r="AT1665">
        <v>0.81</v>
      </c>
      <c r="AU1665" t="s">
        <v>106</v>
      </c>
      <c r="AV1665" t="s">
        <v>433</v>
      </c>
      <c r="AW1665" t="s">
        <v>103</v>
      </c>
      <c r="AX1665" t="s">
        <v>5595</v>
      </c>
      <c r="AY1665" t="s">
        <v>5596</v>
      </c>
      <c r="AZ1665">
        <v>37.999999998137348</v>
      </c>
      <c r="BA1665">
        <v>0</v>
      </c>
      <c r="BB1665">
        <v>0</v>
      </c>
      <c r="BC1665">
        <v>0.5</v>
      </c>
      <c r="BD1665">
        <v>0</v>
      </c>
      <c r="BE1665">
        <f t="shared" si="259"/>
        <v>0</v>
      </c>
    </row>
    <row r="1666" spans="1:57" x14ac:dyDescent="0.25">
      <c r="A1666" t="s">
        <v>39</v>
      </c>
      <c r="B1666" t="s">
        <v>5592</v>
      </c>
      <c r="C1666">
        <v>78.8</v>
      </c>
      <c r="D1666">
        <v>70.099999999999994</v>
      </c>
      <c r="G1666">
        <f t="shared" si="250"/>
        <v>0</v>
      </c>
      <c r="H1666">
        <f t="shared" si="251"/>
        <v>0</v>
      </c>
      <c r="I1666">
        <f t="shared" si="252"/>
        <v>0</v>
      </c>
      <c r="J1666">
        <v>75.599999999999994</v>
      </c>
      <c r="K1666">
        <v>78.8</v>
      </c>
      <c r="L1666">
        <v>70.099999999999994</v>
      </c>
      <c r="M1666">
        <v>75.599999999999994</v>
      </c>
      <c r="N1666">
        <v>64.5</v>
      </c>
      <c r="O1666">
        <v>68.8</v>
      </c>
      <c r="S1666">
        <f t="shared" si="253"/>
        <v>0</v>
      </c>
      <c r="T1666">
        <f t="shared" si="254"/>
        <v>0</v>
      </c>
      <c r="U1666">
        <f t="shared" si="255"/>
        <v>0</v>
      </c>
      <c r="V1666">
        <v>0.11700000000000001</v>
      </c>
      <c r="W1666">
        <v>100</v>
      </c>
      <c r="X1666">
        <v>4.17</v>
      </c>
      <c r="Y1666" t="s">
        <v>103</v>
      </c>
      <c r="Z1666">
        <v>0</v>
      </c>
      <c r="AA1666">
        <v>0</v>
      </c>
      <c r="AB1666">
        <v>25.9</v>
      </c>
      <c r="AC1666">
        <v>15</v>
      </c>
      <c r="AG1666">
        <f t="shared" si="256"/>
        <v>1</v>
      </c>
      <c r="AH1666">
        <f t="shared" si="257"/>
        <v>0</v>
      </c>
      <c r="AI1666">
        <f t="shared" si="258"/>
        <v>1</v>
      </c>
      <c r="AJ1666">
        <v>334.4</v>
      </c>
      <c r="AK1666">
        <v>1014.4</v>
      </c>
      <c r="AL1666">
        <v>40.4</v>
      </c>
      <c r="AM1666">
        <v>6.2</v>
      </c>
      <c r="AN1666">
        <v>210.6</v>
      </c>
      <c r="AO1666">
        <v>18.100000000000001</v>
      </c>
      <c r="AP1666">
        <v>7</v>
      </c>
      <c r="AQ1666">
        <v>0</v>
      </c>
      <c r="AR1666" t="s">
        <v>5593</v>
      </c>
      <c r="AS1666" t="s">
        <v>5594</v>
      </c>
      <c r="AT1666">
        <v>0.81</v>
      </c>
      <c r="AU1666" t="s">
        <v>106</v>
      </c>
      <c r="AV1666" t="s">
        <v>433</v>
      </c>
      <c r="AW1666" t="s">
        <v>103</v>
      </c>
      <c r="AX1666" t="s">
        <v>4025</v>
      </c>
      <c r="AY1666" t="s">
        <v>5597</v>
      </c>
      <c r="AZ1666">
        <v>950.00000000582077</v>
      </c>
      <c r="BA1666">
        <v>1</v>
      </c>
      <c r="BB1666">
        <v>0</v>
      </c>
      <c r="BC1666">
        <v>20</v>
      </c>
      <c r="BD1666">
        <v>0</v>
      </c>
      <c r="BE1666">
        <f t="shared" si="259"/>
        <v>0</v>
      </c>
    </row>
    <row r="1667" spans="1:57" x14ac:dyDescent="0.25">
      <c r="A1667" t="s">
        <v>39</v>
      </c>
      <c r="B1667" t="s">
        <v>5598</v>
      </c>
      <c r="C1667">
        <v>90.1</v>
      </c>
      <c r="D1667">
        <v>68</v>
      </c>
      <c r="G1667">
        <f t="shared" ref="G1667:G1730" si="260">IF(ABS(C1667-INDEX($F$2:$F$13,MONTH(B1667)))&gt;1.8,1,0)</f>
        <v>1</v>
      </c>
      <c r="H1667">
        <f t="shared" ref="H1667:H1730" si="261">IF(C1667&gt;=INDEX($F$2:$F$13,MONTH(B1667))+1.8,1,0)</f>
        <v>1</v>
      </c>
      <c r="I1667">
        <f t="shared" ref="I1667:I1730" si="262">IF(C1667&lt;=INDEX($F$2:$F$13,MONTH(B1667))-1.8,1,0)</f>
        <v>0</v>
      </c>
      <c r="J1667">
        <v>78.400000000000006</v>
      </c>
      <c r="K1667">
        <v>92</v>
      </c>
      <c r="L1667">
        <v>68</v>
      </c>
      <c r="M1667">
        <v>79.8</v>
      </c>
      <c r="N1667">
        <v>66.099999999999994</v>
      </c>
      <c r="O1667">
        <v>68</v>
      </c>
      <c r="S1667">
        <f t="shared" ref="S1667:S1730" si="263">IF(OR(O1667&lt;INDEX($Q$2:$Q$13,MONTH(B1667)),O1667&gt;INDEX($R$2:$R$13,MONTH(B1667))),1,0)</f>
        <v>0</v>
      </c>
      <c r="T1667">
        <f t="shared" ref="T1667:T1730" si="264">IF(O1667&gt;INDEX($R$2:$R$13,MONTH(B1667)),1,0)</f>
        <v>0</v>
      </c>
      <c r="U1667">
        <f t="shared" ref="U1667:U1730" si="265">IF(O1667&lt;INDEX($Q$2:$Q$13,MONTH(B1667)),1,0)</f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23.7</v>
      </c>
      <c r="AC1667">
        <v>8.5</v>
      </c>
      <c r="AG1667">
        <f t="shared" ref="AG1667:AG1730" si="266">IF(OR(AC1667&lt;INDEX($AE$2:$AE$13,MONTH(B1667)),AC1667&gt;INDEX($AF$2:$AF$13,MONTH(B1667))),1,0)</f>
        <v>1</v>
      </c>
      <c r="AH1667">
        <f t="shared" ref="AH1667:AH1730" si="267">IF(AC1667&gt;INDEX($AF$2:$AF$13,MONTH(B1667)),1,0)</f>
        <v>0</v>
      </c>
      <c r="AI1667">
        <f t="shared" ref="AI1667:AI1730" si="268">IF(AC1667&lt;INDEX($AE$2:$AE$13,MONTH(B1667)),1,0)</f>
        <v>1</v>
      </c>
      <c r="AJ1667">
        <v>186.9</v>
      </c>
      <c r="AK1667">
        <v>1011.5</v>
      </c>
      <c r="AL1667">
        <v>8.1999999999999993</v>
      </c>
      <c r="AM1667">
        <v>6.4</v>
      </c>
      <c r="AN1667">
        <v>237.7</v>
      </c>
      <c r="AO1667">
        <v>20.6</v>
      </c>
      <c r="AP1667">
        <v>8</v>
      </c>
      <c r="AQ1667">
        <v>0</v>
      </c>
      <c r="AR1667" t="s">
        <v>5599</v>
      </c>
      <c r="AS1667" t="s">
        <v>5600</v>
      </c>
      <c r="AT1667">
        <v>0.94</v>
      </c>
      <c r="AU1667" t="s">
        <v>74</v>
      </c>
      <c r="AV1667" t="s">
        <v>2955</v>
      </c>
      <c r="AW1667" t="s">
        <v>75</v>
      </c>
      <c r="AX1667" t="s">
        <v>2443</v>
      </c>
      <c r="AY1667" t="s">
        <v>5601</v>
      </c>
      <c r="AZ1667">
        <v>24.99999999767169</v>
      </c>
      <c r="BA1667">
        <v>0</v>
      </c>
      <c r="BB1667">
        <v>0</v>
      </c>
      <c r="BC1667">
        <v>0.2</v>
      </c>
      <c r="BD1667">
        <v>0</v>
      </c>
      <c r="BE1667">
        <f t="shared" ref="BE1667:BE1730" si="269">IF((3*AH1667+3*H1667+2*U1667+2*BA1667-(2*(1-T1667)+2*(1-I1667)+2*(1-AI1667)))&gt;=1,1,0)</f>
        <v>0</v>
      </c>
    </row>
    <row r="1668" spans="1:57" x14ac:dyDescent="0.25">
      <c r="A1668" t="s">
        <v>39</v>
      </c>
      <c r="B1668" t="s">
        <v>5602</v>
      </c>
      <c r="C1668">
        <v>80.599999999999994</v>
      </c>
      <c r="D1668">
        <v>71.599999999999994</v>
      </c>
      <c r="G1668">
        <f t="shared" si="260"/>
        <v>0</v>
      </c>
      <c r="H1668">
        <f t="shared" si="261"/>
        <v>0</v>
      </c>
      <c r="I1668">
        <f t="shared" si="262"/>
        <v>0</v>
      </c>
      <c r="J1668">
        <v>77.3</v>
      </c>
      <c r="K1668">
        <v>82.3</v>
      </c>
      <c r="L1668">
        <v>71.599999999999994</v>
      </c>
      <c r="M1668">
        <v>77.400000000000006</v>
      </c>
      <c r="N1668">
        <v>66.8</v>
      </c>
      <c r="O1668">
        <v>70.8</v>
      </c>
      <c r="S1668">
        <f t="shared" si="263"/>
        <v>1</v>
      </c>
      <c r="T1668">
        <f t="shared" si="264"/>
        <v>1</v>
      </c>
      <c r="U1668">
        <f t="shared" si="265"/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24.2</v>
      </c>
      <c r="AC1668">
        <v>12.8</v>
      </c>
      <c r="AG1668">
        <f t="shared" si="266"/>
        <v>1</v>
      </c>
      <c r="AH1668">
        <f t="shared" si="267"/>
        <v>0</v>
      </c>
      <c r="AI1668">
        <f t="shared" si="268"/>
        <v>1</v>
      </c>
      <c r="AJ1668">
        <v>37.5</v>
      </c>
      <c r="AK1668">
        <v>1014.8</v>
      </c>
      <c r="AL1668">
        <v>41.5</v>
      </c>
      <c r="AM1668">
        <v>6</v>
      </c>
      <c r="AN1668">
        <v>229.7</v>
      </c>
      <c r="AO1668">
        <v>19.7</v>
      </c>
      <c r="AP1668">
        <v>8</v>
      </c>
      <c r="AQ1668">
        <v>0</v>
      </c>
      <c r="AR1668" t="s">
        <v>5603</v>
      </c>
      <c r="AS1668" t="s">
        <v>5604</v>
      </c>
      <c r="AT1668">
        <v>0</v>
      </c>
      <c r="AU1668" t="s">
        <v>43</v>
      </c>
      <c r="AV1668" t="s">
        <v>44</v>
      </c>
      <c r="AW1668" t="s">
        <v>45</v>
      </c>
      <c r="AX1668" t="s">
        <v>5166</v>
      </c>
      <c r="AY1668" t="s">
        <v>5605</v>
      </c>
      <c r="AZ1668">
        <v>126.0000000020955</v>
      </c>
      <c r="BA1668">
        <v>0</v>
      </c>
      <c r="BB1668">
        <v>0</v>
      </c>
      <c r="BC1668">
        <v>2</v>
      </c>
      <c r="BD1668">
        <v>0</v>
      </c>
      <c r="BE1668">
        <f t="shared" si="269"/>
        <v>0</v>
      </c>
    </row>
    <row r="1669" spans="1:57" x14ac:dyDescent="0.25">
      <c r="A1669" t="s">
        <v>39</v>
      </c>
      <c r="B1669" t="s">
        <v>5606</v>
      </c>
      <c r="C1669">
        <v>77</v>
      </c>
      <c r="D1669">
        <v>62.6</v>
      </c>
      <c r="G1669">
        <f t="shared" si="260"/>
        <v>1</v>
      </c>
      <c r="H1669">
        <f t="shared" si="261"/>
        <v>0</v>
      </c>
      <c r="I1669">
        <f t="shared" si="262"/>
        <v>1</v>
      </c>
      <c r="J1669">
        <v>70.400000000000006</v>
      </c>
      <c r="K1669">
        <v>77</v>
      </c>
      <c r="L1669">
        <v>62.6</v>
      </c>
      <c r="M1669">
        <v>70.400000000000006</v>
      </c>
      <c r="N1669">
        <v>59.4</v>
      </c>
      <c r="O1669">
        <v>69.400000000000006</v>
      </c>
      <c r="S1669">
        <f t="shared" si="263"/>
        <v>1</v>
      </c>
      <c r="T1669">
        <f t="shared" si="264"/>
        <v>1</v>
      </c>
      <c r="U1669">
        <f t="shared" si="265"/>
        <v>0</v>
      </c>
      <c r="V1669">
        <v>0.59199999999999997</v>
      </c>
      <c r="W1669">
        <v>100</v>
      </c>
      <c r="X1669">
        <v>12.5</v>
      </c>
      <c r="Y1669" t="s">
        <v>103</v>
      </c>
      <c r="Z1669">
        <v>0</v>
      </c>
      <c r="AA1669">
        <v>0</v>
      </c>
      <c r="AB1669">
        <v>39.1</v>
      </c>
      <c r="AC1669">
        <v>26.4</v>
      </c>
      <c r="AG1669">
        <f t="shared" si="266"/>
        <v>1</v>
      </c>
      <c r="AH1669">
        <f t="shared" si="267"/>
        <v>1</v>
      </c>
      <c r="AI1669">
        <f t="shared" si="268"/>
        <v>0</v>
      </c>
      <c r="AJ1669">
        <v>317.5</v>
      </c>
      <c r="AK1669">
        <v>1011</v>
      </c>
      <c r="AL1669">
        <v>71.599999999999994</v>
      </c>
      <c r="AM1669">
        <v>5.6</v>
      </c>
      <c r="AN1669">
        <v>174.8</v>
      </c>
      <c r="AO1669">
        <v>15.1</v>
      </c>
      <c r="AP1669">
        <v>6</v>
      </c>
      <c r="AQ1669">
        <v>0</v>
      </c>
      <c r="AR1669" t="s">
        <v>5607</v>
      </c>
      <c r="AS1669" t="s">
        <v>5608</v>
      </c>
      <c r="AT1669">
        <v>0.11</v>
      </c>
      <c r="AU1669" t="s">
        <v>106</v>
      </c>
      <c r="AV1669" t="s">
        <v>257</v>
      </c>
      <c r="AW1669" t="s">
        <v>103</v>
      </c>
      <c r="AX1669" t="s">
        <v>5609</v>
      </c>
      <c r="AY1669" t="s">
        <v>5610</v>
      </c>
      <c r="AZ1669">
        <v>1176.0000000090799</v>
      </c>
      <c r="BA1669">
        <v>1</v>
      </c>
      <c r="BB1669">
        <v>0</v>
      </c>
      <c r="BC1669">
        <v>40</v>
      </c>
      <c r="BD1669">
        <v>0</v>
      </c>
      <c r="BE1669">
        <f t="shared" si="269"/>
        <v>1</v>
      </c>
    </row>
    <row r="1670" spans="1:57" x14ac:dyDescent="0.25">
      <c r="A1670" t="s">
        <v>39</v>
      </c>
      <c r="B1670" t="s">
        <v>5611</v>
      </c>
      <c r="C1670">
        <v>75.2</v>
      </c>
      <c r="D1670">
        <v>69.7</v>
      </c>
      <c r="G1670">
        <f t="shared" si="260"/>
        <v>1</v>
      </c>
      <c r="H1670">
        <f t="shared" si="261"/>
        <v>0</v>
      </c>
      <c r="I1670">
        <f t="shared" si="262"/>
        <v>1</v>
      </c>
      <c r="J1670">
        <v>71.2</v>
      </c>
      <c r="K1670">
        <v>75.2</v>
      </c>
      <c r="L1670">
        <v>69.7</v>
      </c>
      <c r="M1670">
        <v>71.2</v>
      </c>
      <c r="N1670">
        <v>57.3</v>
      </c>
      <c r="O1670">
        <v>61.8</v>
      </c>
      <c r="S1670">
        <f t="shared" si="263"/>
        <v>1</v>
      </c>
      <c r="T1670">
        <f t="shared" si="264"/>
        <v>0</v>
      </c>
      <c r="U1670">
        <f t="shared" si="265"/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41.4</v>
      </c>
      <c r="AC1670">
        <v>21.9</v>
      </c>
      <c r="AG1670">
        <f t="shared" si="266"/>
        <v>1</v>
      </c>
      <c r="AH1670">
        <f t="shared" si="267"/>
        <v>1</v>
      </c>
      <c r="AI1670">
        <f t="shared" si="268"/>
        <v>0</v>
      </c>
      <c r="AJ1670">
        <v>346.7</v>
      </c>
      <c r="AK1670">
        <v>1020.7</v>
      </c>
      <c r="AL1670">
        <v>62.5</v>
      </c>
      <c r="AM1670">
        <v>6.2</v>
      </c>
      <c r="AN1670">
        <v>200.1</v>
      </c>
      <c r="AO1670">
        <v>17.399999999999999</v>
      </c>
      <c r="AP1670">
        <v>7</v>
      </c>
      <c r="AQ1670">
        <v>0</v>
      </c>
      <c r="AR1670" t="s">
        <v>5612</v>
      </c>
      <c r="AS1670" t="s">
        <v>5613</v>
      </c>
      <c r="AT1670">
        <v>0.22</v>
      </c>
      <c r="AU1670" t="s">
        <v>43</v>
      </c>
      <c r="AV1670" t="s">
        <v>44</v>
      </c>
      <c r="AW1670" t="s">
        <v>45</v>
      </c>
      <c r="AX1670" t="s">
        <v>5614</v>
      </c>
      <c r="AY1670" t="s">
        <v>5615</v>
      </c>
      <c r="AZ1670">
        <v>268.99999999674043</v>
      </c>
      <c r="BA1670">
        <v>0</v>
      </c>
      <c r="BB1670">
        <v>0</v>
      </c>
      <c r="BC1670">
        <v>0.5</v>
      </c>
      <c r="BD1670">
        <v>0</v>
      </c>
      <c r="BE1670">
        <f t="shared" si="269"/>
        <v>1</v>
      </c>
    </row>
    <row r="1671" spans="1:57" x14ac:dyDescent="0.25">
      <c r="A1671" t="s">
        <v>39</v>
      </c>
      <c r="B1671" t="s">
        <v>5616</v>
      </c>
      <c r="C1671">
        <v>75.2</v>
      </c>
      <c r="D1671">
        <v>61.4</v>
      </c>
      <c r="G1671">
        <f t="shared" si="260"/>
        <v>0</v>
      </c>
      <c r="H1671">
        <f t="shared" si="261"/>
        <v>0</v>
      </c>
      <c r="I1671">
        <f t="shared" si="262"/>
        <v>0</v>
      </c>
      <c r="J1671">
        <v>71.099999999999994</v>
      </c>
      <c r="K1671">
        <v>75.2</v>
      </c>
      <c r="L1671">
        <v>61.4</v>
      </c>
      <c r="M1671">
        <v>71.099999999999994</v>
      </c>
      <c r="N1671">
        <v>56.3</v>
      </c>
      <c r="O1671">
        <v>59.9</v>
      </c>
      <c r="S1671">
        <f t="shared" si="263"/>
        <v>1</v>
      </c>
      <c r="T1671">
        <f t="shared" si="264"/>
        <v>0</v>
      </c>
      <c r="U1671">
        <f t="shared" si="265"/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27.3</v>
      </c>
      <c r="AC1671">
        <v>15</v>
      </c>
      <c r="AG1671">
        <f t="shared" si="266"/>
        <v>1</v>
      </c>
      <c r="AH1671">
        <f t="shared" si="267"/>
        <v>0</v>
      </c>
      <c r="AI1671">
        <f t="shared" si="268"/>
        <v>1</v>
      </c>
      <c r="AJ1671">
        <v>319.39999999999998</v>
      </c>
      <c r="AK1671">
        <v>1019.4</v>
      </c>
      <c r="AL1671">
        <v>26.9</v>
      </c>
      <c r="AM1671">
        <v>6.2</v>
      </c>
      <c r="AN1671">
        <v>223.3</v>
      </c>
      <c r="AO1671">
        <v>19.399999999999999</v>
      </c>
      <c r="AP1671">
        <v>8</v>
      </c>
      <c r="AQ1671">
        <v>0</v>
      </c>
      <c r="AR1671" t="s">
        <v>5617</v>
      </c>
      <c r="AS1671" t="s">
        <v>5618</v>
      </c>
      <c r="AT1671">
        <v>0.25</v>
      </c>
      <c r="AU1671" t="s">
        <v>43</v>
      </c>
      <c r="AV1671" t="s">
        <v>44</v>
      </c>
      <c r="AW1671" t="s">
        <v>45</v>
      </c>
      <c r="AX1671" t="s">
        <v>2481</v>
      </c>
      <c r="AY1671" t="s">
        <v>5619</v>
      </c>
      <c r="AZ1671">
        <v>120.0000000034925</v>
      </c>
      <c r="BA1671">
        <v>0</v>
      </c>
      <c r="BB1671">
        <v>0</v>
      </c>
      <c r="BC1671">
        <v>1</v>
      </c>
      <c r="BD1671">
        <v>0</v>
      </c>
      <c r="BE1671">
        <f t="shared" si="269"/>
        <v>0</v>
      </c>
    </row>
    <row r="1672" spans="1:57" x14ac:dyDescent="0.25">
      <c r="A1672" t="s">
        <v>39</v>
      </c>
      <c r="B1672" t="s">
        <v>5440</v>
      </c>
      <c r="C1672">
        <v>73.400000000000006</v>
      </c>
      <c r="D1672">
        <v>62.9</v>
      </c>
      <c r="G1672">
        <f t="shared" si="260"/>
        <v>0</v>
      </c>
      <c r="H1672">
        <f t="shared" si="261"/>
        <v>0</v>
      </c>
      <c r="I1672">
        <f t="shared" si="262"/>
        <v>0</v>
      </c>
      <c r="J1672">
        <v>69.599999999999994</v>
      </c>
      <c r="K1672">
        <v>73.400000000000006</v>
      </c>
      <c r="L1672">
        <v>62.9</v>
      </c>
      <c r="M1672">
        <v>69.599999999999994</v>
      </c>
      <c r="N1672">
        <v>56.4</v>
      </c>
      <c r="O1672">
        <v>63.3</v>
      </c>
      <c r="S1672">
        <f t="shared" si="263"/>
        <v>1</v>
      </c>
      <c r="T1672">
        <f t="shared" si="264"/>
        <v>0</v>
      </c>
      <c r="U1672">
        <f t="shared" si="265"/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27.5</v>
      </c>
      <c r="AC1672">
        <v>18.3</v>
      </c>
      <c r="AG1672">
        <f t="shared" si="266"/>
        <v>1</v>
      </c>
      <c r="AH1672">
        <f t="shared" si="267"/>
        <v>1</v>
      </c>
      <c r="AI1672">
        <f t="shared" si="268"/>
        <v>0</v>
      </c>
      <c r="AJ1672">
        <v>324.3</v>
      </c>
      <c r="AK1672">
        <v>1016.7</v>
      </c>
      <c r="AL1672">
        <v>51.5</v>
      </c>
      <c r="AM1672">
        <v>6.2</v>
      </c>
      <c r="AN1672">
        <v>184.1</v>
      </c>
      <c r="AO1672">
        <v>16</v>
      </c>
      <c r="AP1672">
        <v>6</v>
      </c>
      <c r="AQ1672">
        <v>0</v>
      </c>
      <c r="AR1672" t="s">
        <v>5441</v>
      </c>
      <c r="AS1672" t="s">
        <v>5442</v>
      </c>
      <c r="AT1672">
        <v>0.36</v>
      </c>
      <c r="AU1672" t="s">
        <v>43</v>
      </c>
      <c r="AV1672" t="s">
        <v>44</v>
      </c>
      <c r="AW1672" t="s">
        <v>45</v>
      </c>
      <c r="AX1672" t="s">
        <v>4533</v>
      </c>
      <c r="AY1672" t="s">
        <v>5620</v>
      </c>
      <c r="AZ1672">
        <v>101.999999997206</v>
      </c>
      <c r="BA1672">
        <v>0</v>
      </c>
      <c r="BB1672">
        <v>0</v>
      </c>
      <c r="BC1672">
        <v>0.5</v>
      </c>
      <c r="BD1672">
        <v>0</v>
      </c>
      <c r="BE1672">
        <f t="shared" si="269"/>
        <v>0</v>
      </c>
    </row>
    <row r="1673" spans="1:57" x14ac:dyDescent="0.25">
      <c r="A1673" t="s">
        <v>39</v>
      </c>
      <c r="B1673" t="s">
        <v>5440</v>
      </c>
      <c r="C1673">
        <v>73.400000000000006</v>
      </c>
      <c r="D1673">
        <v>62.9</v>
      </c>
      <c r="G1673">
        <f t="shared" si="260"/>
        <v>0</v>
      </c>
      <c r="H1673">
        <f t="shared" si="261"/>
        <v>0</v>
      </c>
      <c r="I1673">
        <f t="shared" si="262"/>
        <v>0</v>
      </c>
      <c r="J1673">
        <v>69.599999999999994</v>
      </c>
      <c r="K1673">
        <v>73.400000000000006</v>
      </c>
      <c r="L1673">
        <v>62.9</v>
      </c>
      <c r="M1673">
        <v>69.599999999999994</v>
      </c>
      <c r="N1673">
        <v>56.4</v>
      </c>
      <c r="O1673">
        <v>63.3</v>
      </c>
      <c r="S1673">
        <f t="shared" si="263"/>
        <v>1</v>
      </c>
      <c r="T1673">
        <f t="shared" si="264"/>
        <v>0</v>
      </c>
      <c r="U1673">
        <f t="shared" si="265"/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27.5</v>
      </c>
      <c r="AC1673">
        <v>18.3</v>
      </c>
      <c r="AG1673">
        <f t="shared" si="266"/>
        <v>1</v>
      </c>
      <c r="AH1673">
        <f t="shared" si="267"/>
        <v>1</v>
      </c>
      <c r="AI1673">
        <f t="shared" si="268"/>
        <v>0</v>
      </c>
      <c r="AJ1673">
        <v>324.3</v>
      </c>
      <c r="AK1673">
        <v>1016.7</v>
      </c>
      <c r="AL1673">
        <v>51.5</v>
      </c>
      <c r="AM1673">
        <v>6.2</v>
      </c>
      <c r="AN1673">
        <v>184.1</v>
      </c>
      <c r="AO1673">
        <v>16</v>
      </c>
      <c r="AP1673">
        <v>6</v>
      </c>
      <c r="AQ1673">
        <v>0</v>
      </c>
      <c r="AR1673" t="s">
        <v>5441</v>
      </c>
      <c r="AS1673" t="s">
        <v>5442</v>
      </c>
      <c r="AT1673">
        <v>0.36</v>
      </c>
      <c r="AU1673" t="s">
        <v>43</v>
      </c>
      <c r="AV1673" t="s">
        <v>44</v>
      </c>
      <c r="AW1673" t="s">
        <v>45</v>
      </c>
      <c r="AX1673" t="s">
        <v>2428</v>
      </c>
      <c r="AY1673" t="s">
        <v>5621</v>
      </c>
      <c r="AZ1673">
        <v>59.99999999650754</v>
      </c>
      <c r="BA1673">
        <v>0</v>
      </c>
      <c r="BB1673">
        <v>0</v>
      </c>
      <c r="BC1673">
        <v>0.5</v>
      </c>
      <c r="BD1673">
        <v>0</v>
      </c>
      <c r="BE1673">
        <f t="shared" si="269"/>
        <v>0</v>
      </c>
    </row>
    <row r="1674" spans="1:57" x14ac:dyDescent="0.25">
      <c r="A1674" t="s">
        <v>39</v>
      </c>
      <c r="B1674" t="s">
        <v>5622</v>
      </c>
      <c r="C1674">
        <v>75.2</v>
      </c>
      <c r="D1674">
        <v>62.6</v>
      </c>
      <c r="G1674">
        <f t="shared" si="260"/>
        <v>0</v>
      </c>
      <c r="H1674">
        <f t="shared" si="261"/>
        <v>0</v>
      </c>
      <c r="I1674">
        <f t="shared" si="262"/>
        <v>0</v>
      </c>
      <c r="J1674">
        <v>68.7</v>
      </c>
      <c r="K1674">
        <v>75.2</v>
      </c>
      <c r="L1674">
        <v>62.6</v>
      </c>
      <c r="M1674">
        <v>68.7</v>
      </c>
      <c r="N1674">
        <v>56.2</v>
      </c>
      <c r="O1674">
        <v>64.900000000000006</v>
      </c>
      <c r="S1674">
        <f t="shared" si="263"/>
        <v>0</v>
      </c>
      <c r="T1674">
        <f t="shared" si="264"/>
        <v>0</v>
      </c>
      <c r="U1674">
        <f t="shared" si="265"/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16.100000000000001</v>
      </c>
      <c r="AC1674">
        <v>9.1</v>
      </c>
      <c r="AG1674">
        <f t="shared" si="266"/>
        <v>1</v>
      </c>
      <c r="AH1674">
        <f t="shared" si="267"/>
        <v>0</v>
      </c>
      <c r="AI1674">
        <f t="shared" si="268"/>
        <v>1</v>
      </c>
      <c r="AJ1674">
        <v>143</v>
      </c>
      <c r="AK1674">
        <v>1017.8</v>
      </c>
      <c r="AL1674">
        <v>42.4</v>
      </c>
      <c r="AM1674">
        <v>6.2</v>
      </c>
      <c r="AN1674">
        <v>175.3</v>
      </c>
      <c r="AO1674">
        <v>15.2</v>
      </c>
      <c r="AP1674">
        <v>7</v>
      </c>
      <c r="AQ1674">
        <v>0</v>
      </c>
      <c r="AR1674" t="s">
        <v>5623</v>
      </c>
      <c r="AS1674" t="s">
        <v>5624</v>
      </c>
      <c r="AT1674">
        <v>0.39</v>
      </c>
      <c r="AU1674" t="s">
        <v>43</v>
      </c>
      <c r="AV1674" t="s">
        <v>44</v>
      </c>
      <c r="AW1674" t="s">
        <v>45</v>
      </c>
      <c r="AX1674" t="s">
        <v>2587</v>
      </c>
      <c r="AY1674" t="s">
        <v>5625</v>
      </c>
      <c r="AZ1674">
        <v>263.00000000861468</v>
      </c>
      <c r="BA1674">
        <v>0</v>
      </c>
      <c r="BB1674">
        <v>0</v>
      </c>
      <c r="BC1674">
        <v>2</v>
      </c>
      <c r="BD1674">
        <v>0</v>
      </c>
      <c r="BE1674">
        <f t="shared" si="269"/>
        <v>0</v>
      </c>
    </row>
    <row r="1675" spans="1:57" x14ac:dyDescent="0.25">
      <c r="A1675" t="s">
        <v>39</v>
      </c>
      <c r="B1675" t="s">
        <v>5626</v>
      </c>
      <c r="C1675">
        <v>77</v>
      </c>
      <c r="D1675">
        <v>62.6</v>
      </c>
      <c r="G1675">
        <f t="shared" si="260"/>
        <v>1</v>
      </c>
      <c r="H1675">
        <f t="shared" si="261"/>
        <v>1</v>
      </c>
      <c r="I1675">
        <f t="shared" si="262"/>
        <v>0</v>
      </c>
      <c r="J1675">
        <v>70.099999999999994</v>
      </c>
      <c r="K1675">
        <v>77</v>
      </c>
      <c r="L1675">
        <v>62.6</v>
      </c>
      <c r="M1675">
        <v>70.099999999999994</v>
      </c>
      <c r="N1675">
        <v>62.2</v>
      </c>
      <c r="O1675">
        <v>76.599999999999994</v>
      </c>
      <c r="S1675">
        <f t="shared" si="263"/>
        <v>1</v>
      </c>
      <c r="T1675">
        <f t="shared" si="264"/>
        <v>1</v>
      </c>
      <c r="U1675">
        <f t="shared" si="265"/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21.9</v>
      </c>
      <c r="AC1675">
        <v>15</v>
      </c>
      <c r="AG1675">
        <f t="shared" si="266"/>
        <v>1</v>
      </c>
      <c r="AH1675">
        <f t="shared" si="267"/>
        <v>0</v>
      </c>
      <c r="AI1675">
        <f t="shared" si="268"/>
        <v>1</v>
      </c>
      <c r="AJ1675">
        <v>109.2</v>
      </c>
      <c r="AK1675">
        <v>1018.9</v>
      </c>
      <c r="AL1675">
        <v>23.2</v>
      </c>
      <c r="AM1675">
        <v>6.2</v>
      </c>
      <c r="AN1675">
        <v>202.9</v>
      </c>
      <c r="AO1675">
        <v>17.5</v>
      </c>
      <c r="AP1675">
        <v>7</v>
      </c>
      <c r="AQ1675">
        <v>0</v>
      </c>
      <c r="AR1675" t="s">
        <v>5627</v>
      </c>
      <c r="AS1675" t="s">
        <v>5628</v>
      </c>
      <c r="AT1675">
        <v>0.43</v>
      </c>
      <c r="AU1675" t="s">
        <v>43</v>
      </c>
      <c r="AV1675" t="s">
        <v>44</v>
      </c>
      <c r="AW1675" t="s">
        <v>45</v>
      </c>
      <c r="AX1675" t="s">
        <v>5629</v>
      </c>
      <c r="AY1675" t="s">
        <v>5630</v>
      </c>
      <c r="AZ1675">
        <v>675.99999999278225</v>
      </c>
      <c r="BA1675">
        <v>1</v>
      </c>
      <c r="BB1675">
        <v>0</v>
      </c>
      <c r="BC1675">
        <v>2</v>
      </c>
      <c r="BD1675">
        <v>0</v>
      </c>
      <c r="BE1675">
        <f t="shared" si="269"/>
        <v>1</v>
      </c>
    </row>
    <row r="1676" spans="1:57" x14ac:dyDescent="0.25">
      <c r="A1676" t="s">
        <v>39</v>
      </c>
      <c r="B1676" t="s">
        <v>5626</v>
      </c>
      <c r="C1676">
        <v>77</v>
      </c>
      <c r="D1676">
        <v>62.6</v>
      </c>
      <c r="G1676">
        <f t="shared" si="260"/>
        <v>1</v>
      </c>
      <c r="H1676">
        <f t="shared" si="261"/>
        <v>1</v>
      </c>
      <c r="I1676">
        <f t="shared" si="262"/>
        <v>0</v>
      </c>
      <c r="J1676">
        <v>70.099999999999994</v>
      </c>
      <c r="K1676">
        <v>77</v>
      </c>
      <c r="L1676">
        <v>62.6</v>
      </c>
      <c r="M1676">
        <v>70.099999999999994</v>
      </c>
      <c r="N1676">
        <v>62.2</v>
      </c>
      <c r="O1676">
        <v>76.599999999999994</v>
      </c>
      <c r="S1676">
        <f t="shared" si="263"/>
        <v>1</v>
      </c>
      <c r="T1676">
        <f t="shared" si="264"/>
        <v>1</v>
      </c>
      <c r="U1676">
        <f t="shared" si="265"/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21.9</v>
      </c>
      <c r="AC1676">
        <v>15</v>
      </c>
      <c r="AG1676">
        <f t="shared" si="266"/>
        <v>1</v>
      </c>
      <c r="AH1676">
        <f t="shared" si="267"/>
        <v>0</v>
      </c>
      <c r="AI1676">
        <f t="shared" si="268"/>
        <v>1</v>
      </c>
      <c r="AJ1676">
        <v>109.2</v>
      </c>
      <c r="AK1676">
        <v>1018.9</v>
      </c>
      <c r="AL1676">
        <v>23.2</v>
      </c>
      <c r="AM1676">
        <v>6.2</v>
      </c>
      <c r="AN1676">
        <v>202.9</v>
      </c>
      <c r="AO1676">
        <v>17.5</v>
      </c>
      <c r="AP1676">
        <v>7</v>
      </c>
      <c r="AQ1676">
        <v>0</v>
      </c>
      <c r="AR1676" t="s">
        <v>5627</v>
      </c>
      <c r="AS1676" t="s">
        <v>5628</v>
      </c>
      <c r="AT1676">
        <v>0.43</v>
      </c>
      <c r="AU1676" t="s">
        <v>43</v>
      </c>
      <c r="AV1676" t="s">
        <v>44</v>
      </c>
      <c r="AW1676" t="s">
        <v>45</v>
      </c>
      <c r="AX1676" t="s">
        <v>4624</v>
      </c>
      <c r="AY1676" t="s">
        <v>5631</v>
      </c>
      <c r="AZ1676">
        <v>1471.0000000067521</v>
      </c>
      <c r="BA1676">
        <v>1</v>
      </c>
      <c r="BB1676">
        <v>0</v>
      </c>
      <c r="BC1676">
        <v>3</v>
      </c>
      <c r="BD1676">
        <v>0</v>
      </c>
      <c r="BE1676">
        <f t="shared" si="269"/>
        <v>1</v>
      </c>
    </row>
    <row r="1677" spans="1:57" x14ac:dyDescent="0.25">
      <c r="A1677" t="s">
        <v>39</v>
      </c>
      <c r="B1677" t="s">
        <v>5626</v>
      </c>
      <c r="C1677">
        <v>77</v>
      </c>
      <c r="D1677">
        <v>62.6</v>
      </c>
      <c r="G1677">
        <f t="shared" si="260"/>
        <v>1</v>
      </c>
      <c r="H1677">
        <f t="shared" si="261"/>
        <v>1</v>
      </c>
      <c r="I1677">
        <f t="shared" si="262"/>
        <v>0</v>
      </c>
      <c r="J1677">
        <v>70.099999999999994</v>
      </c>
      <c r="K1677">
        <v>77</v>
      </c>
      <c r="L1677">
        <v>62.6</v>
      </c>
      <c r="M1677">
        <v>70.099999999999994</v>
      </c>
      <c r="N1677">
        <v>62.2</v>
      </c>
      <c r="O1677">
        <v>76.599999999999994</v>
      </c>
      <c r="S1677">
        <f t="shared" si="263"/>
        <v>1</v>
      </c>
      <c r="T1677">
        <f t="shared" si="264"/>
        <v>1</v>
      </c>
      <c r="U1677">
        <f t="shared" si="265"/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21.9</v>
      </c>
      <c r="AC1677">
        <v>15</v>
      </c>
      <c r="AG1677">
        <f t="shared" si="266"/>
        <v>1</v>
      </c>
      <c r="AH1677">
        <f t="shared" si="267"/>
        <v>0</v>
      </c>
      <c r="AI1677">
        <f t="shared" si="268"/>
        <v>1</v>
      </c>
      <c r="AJ1677">
        <v>109.2</v>
      </c>
      <c r="AK1677">
        <v>1018.9</v>
      </c>
      <c r="AL1677">
        <v>23.2</v>
      </c>
      <c r="AM1677">
        <v>6.2</v>
      </c>
      <c r="AN1677">
        <v>202.9</v>
      </c>
      <c r="AO1677">
        <v>17.5</v>
      </c>
      <c r="AP1677">
        <v>7</v>
      </c>
      <c r="AQ1677">
        <v>0</v>
      </c>
      <c r="AR1677" t="s">
        <v>5627</v>
      </c>
      <c r="AS1677" t="s">
        <v>5628</v>
      </c>
      <c r="AT1677">
        <v>0.43</v>
      </c>
      <c r="AU1677" t="s">
        <v>43</v>
      </c>
      <c r="AV1677" t="s">
        <v>44</v>
      </c>
      <c r="AW1677" t="s">
        <v>45</v>
      </c>
      <c r="AX1677" t="s">
        <v>5632</v>
      </c>
      <c r="AY1677" t="s">
        <v>5633</v>
      </c>
      <c r="AZ1677">
        <v>555.99999999976717</v>
      </c>
      <c r="BA1677">
        <v>1</v>
      </c>
      <c r="BB1677">
        <v>0</v>
      </c>
      <c r="BC1677">
        <v>1</v>
      </c>
      <c r="BD1677">
        <v>0</v>
      </c>
      <c r="BE1677">
        <f t="shared" si="269"/>
        <v>1</v>
      </c>
    </row>
    <row r="1678" spans="1:57" x14ac:dyDescent="0.25">
      <c r="A1678" t="s">
        <v>39</v>
      </c>
      <c r="B1678" t="s">
        <v>5634</v>
      </c>
      <c r="C1678">
        <v>75.2</v>
      </c>
      <c r="D1678">
        <v>63.8</v>
      </c>
      <c r="G1678">
        <f t="shared" si="260"/>
        <v>0</v>
      </c>
      <c r="H1678">
        <f t="shared" si="261"/>
        <v>0</v>
      </c>
      <c r="I1678">
        <f t="shared" si="262"/>
        <v>0</v>
      </c>
      <c r="J1678">
        <v>71.400000000000006</v>
      </c>
      <c r="K1678">
        <v>75.2</v>
      </c>
      <c r="L1678">
        <v>63.8</v>
      </c>
      <c r="M1678">
        <v>71.400000000000006</v>
      </c>
      <c r="N1678">
        <v>62.7</v>
      </c>
      <c r="O1678">
        <v>74.5</v>
      </c>
      <c r="S1678">
        <f t="shared" si="263"/>
        <v>1</v>
      </c>
      <c r="T1678">
        <f t="shared" si="264"/>
        <v>1</v>
      </c>
      <c r="U1678">
        <f t="shared" si="265"/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41.4</v>
      </c>
      <c r="AC1678">
        <v>15</v>
      </c>
      <c r="AG1678">
        <f t="shared" si="266"/>
        <v>1</v>
      </c>
      <c r="AH1678">
        <f t="shared" si="267"/>
        <v>0</v>
      </c>
      <c r="AI1678">
        <f t="shared" si="268"/>
        <v>1</v>
      </c>
      <c r="AJ1678">
        <v>327.7</v>
      </c>
      <c r="AK1678">
        <v>1016.3</v>
      </c>
      <c r="AL1678">
        <v>62.8</v>
      </c>
      <c r="AM1678">
        <v>6.2</v>
      </c>
      <c r="AN1678">
        <v>174.8</v>
      </c>
      <c r="AO1678">
        <v>15.1</v>
      </c>
      <c r="AP1678">
        <v>6</v>
      </c>
      <c r="AQ1678">
        <v>0</v>
      </c>
      <c r="AR1678" t="s">
        <v>5635</v>
      </c>
      <c r="AS1678" t="s">
        <v>5636</v>
      </c>
      <c r="AT1678">
        <v>0.53</v>
      </c>
      <c r="AU1678" t="s">
        <v>43</v>
      </c>
      <c r="AV1678" t="s">
        <v>44</v>
      </c>
      <c r="AW1678" t="s">
        <v>45</v>
      </c>
      <c r="AX1678" t="s">
        <v>4025</v>
      </c>
      <c r="AY1678" t="s">
        <v>5637</v>
      </c>
      <c r="AZ1678">
        <v>960.00000000698492</v>
      </c>
      <c r="BA1678">
        <v>1</v>
      </c>
      <c r="BB1678">
        <v>0</v>
      </c>
      <c r="BC1678">
        <v>10</v>
      </c>
      <c r="BD1678">
        <v>0</v>
      </c>
      <c r="BE1678">
        <f t="shared" si="269"/>
        <v>0</v>
      </c>
    </row>
    <row r="1679" spans="1:57" x14ac:dyDescent="0.25">
      <c r="A1679" t="s">
        <v>39</v>
      </c>
      <c r="B1679" t="s">
        <v>5638</v>
      </c>
      <c r="C1679">
        <v>75.2</v>
      </c>
      <c r="D1679">
        <v>60.8</v>
      </c>
      <c r="G1679">
        <f t="shared" si="260"/>
        <v>0</v>
      </c>
      <c r="H1679">
        <f t="shared" si="261"/>
        <v>0</v>
      </c>
      <c r="I1679">
        <f t="shared" si="262"/>
        <v>0</v>
      </c>
      <c r="J1679">
        <v>68.3</v>
      </c>
      <c r="K1679">
        <v>75.2</v>
      </c>
      <c r="L1679">
        <v>60.8</v>
      </c>
      <c r="M1679">
        <v>68.3</v>
      </c>
      <c r="N1679">
        <v>59.8</v>
      </c>
      <c r="O1679">
        <v>74.900000000000006</v>
      </c>
      <c r="S1679">
        <f t="shared" si="263"/>
        <v>1</v>
      </c>
      <c r="T1679">
        <f t="shared" si="264"/>
        <v>1</v>
      </c>
      <c r="U1679">
        <f t="shared" si="265"/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21.3</v>
      </c>
      <c r="AC1679">
        <v>9.1999999999999993</v>
      </c>
      <c r="AG1679">
        <f t="shared" si="266"/>
        <v>1</v>
      </c>
      <c r="AH1679">
        <f t="shared" si="267"/>
        <v>0</v>
      </c>
      <c r="AI1679">
        <f t="shared" si="268"/>
        <v>1</v>
      </c>
      <c r="AJ1679">
        <v>295.60000000000002</v>
      </c>
      <c r="AK1679">
        <v>1014.8</v>
      </c>
      <c r="AL1679">
        <v>32.4</v>
      </c>
      <c r="AM1679">
        <v>6.2</v>
      </c>
      <c r="AN1679">
        <v>187.8</v>
      </c>
      <c r="AO1679">
        <v>16.2</v>
      </c>
      <c r="AP1679">
        <v>7</v>
      </c>
      <c r="AQ1679">
        <v>0</v>
      </c>
      <c r="AR1679" t="s">
        <v>5639</v>
      </c>
      <c r="AS1679" t="s">
        <v>5640</v>
      </c>
      <c r="AT1679">
        <v>0.69</v>
      </c>
      <c r="AU1679" t="s">
        <v>43</v>
      </c>
      <c r="AV1679" t="s">
        <v>44</v>
      </c>
      <c r="AW1679" t="s">
        <v>45</v>
      </c>
      <c r="AX1679" t="s">
        <v>5641</v>
      </c>
      <c r="AY1679" t="s">
        <v>5642</v>
      </c>
      <c r="AZ1679">
        <v>76.000000006752089</v>
      </c>
      <c r="BA1679">
        <v>0</v>
      </c>
      <c r="BB1679">
        <v>0</v>
      </c>
      <c r="BC1679">
        <v>1</v>
      </c>
      <c r="BD1679">
        <v>0</v>
      </c>
      <c r="BE1679">
        <f t="shared" si="269"/>
        <v>0</v>
      </c>
    </row>
    <row r="1680" spans="1:57" x14ac:dyDescent="0.25">
      <c r="A1680" t="s">
        <v>39</v>
      </c>
      <c r="B1680" t="s">
        <v>5643</v>
      </c>
      <c r="C1680">
        <v>69.8</v>
      </c>
      <c r="D1680">
        <v>59.6</v>
      </c>
      <c r="G1680">
        <f t="shared" si="260"/>
        <v>1</v>
      </c>
      <c r="H1680">
        <f t="shared" si="261"/>
        <v>0</v>
      </c>
      <c r="I1680">
        <f t="shared" si="262"/>
        <v>1</v>
      </c>
      <c r="J1680">
        <v>65.099999999999994</v>
      </c>
      <c r="K1680">
        <v>69.8</v>
      </c>
      <c r="L1680">
        <v>59.6</v>
      </c>
      <c r="M1680">
        <v>65.099999999999994</v>
      </c>
      <c r="N1680">
        <v>51.6</v>
      </c>
      <c r="O1680">
        <v>61.9</v>
      </c>
      <c r="S1680">
        <f t="shared" si="263"/>
        <v>1</v>
      </c>
      <c r="T1680">
        <f t="shared" si="264"/>
        <v>0</v>
      </c>
      <c r="U1680">
        <f t="shared" si="265"/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33.799999999999997</v>
      </c>
      <c r="AC1680">
        <v>19.600000000000001</v>
      </c>
      <c r="AG1680">
        <f t="shared" si="266"/>
        <v>1</v>
      </c>
      <c r="AH1680">
        <f t="shared" si="267"/>
        <v>1</v>
      </c>
      <c r="AI1680">
        <f t="shared" si="268"/>
        <v>0</v>
      </c>
      <c r="AJ1680">
        <v>330.8</v>
      </c>
      <c r="AK1680">
        <v>1019.5</v>
      </c>
      <c r="AL1680">
        <v>31.7</v>
      </c>
      <c r="AM1680">
        <v>6.2</v>
      </c>
      <c r="AN1680">
        <v>186.3</v>
      </c>
      <c r="AO1680">
        <v>16.100000000000001</v>
      </c>
      <c r="AP1680">
        <v>7</v>
      </c>
      <c r="AQ1680">
        <v>0</v>
      </c>
      <c r="AR1680" t="s">
        <v>5644</v>
      </c>
      <c r="AS1680" t="s">
        <v>5645</v>
      </c>
      <c r="AT1680">
        <v>0.89</v>
      </c>
      <c r="AU1680" t="s">
        <v>43</v>
      </c>
      <c r="AV1680" t="s">
        <v>44</v>
      </c>
      <c r="AW1680" t="s">
        <v>45</v>
      </c>
      <c r="AX1680" t="s">
        <v>5646</v>
      </c>
      <c r="AY1680" t="s">
        <v>5647</v>
      </c>
      <c r="AZ1680">
        <v>1995.9999999997669</v>
      </c>
      <c r="BA1680">
        <v>1</v>
      </c>
      <c r="BB1680">
        <v>0</v>
      </c>
      <c r="BC1680">
        <v>35</v>
      </c>
      <c r="BD1680">
        <v>0</v>
      </c>
      <c r="BE1680">
        <f t="shared" si="269"/>
        <v>1</v>
      </c>
    </row>
    <row r="1681" spans="1:57" x14ac:dyDescent="0.25">
      <c r="A1681" t="s">
        <v>39</v>
      </c>
      <c r="B1681" t="s">
        <v>5648</v>
      </c>
      <c r="C1681">
        <v>64.400000000000006</v>
      </c>
      <c r="D1681">
        <v>60.8</v>
      </c>
      <c r="G1681">
        <f t="shared" si="260"/>
        <v>1</v>
      </c>
      <c r="H1681">
        <f t="shared" si="261"/>
        <v>0</v>
      </c>
      <c r="I1681">
        <f t="shared" si="262"/>
        <v>1</v>
      </c>
      <c r="J1681">
        <v>62</v>
      </c>
      <c r="K1681">
        <v>64.400000000000006</v>
      </c>
      <c r="L1681">
        <v>60.8</v>
      </c>
      <c r="M1681">
        <v>62</v>
      </c>
      <c r="N1681">
        <v>52.8</v>
      </c>
      <c r="O1681">
        <v>71.900000000000006</v>
      </c>
      <c r="S1681">
        <f t="shared" si="263"/>
        <v>1</v>
      </c>
      <c r="T1681">
        <f t="shared" si="264"/>
        <v>1</v>
      </c>
      <c r="U1681">
        <f t="shared" si="265"/>
        <v>0</v>
      </c>
      <c r="V1681">
        <v>7.9000000000000001E-2</v>
      </c>
      <c r="W1681">
        <v>100</v>
      </c>
      <c r="X1681">
        <v>8.33</v>
      </c>
      <c r="Y1681" t="s">
        <v>103</v>
      </c>
      <c r="Z1681">
        <v>0</v>
      </c>
      <c r="AA1681">
        <v>0</v>
      </c>
      <c r="AB1681">
        <v>26.6</v>
      </c>
      <c r="AC1681">
        <v>18.3</v>
      </c>
      <c r="AG1681">
        <f t="shared" si="266"/>
        <v>1</v>
      </c>
      <c r="AH1681">
        <f t="shared" si="267"/>
        <v>1</v>
      </c>
      <c r="AI1681">
        <f t="shared" si="268"/>
        <v>0</v>
      </c>
      <c r="AJ1681">
        <v>10.8</v>
      </c>
      <c r="AK1681">
        <v>1016.4</v>
      </c>
      <c r="AL1681">
        <v>89.1</v>
      </c>
      <c r="AM1681">
        <v>6.2</v>
      </c>
      <c r="AN1681">
        <v>123.5</v>
      </c>
      <c r="AO1681">
        <v>10.6</v>
      </c>
      <c r="AP1681">
        <v>5</v>
      </c>
      <c r="AQ1681">
        <v>0</v>
      </c>
      <c r="AR1681" t="s">
        <v>5649</v>
      </c>
      <c r="AS1681" t="s">
        <v>5650</v>
      </c>
      <c r="AT1681">
        <v>0.3</v>
      </c>
      <c r="AU1681" t="s">
        <v>106</v>
      </c>
      <c r="AV1681" t="s">
        <v>1098</v>
      </c>
      <c r="AW1681" t="s">
        <v>103</v>
      </c>
      <c r="AX1681" t="s">
        <v>5651</v>
      </c>
      <c r="AY1681" t="s">
        <v>5652</v>
      </c>
      <c r="AZ1681">
        <v>64.999999991850927</v>
      </c>
      <c r="BA1681">
        <v>0</v>
      </c>
      <c r="BB1681">
        <v>0</v>
      </c>
      <c r="BC1681">
        <v>0.5</v>
      </c>
      <c r="BD1681">
        <v>0</v>
      </c>
      <c r="BE1681">
        <f t="shared" si="269"/>
        <v>1</v>
      </c>
    </row>
    <row r="1682" spans="1:57" x14ac:dyDescent="0.25">
      <c r="A1682" t="s">
        <v>39</v>
      </c>
      <c r="B1682" t="s">
        <v>5653</v>
      </c>
      <c r="C1682">
        <v>77</v>
      </c>
      <c r="D1682">
        <v>62.6</v>
      </c>
      <c r="G1682">
        <f t="shared" si="260"/>
        <v>1</v>
      </c>
      <c r="H1682">
        <f t="shared" si="261"/>
        <v>1</v>
      </c>
      <c r="I1682">
        <f t="shared" si="262"/>
        <v>0</v>
      </c>
      <c r="J1682">
        <v>68.099999999999994</v>
      </c>
      <c r="K1682">
        <v>77</v>
      </c>
      <c r="L1682">
        <v>62.6</v>
      </c>
      <c r="M1682">
        <v>68.099999999999994</v>
      </c>
      <c r="N1682">
        <v>58.3</v>
      </c>
      <c r="O1682">
        <v>71.8</v>
      </c>
      <c r="S1682">
        <f t="shared" si="263"/>
        <v>1</v>
      </c>
      <c r="T1682">
        <f t="shared" si="264"/>
        <v>1</v>
      </c>
      <c r="U1682">
        <f t="shared" si="265"/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27.7</v>
      </c>
      <c r="AC1682">
        <v>17.2</v>
      </c>
      <c r="AG1682">
        <f t="shared" si="266"/>
        <v>0</v>
      </c>
      <c r="AH1682">
        <f t="shared" si="267"/>
        <v>0</v>
      </c>
      <c r="AI1682">
        <f t="shared" si="268"/>
        <v>0</v>
      </c>
      <c r="AJ1682">
        <v>167.7</v>
      </c>
      <c r="AK1682">
        <v>1022.2</v>
      </c>
      <c r="AL1682">
        <v>60.7</v>
      </c>
      <c r="AM1682">
        <v>6.2</v>
      </c>
      <c r="AN1682">
        <v>152.9</v>
      </c>
      <c r="AO1682">
        <v>13.2</v>
      </c>
      <c r="AP1682">
        <v>6</v>
      </c>
      <c r="AQ1682">
        <v>0</v>
      </c>
      <c r="AR1682" t="s">
        <v>5654</v>
      </c>
      <c r="AS1682" t="s">
        <v>5655</v>
      </c>
      <c r="AT1682">
        <v>0.48</v>
      </c>
      <c r="AU1682" t="s">
        <v>43</v>
      </c>
      <c r="AV1682" t="s">
        <v>44</v>
      </c>
      <c r="AW1682" t="s">
        <v>45</v>
      </c>
      <c r="AX1682" t="s">
        <v>5656</v>
      </c>
      <c r="AY1682" t="s">
        <v>5657</v>
      </c>
      <c r="AZ1682">
        <v>55.999999993946403</v>
      </c>
      <c r="BA1682">
        <v>0</v>
      </c>
      <c r="BB1682">
        <v>0</v>
      </c>
      <c r="BC1682">
        <v>1</v>
      </c>
      <c r="BD1682">
        <v>0</v>
      </c>
      <c r="BE1682">
        <f t="shared" si="269"/>
        <v>0</v>
      </c>
    </row>
    <row r="1683" spans="1:57" x14ac:dyDescent="0.25">
      <c r="A1683" t="s">
        <v>39</v>
      </c>
      <c r="B1683" t="s">
        <v>5658</v>
      </c>
      <c r="C1683">
        <v>68</v>
      </c>
      <c r="D1683">
        <v>57.2</v>
      </c>
      <c r="G1683">
        <f t="shared" si="260"/>
        <v>0</v>
      </c>
      <c r="H1683">
        <f t="shared" si="261"/>
        <v>0</v>
      </c>
      <c r="I1683">
        <f t="shared" si="262"/>
        <v>0</v>
      </c>
      <c r="J1683">
        <v>63.3</v>
      </c>
      <c r="K1683">
        <v>68</v>
      </c>
      <c r="L1683">
        <v>57.2</v>
      </c>
      <c r="M1683">
        <v>63.3</v>
      </c>
      <c r="N1683">
        <v>55.8</v>
      </c>
      <c r="O1683">
        <v>77</v>
      </c>
      <c r="S1683">
        <f t="shared" si="263"/>
        <v>1</v>
      </c>
      <c r="T1683">
        <f t="shared" si="264"/>
        <v>1</v>
      </c>
      <c r="U1683">
        <f t="shared" si="265"/>
        <v>0</v>
      </c>
      <c r="V1683">
        <v>5.0000000000000001E-3</v>
      </c>
      <c r="W1683">
        <v>100</v>
      </c>
      <c r="X1683">
        <v>4.17</v>
      </c>
      <c r="Y1683" t="s">
        <v>103</v>
      </c>
      <c r="Z1683">
        <v>0</v>
      </c>
      <c r="AA1683">
        <v>0</v>
      </c>
      <c r="AB1683">
        <v>20.100000000000001</v>
      </c>
      <c r="AC1683">
        <v>16.100000000000001</v>
      </c>
      <c r="AG1683">
        <f t="shared" si="266"/>
        <v>0</v>
      </c>
      <c r="AH1683">
        <f t="shared" si="267"/>
        <v>0</v>
      </c>
      <c r="AI1683">
        <f t="shared" si="268"/>
        <v>0</v>
      </c>
      <c r="AJ1683">
        <v>304.60000000000002</v>
      </c>
      <c r="AK1683">
        <v>1015.1</v>
      </c>
      <c r="AL1683">
        <v>55.9</v>
      </c>
      <c r="AM1683">
        <v>6.2</v>
      </c>
      <c r="AN1683">
        <v>106.4</v>
      </c>
      <c r="AO1683">
        <v>9.1999999999999993</v>
      </c>
      <c r="AP1683">
        <v>4</v>
      </c>
      <c r="AQ1683">
        <v>0</v>
      </c>
      <c r="AR1683" t="s">
        <v>5659</v>
      </c>
      <c r="AS1683" t="s">
        <v>5660</v>
      </c>
      <c r="AT1683">
        <v>0.8</v>
      </c>
      <c r="AU1683" t="s">
        <v>106</v>
      </c>
      <c r="AV1683" t="s">
        <v>433</v>
      </c>
      <c r="AW1683" t="s">
        <v>103</v>
      </c>
      <c r="AX1683" t="s">
        <v>2720</v>
      </c>
      <c r="AY1683" t="s">
        <v>5661</v>
      </c>
      <c r="AZ1683">
        <v>155.00000000232831</v>
      </c>
      <c r="BA1683">
        <v>0</v>
      </c>
      <c r="BB1683">
        <v>0</v>
      </c>
      <c r="BC1683">
        <v>0.5</v>
      </c>
      <c r="BD1683">
        <v>0</v>
      </c>
      <c r="BE1683">
        <f t="shared" si="269"/>
        <v>0</v>
      </c>
    </row>
    <row r="1684" spans="1:57" x14ac:dyDescent="0.25">
      <c r="A1684" t="s">
        <v>39</v>
      </c>
      <c r="B1684" t="s">
        <v>5662</v>
      </c>
      <c r="C1684">
        <v>77</v>
      </c>
      <c r="D1684">
        <v>63.9</v>
      </c>
      <c r="G1684">
        <f t="shared" si="260"/>
        <v>1</v>
      </c>
      <c r="H1684">
        <f t="shared" si="261"/>
        <v>1</v>
      </c>
      <c r="I1684">
        <f t="shared" si="262"/>
        <v>0</v>
      </c>
      <c r="J1684">
        <v>68.599999999999994</v>
      </c>
      <c r="K1684">
        <v>77</v>
      </c>
      <c r="L1684">
        <v>63.9</v>
      </c>
      <c r="M1684">
        <v>68.599999999999994</v>
      </c>
      <c r="N1684">
        <v>57.9</v>
      </c>
      <c r="O1684">
        <v>69.3</v>
      </c>
      <c r="S1684">
        <f t="shared" si="263"/>
        <v>1</v>
      </c>
      <c r="T1684">
        <f t="shared" si="264"/>
        <v>1</v>
      </c>
      <c r="U1684">
        <f t="shared" si="265"/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23</v>
      </c>
      <c r="AC1684">
        <v>20.8</v>
      </c>
      <c r="AG1684">
        <f t="shared" si="266"/>
        <v>1</v>
      </c>
      <c r="AH1684">
        <f t="shared" si="267"/>
        <v>1</v>
      </c>
      <c r="AI1684">
        <f t="shared" si="268"/>
        <v>0</v>
      </c>
      <c r="AJ1684">
        <v>179.7</v>
      </c>
      <c r="AK1684">
        <v>1018.8</v>
      </c>
      <c r="AL1684">
        <v>54.3</v>
      </c>
      <c r="AM1684">
        <v>6.2</v>
      </c>
      <c r="AN1684">
        <v>113.6</v>
      </c>
      <c r="AO1684">
        <v>9.6</v>
      </c>
      <c r="AP1684">
        <v>4</v>
      </c>
      <c r="AQ1684">
        <v>0</v>
      </c>
      <c r="AR1684" t="s">
        <v>5663</v>
      </c>
      <c r="AS1684" t="s">
        <v>5664</v>
      </c>
      <c r="AT1684">
        <v>0.9</v>
      </c>
      <c r="AU1684" t="s">
        <v>43</v>
      </c>
      <c r="AV1684" t="s">
        <v>44</v>
      </c>
      <c r="AW1684" t="s">
        <v>45</v>
      </c>
      <c r="AX1684" t="s">
        <v>5665</v>
      </c>
      <c r="AY1684" t="s">
        <v>5666</v>
      </c>
      <c r="AZ1684">
        <v>130.99999999743889</v>
      </c>
      <c r="BA1684">
        <v>0</v>
      </c>
      <c r="BB1684">
        <v>0</v>
      </c>
      <c r="BC1684">
        <v>7</v>
      </c>
      <c r="BD1684">
        <v>0</v>
      </c>
      <c r="BE1684">
        <f t="shared" si="269"/>
        <v>1</v>
      </c>
    </row>
    <row r="1685" spans="1:57" x14ac:dyDescent="0.25">
      <c r="A1685" t="s">
        <v>39</v>
      </c>
      <c r="B1685" t="s">
        <v>5667</v>
      </c>
      <c r="C1685">
        <v>59</v>
      </c>
      <c r="D1685">
        <v>53.6</v>
      </c>
      <c r="G1685">
        <f t="shared" si="260"/>
        <v>1</v>
      </c>
      <c r="H1685">
        <f t="shared" si="261"/>
        <v>0</v>
      </c>
      <c r="I1685">
        <f t="shared" si="262"/>
        <v>1</v>
      </c>
      <c r="J1685">
        <v>57</v>
      </c>
      <c r="K1685">
        <v>59</v>
      </c>
      <c r="L1685">
        <v>53.6</v>
      </c>
      <c r="M1685">
        <v>57</v>
      </c>
      <c r="N1685">
        <v>43.3</v>
      </c>
      <c r="O1685">
        <v>60.6</v>
      </c>
      <c r="S1685">
        <f t="shared" si="263"/>
        <v>1</v>
      </c>
      <c r="T1685">
        <f t="shared" si="264"/>
        <v>0</v>
      </c>
      <c r="U1685">
        <f t="shared" si="265"/>
        <v>1</v>
      </c>
      <c r="V1685">
        <v>2.4E-2</v>
      </c>
      <c r="W1685">
        <v>100</v>
      </c>
      <c r="X1685">
        <v>8.33</v>
      </c>
      <c r="Y1685" t="s">
        <v>103</v>
      </c>
      <c r="Z1685">
        <v>0</v>
      </c>
      <c r="AA1685">
        <v>0</v>
      </c>
      <c r="AB1685">
        <v>36.9</v>
      </c>
      <c r="AC1685">
        <v>24.2</v>
      </c>
      <c r="AG1685">
        <f t="shared" si="266"/>
        <v>1</v>
      </c>
      <c r="AH1685">
        <f t="shared" si="267"/>
        <v>1</v>
      </c>
      <c r="AI1685">
        <f t="shared" si="268"/>
        <v>0</v>
      </c>
      <c r="AJ1685">
        <v>348.4</v>
      </c>
      <c r="AK1685">
        <v>1018.8</v>
      </c>
      <c r="AL1685">
        <v>77.7</v>
      </c>
      <c r="AM1685">
        <v>6.1</v>
      </c>
      <c r="AN1685">
        <v>65.8</v>
      </c>
      <c r="AO1685">
        <v>5.7</v>
      </c>
      <c r="AP1685">
        <v>3</v>
      </c>
      <c r="AQ1685">
        <v>0</v>
      </c>
      <c r="AR1685" t="s">
        <v>5668</v>
      </c>
      <c r="AS1685" t="s">
        <v>5669</v>
      </c>
      <c r="AT1685">
        <v>0.1</v>
      </c>
      <c r="AU1685" t="s">
        <v>106</v>
      </c>
      <c r="AV1685" t="s">
        <v>107</v>
      </c>
      <c r="AW1685" t="s">
        <v>103</v>
      </c>
      <c r="AX1685" t="s">
        <v>4348</v>
      </c>
      <c r="AY1685" t="s">
        <v>5670</v>
      </c>
      <c r="AZ1685">
        <v>86.999999990221113</v>
      </c>
      <c r="BA1685">
        <v>0</v>
      </c>
      <c r="BB1685">
        <v>0</v>
      </c>
      <c r="BC1685">
        <v>0.1</v>
      </c>
      <c r="BD1685">
        <v>0</v>
      </c>
      <c r="BE1685">
        <f t="shared" si="269"/>
        <v>1</v>
      </c>
    </row>
    <row r="1686" spans="1:57" x14ac:dyDescent="0.25">
      <c r="A1686" t="s">
        <v>39</v>
      </c>
      <c r="B1686" t="s">
        <v>5671</v>
      </c>
      <c r="C1686">
        <v>80.599999999999994</v>
      </c>
      <c r="D1686">
        <v>75.2</v>
      </c>
      <c r="G1686">
        <f t="shared" si="260"/>
        <v>1</v>
      </c>
      <c r="H1686">
        <f t="shared" si="261"/>
        <v>0</v>
      </c>
      <c r="I1686">
        <f t="shared" si="262"/>
        <v>1</v>
      </c>
      <c r="J1686">
        <v>78.099999999999994</v>
      </c>
      <c r="K1686">
        <v>82.8</v>
      </c>
      <c r="L1686">
        <v>75.2</v>
      </c>
      <c r="M1686">
        <v>78.3</v>
      </c>
      <c r="N1686">
        <v>62.8</v>
      </c>
      <c r="O1686">
        <v>60.5</v>
      </c>
      <c r="S1686">
        <f t="shared" si="263"/>
        <v>0</v>
      </c>
      <c r="T1686">
        <f t="shared" si="264"/>
        <v>0</v>
      </c>
      <c r="U1686">
        <f t="shared" si="265"/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50.8</v>
      </c>
      <c r="AC1686">
        <v>24.2</v>
      </c>
      <c r="AG1686">
        <f t="shared" si="266"/>
        <v>1</v>
      </c>
      <c r="AH1686">
        <f t="shared" si="267"/>
        <v>1</v>
      </c>
      <c r="AI1686">
        <f t="shared" si="268"/>
        <v>0</v>
      </c>
      <c r="AJ1686">
        <v>322.7</v>
      </c>
      <c r="AK1686">
        <v>1011.5</v>
      </c>
      <c r="AL1686">
        <v>19.8</v>
      </c>
      <c r="AM1686">
        <v>6.2</v>
      </c>
      <c r="AN1686">
        <v>339.5</v>
      </c>
      <c r="AO1686">
        <v>29.3</v>
      </c>
      <c r="AP1686">
        <v>10</v>
      </c>
      <c r="AQ1686">
        <v>0</v>
      </c>
      <c r="AR1686" t="s">
        <v>5672</v>
      </c>
      <c r="AS1686" t="s">
        <v>5673</v>
      </c>
      <c r="AT1686">
        <v>0.23</v>
      </c>
      <c r="AU1686" t="s">
        <v>74</v>
      </c>
      <c r="AV1686" t="s">
        <v>2955</v>
      </c>
      <c r="AW1686" t="s">
        <v>75</v>
      </c>
      <c r="AX1686" t="s">
        <v>4208</v>
      </c>
      <c r="AY1686" t="s">
        <v>5674</v>
      </c>
      <c r="AZ1686">
        <v>2090.0000000023279</v>
      </c>
      <c r="BA1686">
        <v>1</v>
      </c>
      <c r="BB1686">
        <v>100</v>
      </c>
      <c r="BC1686">
        <v>0</v>
      </c>
      <c r="BD1686">
        <v>0</v>
      </c>
      <c r="BE1686">
        <f t="shared" si="269"/>
        <v>1</v>
      </c>
    </row>
    <row r="1687" spans="1:57" x14ac:dyDescent="0.25">
      <c r="A1687" t="s">
        <v>39</v>
      </c>
      <c r="B1687" t="s">
        <v>5675</v>
      </c>
      <c r="C1687">
        <v>78.8</v>
      </c>
      <c r="D1687">
        <v>73.400000000000006</v>
      </c>
      <c r="G1687">
        <f t="shared" si="260"/>
        <v>1</v>
      </c>
      <c r="H1687">
        <f t="shared" si="261"/>
        <v>0</v>
      </c>
      <c r="I1687">
        <f t="shared" si="262"/>
        <v>1</v>
      </c>
      <c r="J1687">
        <v>75.400000000000006</v>
      </c>
      <c r="K1687">
        <v>78.8</v>
      </c>
      <c r="L1687">
        <v>73.400000000000006</v>
      </c>
      <c r="M1687">
        <v>75.400000000000006</v>
      </c>
      <c r="N1687">
        <v>65.8</v>
      </c>
      <c r="O1687">
        <v>73.900000000000006</v>
      </c>
      <c r="S1687">
        <f t="shared" si="263"/>
        <v>1</v>
      </c>
      <c r="T1687">
        <f t="shared" si="264"/>
        <v>1</v>
      </c>
      <c r="U1687">
        <f t="shared" si="265"/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46.1</v>
      </c>
      <c r="AC1687">
        <v>28.9</v>
      </c>
      <c r="AG1687">
        <f t="shared" si="266"/>
        <v>1</v>
      </c>
      <c r="AH1687">
        <f t="shared" si="267"/>
        <v>1</v>
      </c>
      <c r="AI1687">
        <f t="shared" si="268"/>
        <v>0</v>
      </c>
      <c r="AJ1687">
        <v>325.3</v>
      </c>
      <c r="AK1687">
        <v>1010.3</v>
      </c>
      <c r="AL1687">
        <v>48</v>
      </c>
      <c r="AM1687">
        <v>6.2</v>
      </c>
      <c r="AN1687">
        <v>313.3</v>
      </c>
      <c r="AO1687">
        <v>27</v>
      </c>
      <c r="AP1687">
        <v>9</v>
      </c>
      <c r="AQ1687">
        <v>0</v>
      </c>
      <c r="AR1687" t="s">
        <v>5676</v>
      </c>
      <c r="AS1687" t="s">
        <v>5677</v>
      </c>
      <c r="AT1687">
        <v>0.25</v>
      </c>
      <c r="AU1687" t="s">
        <v>43</v>
      </c>
      <c r="AV1687" t="s">
        <v>44</v>
      </c>
      <c r="AW1687" t="s">
        <v>45</v>
      </c>
      <c r="AX1687" t="s">
        <v>5678</v>
      </c>
      <c r="AY1687" t="s">
        <v>5679</v>
      </c>
      <c r="AZ1687">
        <v>4941.9999999948777</v>
      </c>
      <c r="BA1687">
        <v>1</v>
      </c>
      <c r="BB1687">
        <v>0</v>
      </c>
      <c r="BC1687">
        <v>1500</v>
      </c>
      <c r="BD1687">
        <v>0</v>
      </c>
      <c r="BE1687">
        <f t="shared" si="269"/>
        <v>1</v>
      </c>
    </row>
    <row r="1688" spans="1:57" x14ac:dyDescent="0.25">
      <c r="A1688" t="s">
        <v>39</v>
      </c>
      <c r="B1688" t="s">
        <v>5680</v>
      </c>
      <c r="C1688">
        <v>87.9</v>
      </c>
      <c r="D1688">
        <v>73.400000000000006</v>
      </c>
      <c r="G1688">
        <f t="shared" si="260"/>
        <v>1</v>
      </c>
      <c r="H1688">
        <f t="shared" si="261"/>
        <v>1</v>
      </c>
      <c r="I1688">
        <f t="shared" si="262"/>
        <v>0</v>
      </c>
      <c r="J1688">
        <v>81.900000000000006</v>
      </c>
      <c r="K1688">
        <v>100</v>
      </c>
      <c r="L1688">
        <v>73.400000000000006</v>
      </c>
      <c r="M1688">
        <v>85.6</v>
      </c>
      <c r="N1688">
        <v>67.599999999999994</v>
      </c>
      <c r="O1688">
        <v>62.7</v>
      </c>
      <c r="S1688">
        <f t="shared" si="263"/>
        <v>1</v>
      </c>
      <c r="T1688">
        <f t="shared" si="264"/>
        <v>1</v>
      </c>
      <c r="U1688">
        <f t="shared" si="265"/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24.2</v>
      </c>
      <c r="AC1688">
        <v>9.1999999999999993</v>
      </c>
      <c r="AG1688">
        <f t="shared" si="266"/>
        <v>1</v>
      </c>
      <c r="AH1688">
        <f t="shared" si="267"/>
        <v>0</v>
      </c>
      <c r="AI1688">
        <f t="shared" si="268"/>
        <v>1</v>
      </c>
      <c r="AJ1688">
        <v>117.6</v>
      </c>
      <c r="AK1688">
        <v>1006.6</v>
      </c>
      <c r="AL1688">
        <v>0</v>
      </c>
      <c r="AM1688">
        <v>6.5</v>
      </c>
      <c r="AN1688">
        <v>320.8</v>
      </c>
      <c r="AO1688">
        <v>27.7</v>
      </c>
      <c r="AP1688">
        <v>10</v>
      </c>
      <c r="AQ1688">
        <v>0</v>
      </c>
      <c r="AR1688" t="s">
        <v>5681</v>
      </c>
      <c r="AS1688" t="s">
        <v>5682</v>
      </c>
      <c r="AT1688">
        <v>0.15</v>
      </c>
      <c r="AU1688" t="s">
        <v>74</v>
      </c>
      <c r="AV1688" t="s">
        <v>2955</v>
      </c>
      <c r="AW1688" t="s">
        <v>75</v>
      </c>
      <c r="AX1688" t="s">
        <v>4702</v>
      </c>
      <c r="AY1688" t="s">
        <v>5683</v>
      </c>
      <c r="AZ1688">
        <v>140.00000000582079</v>
      </c>
      <c r="BA1688">
        <v>0</v>
      </c>
      <c r="BB1688">
        <v>0</v>
      </c>
      <c r="BC1688">
        <v>0.3</v>
      </c>
      <c r="BD1688">
        <v>0</v>
      </c>
      <c r="BE1688">
        <f t="shared" si="269"/>
        <v>1</v>
      </c>
    </row>
    <row r="1689" spans="1:57" x14ac:dyDescent="0.25">
      <c r="A1689" t="s">
        <v>39</v>
      </c>
      <c r="B1689" t="s">
        <v>5684</v>
      </c>
      <c r="C1689">
        <v>87.8</v>
      </c>
      <c r="D1689">
        <v>75.2</v>
      </c>
      <c r="G1689">
        <f t="shared" si="260"/>
        <v>1</v>
      </c>
      <c r="H1689">
        <f t="shared" si="261"/>
        <v>1</v>
      </c>
      <c r="I1689">
        <f t="shared" si="262"/>
        <v>0</v>
      </c>
      <c r="J1689">
        <v>81.7</v>
      </c>
      <c r="K1689">
        <v>93.5</v>
      </c>
      <c r="L1689">
        <v>75.2</v>
      </c>
      <c r="M1689">
        <v>84.6</v>
      </c>
      <c r="N1689">
        <v>65.400000000000006</v>
      </c>
      <c r="O1689">
        <v>59.1</v>
      </c>
      <c r="S1689">
        <f t="shared" si="263"/>
        <v>0</v>
      </c>
      <c r="T1689">
        <f t="shared" si="264"/>
        <v>0</v>
      </c>
      <c r="U1689">
        <f t="shared" si="265"/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26.6</v>
      </c>
      <c r="AC1689">
        <v>16.100000000000001</v>
      </c>
      <c r="AG1689">
        <f t="shared" si="266"/>
        <v>0</v>
      </c>
      <c r="AH1689">
        <f t="shared" si="267"/>
        <v>0</v>
      </c>
      <c r="AI1689">
        <f t="shared" si="268"/>
        <v>0</v>
      </c>
      <c r="AJ1689">
        <v>308</v>
      </c>
      <c r="AK1689">
        <v>1010.1</v>
      </c>
      <c r="AL1689">
        <v>1.2</v>
      </c>
      <c r="AM1689">
        <v>6.4</v>
      </c>
      <c r="AN1689">
        <v>294</v>
      </c>
      <c r="AO1689">
        <v>25.4</v>
      </c>
      <c r="AP1689">
        <v>9</v>
      </c>
      <c r="AQ1689">
        <v>0</v>
      </c>
      <c r="AR1689" t="s">
        <v>5685</v>
      </c>
      <c r="AS1689" t="s">
        <v>5686</v>
      </c>
      <c r="AT1689">
        <v>0</v>
      </c>
      <c r="AU1689" t="s">
        <v>74</v>
      </c>
      <c r="AV1689" t="s">
        <v>2955</v>
      </c>
      <c r="AW1689" t="s">
        <v>75</v>
      </c>
      <c r="AX1689" t="s">
        <v>2459</v>
      </c>
      <c r="AY1689" t="s">
        <v>5687</v>
      </c>
      <c r="AZ1689">
        <v>1620</v>
      </c>
      <c r="BA1689">
        <v>1</v>
      </c>
      <c r="BB1689">
        <v>0</v>
      </c>
      <c r="BC1689">
        <v>10</v>
      </c>
      <c r="BD1689">
        <v>0</v>
      </c>
      <c r="BE1689">
        <f t="shared" si="269"/>
        <v>0</v>
      </c>
    </row>
    <row r="1690" spans="1:57" x14ac:dyDescent="0.25">
      <c r="A1690" t="s">
        <v>39</v>
      </c>
      <c r="B1690" t="s">
        <v>5688</v>
      </c>
      <c r="C1690">
        <v>71.599999999999994</v>
      </c>
      <c r="D1690">
        <v>66.2</v>
      </c>
      <c r="G1690">
        <f t="shared" si="260"/>
        <v>1</v>
      </c>
      <c r="H1690">
        <f t="shared" si="261"/>
        <v>1</v>
      </c>
      <c r="I1690">
        <f t="shared" si="262"/>
        <v>0</v>
      </c>
      <c r="J1690">
        <v>69</v>
      </c>
      <c r="K1690">
        <v>71.599999999999994</v>
      </c>
      <c r="L1690">
        <v>66.2</v>
      </c>
      <c r="M1690">
        <v>69</v>
      </c>
      <c r="N1690">
        <v>52.8</v>
      </c>
      <c r="O1690">
        <v>57</v>
      </c>
      <c r="S1690">
        <f t="shared" si="263"/>
        <v>1</v>
      </c>
      <c r="T1690">
        <f t="shared" si="264"/>
        <v>0</v>
      </c>
      <c r="U1690">
        <f t="shared" si="265"/>
        <v>1</v>
      </c>
      <c r="V1690">
        <v>8.0000000000000002E-3</v>
      </c>
      <c r="W1690">
        <v>100</v>
      </c>
      <c r="X1690">
        <v>4.17</v>
      </c>
      <c r="Y1690" t="s">
        <v>103</v>
      </c>
      <c r="Z1690">
        <v>0</v>
      </c>
      <c r="AA1690">
        <v>0</v>
      </c>
      <c r="AB1690">
        <v>40.299999999999997</v>
      </c>
      <c r="AC1690">
        <v>25.3</v>
      </c>
      <c r="AG1690">
        <f t="shared" si="266"/>
        <v>1</v>
      </c>
      <c r="AH1690">
        <f t="shared" si="267"/>
        <v>1</v>
      </c>
      <c r="AI1690">
        <f t="shared" si="268"/>
        <v>0</v>
      </c>
      <c r="AJ1690">
        <v>176.5</v>
      </c>
      <c r="AK1690">
        <v>1014.1</v>
      </c>
      <c r="AL1690">
        <v>71.400000000000006</v>
      </c>
      <c r="AM1690">
        <v>6.2</v>
      </c>
      <c r="AN1690">
        <v>64.400000000000006</v>
      </c>
      <c r="AO1690">
        <v>5.5</v>
      </c>
      <c r="AP1690">
        <v>3</v>
      </c>
      <c r="AQ1690">
        <v>0</v>
      </c>
      <c r="AR1690" t="s">
        <v>5689</v>
      </c>
      <c r="AS1690" t="s">
        <v>5690</v>
      </c>
      <c r="AT1690">
        <v>0.35</v>
      </c>
      <c r="AU1690" t="s">
        <v>106</v>
      </c>
      <c r="AV1690" t="s">
        <v>438</v>
      </c>
      <c r="AW1690" t="s">
        <v>103</v>
      </c>
      <c r="AX1690" t="s">
        <v>2577</v>
      </c>
      <c r="AY1690" t="s">
        <v>5691</v>
      </c>
      <c r="AZ1690">
        <v>140.00000000582079</v>
      </c>
      <c r="BA1690">
        <v>0</v>
      </c>
      <c r="BB1690">
        <v>0</v>
      </c>
      <c r="BC1690">
        <v>0.5</v>
      </c>
      <c r="BD1690">
        <v>0</v>
      </c>
      <c r="BE1690">
        <f t="shared" si="269"/>
        <v>1</v>
      </c>
    </row>
    <row r="1691" spans="1:57" x14ac:dyDescent="0.25">
      <c r="A1691" t="s">
        <v>39</v>
      </c>
      <c r="B1691" t="s">
        <v>5692</v>
      </c>
      <c r="C1691">
        <v>78.8</v>
      </c>
      <c r="D1691">
        <v>72.099999999999994</v>
      </c>
      <c r="G1691">
        <f t="shared" si="260"/>
        <v>0</v>
      </c>
      <c r="H1691">
        <f t="shared" si="261"/>
        <v>0</v>
      </c>
      <c r="I1691">
        <f t="shared" si="262"/>
        <v>0</v>
      </c>
      <c r="J1691">
        <v>75.7</v>
      </c>
      <c r="K1691">
        <v>78.8</v>
      </c>
      <c r="L1691">
        <v>72.099999999999994</v>
      </c>
      <c r="M1691">
        <v>75.7</v>
      </c>
      <c r="N1691">
        <v>61.8</v>
      </c>
      <c r="O1691">
        <v>62.1</v>
      </c>
      <c r="S1691">
        <f t="shared" si="263"/>
        <v>1</v>
      </c>
      <c r="T1691">
        <f t="shared" si="264"/>
        <v>0</v>
      </c>
      <c r="U1691">
        <f t="shared" si="265"/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33.1</v>
      </c>
      <c r="AC1691">
        <v>21.9</v>
      </c>
      <c r="AG1691">
        <f t="shared" si="266"/>
        <v>1</v>
      </c>
      <c r="AH1691">
        <f t="shared" si="267"/>
        <v>1</v>
      </c>
      <c r="AI1691">
        <f t="shared" si="268"/>
        <v>0</v>
      </c>
      <c r="AJ1691">
        <v>332.2</v>
      </c>
      <c r="AK1691">
        <v>1018.5</v>
      </c>
      <c r="AL1691">
        <v>34.1</v>
      </c>
      <c r="AM1691">
        <v>6.2</v>
      </c>
      <c r="AN1691">
        <v>225.5</v>
      </c>
      <c r="AO1691">
        <v>19.600000000000001</v>
      </c>
      <c r="AP1691">
        <v>8</v>
      </c>
      <c r="AQ1691">
        <v>0</v>
      </c>
      <c r="AR1691" t="s">
        <v>5693</v>
      </c>
      <c r="AS1691" t="s">
        <v>5694</v>
      </c>
      <c r="AT1691">
        <v>0.84</v>
      </c>
      <c r="AU1691" t="s">
        <v>43</v>
      </c>
      <c r="AV1691" t="s">
        <v>44</v>
      </c>
      <c r="AW1691" t="s">
        <v>45</v>
      </c>
      <c r="AX1691" t="s">
        <v>4836</v>
      </c>
      <c r="AY1691" t="s">
        <v>5695</v>
      </c>
      <c r="AZ1691">
        <v>535.00000000465661</v>
      </c>
      <c r="BA1691">
        <v>1</v>
      </c>
      <c r="BB1691">
        <v>0</v>
      </c>
      <c r="BC1691">
        <v>1</v>
      </c>
      <c r="BD1691">
        <v>0</v>
      </c>
      <c r="BE1691">
        <f t="shared" si="269"/>
        <v>1</v>
      </c>
    </row>
    <row r="1692" spans="1:57" x14ac:dyDescent="0.25">
      <c r="A1692" t="s">
        <v>39</v>
      </c>
      <c r="B1692" t="s">
        <v>5462</v>
      </c>
      <c r="C1692">
        <v>84.2</v>
      </c>
      <c r="D1692">
        <v>70.599999999999994</v>
      </c>
      <c r="G1692">
        <f t="shared" si="260"/>
        <v>1</v>
      </c>
      <c r="H1692">
        <f t="shared" si="261"/>
        <v>1</v>
      </c>
      <c r="I1692">
        <f t="shared" si="262"/>
        <v>0</v>
      </c>
      <c r="J1692">
        <v>78.400000000000006</v>
      </c>
      <c r="K1692">
        <v>91</v>
      </c>
      <c r="L1692">
        <v>70.599999999999994</v>
      </c>
      <c r="M1692">
        <v>80.8</v>
      </c>
      <c r="N1692">
        <v>65.099999999999994</v>
      </c>
      <c r="O1692">
        <v>65.400000000000006</v>
      </c>
      <c r="S1692">
        <f t="shared" si="263"/>
        <v>1</v>
      </c>
      <c r="T1692">
        <f t="shared" si="264"/>
        <v>1</v>
      </c>
      <c r="U1692">
        <f t="shared" si="265"/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19.2</v>
      </c>
      <c r="AC1692">
        <v>10.3</v>
      </c>
      <c r="AG1692">
        <f t="shared" si="266"/>
        <v>1</v>
      </c>
      <c r="AH1692">
        <f t="shared" si="267"/>
        <v>0</v>
      </c>
      <c r="AI1692">
        <f t="shared" si="268"/>
        <v>1</v>
      </c>
      <c r="AJ1692">
        <v>124.8</v>
      </c>
      <c r="AK1692">
        <v>1013</v>
      </c>
      <c r="AL1692">
        <v>8.8000000000000007</v>
      </c>
      <c r="AM1692">
        <v>6.2</v>
      </c>
      <c r="AN1692">
        <v>341</v>
      </c>
      <c r="AO1692">
        <v>29.5</v>
      </c>
      <c r="AP1692">
        <v>10</v>
      </c>
      <c r="AQ1692">
        <v>0</v>
      </c>
      <c r="AR1692" t="s">
        <v>5463</v>
      </c>
      <c r="AS1692" t="s">
        <v>5464</v>
      </c>
      <c r="AT1692">
        <v>0.68</v>
      </c>
      <c r="AU1692" t="s">
        <v>74</v>
      </c>
      <c r="AV1692" t="s">
        <v>2955</v>
      </c>
      <c r="AW1692" t="s">
        <v>75</v>
      </c>
      <c r="AX1692" t="s">
        <v>2418</v>
      </c>
      <c r="AY1692" t="s">
        <v>5696</v>
      </c>
      <c r="AZ1692">
        <v>720</v>
      </c>
      <c r="BA1692">
        <v>1</v>
      </c>
      <c r="BB1692">
        <v>0</v>
      </c>
      <c r="BC1692">
        <v>5</v>
      </c>
      <c r="BD1692">
        <v>0</v>
      </c>
      <c r="BE1692">
        <f t="shared" si="269"/>
        <v>1</v>
      </c>
    </row>
    <row r="1693" spans="1:57" x14ac:dyDescent="0.25">
      <c r="A1693" t="s">
        <v>39</v>
      </c>
      <c r="B1693" t="s">
        <v>5466</v>
      </c>
      <c r="C1693">
        <v>82.4</v>
      </c>
      <c r="D1693">
        <v>69.8</v>
      </c>
      <c r="G1693">
        <f t="shared" si="260"/>
        <v>1</v>
      </c>
      <c r="H1693">
        <f t="shared" si="261"/>
        <v>1</v>
      </c>
      <c r="I1693">
        <f t="shared" si="262"/>
        <v>0</v>
      </c>
      <c r="J1693">
        <v>77</v>
      </c>
      <c r="K1693">
        <v>84</v>
      </c>
      <c r="L1693">
        <v>69.8</v>
      </c>
      <c r="M1693">
        <v>77.599999999999994</v>
      </c>
      <c r="N1693">
        <v>61</v>
      </c>
      <c r="O1693">
        <v>58.1</v>
      </c>
      <c r="S1693">
        <f t="shared" si="263"/>
        <v>1</v>
      </c>
      <c r="T1693">
        <f t="shared" si="264"/>
        <v>0</v>
      </c>
      <c r="U1693">
        <f t="shared" si="265"/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31.8</v>
      </c>
      <c r="AC1693">
        <v>19.600000000000001</v>
      </c>
      <c r="AG1693">
        <f t="shared" si="266"/>
        <v>1</v>
      </c>
      <c r="AH1693">
        <f t="shared" si="267"/>
        <v>1</v>
      </c>
      <c r="AI1693">
        <f t="shared" si="268"/>
        <v>0</v>
      </c>
      <c r="AJ1693">
        <v>309</v>
      </c>
      <c r="AK1693">
        <v>1015.5</v>
      </c>
      <c r="AL1693">
        <v>3.6</v>
      </c>
      <c r="AM1693">
        <v>6.2</v>
      </c>
      <c r="AN1693">
        <v>347.2</v>
      </c>
      <c r="AO1693">
        <v>30</v>
      </c>
      <c r="AP1693">
        <v>10</v>
      </c>
      <c r="AQ1693">
        <v>0</v>
      </c>
      <c r="AR1693" t="s">
        <v>5467</v>
      </c>
      <c r="AS1693" t="s">
        <v>5468</v>
      </c>
      <c r="AT1693">
        <v>0.9</v>
      </c>
      <c r="AU1693" t="s">
        <v>74</v>
      </c>
      <c r="AV1693" t="s">
        <v>2955</v>
      </c>
      <c r="AW1693" t="s">
        <v>75</v>
      </c>
      <c r="AX1693" t="s">
        <v>2550</v>
      </c>
      <c r="AY1693" t="s">
        <v>5697</v>
      </c>
      <c r="AZ1693">
        <v>1440</v>
      </c>
      <c r="BA1693">
        <v>1</v>
      </c>
      <c r="BB1693">
        <v>0</v>
      </c>
      <c r="BC1693">
        <v>2</v>
      </c>
      <c r="BD1693">
        <v>0</v>
      </c>
      <c r="BE1693">
        <f t="shared" si="269"/>
        <v>1</v>
      </c>
    </row>
    <row r="1694" spans="1:57" x14ac:dyDescent="0.25">
      <c r="A1694" t="s">
        <v>39</v>
      </c>
      <c r="B1694" t="s">
        <v>5506</v>
      </c>
      <c r="C1694">
        <v>86</v>
      </c>
      <c r="D1694">
        <v>75.2</v>
      </c>
      <c r="G1694">
        <f t="shared" si="260"/>
        <v>1</v>
      </c>
      <c r="H1694">
        <f t="shared" si="261"/>
        <v>1</v>
      </c>
      <c r="I1694">
        <f t="shared" si="262"/>
        <v>0</v>
      </c>
      <c r="J1694">
        <v>79.900000000000006</v>
      </c>
      <c r="K1694">
        <v>87.2</v>
      </c>
      <c r="L1694">
        <v>75.2</v>
      </c>
      <c r="M1694">
        <v>81.099999999999994</v>
      </c>
      <c r="N1694">
        <v>64.3</v>
      </c>
      <c r="O1694">
        <v>60.8</v>
      </c>
      <c r="S1694">
        <f t="shared" si="263"/>
        <v>0</v>
      </c>
      <c r="T1694">
        <f t="shared" si="264"/>
        <v>0</v>
      </c>
      <c r="U1694">
        <f t="shared" si="265"/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31.1</v>
      </c>
      <c r="AC1694">
        <v>25.3</v>
      </c>
      <c r="AG1694">
        <f t="shared" si="266"/>
        <v>1</v>
      </c>
      <c r="AH1694">
        <f t="shared" si="267"/>
        <v>1</v>
      </c>
      <c r="AI1694">
        <f t="shared" si="268"/>
        <v>0</v>
      </c>
      <c r="AJ1694">
        <v>306.8</v>
      </c>
      <c r="AK1694">
        <v>1012.7</v>
      </c>
      <c r="AL1694">
        <v>8.3000000000000007</v>
      </c>
      <c r="AM1694">
        <v>6.2</v>
      </c>
      <c r="AN1694">
        <v>332.8</v>
      </c>
      <c r="AO1694">
        <v>28.6</v>
      </c>
      <c r="AP1694">
        <v>9</v>
      </c>
      <c r="AQ1694">
        <v>0</v>
      </c>
      <c r="AR1694" t="s">
        <v>5507</v>
      </c>
      <c r="AS1694" t="s">
        <v>5508</v>
      </c>
      <c r="AT1694">
        <v>0.03</v>
      </c>
      <c r="AU1694" t="s">
        <v>74</v>
      </c>
      <c r="AV1694" t="s">
        <v>2955</v>
      </c>
      <c r="AW1694" t="s">
        <v>75</v>
      </c>
      <c r="AX1694" t="s">
        <v>5698</v>
      </c>
      <c r="AY1694" t="s">
        <v>5699</v>
      </c>
      <c r="AZ1694">
        <v>374.99999999650748</v>
      </c>
      <c r="BA1694">
        <v>1</v>
      </c>
      <c r="BB1694">
        <v>0</v>
      </c>
      <c r="BC1694">
        <v>3</v>
      </c>
      <c r="BD1694">
        <v>0</v>
      </c>
      <c r="BE1694">
        <f t="shared" si="269"/>
        <v>1</v>
      </c>
    </row>
    <row r="1695" spans="1:57" x14ac:dyDescent="0.25">
      <c r="A1695" t="s">
        <v>39</v>
      </c>
      <c r="B1695" t="s">
        <v>5700</v>
      </c>
      <c r="C1695">
        <v>82.4</v>
      </c>
      <c r="D1695">
        <v>71.3</v>
      </c>
      <c r="G1695">
        <f t="shared" si="260"/>
        <v>0</v>
      </c>
      <c r="H1695">
        <f t="shared" si="261"/>
        <v>0</v>
      </c>
      <c r="I1695">
        <f t="shared" si="262"/>
        <v>0</v>
      </c>
      <c r="J1695">
        <v>78.900000000000006</v>
      </c>
      <c r="K1695">
        <v>87.2</v>
      </c>
      <c r="L1695">
        <v>71.3</v>
      </c>
      <c r="M1695">
        <v>80.400000000000006</v>
      </c>
      <c r="N1695">
        <v>69.7</v>
      </c>
      <c r="O1695">
        <v>73.7</v>
      </c>
      <c r="S1695">
        <f t="shared" si="263"/>
        <v>1</v>
      </c>
      <c r="T1695">
        <f t="shared" si="264"/>
        <v>1</v>
      </c>
      <c r="U1695">
        <f t="shared" si="265"/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37.1</v>
      </c>
      <c r="AC1695">
        <v>23</v>
      </c>
      <c r="AG1695">
        <f t="shared" si="266"/>
        <v>1</v>
      </c>
      <c r="AH1695">
        <f t="shared" si="267"/>
        <v>1</v>
      </c>
      <c r="AI1695">
        <f t="shared" si="268"/>
        <v>0</v>
      </c>
      <c r="AJ1695">
        <v>308</v>
      </c>
      <c r="AK1695">
        <v>1010</v>
      </c>
      <c r="AL1695">
        <v>31.6</v>
      </c>
      <c r="AM1695">
        <v>6.2</v>
      </c>
      <c r="AN1695">
        <v>291.89999999999998</v>
      </c>
      <c r="AO1695">
        <v>25.2</v>
      </c>
      <c r="AP1695">
        <v>8</v>
      </c>
      <c r="AQ1695">
        <v>0</v>
      </c>
      <c r="AR1695" t="s">
        <v>5701</v>
      </c>
      <c r="AS1695" t="s">
        <v>5702</v>
      </c>
      <c r="AT1695">
        <v>0.77</v>
      </c>
      <c r="AU1695" t="s">
        <v>43</v>
      </c>
      <c r="AV1695" t="s">
        <v>44</v>
      </c>
      <c r="AW1695" t="s">
        <v>45</v>
      </c>
      <c r="AX1695" t="s">
        <v>2774</v>
      </c>
      <c r="AY1695" t="s">
        <v>5703</v>
      </c>
      <c r="AZ1695">
        <v>1460.0000000023281</v>
      </c>
      <c r="BA1695">
        <v>1</v>
      </c>
      <c r="BB1695">
        <v>0</v>
      </c>
      <c r="BC1695">
        <v>5</v>
      </c>
      <c r="BD1695">
        <v>0</v>
      </c>
      <c r="BE1695">
        <f t="shared" si="269"/>
        <v>1</v>
      </c>
    </row>
    <row r="1696" spans="1:57" x14ac:dyDescent="0.25">
      <c r="A1696" t="s">
        <v>39</v>
      </c>
      <c r="B1696" t="s">
        <v>5704</v>
      </c>
      <c r="C1696">
        <v>60.8</v>
      </c>
      <c r="D1696">
        <v>48.2</v>
      </c>
      <c r="G1696">
        <f t="shared" si="260"/>
        <v>1</v>
      </c>
      <c r="H1696">
        <f t="shared" si="261"/>
        <v>1</v>
      </c>
      <c r="I1696">
        <f t="shared" si="262"/>
        <v>0</v>
      </c>
      <c r="J1696">
        <v>55.6</v>
      </c>
      <c r="K1696">
        <v>60.8</v>
      </c>
      <c r="L1696">
        <v>45.6</v>
      </c>
      <c r="M1696">
        <v>55.4</v>
      </c>
      <c r="N1696">
        <v>48.5</v>
      </c>
      <c r="O1696">
        <v>77.5</v>
      </c>
      <c r="S1696">
        <f t="shared" si="263"/>
        <v>1</v>
      </c>
      <c r="T1696">
        <f t="shared" si="264"/>
        <v>1</v>
      </c>
      <c r="U1696">
        <f t="shared" si="265"/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10.3</v>
      </c>
      <c r="AC1696">
        <v>9.1999999999999993</v>
      </c>
      <c r="AG1696">
        <f t="shared" si="266"/>
        <v>1</v>
      </c>
      <c r="AH1696">
        <f t="shared" si="267"/>
        <v>0</v>
      </c>
      <c r="AI1696">
        <f t="shared" si="268"/>
        <v>1</v>
      </c>
      <c r="AJ1696">
        <v>109.8</v>
      </c>
      <c r="AK1696">
        <v>1022.4</v>
      </c>
      <c r="AL1696">
        <v>35.200000000000003</v>
      </c>
      <c r="AM1696">
        <v>6.2</v>
      </c>
      <c r="AN1696">
        <v>131.9</v>
      </c>
      <c r="AO1696">
        <v>11.4</v>
      </c>
      <c r="AP1696">
        <v>5</v>
      </c>
      <c r="AQ1696">
        <v>0</v>
      </c>
      <c r="AR1696" t="s">
        <v>5705</v>
      </c>
      <c r="AS1696" t="s">
        <v>5706</v>
      </c>
      <c r="AT1696">
        <v>0.13</v>
      </c>
      <c r="AU1696" t="s">
        <v>43</v>
      </c>
      <c r="AV1696" t="s">
        <v>44</v>
      </c>
      <c r="AW1696" t="s">
        <v>45</v>
      </c>
      <c r="AX1696" t="s">
        <v>4049</v>
      </c>
      <c r="AY1696" t="s">
        <v>5707</v>
      </c>
      <c r="AZ1696">
        <v>59.99999999650754</v>
      </c>
      <c r="BA1696">
        <v>0</v>
      </c>
      <c r="BB1696">
        <v>1</v>
      </c>
      <c r="BC1696">
        <v>0</v>
      </c>
      <c r="BD1696">
        <v>0</v>
      </c>
      <c r="BE1696">
        <f t="shared" si="269"/>
        <v>1</v>
      </c>
    </row>
    <row r="1697" spans="1:57" x14ac:dyDescent="0.25">
      <c r="A1697" t="s">
        <v>39</v>
      </c>
      <c r="B1697" t="s">
        <v>5708</v>
      </c>
      <c r="C1697">
        <v>78.8</v>
      </c>
      <c r="D1697">
        <v>63.9</v>
      </c>
      <c r="G1697">
        <f t="shared" si="260"/>
        <v>0</v>
      </c>
      <c r="H1697">
        <f t="shared" si="261"/>
        <v>0</v>
      </c>
      <c r="I1697">
        <f t="shared" si="262"/>
        <v>0</v>
      </c>
      <c r="J1697">
        <v>73.2</v>
      </c>
      <c r="K1697">
        <v>78.8</v>
      </c>
      <c r="L1697">
        <v>63.9</v>
      </c>
      <c r="M1697">
        <v>73.2</v>
      </c>
      <c r="N1697">
        <v>61.3</v>
      </c>
      <c r="O1697">
        <v>66.900000000000006</v>
      </c>
      <c r="S1697">
        <f t="shared" si="263"/>
        <v>1</v>
      </c>
      <c r="T1697">
        <f t="shared" si="264"/>
        <v>1</v>
      </c>
      <c r="U1697">
        <f t="shared" si="265"/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31.3</v>
      </c>
      <c r="AC1697">
        <v>16.100000000000001</v>
      </c>
      <c r="AG1697">
        <f t="shared" si="266"/>
        <v>0</v>
      </c>
      <c r="AH1697">
        <f t="shared" si="267"/>
        <v>0</v>
      </c>
      <c r="AI1697">
        <f t="shared" si="268"/>
        <v>0</v>
      </c>
      <c r="AJ1697">
        <v>304.10000000000002</v>
      </c>
      <c r="AK1697">
        <v>1011</v>
      </c>
      <c r="AL1697">
        <v>28.5</v>
      </c>
      <c r="AM1697">
        <v>6.2</v>
      </c>
      <c r="AN1697">
        <v>315.5</v>
      </c>
      <c r="AO1697">
        <v>27.4</v>
      </c>
      <c r="AP1697">
        <v>9</v>
      </c>
      <c r="AQ1697">
        <v>0</v>
      </c>
      <c r="AR1697" t="s">
        <v>5709</v>
      </c>
      <c r="AS1697" t="s">
        <v>5710</v>
      </c>
      <c r="AT1697">
        <v>0.34</v>
      </c>
      <c r="AU1697" t="s">
        <v>43</v>
      </c>
      <c r="AV1697" t="s">
        <v>44</v>
      </c>
      <c r="AW1697" t="s">
        <v>45</v>
      </c>
      <c r="AX1697" t="s">
        <v>2423</v>
      </c>
      <c r="AY1697" t="s">
        <v>5711</v>
      </c>
      <c r="AZ1697">
        <v>270</v>
      </c>
      <c r="BA1697">
        <v>0</v>
      </c>
      <c r="BB1697">
        <v>0</v>
      </c>
      <c r="BC1697">
        <v>3</v>
      </c>
      <c r="BD1697">
        <v>0</v>
      </c>
      <c r="BE1697">
        <f t="shared" si="269"/>
        <v>0</v>
      </c>
    </row>
    <row r="1698" spans="1:57" x14ac:dyDescent="0.25">
      <c r="A1698" t="s">
        <v>39</v>
      </c>
      <c r="B1698" t="s">
        <v>5712</v>
      </c>
      <c r="C1698">
        <v>87.9</v>
      </c>
      <c r="D1698">
        <v>71.599999999999994</v>
      </c>
      <c r="G1698">
        <f t="shared" si="260"/>
        <v>1</v>
      </c>
      <c r="H1698">
        <f t="shared" si="261"/>
        <v>1</v>
      </c>
      <c r="I1698">
        <f t="shared" si="262"/>
        <v>0</v>
      </c>
      <c r="J1698">
        <v>81.099999999999994</v>
      </c>
      <c r="K1698">
        <v>95.9</v>
      </c>
      <c r="L1698">
        <v>71.599999999999994</v>
      </c>
      <c r="M1698">
        <v>84.2</v>
      </c>
      <c r="N1698">
        <v>67.599999999999994</v>
      </c>
      <c r="O1698">
        <v>64.099999999999994</v>
      </c>
      <c r="S1698">
        <f t="shared" si="263"/>
        <v>1</v>
      </c>
      <c r="T1698">
        <f t="shared" si="264"/>
        <v>1</v>
      </c>
      <c r="U1698">
        <f t="shared" si="265"/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23</v>
      </c>
      <c r="AC1698">
        <v>10.3</v>
      </c>
      <c r="AG1698">
        <f t="shared" si="266"/>
        <v>1</v>
      </c>
      <c r="AH1698">
        <f t="shared" si="267"/>
        <v>0</v>
      </c>
      <c r="AI1698">
        <f t="shared" si="268"/>
        <v>1</v>
      </c>
      <c r="AJ1698">
        <v>117.1</v>
      </c>
      <c r="AK1698">
        <v>1011.2</v>
      </c>
      <c r="AL1698">
        <v>0.3</v>
      </c>
      <c r="AM1698">
        <v>6.5</v>
      </c>
      <c r="AN1698">
        <v>321.7</v>
      </c>
      <c r="AO1698">
        <v>27.8</v>
      </c>
      <c r="AP1698">
        <v>10</v>
      </c>
      <c r="AQ1698">
        <v>0</v>
      </c>
      <c r="AR1698" t="s">
        <v>5713</v>
      </c>
      <c r="AS1698" t="s">
        <v>5714</v>
      </c>
      <c r="AT1698">
        <v>0.05</v>
      </c>
      <c r="AU1698" t="s">
        <v>74</v>
      </c>
      <c r="AV1698" t="s">
        <v>2955</v>
      </c>
      <c r="AW1698" t="s">
        <v>75</v>
      </c>
      <c r="AX1698" t="s">
        <v>4564</v>
      </c>
      <c r="AY1698" t="s">
        <v>5715</v>
      </c>
      <c r="AZ1698">
        <v>1364.999999996508</v>
      </c>
      <c r="BA1698">
        <v>1</v>
      </c>
      <c r="BB1698">
        <v>0</v>
      </c>
      <c r="BC1698">
        <v>100</v>
      </c>
      <c r="BD1698">
        <v>0</v>
      </c>
      <c r="BE1698">
        <f t="shared" si="269"/>
        <v>1</v>
      </c>
    </row>
    <row r="1699" spans="1:57" x14ac:dyDescent="0.25">
      <c r="A1699" t="s">
        <v>39</v>
      </c>
      <c r="B1699" t="s">
        <v>5712</v>
      </c>
      <c r="C1699">
        <v>87.9</v>
      </c>
      <c r="D1699">
        <v>71.599999999999994</v>
      </c>
      <c r="G1699">
        <f t="shared" si="260"/>
        <v>1</v>
      </c>
      <c r="H1699">
        <f t="shared" si="261"/>
        <v>1</v>
      </c>
      <c r="I1699">
        <f t="shared" si="262"/>
        <v>0</v>
      </c>
      <c r="J1699">
        <v>81.099999999999994</v>
      </c>
      <c r="K1699">
        <v>95.9</v>
      </c>
      <c r="L1699">
        <v>71.599999999999994</v>
      </c>
      <c r="M1699">
        <v>84.2</v>
      </c>
      <c r="N1699">
        <v>67.599999999999994</v>
      </c>
      <c r="O1699">
        <v>64.099999999999994</v>
      </c>
      <c r="S1699">
        <f t="shared" si="263"/>
        <v>1</v>
      </c>
      <c r="T1699">
        <f t="shared" si="264"/>
        <v>1</v>
      </c>
      <c r="U1699">
        <f t="shared" si="265"/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23</v>
      </c>
      <c r="AC1699">
        <v>10.3</v>
      </c>
      <c r="AG1699">
        <f t="shared" si="266"/>
        <v>1</v>
      </c>
      <c r="AH1699">
        <f t="shared" si="267"/>
        <v>0</v>
      </c>
      <c r="AI1699">
        <f t="shared" si="268"/>
        <v>1</v>
      </c>
      <c r="AJ1699">
        <v>117.1</v>
      </c>
      <c r="AK1699">
        <v>1011.2</v>
      </c>
      <c r="AL1699">
        <v>0.3</v>
      </c>
      <c r="AM1699">
        <v>6.5</v>
      </c>
      <c r="AN1699">
        <v>321.7</v>
      </c>
      <c r="AO1699">
        <v>27.8</v>
      </c>
      <c r="AP1699">
        <v>10</v>
      </c>
      <c r="AQ1699">
        <v>0</v>
      </c>
      <c r="AR1699" t="s">
        <v>5713</v>
      </c>
      <c r="AS1699" t="s">
        <v>5714</v>
      </c>
      <c r="AT1699">
        <v>0.05</v>
      </c>
      <c r="AU1699" t="s">
        <v>74</v>
      </c>
      <c r="AV1699" t="s">
        <v>2955</v>
      </c>
      <c r="AW1699" t="s">
        <v>75</v>
      </c>
      <c r="AX1699" t="s">
        <v>5716</v>
      </c>
      <c r="AY1699" t="s">
        <v>5717</v>
      </c>
      <c r="AZ1699">
        <v>303.00000000279402</v>
      </c>
      <c r="BA1699">
        <v>0</v>
      </c>
      <c r="BB1699">
        <v>0</v>
      </c>
      <c r="BC1699">
        <v>2</v>
      </c>
      <c r="BD1699">
        <v>0</v>
      </c>
      <c r="BE1699">
        <f t="shared" si="269"/>
        <v>1</v>
      </c>
    </row>
    <row r="1700" spans="1:57" x14ac:dyDescent="0.25">
      <c r="A1700" t="s">
        <v>39</v>
      </c>
      <c r="B1700" t="s">
        <v>5567</v>
      </c>
      <c r="C1700">
        <v>86</v>
      </c>
      <c r="D1700">
        <v>66.5</v>
      </c>
      <c r="G1700">
        <f t="shared" si="260"/>
        <v>1</v>
      </c>
      <c r="H1700">
        <f t="shared" si="261"/>
        <v>1</v>
      </c>
      <c r="I1700">
        <f t="shared" si="262"/>
        <v>0</v>
      </c>
      <c r="J1700">
        <v>77.7</v>
      </c>
      <c r="K1700">
        <v>92</v>
      </c>
      <c r="L1700">
        <v>66.5</v>
      </c>
      <c r="M1700">
        <v>79.7</v>
      </c>
      <c r="N1700">
        <v>67.3</v>
      </c>
      <c r="O1700">
        <v>71.099999999999994</v>
      </c>
      <c r="S1700">
        <f t="shared" si="263"/>
        <v>1</v>
      </c>
      <c r="T1700">
        <f t="shared" si="264"/>
        <v>1</v>
      </c>
      <c r="U1700">
        <f t="shared" si="265"/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30</v>
      </c>
      <c r="AC1700">
        <v>11.4</v>
      </c>
      <c r="AG1700">
        <f t="shared" si="266"/>
        <v>1</v>
      </c>
      <c r="AH1700">
        <f t="shared" si="267"/>
        <v>0</v>
      </c>
      <c r="AI1700">
        <f t="shared" si="268"/>
        <v>1</v>
      </c>
      <c r="AJ1700">
        <v>111.7</v>
      </c>
      <c r="AK1700">
        <v>1007.1</v>
      </c>
      <c r="AL1700">
        <v>33.799999999999997</v>
      </c>
      <c r="AM1700">
        <v>6.3</v>
      </c>
      <c r="AN1700">
        <v>258.3</v>
      </c>
      <c r="AO1700">
        <v>22.4</v>
      </c>
      <c r="AP1700">
        <v>8</v>
      </c>
      <c r="AQ1700">
        <v>0</v>
      </c>
      <c r="AR1700" t="s">
        <v>5568</v>
      </c>
      <c r="AS1700" t="s">
        <v>5569</v>
      </c>
      <c r="AT1700">
        <v>0.25</v>
      </c>
      <c r="AU1700" t="s">
        <v>43</v>
      </c>
      <c r="AV1700" t="s">
        <v>80</v>
      </c>
      <c r="AW1700" t="s">
        <v>45</v>
      </c>
      <c r="AX1700" t="s">
        <v>5536</v>
      </c>
      <c r="AY1700" t="s">
        <v>5718</v>
      </c>
      <c r="AZ1700">
        <v>1361.000000004424</v>
      </c>
      <c r="BA1700">
        <v>1</v>
      </c>
      <c r="BB1700">
        <v>0</v>
      </c>
      <c r="BC1700">
        <v>4</v>
      </c>
      <c r="BD1700">
        <v>0</v>
      </c>
      <c r="BE1700">
        <f t="shared" si="269"/>
        <v>1</v>
      </c>
    </row>
    <row r="1701" spans="1:57" x14ac:dyDescent="0.25">
      <c r="A1701" t="s">
        <v>39</v>
      </c>
      <c r="B1701" t="s">
        <v>5432</v>
      </c>
      <c r="C1701">
        <v>87.8</v>
      </c>
      <c r="D1701">
        <v>67.400000000000006</v>
      </c>
      <c r="G1701">
        <f t="shared" si="260"/>
        <v>1</v>
      </c>
      <c r="H1701">
        <f t="shared" si="261"/>
        <v>1</v>
      </c>
      <c r="I1701">
        <f t="shared" si="262"/>
        <v>0</v>
      </c>
      <c r="J1701">
        <v>76.599999999999994</v>
      </c>
      <c r="K1701">
        <v>88.4</v>
      </c>
      <c r="L1701">
        <v>67.400000000000006</v>
      </c>
      <c r="M1701">
        <v>77.400000000000006</v>
      </c>
      <c r="N1701">
        <v>63.4</v>
      </c>
      <c r="O1701">
        <v>64.900000000000006</v>
      </c>
      <c r="S1701">
        <f t="shared" si="263"/>
        <v>0</v>
      </c>
      <c r="T1701">
        <f t="shared" si="264"/>
        <v>0</v>
      </c>
      <c r="U1701">
        <f t="shared" si="265"/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24.4</v>
      </c>
      <c r="AC1701">
        <v>16.100000000000001</v>
      </c>
      <c r="AG1701">
        <f t="shared" si="266"/>
        <v>0</v>
      </c>
      <c r="AH1701">
        <f t="shared" si="267"/>
        <v>0</v>
      </c>
      <c r="AI1701">
        <f t="shared" si="268"/>
        <v>0</v>
      </c>
      <c r="AJ1701">
        <v>189.1</v>
      </c>
      <c r="AK1701">
        <v>1012.4</v>
      </c>
      <c r="AL1701">
        <v>37.4</v>
      </c>
      <c r="AM1701">
        <v>6.2</v>
      </c>
      <c r="AN1701">
        <v>224.2</v>
      </c>
      <c r="AO1701">
        <v>19.5</v>
      </c>
      <c r="AP1701">
        <v>7</v>
      </c>
      <c r="AQ1701">
        <v>0</v>
      </c>
      <c r="AR1701" t="s">
        <v>5433</v>
      </c>
      <c r="AS1701" t="s">
        <v>5434</v>
      </c>
      <c r="AT1701">
        <v>7.0000000000000007E-2</v>
      </c>
      <c r="AU1701" t="s">
        <v>43</v>
      </c>
      <c r="AV1701" t="s">
        <v>44</v>
      </c>
      <c r="AW1701" t="s">
        <v>45</v>
      </c>
      <c r="AX1701" t="s">
        <v>5719</v>
      </c>
      <c r="AY1701" t="s">
        <v>5720</v>
      </c>
      <c r="AZ1701">
        <v>1603.000000007451</v>
      </c>
      <c r="BA1701">
        <v>1</v>
      </c>
      <c r="BB1701">
        <v>0</v>
      </c>
      <c r="BC1701">
        <v>5</v>
      </c>
      <c r="BD1701">
        <v>0</v>
      </c>
      <c r="BE1701">
        <f t="shared" si="269"/>
        <v>0</v>
      </c>
    </row>
    <row r="1702" spans="1:57" x14ac:dyDescent="0.25">
      <c r="A1702" t="s">
        <v>39</v>
      </c>
      <c r="B1702" t="s">
        <v>5480</v>
      </c>
      <c r="C1702">
        <v>73.400000000000006</v>
      </c>
      <c r="D1702">
        <v>69.8</v>
      </c>
      <c r="G1702">
        <f t="shared" si="260"/>
        <v>0</v>
      </c>
      <c r="H1702">
        <f t="shared" si="261"/>
        <v>0</v>
      </c>
      <c r="I1702">
        <f t="shared" si="262"/>
        <v>0</v>
      </c>
      <c r="J1702">
        <v>71.3</v>
      </c>
      <c r="K1702">
        <v>73.400000000000006</v>
      </c>
      <c r="L1702">
        <v>69.8</v>
      </c>
      <c r="M1702">
        <v>71.3</v>
      </c>
      <c r="N1702">
        <v>60.7</v>
      </c>
      <c r="O1702">
        <v>69.2</v>
      </c>
      <c r="S1702">
        <f t="shared" si="263"/>
        <v>1</v>
      </c>
      <c r="T1702">
        <f t="shared" si="264"/>
        <v>1</v>
      </c>
      <c r="U1702">
        <f t="shared" si="265"/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28</v>
      </c>
      <c r="AC1702">
        <v>17.2</v>
      </c>
      <c r="AG1702">
        <f t="shared" si="266"/>
        <v>0</v>
      </c>
      <c r="AH1702">
        <f t="shared" si="267"/>
        <v>0</v>
      </c>
      <c r="AI1702">
        <f t="shared" si="268"/>
        <v>0</v>
      </c>
      <c r="AJ1702">
        <v>334.8</v>
      </c>
      <c r="AK1702">
        <v>1016.5</v>
      </c>
      <c r="AL1702">
        <v>50</v>
      </c>
      <c r="AM1702">
        <v>6.2</v>
      </c>
      <c r="AN1702">
        <v>169.6</v>
      </c>
      <c r="AO1702">
        <v>14.8</v>
      </c>
      <c r="AP1702">
        <v>6</v>
      </c>
      <c r="AQ1702">
        <v>0</v>
      </c>
      <c r="AR1702" t="s">
        <v>5481</v>
      </c>
      <c r="AS1702" t="s">
        <v>5482</v>
      </c>
      <c r="AT1702">
        <v>0.56000000000000005</v>
      </c>
      <c r="AU1702" t="s">
        <v>43</v>
      </c>
      <c r="AV1702" t="s">
        <v>44</v>
      </c>
      <c r="AW1702" t="s">
        <v>45</v>
      </c>
      <c r="AX1702" t="s">
        <v>5721</v>
      </c>
      <c r="AY1702" t="s">
        <v>5722</v>
      </c>
      <c r="AZ1702">
        <v>114.99999999767169</v>
      </c>
      <c r="BA1702">
        <v>0</v>
      </c>
      <c r="BB1702">
        <v>0</v>
      </c>
      <c r="BC1702">
        <v>0.5</v>
      </c>
      <c r="BD1702">
        <v>0</v>
      </c>
      <c r="BE1702">
        <f t="shared" si="269"/>
        <v>0</v>
      </c>
    </row>
    <row r="1703" spans="1:57" x14ac:dyDescent="0.25">
      <c r="A1703" t="s">
        <v>39</v>
      </c>
      <c r="B1703" t="s">
        <v>5484</v>
      </c>
      <c r="C1703">
        <v>87.5</v>
      </c>
      <c r="D1703">
        <v>68.099999999999994</v>
      </c>
      <c r="G1703">
        <f t="shared" si="260"/>
        <v>1</v>
      </c>
      <c r="H1703">
        <f t="shared" si="261"/>
        <v>1</v>
      </c>
      <c r="I1703">
        <f t="shared" si="262"/>
        <v>0</v>
      </c>
      <c r="J1703">
        <v>77.900000000000006</v>
      </c>
      <c r="K1703">
        <v>84.1</v>
      </c>
      <c r="L1703">
        <v>68.099999999999994</v>
      </c>
      <c r="M1703">
        <v>76.900000000000006</v>
      </c>
      <c r="N1703">
        <v>43.9</v>
      </c>
      <c r="O1703">
        <v>31.9</v>
      </c>
      <c r="S1703">
        <f t="shared" si="263"/>
        <v>1</v>
      </c>
      <c r="T1703">
        <f t="shared" si="264"/>
        <v>0</v>
      </c>
      <c r="U1703">
        <f t="shared" si="265"/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31.8</v>
      </c>
      <c r="AC1703">
        <v>12.3</v>
      </c>
      <c r="AG1703">
        <f t="shared" si="266"/>
        <v>1</v>
      </c>
      <c r="AH1703">
        <f t="shared" si="267"/>
        <v>0</v>
      </c>
      <c r="AI1703">
        <f t="shared" si="268"/>
        <v>1</v>
      </c>
      <c r="AJ1703">
        <v>293.89999999999998</v>
      </c>
      <c r="AK1703">
        <v>1019</v>
      </c>
      <c r="AL1703">
        <v>62.7</v>
      </c>
      <c r="AM1703">
        <v>6.5</v>
      </c>
      <c r="AN1703">
        <v>185</v>
      </c>
      <c r="AO1703">
        <v>15.9</v>
      </c>
      <c r="AP1703">
        <v>7</v>
      </c>
      <c r="AQ1703">
        <v>0</v>
      </c>
      <c r="AR1703" t="s">
        <v>5485</v>
      </c>
      <c r="AS1703" t="s">
        <v>5486</v>
      </c>
      <c r="AT1703">
        <v>0.79</v>
      </c>
      <c r="AU1703" t="s">
        <v>43</v>
      </c>
      <c r="AV1703" t="s">
        <v>44</v>
      </c>
      <c r="AW1703" t="s">
        <v>45</v>
      </c>
      <c r="AX1703" t="s">
        <v>5723</v>
      </c>
      <c r="AY1703" t="s">
        <v>5724</v>
      </c>
      <c r="AZ1703">
        <v>1860.9999999997669</v>
      </c>
      <c r="BA1703">
        <v>1</v>
      </c>
      <c r="BB1703">
        <v>40</v>
      </c>
      <c r="BC1703">
        <v>0</v>
      </c>
      <c r="BD1703">
        <v>0</v>
      </c>
      <c r="BE1703">
        <f t="shared" si="269"/>
        <v>1</v>
      </c>
    </row>
    <row r="1704" spans="1:57" x14ac:dyDescent="0.25">
      <c r="A1704" t="s">
        <v>39</v>
      </c>
      <c r="B1704" t="s">
        <v>5484</v>
      </c>
      <c r="C1704">
        <v>87.5</v>
      </c>
      <c r="D1704">
        <v>68.099999999999994</v>
      </c>
      <c r="G1704">
        <f t="shared" si="260"/>
        <v>1</v>
      </c>
      <c r="H1704">
        <f t="shared" si="261"/>
        <v>1</v>
      </c>
      <c r="I1704">
        <f t="shared" si="262"/>
        <v>0</v>
      </c>
      <c r="J1704">
        <v>77.900000000000006</v>
      </c>
      <c r="K1704">
        <v>84.1</v>
      </c>
      <c r="L1704">
        <v>68.099999999999994</v>
      </c>
      <c r="M1704">
        <v>76.900000000000006</v>
      </c>
      <c r="N1704">
        <v>43.9</v>
      </c>
      <c r="O1704">
        <v>31.9</v>
      </c>
      <c r="S1704">
        <f t="shared" si="263"/>
        <v>1</v>
      </c>
      <c r="T1704">
        <f t="shared" si="264"/>
        <v>0</v>
      </c>
      <c r="U1704">
        <f t="shared" si="265"/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31.8</v>
      </c>
      <c r="AC1704">
        <v>12.3</v>
      </c>
      <c r="AG1704">
        <f t="shared" si="266"/>
        <v>1</v>
      </c>
      <c r="AH1704">
        <f t="shared" si="267"/>
        <v>0</v>
      </c>
      <c r="AI1704">
        <f t="shared" si="268"/>
        <v>1</v>
      </c>
      <c r="AJ1704">
        <v>293.89999999999998</v>
      </c>
      <c r="AK1704">
        <v>1019</v>
      </c>
      <c r="AL1704">
        <v>62.7</v>
      </c>
      <c r="AM1704">
        <v>6.5</v>
      </c>
      <c r="AN1704">
        <v>185</v>
      </c>
      <c r="AO1704">
        <v>15.9</v>
      </c>
      <c r="AP1704">
        <v>7</v>
      </c>
      <c r="AQ1704">
        <v>0</v>
      </c>
      <c r="AR1704" t="s">
        <v>5485</v>
      </c>
      <c r="AS1704" t="s">
        <v>5486</v>
      </c>
      <c r="AT1704">
        <v>0.79</v>
      </c>
      <c r="AU1704" t="s">
        <v>43</v>
      </c>
      <c r="AV1704" t="s">
        <v>44</v>
      </c>
      <c r="AW1704" t="s">
        <v>45</v>
      </c>
      <c r="AX1704" t="s">
        <v>5725</v>
      </c>
      <c r="AY1704" t="s">
        <v>5726</v>
      </c>
      <c r="AZ1704">
        <v>2765.0000000023279</v>
      </c>
      <c r="BA1704">
        <v>1</v>
      </c>
      <c r="BB1704">
        <v>0</v>
      </c>
      <c r="BC1704">
        <v>25</v>
      </c>
      <c r="BD1704">
        <v>0</v>
      </c>
      <c r="BE1704">
        <f t="shared" si="269"/>
        <v>1</v>
      </c>
    </row>
    <row r="1705" spans="1:57" x14ac:dyDescent="0.25">
      <c r="A1705" t="s">
        <v>39</v>
      </c>
      <c r="B1705" t="s">
        <v>5727</v>
      </c>
      <c r="C1705">
        <v>71.599999999999994</v>
      </c>
      <c r="D1705">
        <v>66.2</v>
      </c>
      <c r="G1705">
        <f t="shared" si="260"/>
        <v>1</v>
      </c>
      <c r="H1705">
        <f t="shared" si="261"/>
        <v>1</v>
      </c>
      <c r="I1705">
        <f t="shared" si="262"/>
        <v>0</v>
      </c>
      <c r="J1705">
        <v>69.900000000000006</v>
      </c>
      <c r="K1705">
        <v>71.599999999999994</v>
      </c>
      <c r="L1705">
        <v>66.2</v>
      </c>
      <c r="M1705">
        <v>69.900000000000006</v>
      </c>
      <c r="N1705">
        <v>56.3</v>
      </c>
      <c r="O1705">
        <v>63</v>
      </c>
      <c r="S1705">
        <f t="shared" si="263"/>
        <v>1</v>
      </c>
      <c r="T1705">
        <f t="shared" si="264"/>
        <v>0</v>
      </c>
      <c r="U1705">
        <f t="shared" si="265"/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40.299999999999997</v>
      </c>
      <c r="AC1705">
        <v>19.7</v>
      </c>
      <c r="AG1705">
        <f t="shared" si="266"/>
        <v>0</v>
      </c>
      <c r="AH1705">
        <f t="shared" si="267"/>
        <v>0</v>
      </c>
      <c r="AI1705">
        <f t="shared" si="268"/>
        <v>0</v>
      </c>
      <c r="AJ1705">
        <v>174</v>
      </c>
      <c r="AK1705">
        <v>1013.8</v>
      </c>
      <c r="AL1705">
        <v>83.6</v>
      </c>
      <c r="AM1705">
        <v>6.2</v>
      </c>
      <c r="AN1705">
        <v>91.2</v>
      </c>
      <c r="AO1705">
        <v>7.8</v>
      </c>
      <c r="AP1705">
        <v>4</v>
      </c>
      <c r="AQ1705">
        <v>0</v>
      </c>
      <c r="AR1705" t="s">
        <v>5728</v>
      </c>
      <c r="AS1705" t="s">
        <v>5729</v>
      </c>
      <c r="AT1705">
        <v>0.39</v>
      </c>
      <c r="AU1705" t="s">
        <v>43</v>
      </c>
      <c r="AV1705" t="s">
        <v>44</v>
      </c>
      <c r="AW1705" t="s">
        <v>45</v>
      </c>
      <c r="AX1705" t="s">
        <v>4085</v>
      </c>
      <c r="AY1705" t="s">
        <v>5730</v>
      </c>
      <c r="AZ1705">
        <v>374.99999999650748</v>
      </c>
      <c r="BA1705">
        <v>1</v>
      </c>
      <c r="BB1705">
        <v>0</v>
      </c>
      <c r="BC1705">
        <v>1</v>
      </c>
      <c r="BD1705">
        <v>0</v>
      </c>
      <c r="BE1705">
        <f t="shared" si="269"/>
        <v>1</v>
      </c>
    </row>
    <row r="1706" spans="1:57" x14ac:dyDescent="0.25">
      <c r="A1706" t="s">
        <v>39</v>
      </c>
      <c r="B1706" t="s">
        <v>5731</v>
      </c>
      <c r="C1706">
        <v>68</v>
      </c>
      <c r="D1706">
        <v>47.2</v>
      </c>
      <c r="G1706">
        <f t="shared" si="260"/>
        <v>0</v>
      </c>
      <c r="H1706">
        <f t="shared" si="261"/>
        <v>0</v>
      </c>
      <c r="I1706">
        <f t="shared" si="262"/>
        <v>0</v>
      </c>
      <c r="J1706">
        <v>58.4</v>
      </c>
      <c r="K1706">
        <v>68</v>
      </c>
      <c r="L1706">
        <v>45.1</v>
      </c>
      <c r="M1706">
        <v>58.2</v>
      </c>
      <c r="N1706">
        <v>49.4</v>
      </c>
      <c r="O1706">
        <v>72.8</v>
      </c>
      <c r="S1706">
        <f t="shared" si="263"/>
        <v>1</v>
      </c>
      <c r="T1706">
        <f t="shared" si="264"/>
        <v>1</v>
      </c>
      <c r="U1706">
        <f t="shared" si="265"/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15.4</v>
      </c>
      <c r="AC1706">
        <v>9.1999999999999993</v>
      </c>
      <c r="AG1706">
        <f t="shared" si="266"/>
        <v>1</v>
      </c>
      <c r="AH1706">
        <f t="shared" si="267"/>
        <v>0</v>
      </c>
      <c r="AI1706">
        <f t="shared" si="268"/>
        <v>1</v>
      </c>
      <c r="AJ1706">
        <v>211.6</v>
      </c>
      <c r="AK1706">
        <v>1012.8</v>
      </c>
      <c r="AL1706">
        <v>20.8</v>
      </c>
      <c r="AM1706">
        <v>6.2</v>
      </c>
      <c r="AN1706">
        <v>276.10000000000002</v>
      </c>
      <c r="AO1706">
        <v>23.9</v>
      </c>
      <c r="AP1706">
        <v>9</v>
      </c>
      <c r="AQ1706">
        <v>0</v>
      </c>
      <c r="AR1706" t="s">
        <v>5732</v>
      </c>
      <c r="AS1706" t="s">
        <v>5733</v>
      </c>
      <c r="AT1706">
        <v>0.08</v>
      </c>
      <c r="AU1706" t="s">
        <v>43</v>
      </c>
      <c r="AV1706" t="s">
        <v>44</v>
      </c>
      <c r="AW1706" t="s">
        <v>45</v>
      </c>
      <c r="AX1706" t="s">
        <v>4339</v>
      </c>
      <c r="AY1706" t="s">
        <v>5734</v>
      </c>
      <c r="AZ1706">
        <v>84.999999994179234</v>
      </c>
      <c r="BA1706">
        <v>0</v>
      </c>
      <c r="BB1706">
        <v>0</v>
      </c>
      <c r="BC1706">
        <v>2</v>
      </c>
      <c r="BD1706">
        <v>0</v>
      </c>
      <c r="BE1706">
        <f t="shared" si="269"/>
        <v>0</v>
      </c>
    </row>
    <row r="1707" spans="1:57" x14ac:dyDescent="0.25">
      <c r="A1707" t="s">
        <v>39</v>
      </c>
      <c r="B1707" t="s">
        <v>5735</v>
      </c>
      <c r="C1707">
        <v>87.8</v>
      </c>
      <c r="D1707">
        <v>75.2</v>
      </c>
      <c r="G1707">
        <f t="shared" si="260"/>
        <v>1</v>
      </c>
      <c r="H1707">
        <f t="shared" si="261"/>
        <v>1</v>
      </c>
      <c r="I1707">
        <f t="shared" si="262"/>
        <v>0</v>
      </c>
      <c r="J1707">
        <v>81.7</v>
      </c>
      <c r="K1707">
        <v>94.2</v>
      </c>
      <c r="L1707">
        <v>75.2</v>
      </c>
      <c r="M1707">
        <v>84.5</v>
      </c>
      <c r="N1707">
        <v>69.7</v>
      </c>
      <c r="O1707">
        <v>67.5</v>
      </c>
      <c r="S1707">
        <f t="shared" si="263"/>
        <v>1</v>
      </c>
      <c r="T1707">
        <f t="shared" si="264"/>
        <v>1</v>
      </c>
      <c r="U1707">
        <f t="shared" si="265"/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25.3</v>
      </c>
      <c r="AC1707">
        <v>16.100000000000001</v>
      </c>
      <c r="AG1707">
        <f t="shared" si="266"/>
        <v>0</v>
      </c>
      <c r="AH1707">
        <f t="shared" si="267"/>
        <v>0</v>
      </c>
      <c r="AI1707">
        <f t="shared" si="268"/>
        <v>0</v>
      </c>
      <c r="AJ1707">
        <v>322</v>
      </c>
      <c r="AK1707">
        <v>1011.5</v>
      </c>
      <c r="AL1707">
        <v>0</v>
      </c>
      <c r="AM1707">
        <v>6.2</v>
      </c>
      <c r="AN1707">
        <v>323.2</v>
      </c>
      <c r="AO1707">
        <v>27.9</v>
      </c>
      <c r="AP1707">
        <v>10</v>
      </c>
      <c r="AQ1707">
        <v>0</v>
      </c>
      <c r="AR1707" t="s">
        <v>5736</v>
      </c>
      <c r="AS1707" t="s">
        <v>5737</v>
      </c>
      <c r="AT1707">
        <v>0</v>
      </c>
      <c r="AU1707" t="s">
        <v>74</v>
      </c>
      <c r="AV1707" t="s">
        <v>2955</v>
      </c>
      <c r="AW1707" t="s">
        <v>75</v>
      </c>
      <c r="AX1707" t="s">
        <v>4712</v>
      </c>
      <c r="AY1707" t="s">
        <v>5738</v>
      </c>
      <c r="AZ1707">
        <v>2000.0000000023281</v>
      </c>
      <c r="BA1707">
        <v>1</v>
      </c>
      <c r="BB1707">
        <v>0</v>
      </c>
      <c r="BC1707">
        <v>40</v>
      </c>
      <c r="BD1707">
        <v>0</v>
      </c>
      <c r="BE1707">
        <f t="shared" si="269"/>
        <v>1</v>
      </c>
    </row>
    <row r="1708" spans="1:57" x14ac:dyDescent="0.25">
      <c r="A1708" t="s">
        <v>39</v>
      </c>
      <c r="B1708" t="s">
        <v>5739</v>
      </c>
      <c r="C1708">
        <v>82.4</v>
      </c>
      <c r="D1708">
        <v>71.599999999999994</v>
      </c>
      <c r="G1708">
        <f t="shared" si="260"/>
        <v>1</v>
      </c>
      <c r="H1708">
        <f t="shared" si="261"/>
        <v>1</v>
      </c>
      <c r="I1708">
        <f t="shared" si="262"/>
        <v>0</v>
      </c>
      <c r="J1708">
        <v>76.599999999999994</v>
      </c>
      <c r="K1708">
        <v>82.5</v>
      </c>
      <c r="L1708">
        <v>71.599999999999994</v>
      </c>
      <c r="M1708">
        <v>76.8</v>
      </c>
      <c r="N1708">
        <v>60.4</v>
      </c>
      <c r="O1708">
        <v>57.5</v>
      </c>
      <c r="S1708">
        <f t="shared" si="263"/>
        <v>1</v>
      </c>
      <c r="T1708">
        <f t="shared" si="264"/>
        <v>0</v>
      </c>
      <c r="U1708">
        <f t="shared" si="265"/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37.799999999999997</v>
      </c>
      <c r="AC1708">
        <v>25.3</v>
      </c>
      <c r="AG1708">
        <f t="shared" si="266"/>
        <v>1</v>
      </c>
      <c r="AH1708">
        <f t="shared" si="267"/>
        <v>1</v>
      </c>
      <c r="AI1708">
        <f t="shared" si="268"/>
        <v>0</v>
      </c>
      <c r="AJ1708">
        <v>300</v>
      </c>
      <c r="AK1708">
        <v>1008.5</v>
      </c>
      <c r="AL1708">
        <v>21.1</v>
      </c>
      <c r="AM1708">
        <v>6.2</v>
      </c>
      <c r="AN1708">
        <v>335.3</v>
      </c>
      <c r="AO1708">
        <v>28.9</v>
      </c>
      <c r="AP1708">
        <v>10</v>
      </c>
      <c r="AQ1708">
        <v>0</v>
      </c>
      <c r="AR1708" t="s">
        <v>5740</v>
      </c>
      <c r="AS1708" t="s">
        <v>5741</v>
      </c>
      <c r="AT1708">
        <v>0.75</v>
      </c>
      <c r="AU1708" t="s">
        <v>43</v>
      </c>
      <c r="AV1708" t="s">
        <v>44</v>
      </c>
      <c r="AW1708" t="s">
        <v>45</v>
      </c>
      <c r="AX1708" t="s">
        <v>5742</v>
      </c>
      <c r="AY1708" t="s">
        <v>5743</v>
      </c>
      <c r="AZ1708">
        <v>420.99999999976723</v>
      </c>
      <c r="BA1708">
        <v>1</v>
      </c>
      <c r="BB1708">
        <v>0</v>
      </c>
      <c r="BC1708">
        <v>5</v>
      </c>
      <c r="BD1708">
        <v>0</v>
      </c>
      <c r="BE1708">
        <f t="shared" si="269"/>
        <v>1</v>
      </c>
    </row>
    <row r="1709" spans="1:57" x14ac:dyDescent="0.25">
      <c r="A1709" t="s">
        <v>39</v>
      </c>
      <c r="B1709" t="s">
        <v>5744</v>
      </c>
      <c r="C1709">
        <v>91.4</v>
      </c>
      <c r="D1709">
        <v>77</v>
      </c>
      <c r="G1709">
        <f t="shared" si="260"/>
        <v>1</v>
      </c>
      <c r="H1709">
        <f t="shared" si="261"/>
        <v>1</v>
      </c>
      <c r="I1709">
        <f t="shared" si="262"/>
        <v>0</v>
      </c>
      <c r="J1709">
        <v>84.1</v>
      </c>
      <c r="K1709">
        <v>94.2</v>
      </c>
      <c r="L1709">
        <v>77</v>
      </c>
      <c r="M1709">
        <v>84.9</v>
      </c>
      <c r="N1709">
        <v>61.1</v>
      </c>
      <c r="O1709">
        <v>46.9</v>
      </c>
      <c r="S1709">
        <f t="shared" si="263"/>
        <v>1</v>
      </c>
      <c r="T1709">
        <f t="shared" si="264"/>
        <v>0</v>
      </c>
      <c r="U1709">
        <f t="shared" si="265"/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30</v>
      </c>
      <c r="AC1709">
        <v>15</v>
      </c>
      <c r="AG1709">
        <f t="shared" si="266"/>
        <v>1</v>
      </c>
      <c r="AH1709">
        <f t="shared" si="267"/>
        <v>0</v>
      </c>
      <c r="AI1709">
        <f t="shared" si="268"/>
        <v>1</v>
      </c>
      <c r="AJ1709">
        <v>179.7</v>
      </c>
      <c r="AK1709">
        <v>1009.9</v>
      </c>
      <c r="AL1709">
        <v>0.7</v>
      </c>
      <c r="AM1709">
        <v>6.3</v>
      </c>
      <c r="AN1709">
        <v>238.7</v>
      </c>
      <c r="AO1709">
        <v>20.6</v>
      </c>
      <c r="AP1709">
        <v>8</v>
      </c>
      <c r="AQ1709">
        <v>0</v>
      </c>
      <c r="AR1709" t="s">
        <v>5745</v>
      </c>
      <c r="AS1709" t="s">
        <v>5746</v>
      </c>
      <c r="AT1709">
        <v>0.97</v>
      </c>
      <c r="AU1709" t="s">
        <v>74</v>
      </c>
      <c r="AV1709" t="s">
        <v>2955</v>
      </c>
      <c r="AW1709" t="s">
        <v>75</v>
      </c>
      <c r="AX1709" t="s">
        <v>4536</v>
      </c>
      <c r="AY1709" t="s">
        <v>5747</v>
      </c>
      <c r="AZ1709">
        <v>1609.9999999988361</v>
      </c>
      <c r="BA1709">
        <v>1</v>
      </c>
      <c r="BB1709">
        <v>150</v>
      </c>
      <c r="BC1709">
        <v>0</v>
      </c>
      <c r="BD1709">
        <v>0</v>
      </c>
      <c r="BE1709">
        <f t="shared" si="269"/>
        <v>1</v>
      </c>
    </row>
    <row r="1710" spans="1:57" x14ac:dyDescent="0.25">
      <c r="A1710" t="s">
        <v>39</v>
      </c>
      <c r="B1710" t="s">
        <v>5748</v>
      </c>
      <c r="C1710">
        <v>68.599999999999994</v>
      </c>
      <c r="D1710">
        <v>61.1</v>
      </c>
      <c r="G1710">
        <f t="shared" si="260"/>
        <v>1</v>
      </c>
      <c r="H1710">
        <f t="shared" si="261"/>
        <v>0</v>
      </c>
      <c r="I1710">
        <f t="shared" si="262"/>
        <v>1</v>
      </c>
      <c r="J1710">
        <v>65.400000000000006</v>
      </c>
      <c r="K1710">
        <v>68.599999999999994</v>
      </c>
      <c r="L1710">
        <v>61.1</v>
      </c>
      <c r="M1710">
        <v>65.400000000000006</v>
      </c>
      <c r="N1710">
        <v>53.3</v>
      </c>
      <c r="O1710">
        <v>65.5</v>
      </c>
      <c r="S1710">
        <f t="shared" si="263"/>
        <v>0</v>
      </c>
      <c r="T1710">
        <f t="shared" si="264"/>
        <v>0</v>
      </c>
      <c r="U1710">
        <f t="shared" si="265"/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50.8</v>
      </c>
      <c r="AC1710">
        <v>30</v>
      </c>
      <c r="AG1710">
        <f t="shared" si="266"/>
        <v>1</v>
      </c>
      <c r="AH1710">
        <f t="shared" si="267"/>
        <v>1</v>
      </c>
      <c r="AI1710">
        <f t="shared" si="268"/>
        <v>0</v>
      </c>
      <c r="AJ1710">
        <v>7.8</v>
      </c>
      <c r="AK1710">
        <v>1019.9</v>
      </c>
      <c r="AL1710">
        <v>33.200000000000003</v>
      </c>
      <c r="AM1710">
        <v>6.2</v>
      </c>
      <c r="AN1710">
        <v>180.1</v>
      </c>
      <c r="AO1710">
        <v>15.6</v>
      </c>
      <c r="AP1710">
        <v>7</v>
      </c>
      <c r="AQ1710">
        <v>0</v>
      </c>
      <c r="AR1710" t="s">
        <v>5749</v>
      </c>
      <c r="AS1710" t="s">
        <v>5750</v>
      </c>
      <c r="AT1710">
        <v>0.85</v>
      </c>
      <c r="AU1710" t="s">
        <v>43</v>
      </c>
      <c r="AV1710" t="s">
        <v>44</v>
      </c>
      <c r="AW1710" t="s">
        <v>45</v>
      </c>
      <c r="AX1710" t="s">
        <v>4006</v>
      </c>
      <c r="AY1710" t="s">
        <v>5751</v>
      </c>
      <c r="AZ1710">
        <v>365.99999999860302</v>
      </c>
      <c r="BA1710">
        <v>1</v>
      </c>
      <c r="BB1710">
        <v>0</v>
      </c>
      <c r="BC1710">
        <v>10</v>
      </c>
      <c r="BD1710">
        <v>0</v>
      </c>
      <c r="BE1710">
        <f t="shared" si="269"/>
        <v>1</v>
      </c>
    </row>
    <row r="1711" spans="1:57" x14ac:dyDescent="0.25">
      <c r="A1711" t="s">
        <v>39</v>
      </c>
      <c r="B1711" t="s">
        <v>5484</v>
      </c>
      <c r="C1711">
        <v>87.5</v>
      </c>
      <c r="D1711">
        <v>68.099999999999994</v>
      </c>
      <c r="G1711">
        <f t="shared" si="260"/>
        <v>1</v>
      </c>
      <c r="H1711">
        <f t="shared" si="261"/>
        <v>1</v>
      </c>
      <c r="I1711">
        <f t="shared" si="262"/>
        <v>0</v>
      </c>
      <c r="J1711">
        <v>77.900000000000006</v>
      </c>
      <c r="K1711">
        <v>84.1</v>
      </c>
      <c r="L1711">
        <v>68.099999999999994</v>
      </c>
      <c r="M1711">
        <v>76.900000000000006</v>
      </c>
      <c r="N1711">
        <v>43.9</v>
      </c>
      <c r="O1711">
        <v>31.9</v>
      </c>
      <c r="S1711">
        <f t="shared" si="263"/>
        <v>1</v>
      </c>
      <c r="T1711">
        <f t="shared" si="264"/>
        <v>0</v>
      </c>
      <c r="U1711">
        <f t="shared" si="265"/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31.8</v>
      </c>
      <c r="AC1711">
        <v>12.3</v>
      </c>
      <c r="AG1711">
        <f t="shared" si="266"/>
        <v>1</v>
      </c>
      <c r="AH1711">
        <f t="shared" si="267"/>
        <v>0</v>
      </c>
      <c r="AI1711">
        <f t="shared" si="268"/>
        <v>1</v>
      </c>
      <c r="AJ1711">
        <v>293.89999999999998</v>
      </c>
      <c r="AK1711">
        <v>1019</v>
      </c>
      <c r="AL1711">
        <v>62.7</v>
      </c>
      <c r="AM1711">
        <v>6.5</v>
      </c>
      <c r="AN1711">
        <v>185</v>
      </c>
      <c r="AO1711">
        <v>15.9</v>
      </c>
      <c r="AP1711">
        <v>7</v>
      </c>
      <c r="AQ1711">
        <v>0</v>
      </c>
      <c r="AR1711" t="s">
        <v>5485</v>
      </c>
      <c r="AS1711" t="s">
        <v>5486</v>
      </c>
      <c r="AT1711">
        <v>0.79</v>
      </c>
      <c r="AU1711" t="s">
        <v>43</v>
      </c>
      <c r="AV1711" t="s">
        <v>44</v>
      </c>
      <c r="AW1711" t="s">
        <v>45</v>
      </c>
      <c r="AX1711" t="s">
        <v>5752</v>
      </c>
      <c r="AY1711" t="s">
        <v>5753</v>
      </c>
      <c r="AZ1711">
        <v>169.99999999883579</v>
      </c>
      <c r="BA1711">
        <v>0</v>
      </c>
      <c r="BB1711">
        <v>0</v>
      </c>
      <c r="BC1711">
        <v>0.8</v>
      </c>
      <c r="BD1711">
        <v>0</v>
      </c>
      <c r="BE1711">
        <f t="shared" si="269"/>
        <v>1</v>
      </c>
    </row>
    <row r="1712" spans="1:57" x14ac:dyDescent="0.25">
      <c r="A1712" t="s">
        <v>39</v>
      </c>
      <c r="B1712" t="s">
        <v>5754</v>
      </c>
      <c r="C1712">
        <v>78.7</v>
      </c>
      <c r="D1712">
        <v>60.8</v>
      </c>
      <c r="G1712">
        <f t="shared" si="260"/>
        <v>1</v>
      </c>
      <c r="H1712">
        <f t="shared" si="261"/>
        <v>1</v>
      </c>
      <c r="I1712">
        <f t="shared" si="262"/>
        <v>0</v>
      </c>
      <c r="J1712">
        <v>69.5</v>
      </c>
      <c r="K1712">
        <v>78.7</v>
      </c>
      <c r="L1712">
        <v>60.8</v>
      </c>
      <c r="M1712">
        <v>69.5</v>
      </c>
      <c r="N1712">
        <v>57.4</v>
      </c>
      <c r="O1712">
        <v>66.2</v>
      </c>
      <c r="S1712">
        <f t="shared" si="263"/>
        <v>0</v>
      </c>
      <c r="T1712">
        <f t="shared" si="264"/>
        <v>0</v>
      </c>
      <c r="U1712">
        <f t="shared" si="265"/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31.1</v>
      </c>
      <c r="AC1712">
        <v>23</v>
      </c>
      <c r="AG1712">
        <f t="shared" si="266"/>
        <v>1</v>
      </c>
      <c r="AH1712">
        <f t="shared" si="267"/>
        <v>1</v>
      </c>
      <c r="AI1712">
        <f t="shared" si="268"/>
        <v>0</v>
      </c>
      <c r="AJ1712">
        <v>178.8</v>
      </c>
      <c r="AK1712">
        <v>1010.8</v>
      </c>
      <c r="AL1712">
        <v>44.7</v>
      </c>
      <c r="AM1712">
        <v>6.2</v>
      </c>
      <c r="AN1712">
        <v>139.80000000000001</v>
      </c>
      <c r="AO1712">
        <v>12.1</v>
      </c>
      <c r="AP1712">
        <v>6</v>
      </c>
      <c r="AQ1712">
        <v>0</v>
      </c>
      <c r="AR1712" t="s">
        <v>5755</v>
      </c>
      <c r="AS1712" t="s">
        <v>5756</v>
      </c>
      <c r="AT1712">
        <v>0.95</v>
      </c>
      <c r="AU1712" t="s">
        <v>43</v>
      </c>
      <c r="AV1712" t="s">
        <v>44</v>
      </c>
      <c r="AW1712" t="s">
        <v>45</v>
      </c>
      <c r="AX1712" t="s">
        <v>2476</v>
      </c>
      <c r="AY1712" t="s">
        <v>5757</v>
      </c>
      <c r="AZ1712">
        <v>239.99999999650751</v>
      </c>
      <c r="BA1712">
        <v>0</v>
      </c>
      <c r="BB1712">
        <v>0</v>
      </c>
      <c r="BC1712">
        <v>10</v>
      </c>
      <c r="BD1712">
        <v>0</v>
      </c>
      <c r="BE1712">
        <f t="shared" si="269"/>
        <v>0</v>
      </c>
    </row>
    <row r="1713" spans="1:57" x14ac:dyDescent="0.25">
      <c r="A1713" t="s">
        <v>39</v>
      </c>
      <c r="B1713" t="s">
        <v>5538</v>
      </c>
      <c r="C1713">
        <v>86</v>
      </c>
      <c r="D1713">
        <v>73.400000000000006</v>
      </c>
      <c r="G1713">
        <f t="shared" si="260"/>
        <v>1</v>
      </c>
      <c r="H1713">
        <f t="shared" si="261"/>
        <v>1</v>
      </c>
      <c r="I1713">
        <f t="shared" si="262"/>
        <v>0</v>
      </c>
      <c r="J1713">
        <v>79.8</v>
      </c>
      <c r="K1713">
        <v>90.6</v>
      </c>
      <c r="L1713">
        <v>73.400000000000006</v>
      </c>
      <c r="M1713">
        <v>81.900000000000006</v>
      </c>
      <c r="N1713">
        <v>68</v>
      </c>
      <c r="O1713">
        <v>68</v>
      </c>
      <c r="S1713">
        <f t="shared" si="263"/>
        <v>1</v>
      </c>
      <c r="T1713">
        <f t="shared" si="264"/>
        <v>1</v>
      </c>
      <c r="U1713">
        <f t="shared" si="265"/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28.2</v>
      </c>
      <c r="AC1713">
        <v>26.4</v>
      </c>
      <c r="AG1713">
        <f t="shared" si="266"/>
        <v>1</v>
      </c>
      <c r="AH1713">
        <f t="shared" si="267"/>
        <v>1</v>
      </c>
      <c r="AI1713">
        <f t="shared" si="268"/>
        <v>0</v>
      </c>
      <c r="AJ1713">
        <v>301</v>
      </c>
      <c r="AK1713">
        <v>1004.9</v>
      </c>
      <c r="AL1713">
        <v>17.5</v>
      </c>
      <c r="AM1713">
        <v>6.3</v>
      </c>
      <c r="AN1713">
        <v>320.10000000000002</v>
      </c>
      <c r="AO1713">
        <v>27.6</v>
      </c>
      <c r="AP1713">
        <v>10</v>
      </c>
      <c r="AQ1713">
        <v>0</v>
      </c>
      <c r="AR1713" t="s">
        <v>5539</v>
      </c>
      <c r="AS1713" t="s">
        <v>5540</v>
      </c>
      <c r="AT1713">
        <v>0.18</v>
      </c>
      <c r="AU1713" t="s">
        <v>74</v>
      </c>
      <c r="AV1713" t="s">
        <v>2955</v>
      </c>
      <c r="AW1713" t="s">
        <v>75</v>
      </c>
      <c r="AX1713" t="s">
        <v>5758</v>
      </c>
      <c r="AY1713" t="s">
        <v>5759</v>
      </c>
      <c r="AZ1713">
        <v>116.00000000093129</v>
      </c>
      <c r="BA1713">
        <v>0</v>
      </c>
      <c r="BB1713">
        <v>0</v>
      </c>
      <c r="BC1713">
        <v>0.2</v>
      </c>
      <c r="BD1713">
        <v>0</v>
      </c>
      <c r="BE1713">
        <f t="shared" si="269"/>
        <v>1</v>
      </c>
    </row>
    <row r="1714" spans="1:57" x14ac:dyDescent="0.25">
      <c r="A1714" t="s">
        <v>39</v>
      </c>
      <c r="B1714" t="s">
        <v>5492</v>
      </c>
      <c r="C1714">
        <v>69.8</v>
      </c>
      <c r="D1714">
        <v>53.5</v>
      </c>
      <c r="G1714">
        <f t="shared" si="260"/>
        <v>1</v>
      </c>
      <c r="H1714">
        <f t="shared" si="261"/>
        <v>1</v>
      </c>
      <c r="I1714">
        <f t="shared" si="262"/>
        <v>0</v>
      </c>
      <c r="J1714">
        <v>62.6</v>
      </c>
      <c r="K1714">
        <v>69.8</v>
      </c>
      <c r="L1714">
        <v>53.5</v>
      </c>
      <c r="M1714">
        <v>62.6</v>
      </c>
      <c r="N1714">
        <v>51</v>
      </c>
      <c r="O1714">
        <v>66.599999999999994</v>
      </c>
      <c r="S1714">
        <f t="shared" si="263"/>
        <v>1</v>
      </c>
      <c r="T1714">
        <f t="shared" si="264"/>
        <v>0</v>
      </c>
      <c r="U1714">
        <f t="shared" si="265"/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36.9</v>
      </c>
      <c r="AC1714">
        <v>28.9</v>
      </c>
      <c r="AG1714">
        <f t="shared" si="266"/>
        <v>1</v>
      </c>
      <c r="AH1714">
        <f t="shared" si="267"/>
        <v>1</v>
      </c>
      <c r="AI1714">
        <f t="shared" si="268"/>
        <v>0</v>
      </c>
      <c r="AJ1714">
        <v>179.3</v>
      </c>
      <c r="AK1714">
        <v>1015.7</v>
      </c>
      <c r="AL1714">
        <v>26.9</v>
      </c>
      <c r="AM1714">
        <v>6.2</v>
      </c>
      <c r="AN1714">
        <v>144.80000000000001</v>
      </c>
      <c r="AO1714">
        <v>12.3</v>
      </c>
      <c r="AP1714">
        <v>6</v>
      </c>
      <c r="AQ1714">
        <v>0</v>
      </c>
      <c r="AR1714" t="s">
        <v>5493</v>
      </c>
      <c r="AS1714" t="s">
        <v>5494</v>
      </c>
      <c r="AT1714">
        <v>0.64</v>
      </c>
      <c r="AU1714" t="s">
        <v>43</v>
      </c>
      <c r="AV1714" t="s">
        <v>44</v>
      </c>
      <c r="AW1714" t="s">
        <v>45</v>
      </c>
      <c r="AX1714" t="s">
        <v>2665</v>
      </c>
      <c r="AY1714" t="s">
        <v>5760</v>
      </c>
      <c r="AZ1714">
        <v>120.0000000034925</v>
      </c>
      <c r="BA1714">
        <v>0</v>
      </c>
      <c r="BB1714">
        <v>0</v>
      </c>
      <c r="BC1714">
        <v>3</v>
      </c>
      <c r="BD1714">
        <v>0</v>
      </c>
      <c r="BE1714">
        <f t="shared" si="269"/>
        <v>1</v>
      </c>
    </row>
    <row r="1715" spans="1:57" x14ac:dyDescent="0.25">
      <c r="A1715" t="s">
        <v>39</v>
      </c>
      <c r="B1715" t="s">
        <v>5761</v>
      </c>
      <c r="C1715">
        <v>77</v>
      </c>
      <c r="D1715">
        <v>59</v>
      </c>
      <c r="G1715">
        <f t="shared" si="260"/>
        <v>1</v>
      </c>
      <c r="H1715">
        <f t="shared" si="261"/>
        <v>1</v>
      </c>
      <c r="I1715">
        <f t="shared" si="262"/>
        <v>0</v>
      </c>
      <c r="J1715">
        <v>66.8</v>
      </c>
      <c r="K1715">
        <v>77</v>
      </c>
      <c r="L1715">
        <v>59</v>
      </c>
      <c r="M1715">
        <v>66.8</v>
      </c>
      <c r="N1715">
        <v>45.4</v>
      </c>
      <c r="O1715">
        <v>46.8</v>
      </c>
      <c r="S1715">
        <f t="shared" si="263"/>
        <v>1</v>
      </c>
      <c r="T1715">
        <f t="shared" si="264"/>
        <v>0</v>
      </c>
      <c r="U1715">
        <f t="shared" si="265"/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40.299999999999997</v>
      </c>
      <c r="AC1715">
        <v>28.9</v>
      </c>
      <c r="AG1715">
        <f t="shared" si="266"/>
        <v>1</v>
      </c>
      <c r="AH1715">
        <f t="shared" si="267"/>
        <v>1</v>
      </c>
      <c r="AI1715">
        <f t="shared" si="268"/>
        <v>0</v>
      </c>
      <c r="AJ1715">
        <v>179.6</v>
      </c>
      <c r="AK1715">
        <v>1012.8</v>
      </c>
      <c r="AL1715">
        <v>39.200000000000003</v>
      </c>
      <c r="AM1715">
        <v>6.2</v>
      </c>
      <c r="AN1715">
        <v>259.5</v>
      </c>
      <c r="AO1715">
        <v>22.5</v>
      </c>
      <c r="AP1715">
        <v>9</v>
      </c>
      <c r="AQ1715">
        <v>0</v>
      </c>
      <c r="AR1715" t="s">
        <v>5762</v>
      </c>
      <c r="AS1715" t="s">
        <v>5763</v>
      </c>
      <c r="AT1715">
        <v>0.88</v>
      </c>
      <c r="AU1715" t="s">
        <v>43</v>
      </c>
      <c r="AV1715" t="s">
        <v>2026</v>
      </c>
      <c r="AW1715" t="s">
        <v>45</v>
      </c>
      <c r="AX1715" t="s">
        <v>2491</v>
      </c>
      <c r="AY1715" t="s">
        <v>5764</v>
      </c>
      <c r="AZ1715">
        <v>30.00000000349246</v>
      </c>
      <c r="BA1715">
        <v>0</v>
      </c>
      <c r="BB1715">
        <v>0</v>
      </c>
      <c r="BC1715">
        <v>0.1</v>
      </c>
      <c r="BD1715">
        <v>0</v>
      </c>
      <c r="BE1715">
        <f t="shared" si="269"/>
        <v>1</v>
      </c>
    </row>
    <row r="1716" spans="1:57" x14ac:dyDescent="0.25">
      <c r="A1716" t="s">
        <v>39</v>
      </c>
      <c r="B1716" t="s">
        <v>5532</v>
      </c>
      <c r="C1716">
        <v>82.4</v>
      </c>
      <c r="D1716">
        <v>71.599999999999994</v>
      </c>
      <c r="G1716">
        <f t="shared" si="260"/>
        <v>0</v>
      </c>
      <c r="H1716">
        <f t="shared" si="261"/>
        <v>0</v>
      </c>
      <c r="I1716">
        <f t="shared" si="262"/>
        <v>0</v>
      </c>
      <c r="J1716">
        <v>78.3</v>
      </c>
      <c r="K1716">
        <v>86.2</v>
      </c>
      <c r="L1716">
        <v>71.599999999999994</v>
      </c>
      <c r="M1716">
        <v>79.5</v>
      </c>
      <c r="N1716">
        <v>65.7</v>
      </c>
      <c r="O1716">
        <v>65.400000000000006</v>
      </c>
      <c r="S1716">
        <f t="shared" si="263"/>
        <v>1</v>
      </c>
      <c r="T1716">
        <f t="shared" si="264"/>
        <v>1</v>
      </c>
      <c r="U1716">
        <f t="shared" si="265"/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32.700000000000003</v>
      </c>
      <c r="AC1716">
        <v>25.3</v>
      </c>
      <c r="AG1716">
        <f t="shared" si="266"/>
        <v>1</v>
      </c>
      <c r="AH1716">
        <f t="shared" si="267"/>
        <v>1</v>
      </c>
      <c r="AI1716">
        <f t="shared" si="268"/>
        <v>0</v>
      </c>
      <c r="AJ1716">
        <v>306.89999999999998</v>
      </c>
      <c r="AK1716">
        <v>1008.5</v>
      </c>
      <c r="AL1716">
        <v>13</v>
      </c>
      <c r="AM1716">
        <v>6.3</v>
      </c>
      <c r="AN1716">
        <v>331.9</v>
      </c>
      <c r="AO1716">
        <v>28.9</v>
      </c>
      <c r="AP1716">
        <v>10</v>
      </c>
      <c r="AQ1716">
        <v>0</v>
      </c>
      <c r="AR1716" t="s">
        <v>5533</v>
      </c>
      <c r="AS1716" t="s">
        <v>5534</v>
      </c>
      <c r="AT1716">
        <v>0.6</v>
      </c>
      <c r="AU1716" t="s">
        <v>74</v>
      </c>
      <c r="AV1716" t="s">
        <v>2955</v>
      </c>
      <c r="AW1716" t="s">
        <v>75</v>
      </c>
      <c r="AX1716" t="s">
        <v>5765</v>
      </c>
      <c r="AY1716" t="s">
        <v>5766</v>
      </c>
      <c r="AZ1716">
        <v>1061.0000000009311</v>
      </c>
      <c r="BA1716">
        <v>1</v>
      </c>
      <c r="BB1716">
        <v>0</v>
      </c>
      <c r="BC1716">
        <v>4</v>
      </c>
      <c r="BD1716">
        <v>0</v>
      </c>
      <c r="BE1716">
        <f t="shared" si="269"/>
        <v>1</v>
      </c>
    </row>
    <row r="1717" spans="1:57" x14ac:dyDescent="0.25">
      <c r="A1717" t="s">
        <v>39</v>
      </c>
      <c r="B1717" t="s">
        <v>5415</v>
      </c>
      <c r="C1717">
        <v>84.2</v>
      </c>
      <c r="D1717">
        <v>71.599999999999994</v>
      </c>
      <c r="G1717">
        <f t="shared" si="260"/>
        <v>0</v>
      </c>
      <c r="H1717">
        <f t="shared" si="261"/>
        <v>0</v>
      </c>
      <c r="I1717">
        <f t="shared" si="262"/>
        <v>0</v>
      </c>
      <c r="J1717">
        <v>78.900000000000006</v>
      </c>
      <c r="K1717">
        <v>91</v>
      </c>
      <c r="L1717">
        <v>71.599999999999994</v>
      </c>
      <c r="M1717">
        <v>81.099999999999994</v>
      </c>
      <c r="N1717">
        <v>69</v>
      </c>
      <c r="O1717">
        <v>72</v>
      </c>
      <c r="S1717">
        <f t="shared" si="263"/>
        <v>1</v>
      </c>
      <c r="T1717">
        <f t="shared" si="264"/>
        <v>1</v>
      </c>
      <c r="U1717">
        <f t="shared" si="265"/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21.9</v>
      </c>
      <c r="AC1717">
        <v>12.8</v>
      </c>
      <c r="AG1717">
        <f t="shared" si="266"/>
        <v>1</v>
      </c>
      <c r="AH1717">
        <f t="shared" si="267"/>
        <v>0</v>
      </c>
      <c r="AI1717">
        <f t="shared" si="268"/>
        <v>1</v>
      </c>
      <c r="AJ1717">
        <v>349.4</v>
      </c>
      <c r="AK1717">
        <v>1007.6</v>
      </c>
      <c r="AL1717">
        <v>13.9</v>
      </c>
      <c r="AM1717">
        <v>6.2</v>
      </c>
      <c r="AN1717">
        <v>315.3</v>
      </c>
      <c r="AO1717">
        <v>27.4</v>
      </c>
      <c r="AP1717">
        <v>9</v>
      </c>
      <c r="AQ1717">
        <v>0</v>
      </c>
      <c r="AR1717" t="s">
        <v>5416</v>
      </c>
      <c r="AS1717" t="s">
        <v>5417</v>
      </c>
      <c r="AT1717">
        <v>0.88</v>
      </c>
      <c r="AU1717" t="s">
        <v>74</v>
      </c>
      <c r="AV1717" t="s">
        <v>2955</v>
      </c>
      <c r="AW1717" t="s">
        <v>75</v>
      </c>
      <c r="AX1717" t="s">
        <v>5767</v>
      </c>
      <c r="AY1717" t="s">
        <v>5768</v>
      </c>
      <c r="AZ1717">
        <v>1903.0000000004659</v>
      </c>
      <c r="BA1717">
        <v>1</v>
      </c>
      <c r="BB1717">
        <v>0</v>
      </c>
      <c r="BC1717">
        <v>40</v>
      </c>
      <c r="BD1717">
        <v>0</v>
      </c>
      <c r="BE1717">
        <f t="shared" si="269"/>
        <v>0</v>
      </c>
    </row>
    <row r="1718" spans="1:57" x14ac:dyDescent="0.25">
      <c r="A1718" t="s">
        <v>39</v>
      </c>
      <c r="B1718" t="s">
        <v>5769</v>
      </c>
      <c r="C1718">
        <v>87.8</v>
      </c>
      <c r="D1718">
        <v>69.8</v>
      </c>
      <c r="G1718">
        <f t="shared" si="260"/>
        <v>1</v>
      </c>
      <c r="H1718">
        <f t="shared" si="261"/>
        <v>1</v>
      </c>
      <c r="I1718">
        <f t="shared" si="262"/>
        <v>0</v>
      </c>
      <c r="J1718">
        <v>79.400000000000006</v>
      </c>
      <c r="K1718">
        <v>95.9</v>
      </c>
      <c r="L1718">
        <v>69.8</v>
      </c>
      <c r="M1718">
        <v>82.4</v>
      </c>
      <c r="N1718">
        <v>70.900000000000006</v>
      </c>
      <c r="O1718">
        <v>76.400000000000006</v>
      </c>
      <c r="S1718">
        <f t="shared" si="263"/>
        <v>1</v>
      </c>
      <c r="T1718">
        <f t="shared" si="264"/>
        <v>1</v>
      </c>
      <c r="U1718">
        <f t="shared" si="265"/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26.4</v>
      </c>
      <c r="AC1718">
        <v>11.4</v>
      </c>
      <c r="AG1718">
        <f t="shared" si="266"/>
        <v>1</v>
      </c>
      <c r="AH1718">
        <f t="shared" si="267"/>
        <v>0</v>
      </c>
      <c r="AI1718">
        <f t="shared" si="268"/>
        <v>1</v>
      </c>
      <c r="AJ1718">
        <v>303.60000000000002</v>
      </c>
      <c r="AK1718">
        <v>1008.8</v>
      </c>
      <c r="AL1718">
        <v>8.1999999999999993</v>
      </c>
      <c r="AM1718">
        <v>6.3</v>
      </c>
      <c r="AN1718">
        <v>323.7</v>
      </c>
      <c r="AO1718">
        <v>28</v>
      </c>
      <c r="AP1718">
        <v>10</v>
      </c>
      <c r="AQ1718">
        <v>0</v>
      </c>
      <c r="AR1718" t="s">
        <v>5770</v>
      </c>
      <c r="AS1718" t="s">
        <v>5771</v>
      </c>
      <c r="AT1718">
        <v>0.12</v>
      </c>
      <c r="AU1718" t="s">
        <v>74</v>
      </c>
      <c r="AV1718" t="s">
        <v>2955</v>
      </c>
      <c r="AW1718" t="s">
        <v>75</v>
      </c>
      <c r="AX1718" t="s">
        <v>5772</v>
      </c>
      <c r="AY1718" t="s">
        <v>5773</v>
      </c>
      <c r="AZ1718">
        <v>322.00000000186259</v>
      </c>
      <c r="BA1718">
        <v>0</v>
      </c>
      <c r="BB1718">
        <v>0</v>
      </c>
      <c r="BC1718">
        <v>1</v>
      </c>
      <c r="BD1718">
        <v>0</v>
      </c>
      <c r="BE1718">
        <f t="shared" si="269"/>
        <v>1</v>
      </c>
    </row>
    <row r="1719" spans="1:57" x14ac:dyDescent="0.25">
      <c r="A1719" t="s">
        <v>39</v>
      </c>
      <c r="B1719" t="s">
        <v>5774</v>
      </c>
      <c r="C1719">
        <v>87.8</v>
      </c>
      <c r="D1719">
        <v>78.8</v>
      </c>
      <c r="G1719">
        <f t="shared" si="260"/>
        <v>1</v>
      </c>
      <c r="H1719">
        <f t="shared" si="261"/>
        <v>1</v>
      </c>
      <c r="I1719">
        <f t="shared" si="262"/>
        <v>0</v>
      </c>
      <c r="J1719">
        <v>82.6</v>
      </c>
      <c r="K1719">
        <v>94.2</v>
      </c>
      <c r="L1719">
        <v>78.8</v>
      </c>
      <c r="M1719">
        <v>86.2</v>
      </c>
      <c r="N1719">
        <v>69.400000000000006</v>
      </c>
      <c r="O1719">
        <v>64.599999999999994</v>
      </c>
      <c r="S1719">
        <f t="shared" si="263"/>
        <v>1</v>
      </c>
      <c r="T1719">
        <f t="shared" si="264"/>
        <v>1</v>
      </c>
      <c r="U1719">
        <f t="shared" si="265"/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36.200000000000003</v>
      </c>
      <c r="AC1719">
        <v>19.600000000000001</v>
      </c>
      <c r="AG1719">
        <f t="shared" si="266"/>
        <v>1</v>
      </c>
      <c r="AH1719">
        <f t="shared" si="267"/>
        <v>1</v>
      </c>
      <c r="AI1719">
        <f t="shared" si="268"/>
        <v>0</v>
      </c>
      <c r="AJ1719">
        <v>303</v>
      </c>
      <c r="AK1719">
        <v>1011.3</v>
      </c>
      <c r="AL1719">
        <v>15.9</v>
      </c>
      <c r="AM1719">
        <v>6.2</v>
      </c>
      <c r="AN1719">
        <v>308.39999999999998</v>
      </c>
      <c r="AO1719">
        <v>26.8</v>
      </c>
      <c r="AP1719">
        <v>9</v>
      </c>
      <c r="AQ1719">
        <v>0</v>
      </c>
      <c r="AR1719" t="s">
        <v>5775</v>
      </c>
      <c r="AS1719" t="s">
        <v>5776</v>
      </c>
      <c r="AT1719">
        <v>0.5</v>
      </c>
      <c r="AU1719" t="s">
        <v>74</v>
      </c>
      <c r="AV1719" t="s">
        <v>2955</v>
      </c>
      <c r="AW1719" t="s">
        <v>75</v>
      </c>
      <c r="AX1719" t="s">
        <v>4020</v>
      </c>
      <c r="AY1719" t="s">
        <v>5777</v>
      </c>
      <c r="AZ1719">
        <v>979.99999999883585</v>
      </c>
      <c r="BA1719">
        <v>1</v>
      </c>
      <c r="BB1719">
        <v>0</v>
      </c>
      <c r="BC1719">
        <v>1</v>
      </c>
      <c r="BD1719">
        <v>0</v>
      </c>
      <c r="BE1719">
        <f t="shared" si="269"/>
        <v>1</v>
      </c>
    </row>
    <row r="1720" spans="1:57" x14ac:dyDescent="0.25">
      <c r="A1720" t="s">
        <v>39</v>
      </c>
      <c r="B1720" t="s">
        <v>5427</v>
      </c>
      <c r="C1720">
        <v>86.6</v>
      </c>
      <c r="D1720">
        <v>70.400000000000006</v>
      </c>
      <c r="G1720">
        <f t="shared" si="260"/>
        <v>1</v>
      </c>
      <c r="H1720">
        <f t="shared" si="261"/>
        <v>1</v>
      </c>
      <c r="I1720">
        <f t="shared" si="262"/>
        <v>0</v>
      </c>
      <c r="J1720">
        <v>80.099999999999994</v>
      </c>
      <c r="K1720">
        <v>87.5</v>
      </c>
      <c r="L1720">
        <v>70.400000000000006</v>
      </c>
      <c r="M1720">
        <v>80.900000000000006</v>
      </c>
      <c r="N1720">
        <v>64</v>
      </c>
      <c r="O1720">
        <v>61.2</v>
      </c>
      <c r="S1720">
        <f t="shared" si="263"/>
        <v>0</v>
      </c>
      <c r="T1720">
        <f t="shared" si="264"/>
        <v>0</v>
      </c>
      <c r="U1720">
        <f t="shared" si="265"/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23.9</v>
      </c>
      <c r="AC1720">
        <v>11.4</v>
      </c>
      <c r="AG1720">
        <f t="shared" si="266"/>
        <v>1</v>
      </c>
      <c r="AH1720">
        <f t="shared" si="267"/>
        <v>0</v>
      </c>
      <c r="AI1720">
        <f t="shared" si="268"/>
        <v>1</v>
      </c>
      <c r="AJ1720">
        <v>319.10000000000002</v>
      </c>
      <c r="AK1720">
        <v>1009.5</v>
      </c>
      <c r="AL1720">
        <v>6.9</v>
      </c>
      <c r="AM1720">
        <v>6.4</v>
      </c>
      <c r="AN1720">
        <v>290.7</v>
      </c>
      <c r="AO1720">
        <v>25.1</v>
      </c>
      <c r="AP1720">
        <v>9</v>
      </c>
      <c r="AQ1720">
        <v>0</v>
      </c>
      <c r="AR1720" t="s">
        <v>5428</v>
      </c>
      <c r="AS1720" t="s">
        <v>5429</v>
      </c>
      <c r="AT1720">
        <v>0.06</v>
      </c>
      <c r="AU1720" t="s">
        <v>74</v>
      </c>
      <c r="AV1720" t="s">
        <v>2955</v>
      </c>
      <c r="AW1720" t="s">
        <v>75</v>
      </c>
      <c r="AX1720" t="s">
        <v>4316</v>
      </c>
      <c r="AY1720" t="s">
        <v>5778</v>
      </c>
      <c r="AZ1720">
        <v>1994.999999996508</v>
      </c>
      <c r="BA1720">
        <v>1</v>
      </c>
      <c r="BB1720">
        <v>0</v>
      </c>
      <c r="BC1720">
        <v>15</v>
      </c>
      <c r="BD1720">
        <v>0</v>
      </c>
      <c r="BE1720">
        <f t="shared" si="269"/>
        <v>1</v>
      </c>
    </row>
    <row r="1721" spans="1:57" x14ac:dyDescent="0.25">
      <c r="A1721" t="s">
        <v>39</v>
      </c>
      <c r="B1721" t="s">
        <v>5692</v>
      </c>
      <c r="C1721">
        <v>78.8</v>
      </c>
      <c r="D1721">
        <v>72.099999999999994</v>
      </c>
      <c r="G1721">
        <f t="shared" si="260"/>
        <v>0</v>
      </c>
      <c r="H1721">
        <f t="shared" si="261"/>
        <v>0</v>
      </c>
      <c r="I1721">
        <f t="shared" si="262"/>
        <v>0</v>
      </c>
      <c r="J1721">
        <v>75.7</v>
      </c>
      <c r="K1721">
        <v>78.8</v>
      </c>
      <c r="L1721">
        <v>72.099999999999994</v>
      </c>
      <c r="M1721">
        <v>75.7</v>
      </c>
      <c r="N1721">
        <v>61.8</v>
      </c>
      <c r="O1721">
        <v>62.1</v>
      </c>
      <c r="S1721">
        <f t="shared" si="263"/>
        <v>1</v>
      </c>
      <c r="T1721">
        <f t="shared" si="264"/>
        <v>0</v>
      </c>
      <c r="U1721">
        <f t="shared" si="265"/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33.1</v>
      </c>
      <c r="AC1721">
        <v>21.9</v>
      </c>
      <c r="AG1721">
        <f t="shared" si="266"/>
        <v>1</v>
      </c>
      <c r="AH1721">
        <f t="shared" si="267"/>
        <v>1</v>
      </c>
      <c r="AI1721">
        <f t="shared" si="268"/>
        <v>0</v>
      </c>
      <c r="AJ1721">
        <v>332.2</v>
      </c>
      <c r="AK1721">
        <v>1018.5</v>
      </c>
      <c r="AL1721">
        <v>34.1</v>
      </c>
      <c r="AM1721">
        <v>6.2</v>
      </c>
      <c r="AN1721">
        <v>225.5</v>
      </c>
      <c r="AO1721">
        <v>19.600000000000001</v>
      </c>
      <c r="AP1721">
        <v>8</v>
      </c>
      <c r="AQ1721">
        <v>0</v>
      </c>
      <c r="AR1721" t="s">
        <v>5693</v>
      </c>
      <c r="AS1721" t="s">
        <v>5694</v>
      </c>
      <c r="AT1721">
        <v>0.84</v>
      </c>
      <c r="AU1721" t="s">
        <v>43</v>
      </c>
      <c r="AV1721" t="s">
        <v>44</v>
      </c>
      <c r="AW1721" t="s">
        <v>45</v>
      </c>
      <c r="AX1721" t="s">
        <v>5779</v>
      </c>
      <c r="AY1721" t="s">
        <v>5780</v>
      </c>
      <c r="AZ1721">
        <v>238.00000000046569</v>
      </c>
      <c r="BA1721">
        <v>0</v>
      </c>
      <c r="BB1721">
        <v>0</v>
      </c>
      <c r="BC1721">
        <v>20</v>
      </c>
      <c r="BD1721">
        <v>0</v>
      </c>
      <c r="BE1721">
        <f t="shared" si="269"/>
        <v>0</v>
      </c>
    </row>
    <row r="1722" spans="1:57" x14ac:dyDescent="0.25">
      <c r="A1722" t="s">
        <v>39</v>
      </c>
      <c r="B1722" t="s">
        <v>5781</v>
      </c>
      <c r="C1722">
        <v>78.7</v>
      </c>
      <c r="D1722">
        <v>67.7</v>
      </c>
      <c r="G1722">
        <f t="shared" si="260"/>
        <v>1</v>
      </c>
      <c r="H1722">
        <f t="shared" si="261"/>
        <v>1</v>
      </c>
      <c r="I1722">
        <f t="shared" si="262"/>
        <v>0</v>
      </c>
      <c r="J1722">
        <v>73.599999999999994</v>
      </c>
      <c r="K1722">
        <v>78.7</v>
      </c>
      <c r="L1722">
        <v>67.7</v>
      </c>
      <c r="M1722">
        <v>73.599999999999994</v>
      </c>
      <c r="N1722">
        <v>53.9</v>
      </c>
      <c r="O1722">
        <v>52.1</v>
      </c>
      <c r="S1722">
        <f t="shared" si="263"/>
        <v>1</v>
      </c>
      <c r="T1722">
        <f t="shared" si="264"/>
        <v>0</v>
      </c>
      <c r="U1722">
        <f t="shared" si="265"/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27.7</v>
      </c>
      <c r="AC1722">
        <v>15.2</v>
      </c>
      <c r="AG1722">
        <f t="shared" si="266"/>
        <v>1</v>
      </c>
      <c r="AH1722">
        <f t="shared" si="267"/>
        <v>0</v>
      </c>
      <c r="AI1722">
        <f t="shared" si="268"/>
        <v>1</v>
      </c>
      <c r="AJ1722">
        <v>332.4</v>
      </c>
      <c r="AK1722">
        <v>1016.8</v>
      </c>
      <c r="AL1722">
        <v>34.799999999999997</v>
      </c>
      <c r="AM1722">
        <v>6.5</v>
      </c>
      <c r="AN1722">
        <v>185.1</v>
      </c>
      <c r="AO1722">
        <v>16</v>
      </c>
      <c r="AP1722">
        <v>7</v>
      </c>
      <c r="AQ1722">
        <v>0</v>
      </c>
      <c r="AR1722" t="s">
        <v>5782</v>
      </c>
      <c r="AS1722" t="s">
        <v>5783</v>
      </c>
      <c r="AT1722">
        <v>0.82</v>
      </c>
      <c r="AU1722" t="s">
        <v>43</v>
      </c>
      <c r="AV1722" t="s">
        <v>44</v>
      </c>
      <c r="AW1722" t="s">
        <v>45</v>
      </c>
      <c r="AX1722" t="s">
        <v>4223</v>
      </c>
      <c r="AY1722" t="s">
        <v>5784</v>
      </c>
      <c r="AZ1722">
        <v>14.99999999650754</v>
      </c>
      <c r="BA1722">
        <v>0</v>
      </c>
      <c r="BB1722">
        <v>0</v>
      </c>
      <c r="BC1722">
        <v>1</v>
      </c>
      <c r="BD1722">
        <v>0</v>
      </c>
      <c r="BE1722">
        <f t="shared" si="269"/>
        <v>1</v>
      </c>
    </row>
    <row r="1723" spans="1:57" x14ac:dyDescent="0.25">
      <c r="A1723" t="s">
        <v>39</v>
      </c>
      <c r="B1723" t="s">
        <v>5785</v>
      </c>
      <c r="C1723">
        <v>62.6</v>
      </c>
      <c r="D1723">
        <v>48.2</v>
      </c>
      <c r="G1723">
        <f t="shared" si="260"/>
        <v>1</v>
      </c>
      <c r="H1723">
        <f t="shared" si="261"/>
        <v>1</v>
      </c>
      <c r="I1723">
        <f t="shared" si="262"/>
        <v>0</v>
      </c>
      <c r="J1723">
        <v>56.3</v>
      </c>
      <c r="K1723">
        <v>62.6</v>
      </c>
      <c r="L1723">
        <v>43</v>
      </c>
      <c r="M1723">
        <v>56.1</v>
      </c>
      <c r="N1723">
        <v>47.2</v>
      </c>
      <c r="O1723">
        <v>72.400000000000006</v>
      </c>
      <c r="S1723">
        <f t="shared" si="263"/>
        <v>1</v>
      </c>
      <c r="T1723">
        <f t="shared" si="264"/>
        <v>1</v>
      </c>
      <c r="U1723">
        <f t="shared" si="265"/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28.2</v>
      </c>
      <c r="AC1723">
        <v>34.4</v>
      </c>
      <c r="AG1723">
        <f t="shared" si="266"/>
        <v>1</v>
      </c>
      <c r="AH1723">
        <f t="shared" si="267"/>
        <v>1</v>
      </c>
      <c r="AI1723">
        <f t="shared" si="268"/>
        <v>0</v>
      </c>
      <c r="AJ1723">
        <v>176.4</v>
      </c>
      <c r="AK1723">
        <v>1014.9</v>
      </c>
      <c r="AL1723">
        <v>66.3</v>
      </c>
      <c r="AM1723">
        <v>6.2</v>
      </c>
      <c r="AN1723">
        <v>103.7</v>
      </c>
      <c r="AO1723">
        <v>8.8000000000000007</v>
      </c>
      <c r="AP1723">
        <v>5</v>
      </c>
      <c r="AQ1723">
        <v>0</v>
      </c>
      <c r="AR1723" t="s">
        <v>5786</v>
      </c>
      <c r="AS1723" t="s">
        <v>5787</v>
      </c>
      <c r="AT1723">
        <v>0.75</v>
      </c>
      <c r="AU1723" t="s">
        <v>43</v>
      </c>
      <c r="AV1723" t="s">
        <v>44</v>
      </c>
      <c r="AW1723" t="s">
        <v>419</v>
      </c>
      <c r="AX1723" t="s">
        <v>4571</v>
      </c>
      <c r="AY1723" t="s">
        <v>5788</v>
      </c>
      <c r="AZ1723">
        <v>0</v>
      </c>
      <c r="BA1723">
        <v>0</v>
      </c>
      <c r="BB1723">
        <v>3</v>
      </c>
      <c r="BC1723">
        <v>0</v>
      </c>
      <c r="BD1723">
        <v>0</v>
      </c>
      <c r="BE1723">
        <f t="shared" si="269"/>
        <v>1</v>
      </c>
    </row>
    <row r="1724" spans="1:57" x14ac:dyDescent="0.25">
      <c r="A1724" t="s">
        <v>39</v>
      </c>
      <c r="B1724" t="s">
        <v>5789</v>
      </c>
      <c r="C1724">
        <v>82.4</v>
      </c>
      <c r="D1724">
        <v>73.099999999999994</v>
      </c>
      <c r="G1724">
        <f t="shared" si="260"/>
        <v>0</v>
      </c>
      <c r="H1724">
        <f t="shared" si="261"/>
        <v>0</v>
      </c>
      <c r="I1724">
        <f t="shared" si="262"/>
        <v>0</v>
      </c>
      <c r="J1724">
        <v>80.099999999999994</v>
      </c>
      <c r="K1724">
        <v>85.4</v>
      </c>
      <c r="L1724">
        <v>73.099999999999994</v>
      </c>
      <c r="M1724">
        <v>81.900000000000006</v>
      </c>
      <c r="N1724">
        <v>67</v>
      </c>
      <c r="O1724">
        <v>64.599999999999994</v>
      </c>
      <c r="S1724">
        <f t="shared" si="263"/>
        <v>1</v>
      </c>
      <c r="T1724">
        <f t="shared" si="264"/>
        <v>1</v>
      </c>
      <c r="U1724">
        <f t="shared" si="265"/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35.799999999999997</v>
      </c>
      <c r="AC1724">
        <v>20.8</v>
      </c>
      <c r="AG1724">
        <f t="shared" si="266"/>
        <v>1</v>
      </c>
      <c r="AH1724">
        <f t="shared" si="267"/>
        <v>1</v>
      </c>
      <c r="AI1724">
        <f t="shared" si="268"/>
        <v>0</v>
      </c>
      <c r="AJ1724">
        <v>319.89999999999998</v>
      </c>
      <c r="AK1724">
        <v>1009</v>
      </c>
      <c r="AL1724">
        <v>26.2</v>
      </c>
      <c r="AM1724">
        <v>6.2</v>
      </c>
      <c r="AN1724">
        <v>274.2</v>
      </c>
      <c r="AO1724">
        <v>23.7</v>
      </c>
      <c r="AP1724">
        <v>8</v>
      </c>
      <c r="AQ1724">
        <v>0</v>
      </c>
      <c r="AR1724" t="s">
        <v>5790</v>
      </c>
      <c r="AS1724" t="s">
        <v>5791</v>
      </c>
      <c r="AT1724">
        <v>0.76</v>
      </c>
      <c r="AU1724" t="s">
        <v>43</v>
      </c>
      <c r="AV1724" t="s">
        <v>44</v>
      </c>
      <c r="AW1724" t="s">
        <v>45</v>
      </c>
      <c r="AX1724" t="s">
        <v>2452</v>
      </c>
      <c r="AY1724" t="s">
        <v>5792</v>
      </c>
      <c r="AZ1724">
        <v>1899.999999990687</v>
      </c>
      <c r="BA1724">
        <v>1</v>
      </c>
      <c r="BB1724">
        <v>0</v>
      </c>
      <c r="BC1724">
        <v>5</v>
      </c>
      <c r="BD1724">
        <v>0</v>
      </c>
      <c r="BE1724">
        <f t="shared" si="269"/>
        <v>1</v>
      </c>
    </row>
    <row r="1725" spans="1:57" x14ac:dyDescent="0.25">
      <c r="A1725" t="s">
        <v>39</v>
      </c>
      <c r="B1725" t="s">
        <v>5748</v>
      </c>
      <c r="C1725">
        <v>68.599999999999994</v>
      </c>
      <c r="D1725">
        <v>61.1</v>
      </c>
      <c r="G1725">
        <f t="shared" si="260"/>
        <v>1</v>
      </c>
      <c r="H1725">
        <f t="shared" si="261"/>
        <v>0</v>
      </c>
      <c r="I1725">
        <f t="shared" si="262"/>
        <v>1</v>
      </c>
      <c r="J1725">
        <v>65.400000000000006</v>
      </c>
      <c r="K1725">
        <v>68.599999999999994</v>
      </c>
      <c r="L1725">
        <v>61.1</v>
      </c>
      <c r="M1725">
        <v>65.400000000000006</v>
      </c>
      <c r="N1725">
        <v>53.3</v>
      </c>
      <c r="O1725">
        <v>65.5</v>
      </c>
      <c r="S1725">
        <f t="shared" si="263"/>
        <v>0</v>
      </c>
      <c r="T1725">
        <f t="shared" si="264"/>
        <v>0</v>
      </c>
      <c r="U1725">
        <f t="shared" si="265"/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50.8</v>
      </c>
      <c r="AC1725">
        <v>30</v>
      </c>
      <c r="AG1725">
        <f t="shared" si="266"/>
        <v>1</v>
      </c>
      <c r="AH1725">
        <f t="shared" si="267"/>
        <v>1</v>
      </c>
      <c r="AI1725">
        <f t="shared" si="268"/>
        <v>0</v>
      </c>
      <c r="AJ1725">
        <v>7.8</v>
      </c>
      <c r="AK1725">
        <v>1019.9</v>
      </c>
      <c r="AL1725">
        <v>33.200000000000003</v>
      </c>
      <c r="AM1725">
        <v>6.2</v>
      </c>
      <c r="AN1725">
        <v>180.1</v>
      </c>
      <c r="AO1725">
        <v>15.6</v>
      </c>
      <c r="AP1725">
        <v>7</v>
      </c>
      <c r="AQ1725">
        <v>0</v>
      </c>
      <c r="AR1725" t="s">
        <v>5749</v>
      </c>
      <c r="AS1725" t="s">
        <v>5750</v>
      </c>
      <c r="AT1725">
        <v>0.85</v>
      </c>
      <c r="AU1725" t="s">
        <v>43</v>
      </c>
      <c r="AV1725" t="s">
        <v>44</v>
      </c>
      <c r="AW1725" t="s">
        <v>45</v>
      </c>
      <c r="AX1725" t="s">
        <v>5793</v>
      </c>
      <c r="AY1725" t="s">
        <v>5794</v>
      </c>
      <c r="AZ1725">
        <v>669.99999999417923</v>
      </c>
      <c r="BA1725">
        <v>1</v>
      </c>
      <c r="BB1725">
        <v>0</v>
      </c>
      <c r="BC1725">
        <v>10</v>
      </c>
      <c r="BD1725">
        <v>0</v>
      </c>
      <c r="BE1725">
        <f t="shared" si="269"/>
        <v>1</v>
      </c>
    </row>
    <row r="1726" spans="1:57" x14ac:dyDescent="0.25">
      <c r="A1726" t="s">
        <v>39</v>
      </c>
      <c r="B1726" t="s">
        <v>5515</v>
      </c>
      <c r="C1726">
        <v>91.4</v>
      </c>
      <c r="D1726">
        <v>69.8</v>
      </c>
      <c r="G1726">
        <f t="shared" si="260"/>
        <v>1</v>
      </c>
      <c r="H1726">
        <f t="shared" si="261"/>
        <v>1</v>
      </c>
      <c r="I1726">
        <f t="shared" si="262"/>
        <v>0</v>
      </c>
      <c r="J1726">
        <v>81.099999999999994</v>
      </c>
      <c r="K1726">
        <v>93.1</v>
      </c>
      <c r="L1726">
        <v>69.8</v>
      </c>
      <c r="M1726">
        <v>83.1</v>
      </c>
      <c r="N1726">
        <v>65.400000000000006</v>
      </c>
      <c r="O1726">
        <v>60.4</v>
      </c>
      <c r="S1726">
        <f t="shared" si="263"/>
        <v>0</v>
      </c>
      <c r="T1726">
        <f t="shared" si="264"/>
        <v>0</v>
      </c>
      <c r="U1726">
        <f t="shared" si="265"/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31.1</v>
      </c>
      <c r="AC1726">
        <v>25.2</v>
      </c>
      <c r="AG1726">
        <f t="shared" si="266"/>
        <v>1</v>
      </c>
      <c r="AH1726">
        <f t="shared" si="267"/>
        <v>1</v>
      </c>
      <c r="AI1726">
        <f t="shared" si="268"/>
        <v>0</v>
      </c>
      <c r="AJ1726">
        <v>292.7</v>
      </c>
      <c r="AK1726">
        <v>1007.8</v>
      </c>
      <c r="AL1726">
        <v>0</v>
      </c>
      <c r="AM1726">
        <v>6.5</v>
      </c>
      <c r="AN1726">
        <v>341.4</v>
      </c>
      <c r="AO1726">
        <v>29.5</v>
      </c>
      <c r="AP1726">
        <v>10</v>
      </c>
      <c r="AQ1726">
        <v>0</v>
      </c>
      <c r="AR1726" t="s">
        <v>5516</v>
      </c>
      <c r="AS1726" t="s">
        <v>5517</v>
      </c>
      <c r="AT1726">
        <v>0.4</v>
      </c>
      <c r="AU1726" t="s">
        <v>74</v>
      </c>
      <c r="AV1726" t="s">
        <v>2955</v>
      </c>
      <c r="AW1726" t="s">
        <v>75</v>
      </c>
      <c r="AX1726" t="s">
        <v>5795</v>
      </c>
      <c r="AY1726" t="s">
        <v>5796</v>
      </c>
      <c r="AZ1726">
        <v>689.99999999650754</v>
      </c>
      <c r="BA1726">
        <v>1</v>
      </c>
      <c r="BB1726">
        <v>0</v>
      </c>
      <c r="BC1726">
        <v>5</v>
      </c>
      <c r="BD1726">
        <v>0</v>
      </c>
      <c r="BE1726">
        <f t="shared" si="269"/>
        <v>1</v>
      </c>
    </row>
    <row r="1727" spans="1:57" x14ac:dyDescent="0.25">
      <c r="A1727" t="s">
        <v>39</v>
      </c>
      <c r="B1727" t="s">
        <v>5797</v>
      </c>
      <c r="C1727">
        <v>86</v>
      </c>
      <c r="D1727">
        <v>77</v>
      </c>
      <c r="G1727">
        <f t="shared" si="260"/>
        <v>1</v>
      </c>
      <c r="H1727">
        <f t="shared" si="261"/>
        <v>1</v>
      </c>
      <c r="I1727">
        <f t="shared" si="262"/>
        <v>0</v>
      </c>
      <c r="J1727">
        <v>81</v>
      </c>
      <c r="K1727">
        <v>92</v>
      </c>
      <c r="L1727">
        <v>77</v>
      </c>
      <c r="M1727">
        <v>83.5</v>
      </c>
      <c r="N1727">
        <v>69.900000000000006</v>
      </c>
      <c r="O1727">
        <v>69.400000000000006</v>
      </c>
      <c r="S1727">
        <f t="shared" si="263"/>
        <v>1</v>
      </c>
      <c r="T1727">
        <f t="shared" si="264"/>
        <v>1</v>
      </c>
      <c r="U1727">
        <f t="shared" si="265"/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34.4</v>
      </c>
      <c r="AC1727">
        <v>21.9</v>
      </c>
      <c r="AG1727">
        <f t="shared" si="266"/>
        <v>1</v>
      </c>
      <c r="AH1727">
        <f t="shared" si="267"/>
        <v>1</v>
      </c>
      <c r="AI1727">
        <f t="shared" si="268"/>
        <v>0</v>
      </c>
      <c r="AJ1727">
        <v>304.5</v>
      </c>
      <c r="AK1727">
        <v>1009</v>
      </c>
      <c r="AL1727">
        <v>15.5</v>
      </c>
      <c r="AM1727">
        <v>6.2</v>
      </c>
      <c r="AN1727">
        <v>314.10000000000002</v>
      </c>
      <c r="AO1727">
        <v>27.2</v>
      </c>
      <c r="AP1727">
        <v>9</v>
      </c>
      <c r="AQ1727">
        <v>0</v>
      </c>
      <c r="AR1727" t="s">
        <v>5798</v>
      </c>
      <c r="AS1727" t="s">
        <v>5799</v>
      </c>
      <c r="AT1727">
        <v>0.98</v>
      </c>
      <c r="AU1727" t="s">
        <v>74</v>
      </c>
      <c r="AV1727" t="s">
        <v>2955</v>
      </c>
      <c r="AW1727" t="s">
        <v>75</v>
      </c>
      <c r="AX1727" t="s">
        <v>2491</v>
      </c>
      <c r="AY1727" t="s">
        <v>5800</v>
      </c>
      <c r="AZ1727">
        <v>1815.0000000069849</v>
      </c>
      <c r="BA1727">
        <v>1</v>
      </c>
      <c r="BB1727">
        <v>10</v>
      </c>
      <c r="BC1727">
        <v>0</v>
      </c>
      <c r="BD1727">
        <v>0</v>
      </c>
      <c r="BE1727">
        <f t="shared" si="269"/>
        <v>1</v>
      </c>
    </row>
    <row r="1728" spans="1:57" x14ac:dyDescent="0.25">
      <c r="A1728" t="s">
        <v>39</v>
      </c>
      <c r="B1728" t="s">
        <v>5419</v>
      </c>
      <c r="C1728">
        <v>86</v>
      </c>
      <c r="D1728">
        <v>71.599999999999994</v>
      </c>
      <c r="G1728">
        <f t="shared" si="260"/>
        <v>1</v>
      </c>
      <c r="H1728">
        <f t="shared" si="261"/>
        <v>1</v>
      </c>
      <c r="I1728">
        <f t="shared" si="262"/>
        <v>0</v>
      </c>
      <c r="J1728">
        <v>80.8</v>
      </c>
      <c r="K1728">
        <v>93.5</v>
      </c>
      <c r="L1728">
        <v>71.599999999999994</v>
      </c>
      <c r="M1728">
        <v>83.5</v>
      </c>
      <c r="N1728">
        <v>66.8</v>
      </c>
      <c r="O1728">
        <v>62.7</v>
      </c>
      <c r="S1728">
        <f t="shared" si="263"/>
        <v>1</v>
      </c>
      <c r="T1728">
        <f t="shared" si="264"/>
        <v>1</v>
      </c>
      <c r="U1728">
        <f t="shared" si="265"/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34.4</v>
      </c>
      <c r="AC1728">
        <v>25.3</v>
      </c>
      <c r="AG1728">
        <f t="shared" si="266"/>
        <v>1</v>
      </c>
      <c r="AH1728">
        <f t="shared" si="267"/>
        <v>1</v>
      </c>
      <c r="AI1728">
        <f t="shared" si="268"/>
        <v>0</v>
      </c>
      <c r="AJ1728">
        <v>298.60000000000002</v>
      </c>
      <c r="AK1728">
        <v>1006.3</v>
      </c>
      <c r="AL1728">
        <v>0.1</v>
      </c>
      <c r="AM1728">
        <v>6.2</v>
      </c>
      <c r="AN1728">
        <v>305.2</v>
      </c>
      <c r="AO1728">
        <v>26.5</v>
      </c>
      <c r="AP1728">
        <v>9</v>
      </c>
      <c r="AQ1728">
        <v>0</v>
      </c>
      <c r="AR1728" t="s">
        <v>5420</v>
      </c>
      <c r="AS1728" t="s">
        <v>5421</v>
      </c>
      <c r="AT1728">
        <v>0.75</v>
      </c>
      <c r="AU1728" t="s">
        <v>74</v>
      </c>
      <c r="AV1728" t="s">
        <v>2955</v>
      </c>
      <c r="AW1728" t="s">
        <v>75</v>
      </c>
      <c r="AX1728" t="s">
        <v>2560</v>
      </c>
      <c r="AY1728" t="s">
        <v>5801</v>
      </c>
      <c r="AZ1728">
        <v>425.00000000232831</v>
      </c>
      <c r="BA1728">
        <v>1</v>
      </c>
      <c r="BB1728">
        <v>0</v>
      </c>
      <c r="BC1728">
        <v>5</v>
      </c>
      <c r="BD1728">
        <v>0</v>
      </c>
      <c r="BE1728">
        <f t="shared" si="269"/>
        <v>1</v>
      </c>
    </row>
    <row r="1729" spans="1:57" x14ac:dyDescent="0.25">
      <c r="A1729" t="s">
        <v>39</v>
      </c>
      <c r="B1729" t="s">
        <v>5802</v>
      </c>
      <c r="C1729">
        <v>84.2</v>
      </c>
      <c r="D1729">
        <v>75.2</v>
      </c>
      <c r="G1729">
        <f t="shared" si="260"/>
        <v>1</v>
      </c>
      <c r="H1729">
        <f t="shared" si="261"/>
        <v>1</v>
      </c>
      <c r="I1729">
        <f t="shared" si="262"/>
        <v>0</v>
      </c>
      <c r="J1729">
        <v>79.2</v>
      </c>
      <c r="K1729">
        <v>92.4</v>
      </c>
      <c r="L1729">
        <v>75.2</v>
      </c>
      <c r="M1729">
        <v>81.400000000000006</v>
      </c>
      <c r="N1729">
        <v>69.3</v>
      </c>
      <c r="O1729">
        <v>72</v>
      </c>
      <c r="S1729">
        <f t="shared" si="263"/>
        <v>1</v>
      </c>
      <c r="T1729">
        <f t="shared" si="264"/>
        <v>1</v>
      </c>
      <c r="U1729">
        <f t="shared" si="265"/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29.6</v>
      </c>
      <c r="AC1729">
        <v>11.4</v>
      </c>
      <c r="AG1729">
        <f t="shared" si="266"/>
        <v>1</v>
      </c>
      <c r="AH1729">
        <f t="shared" si="267"/>
        <v>0</v>
      </c>
      <c r="AI1729">
        <f t="shared" si="268"/>
        <v>1</v>
      </c>
      <c r="AJ1729">
        <v>348.2</v>
      </c>
      <c r="AK1729">
        <v>1006.5</v>
      </c>
      <c r="AL1729">
        <v>50.8</v>
      </c>
      <c r="AM1729">
        <v>6.2</v>
      </c>
      <c r="AN1729">
        <v>0</v>
      </c>
      <c r="AO1729">
        <v>0</v>
      </c>
      <c r="AP1729">
        <v>0</v>
      </c>
      <c r="AQ1729">
        <v>0</v>
      </c>
      <c r="AR1729" t="s">
        <v>5803</v>
      </c>
      <c r="AS1729" t="s">
        <v>5804</v>
      </c>
      <c r="AT1729">
        <v>0.3</v>
      </c>
      <c r="AU1729" t="s">
        <v>43</v>
      </c>
      <c r="AV1729" t="s">
        <v>44</v>
      </c>
      <c r="AW1729" t="s">
        <v>45</v>
      </c>
      <c r="AX1729" t="s">
        <v>5805</v>
      </c>
      <c r="AY1729" t="s">
        <v>5806</v>
      </c>
      <c r="AZ1729">
        <v>300.00000000349252</v>
      </c>
      <c r="BA1729">
        <v>0</v>
      </c>
      <c r="BB1729">
        <v>0</v>
      </c>
      <c r="BC1729">
        <v>5</v>
      </c>
      <c r="BD1729">
        <v>0</v>
      </c>
      <c r="BE1729">
        <f t="shared" si="269"/>
        <v>1</v>
      </c>
    </row>
    <row r="1730" spans="1:57" x14ac:dyDescent="0.25">
      <c r="A1730" t="s">
        <v>39</v>
      </c>
      <c r="B1730" t="s">
        <v>5807</v>
      </c>
      <c r="C1730">
        <v>89.6</v>
      </c>
      <c r="D1730">
        <v>62.1</v>
      </c>
      <c r="G1730">
        <f t="shared" si="260"/>
        <v>1</v>
      </c>
      <c r="H1730">
        <f t="shared" si="261"/>
        <v>1</v>
      </c>
      <c r="I1730">
        <f t="shared" si="262"/>
        <v>0</v>
      </c>
      <c r="J1730">
        <v>78.400000000000006</v>
      </c>
      <c r="K1730">
        <v>87.4</v>
      </c>
      <c r="L1730">
        <v>62.1</v>
      </c>
      <c r="M1730">
        <v>77.2</v>
      </c>
      <c r="N1730">
        <v>52.4</v>
      </c>
      <c r="O1730">
        <v>44.8</v>
      </c>
      <c r="S1730">
        <f t="shared" si="263"/>
        <v>1</v>
      </c>
      <c r="T1730">
        <f t="shared" si="264"/>
        <v>0</v>
      </c>
      <c r="U1730">
        <f t="shared" si="265"/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29.3</v>
      </c>
      <c r="AC1730">
        <v>25.3</v>
      </c>
      <c r="AG1730">
        <f t="shared" si="266"/>
        <v>1</v>
      </c>
      <c r="AH1730">
        <f t="shared" si="267"/>
        <v>1</v>
      </c>
      <c r="AI1730">
        <f t="shared" si="268"/>
        <v>0</v>
      </c>
      <c r="AJ1730">
        <v>173.4</v>
      </c>
      <c r="AK1730">
        <v>1010.8</v>
      </c>
      <c r="AL1730">
        <v>36.4</v>
      </c>
      <c r="AM1730">
        <v>6.2</v>
      </c>
      <c r="AN1730">
        <v>320.60000000000002</v>
      </c>
      <c r="AO1730">
        <v>27.8</v>
      </c>
      <c r="AP1730">
        <v>9</v>
      </c>
      <c r="AQ1730">
        <v>0</v>
      </c>
      <c r="AR1730" t="s">
        <v>5808</v>
      </c>
      <c r="AS1730" t="s">
        <v>5809</v>
      </c>
      <c r="AT1730">
        <v>0.5</v>
      </c>
      <c r="AU1730" t="s">
        <v>43</v>
      </c>
      <c r="AV1730" t="s">
        <v>44</v>
      </c>
      <c r="AW1730" t="s">
        <v>45</v>
      </c>
      <c r="AX1730" t="s">
        <v>4223</v>
      </c>
      <c r="AY1730" t="s">
        <v>5810</v>
      </c>
      <c r="AZ1730">
        <v>974.99999999301508</v>
      </c>
      <c r="BA1730">
        <v>1</v>
      </c>
      <c r="BB1730">
        <v>0</v>
      </c>
      <c r="BC1730">
        <v>0.5</v>
      </c>
      <c r="BD1730">
        <v>0</v>
      </c>
      <c r="BE1730">
        <f t="shared" si="269"/>
        <v>1</v>
      </c>
    </row>
    <row r="1731" spans="1:57" x14ac:dyDescent="0.25">
      <c r="A1731" t="s">
        <v>39</v>
      </c>
      <c r="B1731" t="s">
        <v>5811</v>
      </c>
      <c r="C1731">
        <v>80.599999999999994</v>
      </c>
      <c r="D1731">
        <v>66.2</v>
      </c>
      <c r="G1731">
        <f t="shared" ref="G1731:G1794" si="270">IF(ABS(C1731-INDEX($F$2:$F$13,MONTH(B1731)))&gt;1.8,1,0)</f>
        <v>0</v>
      </c>
      <c r="H1731">
        <f t="shared" ref="H1731:H1794" si="271">IF(C1731&gt;=INDEX($F$2:$F$13,MONTH(B1731))+1.8,1,0)</f>
        <v>0</v>
      </c>
      <c r="I1731">
        <f t="shared" ref="I1731:I1794" si="272">IF(C1731&lt;=INDEX($F$2:$F$13,MONTH(B1731))-1.8,1,0)</f>
        <v>0</v>
      </c>
      <c r="J1731">
        <v>74.5</v>
      </c>
      <c r="K1731">
        <v>81.900000000000006</v>
      </c>
      <c r="L1731">
        <v>66.2</v>
      </c>
      <c r="M1731">
        <v>74.8</v>
      </c>
      <c r="N1731">
        <v>62.2</v>
      </c>
      <c r="O1731">
        <v>67.3</v>
      </c>
      <c r="S1731">
        <f t="shared" ref="S1731:S1794" si="273">IF(OR(O1731&lt;INDEX($Q$2:$Q$13,MONTH(B1731)),O1731&gt;INDEX($R$2:$R$13,MONTH(B1731))),1,0)</f>
        <v>1</v>
      </c>
      <c r="T1731">
        <f t="shared" ref="T1731:T1794" si="274">IF(O1731&gt;INDEX($R$2:$R$13,MONTH(B1731)),1,0)</f>
        <v>1</v>
      </c>
      <c r="U1731">
        <f t="shared" ref="U1731:U1794" si="275">IF(O1731&lt;INDEX($Q$2:$Q$13,MONTH(B1731)),1,0)</f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34</v>
      </c>
      <c r="AC1731">
        <v>18.3</v>
      </c>
      <c r="AG1731">
        <f t="shared" ref="AG1731:AG1794" si="276">IF(OR(AC1731&lt;INDEX($AE$2:$AE$13,MONTH(B1731)),AC1731&gt;INDEX($AF$2:$AF$13,MONTH(B1731))),1,0)</f>
        <v>0</v>
      </c>
      <c r="AH1731">
        <f t="shared" ref="AH1731:AH1794" si="277">IF(AC1731&gt;INDEX($AF$2:$AF$13,MONTH(B1731)),1,0)</f>
        <v>0</v>
      </c>
      <c r="AI1731">
        <f t="shared" ref="AI1731:AI1794" si="278">IF(AC1731&lt;INDEX($AE$2:$AE$13,MONTH(B1731)),1,0)</f>
        <v>0</v>
      </c>
      <c r="AJ1731">
        <v>307.3</v>
      </c>
      <c r="AK1731">
        <v>1018.3</v>
      </c>
      <c r="AL1731">
        <v>20.9</v>
      </c>
      <c r="AM1731">
        <v>6.2</v>
      </c>
      <c r="AN1731">
        <v>346</v>
      </c>
      <c r="AO1731">
        <v>30</v>
      </c>
      <c r="AP1731">
        <v>10</v>
      </c>
      <c r="AQ1731">
        <v>0</v>
      </c>
      <c r="AR1731" t="s">
        <v>5812</v>
      </c>
      <c r="AS1731" t="s">
        <v>5813</v>
      </c>
      <c r="AT1731">
        <v>0.86</v>
      </c>
      <c r="AU1731" t="s">
        <v>43</v>
      </c>
      <c r="AV1731" t="s">
        <v>44</v>
      </c>
      <c r="AW1731" t="s">
        <v>45</v>
      </c>
      <c r="AX1731" t="s">
        <v>5814</v>
      </c>
      <c r="AY1731" t="s">
        <v>5815</v>
      </c>
      <c r="AZ1731">
        <v>510.99999999976723</v>
      </c>
      <c r="BA1731">
        <v>1</v>
      </c>
      <c r="BB1731">
        <v>0</v>
      </c>
      <c r="BC1731">
        <v>2</v>
      </c>
      <c r="BD1731">
        <v>0</v>
      </c>
      <c r="BE1731">
        <f t="shared" ref="BE1731:BE1794" si="279">IF((3*AH1731+3*H1731+2*U1731+2*BA1731-(2*(1-T1731)+2*(1-I1731)+2*(1-AI1731)))&gt;=1,1,0)</f>
        <v>0</v>
      </c>
    </row>
    <row r="1732" spans="1:57" x14ac:dyDescent="0.25">
      <c r="A1732" t="s">
        <v>39</v>
      </c>
      <c r="B1732" t="s">
        <v>5816</v>
      </c>
      <c r="C1732">
        <v>86</v>
      </c>
      <c r="D1732">
        <v>75.2</v>
      </c>
      <c r="G1732">
        <f t="shared" si="270"/>
        <v>1</v>
      </c>
      <c r="H1732">
        <f t="shared" si="271"/>
        <v>1</v>
      </c>
      <c r="I1732">
        <f t="shared" si="272"/>
        <v>0</v>
      </c>
      <c r="J1732">
        <v>79.900000000000006</v>
      </c>
      <c r="K1732">
        <v>86.1</v>
      </c>
      <c r="L1732">
        <v>75.2</v>
      </c>
      <c r="M1732">
        <v>80.400000000000006</v>
      </c>
      <c r="N1732">
        <v>64.2</v>
      </c>
      <c r="O1732">
        <v>59.8</v>
      </c>
      <c r="S1732">
        <f t="shared" si="273"/>
        <v>0</v>
      </c>
      <c r="T1732">
        <f t="shared" si="274"/>
        <v>0</v>
      </c>
      <c r="U1732">
        <f t="shared" si="275"/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33.6</v>
      </c>
      <c r="AC1732">
        <v>24.1</v>
      </c>
      <c r="AG1732">
        <f t="shared" si="276"/>
        <v>1</v>
      </c>
      <c r="AH1732">
        <f t="shared" si="277"/>
        <v>1</v>
      </c>
      <c r="AI1732">
        <f t="shared" si="278"/>
        <v>0</v>
      </c>
      <c r="AJ1732">
        <v>307.10000000000002</v>
      </c>
      <c r="AK1732">
        <v>1014.7</v>
      </c>
      <c r="AL1732">
        <v>3.5</v>
      </c>
      <c r="AM1732">
        <v>6.4</v>
      </c>
      <c r="AN1732">
        <v>344.9</v>
      </c>
      <c r="AO1732">
        <v>29.7</v>
      </c>
      <c r="AP1732">
        <v>10</v>
      </c>
      <c r="AQ1732">
        <v>0</v>
      </c>
      <c r="AR1732" t="s">
        <v>5817</v>
      </c>
      <c r="AS1732" t="s">
        <v>5818</v>
      </c>
      <c r="AT1732">
        <v>0.2</v>
      </c>
      <c r="AU1732" t="s">
        <v>74</v>
      </c>
      <c r="AV1732" t="s">
        <v>2955</v>
      </c>
      <c r="AW1732" t="s">
        <v>75</v>
      </c>
      <c r="AX1732" t="s">
        <v>2493</v>
      </c>
      <c r="AY1732" t="s">
        <v>5819</v>
      </c>
      <c r="AZ1732">
        <v>4495.0000000046566</v>
      </c>
      <c r="BA1732">
        <v>1</v>
      </c>
      <c r="BB1732">
        <v>0</v>
      </c>
      <c r="BC1732">
        <v>1000</v>
      </c>
      <c r="BD1732">
        <v>0</v>
      </c>
      <c r="BE1732">
        <f t="shared" si="279"/>
        <v>1</v>
      </c>
    </row>
    <row r="1733" spans="1:57" x14ac:dyDescent="0.25">
      <c r="A1733" t="s">
        <v>39</v>
      </c>
      <c r="B1733" t="s">
        <v>5496</v>
      </c>
      <c r="C1733">
        <v>84.2</v>
      </c>
      <c r="D1733">
        <v>70.099999999999994</v>
      </c>
      <c r="G1733">
        <f t="shared" si="270"/>
        <v>0</v>
      </c>
      <c r="H1733">
        <f t="shared" si="271"/>
        <v>0</v>
      </c>
      <c r="I1733">
        <f t="shared" si="272"/>
        <v>0</v>
      </c>
      <c r="J1733">
        <v>78.900000000000006</v>
      </c>
      <c r="K1733">
        <v>90.9</v>
      </c>
      <c r="L1733">
        <v>70.099999999999994</v>
      </c>
      <c r="M1733">
        <v>81.7</v>
      </c>
      <c r="N1733">
        <v>72.099999999999994</v>
      </c>
      <c r="O1733">
        <v>80</v>
      </c>
      <c r="S1733">
        <f t="shared" si="273"/>
        <v>1</v>
      </c>
      <c r="T1733">
        <f t="shared" si="274"/>
        <v>1</v>
      </c>
      <c r="U1733">
        <f t="shared" si="275"/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24.2</v>
      </c>
      <c r="AC1733">
        <v>17.2</v>
      </c>
      <c r="AG1733">
        <f t="shared" si="276"/>
        <v>0</v>
      </c>
      <c r="AH1733">
        <f t="shared" si="277"/>
        <v>0</v>
      </c>
      <c r="AI1733">
        <f t="shared" si="278"/>
        <v>0</v>
      </c>
      <c r="AJ1733">
        <v>321.39999999999998</v>
      </c>
      <c r="AK1733">
        <v>1006</v>
      </c>
      <c r="AL1733">
        <v>36.1</v>
      </c>
      <c r="AM1733">
        <v>6.2</v>
      </c>
      <c r="AN1733">
        <v>284.60000000000002</v>
      </c>
      <c r="AO1733">
        <v>24.7</v>
      </c>
      <c r="AP1733">
        <v>9</v>
      </c>
      <c r="AQ1733">
        <v>0</v>
      </c>
      <c r="AR1733" t="s">
        <v>5497</v>
      </c>
      <c r="AS1733" t="s">
        <v>5498</v>
      </c>
      <c r="AT1733">
        <v>0.39</v>
      </c>
      <c r="AU1733" t="s">
        <v>43</v>
      </c>
      <c r="AV1733" t="s">
        <v>44</v>
      </c>
      <c r="AW1733" t="s">
        <v>45</v>
      </c>
      <c r="AX1733" t="s">
        <v>5820</v>
      </c>
      <c r="AY1733" t="s">
        <v>5821</v>
      </c>
      <c r="AZ1733">
        <v>1098.000000006286</v>
      </c>
      <c r="BA1733">
        <v>1</v>
      </c>
      <c r="BB1733">
        <v>0</v>
      </c>
      <c r="BC1733">
        <v>5</v>
      </c>
      <c r="BD1733">
        <v>0</v>
      </c>
      <c r="BE1733">
        <f t="shared" si="279"/>
        <v>0</v>
      </c>
    </row>
    <row r="1734" spans="1:57" x14ac:dyDescent="0.25">
      <c r="A1734" t="s">
        <v>39</v>
      </c>
      <c r="B1734" t="s">
        <v>5598</v>
      </c>
      <c r="C1734">
        <v>90.1</v>
      </c>
      <c r="D1734">
        <v>68</v>
      </c>
      <c r="G1734">
        <f t="shared" si="270"/>
        <v>1</v>
      </c>
      <c r="H1734">
        <f t="shared" si="271"/>
        <v>1</v>
      </c>
      <c r="I1734">
        <f t="shared" si="272"/>
        <v>0</v>
      </c>
      <c r="J1734">
        <v>78.400000000000006</v>
      </c>
      <c r="K1734">
        <v>92</v>
      </c>
      <c r="L1734">
        <v>68</v>
      </c>
      <c r="M1734">
        <v>79.8</v>
      </c>
      <c r="N1734">
        <v>66.099999999999994</v>
      </c>
      <c r="O1734">
        <v>68</v>
      </c>
      <c r="S1734">
        <f t="shared" si="273"/>
        <v>0</v>
      </c>
      <c r="T1734">
        <f t="shared" si="274"/>
        <v>0</v>
      </c>
      <c r="U1734">
        <f t="shared" si="275"/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23.7</v>
      </c>
      <c r="AC1734">
        <v>8.5</v>
      </c>
      <c r="AG1734">
        <f t="shared" si="276"/>
        <v>1</v>
      </c>
      <c r="AH1734">
        <f t="shared" si="277"/>
        <v>0</v>
      </c>
      <c r="AI1734">
        <f t="shared" si="278"/>
        <v>1</v>
      </c>
      <c r="AJ1734">
        <v>186.9</v>
      </c>
      <c r="AK1734">
        <v>1011.5</v>
      </c>
      <c r="AL1734">
        <v>8.1999999999999993</v>
      </c>
      <c r="AM1734">
        <v>6.4</v>
      </c>
      <c r="AN1734">
        <v>237.7</v>
      </c>
      <c r="AO1734">
        <v>20.6</v>
      </c>
      <c r="AP1734">
        <v>8</v>
      </c>
      <c r="AQ1734">
        <v>0</v>
      </c>
      <c r="AR1734" t="s">
        <v>5599</v>
      </c>
      <c r="AS1734" t="s">
        <v>5600</v>
      </c>
      <c r="AT1734">
        <v>0.94</v>
      </c>
      <c r="AU1734" t="s">
        <v>74</v>
      </c>
      <c r="AV1734" t="s">
        <v>2955</v>
      </c>
      <c r="AW1734" t="s">
        <v>75</v>
      </c>
      <c r="AX1734" t="s">
        <v>4080</v>
      </c>
      <c r="AY1734" t="s">
        <v>5822</v>
      </c>
      <c r="AZ1734">
        <v>1175.000000005821</v>
      </c>
      <c r="BA1734">
        <v>1</v>
      </c>
      <c r="BB1734">
        <v>0</v>
      </c>
      <c r="BC1734">
        <v>10</v>
      </c>
      <c r="BD1734">
        <v>0</v>
      </c>
      <c r="BE1734">
        <f t="shared" si="279"/>
        <v>1</v>
      </c>
    </row>
    <row r="1735" spans="1:57" x14ac:dyDescent="0.25">
      <c r="A1735" t="s">
        <v>39</v>
      </c>
      <c r="B1735" t="s">
        <v>5823</v>
      </c>
      <c r="C1735">
        <v>64.400000000000006</v>
      </c>
      <c r="D1735">
        <v>46.8</v>
      </c>
      <c r="G1735">
        <f t="shared" si="270"/>
        <v>1</v>
      </c>
      <c r="H1735">
        <f t="shared" si="271"/>
        <v>0</v>
      </c>
      <c r="I1735">
        <f t="shared" si="272"/>
        <v>1</v>
      </c>
      <c r="J1735">
        <v>57.1</v>
      </c>
      <c r="K1735">
        <v>64.400000000000006</v>
      </c>
      <c r="L1735">
        <v>44.3</v>
      </c>
      <c r="M1735">
        <v>56.6</v>
      </c>
      <c r="N1735">
        <v>50.7</v>
      </c>
      <c r="O1735">
        <v>79.5</v>
      </c>
      <c r="S1735">
        <f t="shared" si="273"/>
        <v>1</v>
      </c>
      <c r="T1735">
        <f t="shared" si="274"/>
        <v>1</v>
      </c>
      <c r="U1735">
        <f t="shared" si="275"/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20.8</v>
      </c>
      <c r="AC1735">
        <v>11.4</v>
      </c>
      <c r="AG1735">
        <f t="shared" si="276"/>
        <v>1</v>
      </c>
      <c r="AH1735">
        <f t="shared" si="277"/>
        <v>0</v>
      </c>
      <c r="AI1735">
        <f t="shared" si="278"/>
        <v>1</v>
      </c>
      <c r="AJ1735">
        <v>272.89999999999998</v>
      </c>
      <c r="AK1735">
        <v>1023.1</v>
      </c>
      <c r="AL1735">
        <v>72.2</v>
      </c>
      <c r="AM1735">
        <v>6.2</v>
      </c>
      <c r="AN1735">
        <v>291.7</v>
      </c>
      <c r="AO1735">
        <v>25.4</v>
      </c>
      <c r="AP1735">
        <v>9</v>
      </c>
      <c r="AQ1735">
        <v>0</v>
      </c>
      <c r="AR1735" t="s">
        <v>5824</v>
      </c>
      <c r="AS1735" t="s">
        <v>5825</v>
      </c>
      <c r="AT1735">
        <v>0.81</v>
      </c>
      <c r="AU1735" t="s">
        <v>43</v>
      </c>
      <c r="AV1735" t="s">
        <v>44</v>
      </c>
      <c r="AW1735" t="s">
        <v>45</v>
      </c>
      <c r="AX1735" t="s">
        <v>5826</v>
      </c>
      <c r="AY1735" t="s">
        <v>5827</v>
      </c>
      <c r="AZ1735">
        <v>148.00000000046569</v>
      </c>
      <c r="BA1735">
        <v>0</v>
      </c>
      <c r="BB1735">
        <v>0</v>
      </c>
      <c r="BC1735">
        <v>3</v>
      </c>
      <c r="BD1735">
        <v>0</v>
      </c>
      <c r="BE1735">
        <f t="shared" si="279"/>
        <v>0</v>
      </c>
    </row>
    <row r="1736" spans="1:57" x14ac:dyDescent="0.25">
      <c r="A1736" t="s">
        <v>39</v>
      </c>
      <c r="B1736" t="s">
        <v>5828</v>
      </c>
      <c r="C1736">
        <v>66.2</v>
      </c>
      <c r="D1736">
        <v>48.2</v>
      </c>
      <c r="G1736">
        <f t="shared" si="270"/>
        <v>0</v>
      </c>
      <c r="H1736">
        <f t="shared" si="271"/>
        <v>0</v>
      </c>
      <c r="I1736">
        <f t="shared" si="272"/>
        <v>0</v>
      </c>
      <c r="J1736">
        <v>59</v>
      </c>
      <c r="K1736">
        <v>66.2</v>
      </c>
      <c r="L1736">
        <v>44.1</v>
      </c>
      <c r="M1736">
        <v>58.5</v>
      </c>
      <c r="N1736">
        <v>51.1</v>
      </c>
      <c r="O1736">
        <v>76.2</v>
      </c>
      <c r="S1736">
        <f t="shared" si="273"/>
        <v>1</v>
      </c>
      <c r="T1736">
        <f t="shared" si="274"/>
        <v>1</v>
      </c>
      <c r="U1736">
        <f t="shared" si="275"/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26.4</v>
      </c>
      <c r="AC1736">
        <v>11.4</v>
      </c>
      <c r="AG1736">
        <f t="shared" si="276"/>
        <v>1</v>
      </c>
      <c r="AH1736">
        <f t="shared" si="277"/>
        <v>0</v>
      </c>
      <c r="AI1736">
        <f t="shared" si="278"/>
        <v>1</v>
      </c>
      <c r="AJ1736">
        <v>269.2</v>
      </c>
      <c r="AK1736">
        <v>1018.7</v>
      </c>
      <c r="AL1736">
        <v>20.399999999999999</v>
      </c>
      <c r="AM1736">
        <v>6.2</v>
      </c>
      <c r="AN1736">
        <v>289.7</v>
      </c>
      <c r="AO1736">
        <v>25.1</v>
      </c>
      <c r="AP1736">
        <v>9</v>
      </c>
      <c r="AQ1736">
        <v>0</v>
      </c>
      <c r="AR1736" t="s">
        <v>5829</v>
      </c>
      <c r="AS1736" t="s">
        <v>5830</v>
      </c>
      <c r="AT1736">
        <v>0.88</v>
      </c>
      <c r="AU1736" t="s">
        <v>43</v>
      </c>
      <c r="AV1736" t="s">
        <v>44</v>
      </c>
      <c r="AW1736" t="s">
        <v>45</v>
      </c>
      <c r="AX1736" t="s">
        <v>2466</v>
      </c>
      <c r="AY1736" t="s">
        <v>5831</v>
      </c>
      <c r="AZ1736">
        <v>240.9999999997672</v>
      </c>
      <c r="BA1736">
        <v>0</v>
      </c>
      <c r="BB1736">
        <v>0</v>
      </c>
      <c r="BC1736">
        <v>1</v>
      </c>
      <c r="BD1736">
        <v>0</v>
      </c>
      <c r="BE1736">
        <f t="shared" si="279"/>
        <v>0</v>
      </c>
    </row>
    <row r="1737" spans="1:57" x14ac:dyDescent="0.25">
      <c r="A1737" t="s">
        <v>39</v>
      </c>
      <c r="B1737" t="s">
        <v>5832</v>
      </c>
      <c r="C1737">
        <v>68</v>
      </c>
      <c r="D1737">
        <v>57.2</v>
      </c>
      <c r="G1737">
        <f t="shared" si="270"/>
        <v>1</v>
      </c>
      <c r="H1737">
        <f t="shared" si="271"/>
        <v>0</v>
      </c>
      <c r="I1737">
        <f t="shared" si="272"/>
        <v>1</v>
      </c>
      <c r="J1737">
        <v>63.6</v>
      </c>
      <c r="K1737">
        <v>68</v>
      </c>
      <c r="L1737">
        <v>57.2</v>
      </c>
      <c r="M1737">
        <v>63.6</v>
      </c>
      <c r="N1737">
        <v>56</v>
      </c>
      <c r="O1737">
        <v>76.7</v>
      </c>
      <c r="S1737">
        <f t="shared" si="273"/>
        <v>1</v>
      </c>
      <c r="T1737">
        <f t="shared" si="274"/>
        <v>1</v>
      </c>
      <c r="U1737">
        <f t="shared" si="275"/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20.8</v>
      </c>
      <c r="AC1737">
        <v>18.3</v>
      </c>
      <c r="AG1737">
        <f t="shared" si="276"/>
        <v>0</v>
      </c>
      <c r="AH1737">
        <f t="shared" si="277"/>
        <v>0</v>
      </c>
      <c r="AI1737">
        <f t="shared" si="278"/>
        <v>0</v>
      </c>
      <c r="AJ1737">
        <v>299.7</v>
      </c>
      <c r="AK1737">
        <v>1016</v>
      </c>
      <c r="AL1737">
        <v>20.2</v>
      </c>
      <c r="AM1737">
        <v>6.2</v>
      </c>
      <c r="AN1737">
        <v>310.3</v>
      </c>
      <c r="AO1737">
        <v>26.7</v>
      </c>
      <c r="AP1737">
        <v>9</v>
      </c>
      <c r="AQ1737">
        <v>0</v>
      </c>
      <c r="AR1737" t="s">
        <v>5833</v>
      </c>
      <c r="AS1737" t="s">
        <v>5834</v>
      </c>
      <c r="AT1737">
        <v>0.41</v>
      </c>
      <c r="AU1737" t="s">
        <v>43</v>
      </c>
      <c r="AV1737" t="s">
        <v>44</v>
      </c>
      <c r="AW1737" t="s">
        <v>45</v>
      </c>
      <c r="AX1737" t="s">
        <v>5835</v>
      </c>
      <c r="AY1737" t="s">
        <v>5836</v>
      </c>
      <c r="AZ1737">
        <v>1826.0000000009311</v>
      </c>
      <c r="BA1737">
        <v>1</v>
      </c>
      <c r="BB1737">
        <v>8</v>
      </c>
      <c r="BC1737">
        <v>0</v>
      </c>
      <c r="BD1737">
        <v>0</v>
      </c>
      <c r="BE1737">
        <f t="shared" si="279"/>
        <v>0</v>
      </c>
    </row>
    <row r="1738" spans="1:57" x14ac:dyDescent="0.25">
      <c r="A1738" t="s">
        <v>39</v>
      </c>
      <c r="B1738" t="s">
        <v>5837</v>
      </c>
      <c r="C1738">
        <v>69.8</v>
      </c>
      <c r="D1738">
        <v>60.8</v>
      </c>
      <c r="G1738">
        <f t="shared" si="270"/>
        <v>1</v>
      </c>
      <c r="H1738">
        <f t="shared" si="271"/>
        <v>0</v>
      </c>
      <c r="I1738">
        <f t="shared" si="272"/>
        <v>1</v>
      </c>
      <c r="J1738">
        <v>64.900000000000006</v>
      </c>
      <c r="K1738">
        <v>69.8</v>
      </c>
      <c r="L1738">
        <v>60.8</v>
      </c>
      <c r="M1738">
        <v>64.900000000000006</v>
      </c>
      <c r="N1738">
        <v>55.9</v>
      </c>
      <c r="O1738">
        <v>73</v>
      </c>
      <c r="S1738">
        <f t="shared" si="273"/>
        <v>1</v>
      </c>
      <c r="T1738">
        <f t="shared" si="274"/>
        <v>1</v>
      </c>
      <c r="U1738">
        <f t="shared" si="275"/>
        <v>0</v>
      </c>
      <c r="V1738">
        <v>0.01</v>
      </c>
      <c r="W1738">
        <v>100</v>
      </c>
      <c r="X1738">
        <v>4.17</v>
      </c>
      <c r="Y1738" t="s">
        <v>103</v>
      </c>
      <c r="Z1738">
        <v>0</v>
      </c>
      <c r="AA1738">
        <v>0</v>
      </c>
      <c r="AB1738">
        <v>21.9</v>
      </c>
      <c r="AC1738">
        <v>17.2</v>
      </c>
      <c r="AG1738">
        <f t="shared" si="276"/>
        <v>0</v>
      </c>
      <c r="AH1738">
        <f t="shared" si="277"/>
        <v>0</v>
      </c>
      <c r="AI1738">
        <f t="shared" si="278"/>
        <v>0</v>
      </c>
      <c r="AJ1738">
        <v>316.60000000000002</v>
      </c>
      <c r="AK1738">
        <v>1012.9</v>
      </c>
      <c r="AL1738">
        <v>76.099999999999994</v>
      </c>
      <c r="AM1738">
        <v>6.1</v>
      </c>
      <c r="AN1738">
        <v>246.8</v>
      </c>
      <c r="AO1738">
        <v>21.4</v>
      </c>
      <c r="AP1738">
        <v>8</v>
      </c>
      <c r="AQ1738">
        <v>0</v>
      </c>
      <c r="AR1738" t="s">
        <v>5838</v>
      </c>
      <c r="AS1738" t="s">
        <v>5839</v>
      </c>
      <c r="AT1738">
        <v>0.79</v>
      </c>
      <c r="AU1738" t="s">
        <v>106</v>
      </c>
      <c r="AV1738" t="s">
        <v>438</v>
      </c>
      <c r="AW1738" t="s">
        <v>103</v>
      </c>
      <c r="AX1738" t="s">
        <v>5840</v>
      </c>
      <c r="AY1738" t="s">
        <v>5841</v>
      </c>
      <c r="AZ1738">
        <v>1535.999999998603</v>
      </c>
      <c r="BA1738">
        <v>1</v>
      </c>
      <c r="BB1738">
        <v>0</v>
      </c>
      <c r="BC1738">
        <v>0.01</v>
      </c>
      <c r="BD1738">
        <v>0</v>
      </c>
      <c r="BE1738">
        <f t="shared" si="279"/>
        <v>0</v>
      </c>
    </row>
    <row r="1739" spans="1:57" x14ac:dyDescent="0.25">
      <c r="A1739" t="s">
        <v>39</v>
      </c>
      <c r="B1739" t="s">
        <v>5842</v>
      </c>
      <c r="C1739">
        <v>86</v>
      </c>
      <c r="D1739">
        <v>71.599999999999994</v>
      </c>
      <c r="G1739">
        <f t="shared" si="270"/>
        <v>1</v>
      </c>
      <c r="H1739">
        <f t="shared" si="271"/>
        <v>1</v>
      </c>
      <c r="I1739">
        <f t="shared" si="272"/>
        <v>0</v>
      </c>
      <c r="J1739">
        <v>79.8</v>
      </c>
      <c r="K1739">
        <v>97.2</v>
      </c>
      <c r="L1739">
        <v>71.599999999999994</v>
      </c>
      <c r="M1739">
        <v>83.1</v>
      </c>
      <c r="N1739">
        <v>70.900000000000006</v>
      </c>
      <c r="O1739">
        <v>74.8</v>
      </c>
      <c r="S1739">
        <f t="shared" si="273"/>
        <v>1</v>
      </c>
      <c r="T1739">
        <f t="shared" si="274"/>
        <v>1</v>
      </c>
      <c r="U1739">
        <f t="shared" si="275"/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17.7</v>
      </c>
      <c r="AC1739">
        <v>10.3</v>
      </c>
      <c r="AG1739">
        <f t="shared" si="276"/>
        <v>1</v>
      </c>
      <c r="AH1739">
        <f t="shared" si="277"/>
        <v>0</v>
      </c>
      <c r="AI1739">
        <f t="shared" si="278"/>
        <v>1</v>
      </c>
      <c r="AJ1739">
        <v>339.7</v>
      </c>
      <c r="AK1739">
        <v>1008.5</v>
      </c>
      <c r="AL1739">
        <v>23.7</v>
      </c>
      <c r="AM1739">
        <v>6.2</v>
      </c>
      <c r="AN1739">
        <v>306</v>
      </c>
      <c r="AO1739">
        <v>26.4</v>
      </c>
      <c r="AP1739">
        <v>9</v>
      </c>
      <c r="AQ1739">
        <v>0</v>
      </c>
      <c r="AR1739" t="s">
        <v>5843</v>
      </c>
      <c r="AS1739" t="s">
        <v>5844</v>
      </c>
      <c r="AT1739">
        <v>0.67</v>
      </c>
      <c r="AU1739" t="s">
        <v>43</v>
      </c>
      <c r="AV1739" t="s">
        <v>44</v>
      </c>
      <c r="AW1739" t="s">
        <v>45</v>
      </c>
      <c r="AX1739" t="s">
        <v>5835</v>
      </c>
      <c r="AY1739" t="s">
        <v>5845</v>
      </c>
      <c r="AZ1739">
        <v>26.000000000931319</v>
      </c>
      <c r="BA1739">
        <v>0</v>
      </c>
      <c r="BB1739">
        <v>0</v>
      </c>
      <c r="BC1739">
        <v>0.01</v>
      </c>
      <c r="BD1739">
        <v>0</v>
      </c>
      <c r="BE1739">
        <f t="shared" si="279"/>
        <v>1</v>
      </c>
    </row>
    <row r="1740" spans="1:57" x14ac:dyDescent="0.25">
      <c r="A1740" t="s">
        <v>39</v>
      </c>
      <c r="B1740" t="s">
        <v>5846</v>
      </c>
      <c r="C1740">
        <v>59</v>
      </c>
      <c r="D1740">
        <v>45.6</v>
      </c>
      <c r="G1740">
        <f t="shared" si="270"/>
        <v>0</v>
      </c>
      <c r="H1740">
        <f t="shared" si="271"/>
        <v>0</v>
      </c>
      <c r="I1740">
        <f t="shared" si="272"/>
        <v>0</v>
      </c>
      <c r="J1740">
        <v>53.1</v>
      </c>
      <c r="K1740">
        <v>59</v>
      </c>
      <c r="L1740">
        <v>43.2</v>
      </c>
      <c r="M1740">
        <v>52.3</v>
      </c>
      <c r="N1740">
        <v>45.9</v>
      </c>
      <c r="O1740">
        <v>76.8</v>
      </c>
      <c r="S1740">
        <f t="shared" si="273"/>
        <v>1</v>
      </c>
      <c r="T1740">
        <f t="shared" si="274"/>
        <v>1</v>
      </c>
      <c r="U1740">
        <f t="shared" si="275"/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13.6</v>
      </c>
      <c r="AC1740">
        <v>13.9</v>
      </c>
      <c r="AG1740">
        <f t="shared" si="276"/>
        <v>1</v>
      </c>
      <c r="AH1740">
        <f t="shared" si="277"/>
        <v>0</v>
      </c>
      <c r="AI1740">
        <f t="shared" si="278"/>
        <v>1</v>
      </c>
      <c r="AJ1740">
        <v>290.3</v>
      </c>
      <c r="AK1740">
        <v>1024.9000000000001</v>
      </c>
      <c r="AL1740">
        <v>34.700000000000003</v>
      </c>
      <c r="AM1740">
        <v>6.2</v>
      </c>
      <c r="AN1740">
        <v>144.6</v>
      </c>
      <c r="AO1740">
        <v>12.5</v>
      </c>
      <c r="AP1740">
        <v>6</v>
      </c>
      <c r="AQ1740">
        <v>0</v>
      </c>
      <c r="AR1740" t="s">
        <v>5847</v>
      </c>
      <c r="AS1740" t="s">
        <v>5848</v>
      </c>
      <c r="AT1740">
        <v>0.9</v>
      </c>
      <c r="AU1740" t="s">
        <v>43</v>
      </c>
      <c r="AV1740" t="s">
        <v>80</v>
      </c>
      <c r="AW1740" t="s">
        <v>45</v>
      </c>
      <c r="AX1740" t="s">
        <v>4063</v>
      </c>
      <c r="AY1740" t="s">
        <v>5849</v>
      </c>
      <c r="AZ1740">
        <v>235.00000000116421</v>
      </c>
      <c r="BA1740">
        <v>0</v>
      </c>
      <c r="BB1740">
        <v>0</v>
      </c>
      <c r="BC1740">
        <v>2</v>
      </c>
      <c r="BD1740">
        <v>0</v>
      </c>
      <c r="BE1740">
        <f t="shared" si="279"/>
        <v>0</v>
      </c>
    </row>
    <row r="1741" spans="1:57" x14ac:dyDescent="0.25">
      <c r="A1741" t="s">
        <v>39</v>
      </c>
      <c r="B1741" t="s">
        <v>5850</v>
      </c>
      <c r="C1741">
        <v>48.2</v>
      </c>
      <c r="D1741">
        <v>39.200000000000003</v>
      </c>
      <c r="G1741">
        <f t="shared" si="270"/>
        <v>1</v>
      </c>
      <c r="H1741">
        <f t="shared" si="271"/>
        <v>0</v>
      </c>
      <c r="I1741">
        <f t="shared" si="272"/>
        <v>1</v>
      </c>
      <c r="J1741">
        <v>43.5</v>
      </c>
      <c r="K1741">
        <v>40.700000000000003</v>
      </c>
      <c r="L1741">
        <v>28.7</v>
      </c>
      <c r="M1741">
        <v>34.1</v>
      </c>
      <c r="N1741">
        <v>30.9</v>
      </c>
      <c r="O1741">
        <v>61.7</v>
      </c>
      <c r="S1741">
        <f t="shared" si="273"/>
        <v>1</v>
      </c>
      <c r="T1741">
        <f t="shared" si="274"/>
        <v>0</v>
      </c>
      <c r="U1741">
        <f t="shared" si="275"/>
        <v>1</v>
      </c>
      <c r="V1741">
        <v>3.9E-2</v>
      </c>
      <c r="W1741">
        <v>100</v>
      </c>
      <c r="X1741">
        <v>4.17</v>
      </c>
      <c r="Y1741" t="s">
        <v>103</v>
      </c>
      <c r="Z1741">
        <v>0</v>
      </c>
      <c r="AA1741">
        <v>0</v>
      </c>
      <c r="AB1741">
        <v>39.1</v>
      </c>
      <c r="AC1741">
        <v>27.7</v>
      </c>
      <c r="AG1741">
        <f t="shared" si="276"/>
        <v>1</v>
      </c>
      <c r="AH1741">
        <f t="shared" si="277"/>
        <v>1</v>
      </c>
      <c r="AI1741">
        <f t="shared" si="278"/>
        <v>0</v>
      </c>
      <c r="AJ1741">
        <v>349.5</v>
      </c>
      <c r="AK1741">
        <v>1025.7</v>
      </c>
      <c r="AL1741">
        <v>89.1</v>
      </c>
      <c r="AM1741">
        <v>6.1</v>
      </c>
      <c r="AN1741">
        <v>89.4</v>
      </c>
      <c r="AO1741">
        <v>7.6</v>
      </c>
      <c r="AP1741">
        <v>3</v>
      </c>
      <c r="AQ1741">
        <v>0</v>
      </c>
      <c r="AR1741" t="s">
        <v>5851</v>
      </c>
      <c r="AS1741" t="s">
        <v>5852</v>
      </c>
      <c r="AT1741">
        <v>0.98</v>
      </c>
      <c r="AU1741" t="s">
        <v>106</v>
      </c>
      <c r="AV1741" t="s">
        <v>1180</v>
      </c>
      <c r="AW1741" t="s">
        <v>103</v>
      </c>
      <c r="AX1741" t="s">
        <v>4290</v>
      </c>
      <c r="AY1741" t="s">
        <v>5853</v>
      </c>
      <c r="AZ1741">
        <v>139.99999999534339</v>
      </c>
      <c r="BA1741">
        <v>0</v>
      </c>
      <c r="BB1741">
        <v>0</v>
      </c>
      <c r="BC1741">
        <v>1</v>
      </c>
      <c r="BD1741">
        <v>0</v>
      </c>
      <c r="BE1741">
        <f t="shared" si="279"/>
        <v>1</v>
      </c>
    </row>
    <row r="1742" spans="1:57" x14ac:dyDescent="0.25">
      <c r="A1742" t="s">
        <v>39</v>
      </c>
      <c r="B1742" t="s">
        <v>5854</v>
      </c>
      <c r="C1742">
        <v>55.4</v>
      </c>
      <c r="D1742">
        <v>44.6</v>
      </c>
      <c r="G1742">
        <f t="shared" si="270"/>
        <v>1</v>
      </c>
      <c r="H1742">
        <f t="shared" si="271"/>
        <v>0</v>
      </c>
      <c r="I1742">
        <f t="shared" si="272"/>
        <v>1</v>
      </c>
      <c r="J1742">
        <v>52.3</v>
      </c>
      <c r="K1742">
        <v>55.4</v>
      </c>
      <c r="L1742">
        <v>40.200000000000003</v>
      </c>
      <c r="M1742">
        <v>51.6</v>
      </c>
      <c r="N1742">
        <v>39.700000000000003</v>
      </c>
      <c r="O1742">
        <v>62.6</v>
      </c>
      <c r="S1742">
        <f t="shared" si="273"/>
        <v>1</v>
      </c>
      <c r="T1742">
        <f t="shared" si="274"/>
        <v>0</v>
      </c>
      <c r="U1742">
        <f t="shared" si="275"/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28</v>
      </c>
      <c r="AC1742">
        <v>17.2</v>
      </c>
      <c r="AG1742">
        <f t="shared" si="276"/>
        <v>0</v>
      </c>
      <c r="AH1742">
        <f t="shared" si="277"/>
        <v>0</v>
      </c>
      <c r="AI1742">
        <f t="shared" si="278"/>
        <v>0</v>
      </c>
      <c r="AJ1742">
        <v>343.2</v>
      </c>
      <c r="AK1742">
        <v>1019.8</v>
      </c>
      <c r="AL1742">
        <v>50.3</v>
      </c>
      <c r="AM1742">
        <v>6.2</v>
      </c>
      <c r="AN1742">
        <v>225.2</v>
      </c>
      <c r="AO1742">
        <v>19.399999999999999</v>
      </c>
      <c r="AP1742">
        <v>7</v>
      </c>
      <c r="AQ1742">
        <v>0</v>
      </c>
      <c r="AR1742" t="s">
        <v>5855</v>
      </c>
      <c r="AS1742" t="s">
        <v>5856</v>
      </c>
      <c r="AT1742">
        <v>0.97</v>
      </c>
      <c r="AU1742" t="s">
        <v>43</v>
      </c>
      <c r="AV1742" t="s">
        <v>44</v>
      </c>
      <c r="AW1742" t="s">
        <v>45</v>
      </c>
      <c r="AX1742" t="s">
        <v>5857</v>
      </c>
      <c r="AY1742" t="s">
        <v>5858</v>
      </c>
      <c r="AZ1742">
        <v>55.999999993946403</v>
      </c>
      <c r="BA1742">
        <v>0</v>
      </c>
      <c r="BB1742">
        <v>0</v>
      </c>
      <c r="BC1742">
        <v>0.5</v>
      </c>
      <c r="BD1742">
        <v>0</v>
      </c>
      <c r="BE1742">
        <f t="shared" si="279"/>
        <v>0</v>
      </c>
    </row>
    <row r="1743" spans="1:57" x14ac:dyDescent="0.25">
      <c r="A1743" t="s">
        <v>39</v>
      </c>
      <c r="B1743" t="s">
        <v>5828</v>
      </c>
      <c r="C1743">
        <v>66.2</v>
      </c>
      <c r="D1743">
        <v>48.2</v>
      </c>
      <c r="G1743">
        <f t="shared" si="270"/>
        <v>0</v>
      </c>
      <c r="H1743">
        <f t="shared" si="271"/>
        <v>0</v>
      </c>
      <c r="I1743">
        <f t="shared" si="272"/>
        <v>0</v>
      </c>
      <c r="J1743">
        <v>59</v>
      </c>
      <c r="K1743">
        <v>66.2</v>
      </c>
      <c r="L1743">
        <v>44.1</v>
      </c>
      <c r="M1743">
        <v>58.5</v>
      </c>
      <c r="N1743">
        <v>51.1</v>
      </c>
      <c r="O1743">
        <v>76.2</v>
      </c>
      <c r="S1743">
        <f t="shared" si="273"/>
        <v>1</v>
      </c>
      <c r="T1743">
        <f t="shared" si="274"/>
        <v>1</v>
      </c>
      <c r="U1743">
        <f t="shared" si="275"/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26.4</v>
      </c>
      <c r="AC1743">
        <v>11.4</v>
      </c>
      <c r="AG1743">
        <f t="shared" si="276"/>
        <v>1</v>
      </c>
      <c r="AH1743">
        <f t="shared" si="277"/>
        <v>0</v>
      </c>
      <c r="AI1743">
        <f t="shared" si="278"/>
        <v>1</v>
      </c>
      <c r="AJ1743">
        <v>269.2</v>
      </c>
      <c r="AK1743">
        <v>1018.7</v>
      </c>
      <c r="AL1743">
        <v>20.399999999999999</v>
      </c>
      <c r="AM1743">
        <v>6.2</v>
      </c>
      <c r="AN1743">
        <v>289.7</v>
      </c>
      <c r="AO1743">
        <v>25.1</v>
      </c>
      <c r="AP1743">
        <v>9</v>
      </c>
      <c r="AQ1743">
        <v>0</v>
      </c>
      <c r="AR1743" t="s">
        <v>5829</v>
      </c>
      <c r="AS1743" t="s">
        <v>5830</v>
      </c>
      <c r="AT1743">
        <v>0.88</v>
      </c>
      <c r="AU1743" t="s">
        <v>43</v>
      </c>
      <c r="AV1743" t="s">
        <v>44</v>
      </c>
      <c r="AW1743" t="s">
        <v>45</v>
      </c>
      <c r="AX1743" t="s">
        <v>2670</v>
      </c>
      <c r="AY1743" t="s">
        <v>5859</v>
      </c>
      <c r="AZ1743">
        <v>169.99999999883579</v>
      </c>
      <c r="BA1743">
        <v>0</v>
      </c>
      <c r="BB1743">
        <v>0</v>
      </c>
      <c r="BC1743">
        <v>0.5</v>
      </c>
      <c r="BD1743">
        <v>0</v>
      </c>
      <c r="BE1743">
        <f t="shared" si="279"/>
        <v>0</v>
      </c>
    </row>
    <row r="1744" spans="1:57" x14ac:dyDescent="0.25">
      <c r="A1744" t="s">
        <v>39</v>
      </c>
      <c r="B1744" t="s">
        <v>5828</v>
      </c>
      <c r="C1744">
        <v>66.2</v>
      </c>
      <c r="D1744">
        <v>48.2</v>
      </c>
      <c r="G1744">
        <f t="shared" si="270"/>
        <v>0</v>
      </c>
      <c r="H1744">
        <f t="shared" si="271"/>
        <v>0</v>
      </c>
      <c r="I1744">
        <f t="shared" si="272"/>
        <v>0</v>
      </c>
      <c r="J1744">
        <v>59</v>
      </c>
      <c r="K1744">
        <v>66.2</v>
      </c>
      <c r="L1744">
        <v>44.1</v>
      </c>
      <c r="M1744">
        <v>58.5</v>
      </c>
      <c r="N1744">
        <v>51.1</v>
      </c>
      <c r="O1744">
        <v>76.2</v>
      </c>
      <c r="S1744">
        <f t="shared" si="273"/>
        <v>1</v>
      </c>
      <c r="T1744">
        <f t="shared" si="274"/>
        <v>1</v>
      </c>
      <c r="U1744">
        <f t="shared" si="275"/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26.4</v>
      </c>
      <c r="AC1744">
        <v>11.4</v>
      </c>
      <c r="AG1744">
        <f t="shared" si="276"/>
        <v>1</v>
      </c>
      <c r="AH1744">
        <f t="shared" si="277"/>
        <v>0</v>
      </c>
      <c r="AI1744">
        <f t="shared" si="278"/>
        <v>1</v>
      </c>
      <c r="AJ1744">
        <v>269.2</v>
      </c>
      <c r="AK1744">
        <v>1018.7</v>
      </c>
      <c r="AL1744">
        <v>20.399999999999999</v>
      </c>
      <c r="AM1744">
        <v>6.2</v>
      </c>
      <c r="AN1744">
        <v>289.7</v>
      </c>
      <c r="AO1744">
        <v>25.1</v>
      </c>
      <c r="AP1744">
        <v>9</v>
      </c>
      <c r="AQ1744">
        <v>0</v>
      </c>
      <c r="AR1744" t="s">
        <v>5829</v>
      </c>
      <c r="AS1744" t="s">
        <v>5830</v>
      </c>
      <c r="AT1744">
        <v>0.88</v>
      </c>
      <c r="AU1744" t="s">
        <v>43</v>
      </c>
      <c r="AV1744" t="s">
        <v>44</v>
      </c>
      <c r="AW1744" t="s">
        <v>45</v>
      </c>
      <c r="AX1744" t="s">
        <v>4157</v>
      </c>
      <c r="AY1744" t="s">
        <v>5860</v>
      </c>
      <c r="AZ1744">
        <v>1769.999999996508</v>
      </c>
      <c r="BA1744">
        <v>1</v>
      </c>
      <c r="BB1744">
        <v>0</v>
      </c>
      <c r="BC1744">
        <v>10</v>
      </c>
      <c r="BD1744">
        <v>0</v>
      </c>
      <c r="BE1744">
        <f t="shared" si="279"/>
        <v>0</v>
      </c>
    </row>
    <row r="1745" spans="1:57" x14ac:dyDescent="0.25">
      <c r="A1745" t="s">
        <v>39</v>
      </c>
      <c r="B1745" t="s">
        <v>5861</v>
      </c>
      <c r="C1745">
        <v>69.8</v>
      </c>
      <c r="D1745">
        <v>53.6</v>
      </c>
      <c r="G1745">
        <f t="shared" si="270"/>
        <v>1</v>
      </c>
      <c r="H1745">
        <f t="shared" si="271"/>
        <v>1</v>
      </c>
      <c r="I1745">
        <f t="shared" si="272"/>
        <v>0</v>
      </c>
      <c r="J1745">
        <v>61.9</v>
      </c>
      <c r="K1745">
        <v>69.8</v>
      </c>
      <c r="L1745">
        <v>53.6</v>
      </c>
      <c r="M1745">
        <v>61.9</v>
      </c>
      <c r="N1745">
        <v>50.5</v>
      </c>
      <c r="O1745">
        <v>67.5</v>
      </c>
      <c r="S1745">
        <f t="shared" si="273"/>
        <v>1</v>
      </c>
      <c r="T1745">
        <f t="shared" si="274"/>
        <v>1</v>
      </c>
      <c r="U1745">
        <f t="shared" si="275"/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25.3</v>
      </c>
      <c r="AC1745">
        <v>12.8</v>
      </c>
      <c r="AG1745">
        <f t="shared" si="276"/>
        <v>1</v>
      </c>
      <c r="AH1745">
        <f t="shared" si="277"/>
        <v>0</v>
      </c>
      <c r="AI1745">
        <f t="shared" si="278"/>
        <v>1</v>
      </c>
      <c r="AJ1745">
        <v>142.19999999999999</v>
      </c>
      <c r="AK1745">
        <v>1022.5</v>
      </c>
      <c r="AL1745">
        <v>23</v>
      </c>
      <c r="AM1745">
        <v>6.2</v>
      </c>
      <c r="AN1745">
        <v>289.39999999999998</v>
      </c>
      <c r="AO1745">
        <v>24.9</v>
      </c>
      <c r="AP1745">
        <v>9</v>
      </c>
      <c r="AQ1745">
        <v>0</v>
      </c>
      <c r="AR1745" t="s">
        <v>5862</v>
      </c>
      <c r="AS1745" t="s">
        <v>5863</v>
      </c>
      <c r="AT1745">
        <v>0.95</v>
      </c>
      <c r="AU1745" t="s">
        <v>43</v>
      </c>
      <c r="AV1745" t="s">
        <v>80</v>
      </c>
      <c r="AW1745" t="s">
        <v>45</v>
      </c>
      <c r="AX1745" t="s">
        <v>2651</v>
      </c>
      <c r="AY1745" t="s">
        <v>5864</v>
      </c>
      <c r="AZ1745">
        <v>835.00000000814907</v>
      </c>
      <c r="BA1745">
        <v>1</v>
      </c>
      <c r="BB1745">
        <v>0</v>
      </c>
      <c r="BC1745">
        <v>2</v>
      </c>
      <c r="BD1745">
        <v>0</v>
      </c>
      <c r="BE1745">
        <f t="shared" si="279"/>
        <v>1</v>
      </c>
    </row>
    <row r="1746" spans="1:57" x14ac:dyDescent="0.25">
      <c r="A1746" t="s">
        <v>39</v>
      </c>
      <c r="B1746" t="s">
        <v>5865</v>
      </c>
      <c r="C1746">
        <v>78.8</v>
      </c>
      <c r="D1746">
        <v>57.2</v>
      </c>
      <c r="G1746">
        <f t="shared" si="270"/>
        <v>1</v>
      </c>
      <c r="H1746">
        <f t="shared" si="271"/>
        <v>1</v>
      </c>
      <c r="I1746">
        <f t="shared" si="272"/>
        <v>0</v>
      </c>
      <c r="J1746">
        <v>67.3</v>
      </c>
      <c r="K1746">
        <v>78.8</v>
      </c>
      <c r="L1746">
        <v>57.2</v>
      </c>
      <c r="M1746">
        <v>67.3</v>
      </c>
      <c r="N1746">
        <v>46.5</v>
      </c>
      <c r="O1746">
        <v>51</v>
      </c>
      <c r="S1746">
        <f t="shared" si="273"/>
        <v>1</v>
      </c>
      <c r="T1746">
        <f t="shared" si="274"/>
        <v>0</v>
      </c>
      <c r="U1746">
        <f t="shared" si="275"/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26.4</v>
      </c>
      <c r="AC1746">
        <v>19.7</v>
      </c>
      <c r="AG1746">
        <f t="shared" si="276"/>
        <v>1</v>
      </c>
      <c r="AH1746">
        <f t="shared" si="277"/>
        <v>1</v>
      </c>
      <c r="AI1746">
        <f t="shared" si="278"/>
        <v>0</v>
      </c>
      <c r="AJ1746">
        <v>162.19999999999999</v>
      </c>
      <c r="AK1746">
        <v>1018.8</v>
      </c>
      <c r="AL1746">
        <v>20</v>
      </c>
      <c r="AM1746">
        <v>6.2</v>
      </c>
      <c r="AN1746">
        <v>300.89999999999998</v>
      </c>
      <c r="AO1746">
        <v>25.9</v>
      </c>
      <c r="AP1746">
        <v>9</v>
      </c>
      <c r="AQ1746">
        <v>0</v>
      </c>
      <c r="AR1746" t="s">
        <v>5866</v>
      </c>
      <c r="AS1746" t="s">
        <v>5867</v>
      </c>
      <c r="AT1746">
        <v>0</v>
      </c>
      <c r="AU1746" t="s">
        <v>74</v>
      </c>
      <c r="AV1746" t="s">
        <v>44</v>
      </c>
      <c r="AW1746" t="s">
        <v>75</v>
      </c>
      <c r="AX1746" t="s">
        <v>4571</v>
      </c>
      <c r="AY1746" t="s">
        <v>5868</v>
      </c>
      <c r="AZ1746">
        <v>1534.9999999953429</v>
      </c>
      <c r="BA1746">
        <v>1</v>
      </c>
      <c r="BB1746">
        <v>0</v>
      </c>
      <c r="BC1746">
        <v>1</v>
      </c>
      <c r="BD1746">
        <v>0</v>
      </c>
      <c r="BE1746">
        <f t="shared" si="279"/>
        <v>1</v>
      </c>
    </row>
    <row r="1747" spans="1:57" x14ac:dyDescent="0.25">
      <c r="A1747" t="s">
        <v>39</v>
      </c>
      <c r="B1747" t="s">
        <v>5869</v>
      </c>
      <c r="C1747">
        <v>68.099999999999994</v>
      </c>
      <c r="D1747">
        <v>53</v>
      </c>
      <c r="G1747">
        <f t="shared" si="270"/>
        <v>0</v>
      </c>
      <c r="H1747">
        <f t="shared" si="271"/>
        <v>0</v>
      </c>
      <c r="I1747">
        <f t="shared" si="272"/>
        <v>0</v>
      </c>
      <c r="J1747">
        <v>61.5</v>
      </c>
      <c r="K1747">
        <v>68.099999999999994</v>
      </c>
      <c r="L1747">
        <v>53</v>
      </c>
      <c r="M1747">
        <v>61.5</v>
      </c>
      <c r="N1747">
        <v>55.4</v>
      </c>
      <c r="O1747">
        <v>80.8</v>
      </c>
      <c r="S1747">
        <f t="shared" si="273"/>
        <v>1</v>
      </c>
      <c r="T1747">
        <f t="shared" si="274"/>
        <v>1</v>
      </c>
      <c r="U1747">
        <f t="shared" si="275"/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30.9</v>
      </c>
      <c r="AC1747">
        <v>8.1</v>
      </c>
      <c r="AG1747">
        <f t="shared" si="276"/>
        <v>1</v>
      </c>
      <c r="AH1747">
        <f t="shared" si="277"/>
        <v>0</v>
      </c>
      <c r="AI1747">
        <f t="shared" si="278"/>
        <v>1</v>
      </c>
      <c r="AJ1747">
        <v>21.5</v>
      </c>
      <c r="AK1747">
        <v>1014.6</v>
      </c>
      <c r="AL1747">
        <v>35.6</v>
      </c>
      <c r="AM1747">
        <v>6.2</v>
      </c>
      <c r="AN1747">
        <v>305.60000000000002</v>
      </c>
      <c r="AO1747">
        <v>26.7</v>
      </c>
      <c r="AP1747">
        <v>10</v>
      </c>
      <c r="AQ1747">
        <v>0</v>
      </c>
      <c r="AR1747" t="s">
        <v>5870</v>
      </c>
      <c r="AS1747" t="s">
        <v>5871</v>
      </c>
      <c r="AT1747">
        <v>0.28000000000000003</v>
      </c>
      <c r="AU1747" t="s">
        <v>43</v>
      </c>
      <c r="AV1747" t="s">
        <v>44</v>
      </c>
      <c r="AW1747" t="s">
        <v>45</v>
      </c>
      <c r="AX1747" t="s">
        <v>2393</v>
      </c>
      <c r="AY1747" t="s">
        <v>5872</v>
      </c>
      <c r="AZ1747">
        <v>110.00000000232831</v>
      </c>
      <c r="BA1747">
        <v>0</v>
      </c>
      <c r="BB1747">
        <v>0</v>
      </c>
      <c r="BC1747">
        <v>0.1</v>
      </c>
      <c r="BD1747">
        <v>0</v>
      </c>
      <c r="BE1747">
        <f t="shared" si="279"/>
        <v>0</v>
      </c>
    </row>
    <row r="1748" spans="1:57" x14ac:dyDescent="0.25">
      <c r="A1748" t="s">
        <v>39</v>
      </c>
      <c r="B1748" t="s">
        <v>5873</v>
      </c>
      <c r="C1748">
        <v>80.599999999999994</v>
      </c>
      <c r="D1748">
        <v>75.2</v>
      </c>
      <c r="G1748">
        <f t="shared" si="270"/>
        <v>1</v>
      </c>
      <c r="H1748">
        <f t="shared" si="271"/>
        <v>0</v>
      </c>
      <c r="I1748">
        <f t="shared" si="272"/>
        <v>1</v>
      </c>
      <c r="J1748">
        <v>77</v>
      </c>
      <c r="K1748">
        <v>82.3</v>
      </c>
      <c r="L1748">
        <v>75.2</v>
      </c>
      <c r="M1748">
        <v>77.099999999999994</v>
      </c>
      <c r="N1748">
        <v>65</v>
      </c>
      <c r="O1748">
        <v>66.7</v>
      </c>
      <c r="S1748">
        <f t="shared" si="273"/>
        <v>1</v>
      </c>
      <c r="T1748">
        <f t="shared" si="274"/>
        <v>1</v>
      </c>
      <c r="U1748">
        <f t="shared" si="275"/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24.4</v>
      </c>
      <c r="AC1748">
        <v>20.7</v>
      </c>
      <c r="AG1748">
        <f t="shared" si="276"/>
        <v>1</v>
      </c>
      <c r="AH1748">
        <f t="shared" si="277"/>
        <v>1</v>
      </c>
      <c r="AI1748">
        <f t="shared" si="278"/>
        <v>0</v>
      </c>
      <c r="AJ1748">
        <v>317.8</v>
      </c>
      <c r="AK1748">
        <v>1011.4</v>
      </c>
      <c r="AL1748">
        <v>7.7</v>
      </c>
      <c r="AM1748">
        <v>6.2</v>
      </c>
      <c r="AN1748">
        <v>329.7</v>
      </c>
      <c r="AO1748">
        <v>28.5</v>
      </c>
      <c r="AP1748">
        <v>9</v>
      </c>
      <c r="AQ1748">
        <v>0</v>
      </c>
      <c r="AR1748" t="s">
        <v>5874</v>
      </c>
      <c r="AS1748" t="s">
        <v>5875</v>
      </c>
      <c r="AT1748">
        <v>0.08</v>
      </c>
      <c r="AU1748" t="s">
        <v>74</v>
      </c>
      <c r="AV1748" t="s">
        <v>2955</v>
      </c>
      <c r="AW1748" t="s">
        <v>75</v>
      </c>
      <c r="AX1748" t="s">
        <v>4190</v>
      </c>
      <c r="AY1748" t="s">
        <v>5876</v>
      </c>
      <c r="AZ1748">
        <v>110.00000000232831</v>
      </c>
      <c r="BA1748">
        <v>0</v>
      </c>
      <c r="BB1748">
        <v>0</v>
      </c>
      <c r="BC1748">
        <v>2</v>
      </c>
      <c r="BD1748">
        <v>0</v>
      </c>
      <c r="BE1748">
        <f t="shared" si="279"/>
        <v>1</v>
      </c>
    </row>
    <row r="1749" spans="1:57" x14ac:dyDescent="0.25">
      <c r="A1749" t="s">
        <v>39</v>
      </c>
      <c r="B1749" t="s">
        <v>5877</v>
      </c>
      <c r="C1749">
        <v>84.2</v>
      </c>
      <c r="D1749">
        <v>68</v>
      </c>
      <c r="G1749">
        <f t="shared" si="270"/>
        <v>0</v>
      </c>
      <c r="H1749">
        <f t="shared" si="271"/>
        <v>0</v>
      </c>
      <c r="I1749">
        <f t="shared" si="272"/>
        <v>0</v>
      </c>
      <c r="J1749">
        <v>76.900000000000006</v>
      </c>
      <c r="K1749">
        <v>89.6</v>
      </c>
      <c r="L1749">
        <v>68</v>
      </c>
      <c r="M1749">
        <v>78.400000000000006</v>
      </c>
      <c r="N1749">
        <v>67.900000000000006</v>
      </c>
      <c r="O1749">
        <v>74.3</v>
      </c>
      <c r="S1749">
        <f t="shared" si="273"/>
        <v>1</v>
      </c>
      <c r="T1749">
        <f t="shared" si="274"/>
        <v>1</v>
      </c>
      <c r="U1749">
        <f t="shared" si="275"/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17.2</v>
      </c>
      <c r="AC1749">
        <v>6.9</v>
      </c>
      <c r="AG1749">
        <f t="shared" si="276"/>
        <v>1</v>
      </c>
      <c r="AH1749">
        <f t="shared" si="277"/>
        <v>0</v>
      </c>
      <c r="AI1749">
        <f t="shared" si="278"/>
        <v>1</v>
      </c>
      <c r="AJ1749">
        <v>350.1</v>
      </c>
      <c r="AK1749">
        <v>1008.7</v>
      </c>
      <c r="AL1749">
        <v>6.2</v>
      </c>
      <c r="AM1749">
        <v>6.2</v>
      </c>
      <c r="AN1749">
        <v>325.3</v>
      </c>
      <c r="AO1749">
        <v>28.1</v>
      </c>
      <c r="AP1749">
        <v>10</v>
      </c>
      <c r="AQ1749">
        <v>0</v>
      </c>
      <c r="AR1749" t="s">
        <v>5878</v>
      </c>
      <c r="AS1749" t="s">
        <v>5879</v>
      </c>
      <c r="AT1749">
        <v>0.25</v>
      </c>
      <c r="AU1749" t="s">
        <v>74</v>
      </c>
      <c r="AV1749" t="s">
        <v>2955</v>
      </c>
      <c r="AW1749" t="s">
        <v>75</v>
      </c>
      <c r="AX1749" t="s">
        <v>5880</v>
      </c>
      <c r="AY1749" t="s">
        <v>5881</v>
      </c>
      <c r="AZ1749">
        <v>90</v>
      </c>
      <c r="BA1749">
        <v>0</v>
      </c>
      <c r="BB1749">
        <v>0</v>
      </c>
      <c r="BC1749">
        <v>0.2</v>
      </c>
      <c r="BD1749">
        <v>0</v>
      </c>
      <c r="BE1749">
        <f t="shared" si="279"/>
        <v>0</v>
      </c>
    </row>
    <row r="1750" spans="1:57" x14ac:dyDescent="0.25">
      <c r="A1750" t="s">
        <v>39</v>
      </c>
      <c r="B1750" t="s">
        <v>5882</v>
      </c>
      <c r="C1750">
        <v>86</v>
      </c>
      <c r="D1750">
        <v>73.400000000000006</v>
      </c>
      <c r="G1750">
        <f t="shared" si="270"/>
        <v>1</v>
      </c>
      <c r="H1750">
        <f t="shared" si="271"/>
        <v>1</v>
      </c>
      <c r="I1750">
        <f t="shared" si="272"/>
        <v>0</v>
      </c>
      <c r="J1750">
        <v>80.2</v>
      </c>
      <c r="K1750">
        <v>90.6</v>
      </c>
      <c r="L1750">
        <v>73.400000000000006</v>
      </c>
      <c r="M1750">
        <v>82.2</v>
      </c>
      <c r="N1750">
        <v>68.599999999999994</v>
      </c>
      <c r="O1750">
        <v>68.2</v>
      </c>
      <c r="S1750">
        <f t="shared" si="273"/>
        <v>1</v>
      </c>
      <c r="T1750">
        <f t="shared" si="274"/>
        <v>1</v>
      </c>
      <c r="U1750">
        <f t="shared" si="275"/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19</v>
      </c>
      <c r="AC1750">
        <v>11.4</v>
      </c>
      <c r="AG1750">
        <f t="shared" si="276"/>
        <v>1</v>
      </c>
      <c r="AH1750">
        <f t="shared" si="277"/>
        <v>0</v>
      </c>
      <c r="AI1750">
        <f t="shared" si="278"/>
        <v>1</v>
      </c>
      <c r="AJ1750">
        <v>320.89999999999998</v>
      </c>
      <c r="AK1750">
        <v>1011.6</v>
      </c>
      <c r="AL1750">
        <v>27.6</v>
      </c>
      <c r="AM1750">
        <v>6.2</v>
      </c>
      <c r="AN1750">
        <v>284.39999999999998</v>
      </c>
      <c r="AO1750">
        <v>24.7</v>
      </c>
      <c r="AP1750">
        <v>9</v>
      </c>
      <c r="AQ1750">
        <v>0</v>
      </c>
      <c r="AR1750" t="s">
        <v>5883</v>
      </c>
      <c r="AS1750" t="s">
        <v>5884</v>
      </c>
      <c r="AT1750">
        <v>0.85</v>
      </c>
      <c r="AU1750" t="s">
        <v>43</v>
      </c>
      <c r="AV1750" t="s">
        <v>44</v>
      </c>
      <c r="AW1750" t="s">
        <v>45</v>
      </c>
      <c r="AX1750" t="s">
        <v>2577</v>
      </c>
      <c r="AY1750" t="s">
        <v>5885</v>
      </c>
      <c r="AZ1750">
        <v>1194.9999999976719</v>
      </c>
      <c r="BA1750">
        <v>1</v>
      </c>
      <c r="BB1750">
        <v>0</v>
      </c>
      <c r="BC1750">
        <v>0.01</v>
      </c>
      <c r="BD1750">
        <v>0</v>
      </c>
      <c r="BE1750">
        <f t="shared" si="279"/>
        <v>1</v>
      </c>
    </row>
    <row r="1751" spans="1:57" x14ac:dyDescent="0.25">
      <c r="A1751" t="s">
        <v>39</v>
      </c>
      <c r="B1751" t="s">
        <v>5886</v>
      </c>
      <c r="C1751">
        <v>84.2</v>
      </c>
      <c r="D1751">
        <v>77</v>
      </c>
      <c r="G1751">
        <f t="shared" si="270"/>
        <v>0</v>
      </c>
      <c r="H1751">
        <f t="shared" si="271"/>
        <v>0</v>
      </c>
      <c r="I1751">
        <f t="shared" si="272"/>
        <v>0</v>
      </c>
      <c r="J1751">
        <v>79.400000000000006</v>
      </c>
      <c r="K1751">
        <v>85.7</v>
      </c>
      <c r="L1751">
        <v>77</v>
      </c>
      <c r="M1751">
        <v>80</v>
      </c>
      <c r="N1751">
        <v>65.400000000000006</v>
      </c>
      <c r="O1751">
        <v>62.9</v>
      </c>
      <c r="S1751">
        <f t="shared" si="273"/>
        <v>1</v>
      </c>
      <c r="T1751">
        <f t="shared" si="274"/>
        <v>1</v>
      </c>
      <c r="U1751">
        <f t="shared" si="275"/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36.9</v>
      </c>
      <c r="AC1751">
        <v>19.7</v>
      </c>
      <c r="AG1751">
        <f t="shared" si="276"/>
        <v>1</v>
      </c>
      <c r="AH1751">
        <f t="shared" si="277"/>
        <v>1</v>
      </c>
      <c r="AI1751">
        <f t="shared" si="278"/>
        <v>0</v>
      </c>
      <c r="AJ1751">
        <v>325.60000000000002</v>
      </c>
      <c r="AK1751">
        <v>1012.2</v>
      </c>
      <c r="AL1751">
        <v>38.9</v>
      </c>
      <c r="AM1751">
        <v>6.2</v>
      </c>
      <c r="AN1751">
        <v>283.7</v>
      </c>
      <c r="AO1751">
        <v>24.6</v>
      </c>
      <c r="AP1751">
        <v>9</v>
      </c>
      <c r="AQ1751">
        <v>0</v>
      </c>
      <c r="AR1751" t="s">
        <v>5887</v>
      </c>
      <c r="AS1751" t="s">
        <v>5888</v>
      </c>
      <c r="AT1751">
        <v>0.32</v>
      </c>
      <c r="AU1751" t="s">
        <v>43</v>
      </c>
      <c r="AV1751" t="s">
        <v>44</v>
      </c>
      <c r="AW1751" t="s">
        <v>45</v>
      </c>
      <c r="AX1751" t="s">
        <v>2341</v>
      </c>
      <c r="AY1751" t="s">
        <v>5889</v>
      </c>
      <c r="AZ1751">
        <v>169.99999999883579</v>
      </c>
      <c r="BA1751">
        <v>0</v>
      </c>
      <c r="BB1751">
        <v>0</v>
      </c>
      <c r="BC1751">
        <v>0.1</v>
      </c>
      <c r="BD1751">
        <v>0</v>
      </c>
      <c r="BE1751">
        <f t="shared" si="279"/>
        <v>0</v>
      </c>
    </row>
    <row r="1752" spans="1:57" x14ac:dyDescent="0.25">
      <c r="A1752" t="s">
        <v>39</v>
      </c>
      <c r="B1752" t="s">
        <v>5890</v>
      </c>
      <c r="C1752">
        <v>84.2</v>
      </c>
      <c r="D1752">
        <v>73.400000000000006</v>
      </c>
      <c r="G1752">
        <f t="shared" si="270"/>
        <v>1</v>
      </c>
      <c r="H1752">
        <f t="shared" si="271"/>
        <v>1</v>
      </c>
      <c r="I1752">
        <f t="shared" si="272"/>
        <v>0</v>
      </c>
      <c r="J1752">
        <v>78.900000000000006</v>
      </c>
      <c r="K1752">
        <v>92.4</v>
      </c>
      <c r="L1752">
        <v>73.400000000000006</v>
      </c>
      <c r="M1752">
        <v>81.099999999999994</v>
      </c>
      <c r="N1752">
        <v>69.900000000000006</v>
      </c>
      <c r="O1752">
        <v>74.599999999999994</v>
      </c>
      <c r="S1752">
        <f t="shared" si="273"/>
        <v>1</v>
      </c>
      <c r="T1752">
        <f t="shared" si="274"/>
        <v>1</v>
      </c>
      <c r="U1752">
        <f t="shared" si="275"/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22.8</v>
      </c>
      <c r="AC1752">
        <v>20.8</v>
      </c>
      <c r="AG1752">
        <f t="shared" si="276"/>
        <v>1</v>
      </c>
      <c r="AH1752">
        <f t="shared" si="277"/>
        <v>1</v>
      </c>
      <c r="AI1752">
        <f t="shared" si="278"/>
        <v>0</v>
      </c>
      <c r="AJ1752">
        <v>295.39999999999998</v>
      </c>
      <c r="AK1752">
        <v>1011.2</v>
      </c>
      <c r="AL1752">
        <v>20.2</v>
      </c>
      <c r="AM1752">
        <v>6.2</v>
      </c>
      <c r="AN1752">
        <v>261.2</v>
      </c>
      <c r="AO1752">
        <v>22.5</v>
      </c>
      <c r="AP1752">
        <v>8</v>
      </c>
      <c r="AQ1752">
        <v>0</v>
      </c>
      <c r="AR1752" t="s">
        <v>5891</v>
      </c>
      <c r="AS1752" t="s">
        <v>5892</v>
      </c>
      <c r="AT1752">
        <v>0.66</v>
      </c>
      <c r="AU1752" t="s">
        <v>43</v>
      </c>
      <c r="AV1752" t="s">
        <v>44</v>
      </c>
      <c r="AW1752" t="s">
        <v>45</v>
      </c>
      <c r="AX1752" t="s">
        <v>5893</v>
      </c>
      <c r="AY1752" t="s">
        <v>5894</v>
      </c>
      <c r="AZ1752">
        <v>2115.9999999927818</v>
      </c>
      <c r="BA1752">
        <v>1</v>
      </c>
      <c r="BB1752">
        <v>0</v>
      </c>
      <c r="BC1752">
        <v>4</v>
      </c>
      <c r="BD1752">
        <v>0</v>
      </c>
      <c r="BE1752">
        <f t="shared" si="279"/>
        <v>1</v>
      </c>
    </row>
    <row r="1753" spans="1:57" x14ac:dyDescent="0.25">
      <c r="A1753" t="s">
        <v>39</v>
      </c>
      <c r="B1753" t="s">
        <v>5890</v>
      </c>
      <c r="C1753">
        <v>84.2</v>
      </c>
      <c r="D1753">
        <v>73.400000000000006</v>
      </c>
      <c r="G1753">
        <f t="shared" si="270"/>
        <v>1</v>
      </c>
      <c r="H1753">
        <f t="shared" si="271"/>
        <v>1</v>
      </c>
      <c r="I1753">
        <f t="shared" si="272"/>
        <v>0</v>
      </c>
      <c r="J1753">
        <v>78.900000000000006</v>
      </c>
      <c r="K1753">
        <v>92.4</v>
      </c>
      <c r="L1753">
        <v>73.400000000000006</v>
      </c>
      <c r="M1753">
        <v>81.099999999999994</v>
      </c>
      <c r="N1753">
        <v>69.900000000000006</v>
      </c>
      <c r="O1753">
        <v>74.599999999999994</v>
      </c>
      <c r="S1753">
        <f t="shared" si="273"/>
        <v>1</v>
      </c>
      <c r="T1753">
        <f t="shared" si="274"/>
        <v>1</v>
      </c>
      <c r="U1753">
        <f t="shared" si="275"/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22.8</v>
      </c>
      <c r="AC1753">
        <v>20.8</v>
      </c>
      <c r="AG1753">
        <f t="shared" si="276"/>
        <v>1</v>
      </c>
      <c r="AH1753">
        <f t="shared" si="277"/>
        <v>1</v>
      </c>
      <c r="AI1753">
        <f t="shared" si="278"/>
        <v>0</v>
      </c>
      <c r="AJ1753">
        <v>295.39999999999998</v>
      </c>
      <c r="AK1753">
        <v>1011.2</v>
      </c>
      <c r="AL1753">
        <v>20.2</v>
      </c>
      <c r="AM1753">
        <v>6.2</v>
      </c>
      <c r="AN1753">
        <v>261.2</v>
      </c>
      <c r="AO1753">
        <v>22.5</v>
      </c>
      <c r="AP1753">
        <v>8</v>
      </c>
      <c r="AQ1753">
        <v>0</v>
      </c>
      <c r="AR1753" t="s">
        <v>5891</v>
      </c>
      <c r="AS1753" t="s">
        <v>5892</v>
      </c>
      <c r="AT1753">
        <v>0.66</v>
      </c>
      <c r="AU1753" t="s">
        <v>43</v>
      </c>
      <c r="AV1753" t="s">
        <v>44</v>
      </c>
      <c r="AW1753" t="s">
        <v>45</v>
      </c>
      <c r="AX1753" t="s">
        <v>4917</v>
      </c>
      <c r="AY1753" t="s">
        <v>5895</v>
      </c>
      <c r="AZ1753">
        <v>300.99999999627471</v>
      </c>
      <c r="BA1753">
        <v>0</v>
      </c>
      <c r="BB1753">
        <v>0</v>
      </c>
      <c r="BC1753">
        <v>0.03</v>
      </c>
      <c r="BD1753">
        <v>0</v>
      </c>
      <c r="BE1753">
        <f t="shared" si="279"/>
        <v>1</v>
      </c>
    </row>
    <row r="1754" spans="1:57" x14ac:dyDescent="0.25">
      <c r="A1754" t="s">
        <v>39</v>
      </c>
      <c r="B1754" t="s">
        <v>5890</v>
      </c>
      <c r="C1754">
        <v>84.2</v>
      </c>
      <c r="D1754">
        <v>73.400000000000006</v>
      </c>
      <c r="G1754">
        <f t="shared" si="270"/>
        <v>1</v>
      </c>
      <c r="H1754">
        <f t="shared" si="271"/>
        <v>1</v>
      </c>
      <c r="I1754">
        <f t="shared" si="272"/>
        <v>0</v>
      </c>
      <c r="J1754">
        <v>78.900000000000006</v>
      </c>
      <c r="K1754">
        <v>92.4</v>
      </c>
      <c r="L1754">
        <v>73.400000000000006</v>
      </c>
      <c r="M1754">
        <v>81.099999999999994</v>
      </c>
      <c r="N1754">
        <v>69.900000000000006</v>
      </c>
      <c r="O1754">
        <v>74.599999999999994</v>
      </c>
      <c r="S1754">
        <f t="shared" si="273"/>
        <v>1</v>
      </c>
      <c r="T1754">
        <f t="shared" si="274"/>
        <v>1</v>
      </c>
      <c r="U1754">
        <f t="shared" si="275"/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22.8</v>
      </c>
      <c r="AC1754">
        <v>20.8</v>
      </c>
      <c r="AG1754">
        <f t="shared" si="276"/>
        <v>1</v>
      </c>
      <c r="AH1754">
        <f t="shared" si="277"/>
        <v>1</v>
      </c>
      <c r="AI1754">
        <f t="shared" si="278"/>
        <v>0</v>
      </c>
      <c r="AJ1754">
        <v>295.39999999999998</v>
      </c>
      <c r="AK1754">
        <v>1011.2</v>
      </c>
      <c r="AL1754">
        <v>20.2</v>
      </c>
      <c r="AM1754">
        <v>6.2</v>
      </c>
      <c r="AN1754">
        <v>261.2</v>
      </c>
      <c r="AO1754">
        <v>22.5</v>
      </c>
      <c r="AP1754">
        <v>8</v>
      </c>
      <c r="AQ1754">
        <v>0</v>
      </c>
      <c r="AR1754" t="s">
        <v>5891</v>
      </c>
      <c r="AS1754" t="s">
        <v>5892</v>
      </c>
      <c r="AT1754">
        <v>0.66</v>
      </c>
      <c r="AU1754" t="s">
        <v>43</v>
      </c>
      <c r="AV1754" t="s">
        <v>44</v>
      </c>
      <c r="AW1754" t="s">
        <v>45</v>
      </c>
      <c r="AX1754" t="s">
        <v>4970</v>
      </c>
      <c r="AY1754" t="s">
        <v>5896</v>
      </c>
      <c r="AZ1754">
        <v>3210.9999999997672</v>
      </c>
      <c r="BA1754">
        <v>1</v>
      </c>
      <c r="BB1754">
        <v>0</v>
      </c>
      <c r="BC1754">
        <v>20</v>
      </c>
      <c r="BD1754">
        <v>0</v>
      </c>
      <c r="BE1754">
        <f t="shared" si="279"/>
        <v>1</v>
      </c>
    </row>
    <row r="1755" spans="1:57" x14ac:dyDescent="0.25">
      <c r="A1755" t="s">
        <v>39</v>
      </c>
      <c r="B1755" t="s">
        <v>5897</v>
      </c>
      <c r="C1755">
        <v>86</v>
      </c>
      <c r="D1755">
        <v>69.8</v>
      </c>
      <c r="G1755">
        <f t="shared" si="270"/>
        <v>1</v>
      </c>
      <c r="H1755">
        <f t="shared" si="271"/>
        <v>1</v>
      </c>
      <c r="I1755">
        <f t="shared" si="272"/>
        <v>0</v>
      </c>
      <c r="J1755">
        <v>78</v>
      </c>
      <c r="K1755">
        <v>91</v>
      </c>
      <c r="L1755">
        <v>69.8</v>
      </c>
      <c r="M1755">
        <v>80.3</v>
      </c>
      <c r="N1755">
        <v>68.3</v>
      </c>
      <c r="O1755">
        <v>72.599999999999994</v>
      </c>
      <c r="S1755">
        <f t="shared" si="273"/>
        <v>1</v>
      </c>
      <c r="T1755">
        <f t="shared" si="274"/>
        <v>1</v>
      </c>
      <c r="U1755">
        <f t="shared" si="275"/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19.7</v>
      </c>
      <c r="AC1755">
        <v>11.4</v>
      </c>
      <c r="AG1755">
        <f t="shared" si="276"/>
        <v>1</v>
      </c>
      <c r="AH1755">
        <f t="shared" si="277"/>
        <v>0</v>
      </c>
      <c r="AI1755">
        <f t="shared" si="278"/>
        <v>1</v>
      </c>
      <c r="AJ1755">
        <v>105.6</v>
      </c>
      <c r="AK1755">
        <v>1012.8</v>
      </c>
      <c r="AL1755">
        <v>1</v>
      </c>
      <c r="AM1755">
        <v>6.2</v>
      </c>
      <c r="AN1755">
        <v>256</v>
      </c>
      <c r="AO1755">
        <v>22.1</v>
      </c>
      <c r="AP1755">
        <v>8</v>
      </c>
      <c r="AQ1755">
        <v>0</v>
      </c>
      <c r="AR1755" t="s">
        <v>5898</v>
      </c>
      <c r="AS1755" t="s">
        <v>5899</v>
      </c>
      <c r="AT1755">
        <v>0.9</v>
      </c>
      <c r="AU1755" t="s">
        <v>74</v>
      </c>
      <c r="AV1755" t="s">
        <v>2955</v>
      </c>
      <c r="AW1755" t="s">
        <v>75</v>
      </c>
      <c r="AX1755" t="s">
        <v>5348</v>
      </c>
      <c r="AY1755" t="s">
        <v>5900</v>
      </c>
      <c r="AZ1755">
        <v>405</v>
      </c>
      <c r="BA1755">
        <v>1</v>
      </c>
      <c r="BB1755">
        <v>0</v>
      </c>
      <c r="BC1755">
        <v>0.1</v>
      </c>
      <c r="BD1755">
        <v>0</v>
      </c>
      <c r="BE1755">
        <f t="shared" si="279"/>
        <v>1</v>
      </c>
    </row>
    <row r="1756" spans="1:57" x14ac:dyDescent="0.25">
      <c r="A1756" t="s">
        <v>39</v>
      </c>
      <c r="B1756" t="s">
        <v>5901</v>
      </c>
      <c r="C1756">
        <v>82.4</v>
      </c>
      <c r="D1756">
        <v>73.400000000000006</v>
      </c>
      <c r="G1756">
        <f t="shared" si="270"/>
        <v>1</v>
      </c>
      <c r="H1756">
        <f t="shared" si="271"/>
        <v>1</v>
      </c>
      <c r="I1756">
        <f t="shared" si="272"/>
        <v>0</v>
      </c>
      <c r="J1756">
        <v>77.2</v>
      </c>
      <c r="K1756">
        <v>86.2</v>
      </c>
      <c r="L1756">
        <v>73.400000000000006</v>
      </c>
      <c r="M1756">
        <v>77.900000000000006</v>
      </c>
      <c r="N1756">
        <v>67.5</v>
      </c>
      <c r="O1756">
        <v>72.3</v>
      </c>
      <c r="S1756">
        <f t="shared" si="273"/>
        <v>1</v>
      </c>
      <c r="T1756">
        <f t="shared" si="274"/>
        <v>1</v>
      </c>
      <c r="U1756">
        <f t="shared" si="275"/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22.6</v>
      </c>
      <c r="AC1756">
        <v>17.2</v>
      </c>
      <c r="AG1756">
        <f t="shared" si="276"/>
        <v>0</v>
      </c>
      <c r="AH1756">
        <f t="shared" si="277"/>
        <v>0</v>
      </c>
      <c r="AI1756">
        <f t="shared" si="278"/>
        <v>0</v>
      </c>
      <c r="AJ1756">
        <v>317.2</v>
      </c>
      <c r="AK1756">
        <v>1012</v>
      </c>
      <c r="AL1756">
        <v>31.9</v>
      </c>
      <c r="AM1756">
        <v>6.2</v>
      </c>
      <c r="AN1756">
        <v>227.1</v>
      </c>
      <c r="AO1756">
        <v>19.7</v>
      </c>
      <c r="AP1756">
        <v>7</v>
      </c>
      <c r="AQ1756">
        <v>0</v>
      </c>
      <c r="AR1756" t="s">
        <v>5902</v>
      </c>
      <c r="AS1756" t="s">
        <v>5903</v>
      </c>
      <c r="AT1756">
        <v>0.17</v>
      </c>
      <c r="AU1756" t="s">
        <v>43</v>
      </c>
      <c r="AV1756" t="s">
        <v>44</v>
      </c>
      <c r="AW1756" t="s">
        <v>45</v>
      </c>
      <c r="AX1756" t="s">
        <v>4902</v>
      </c>
      <c r="AY1756" t="s">
        <v>5904</v>
      </c>
      <c r="AZ1756">
        <v>2766.0000000055879</v>
      </c>
      <c r="BA1756">
        <v>1</v>
      </c>
      <c r="BB1756">
        <v>0</v>
      </c>
      <c r="BC1756">
        <v>25</v>
      </c>
      <c r="BD1756">
        <v>0</v>
      </c>
      <c r="BE1756">
        <f t="shared" si="279"/>
        <v>1</v>
      </c>
    </row>
    <row r="1757" spans="1:57" x14ac:dyDescent="0.25">
      <c r="A1757" t="s">
        <v>39</v>
      </c>
      <c r="B1757" t="s">
        <v>5905</v>
      </c>
      <c r="C1757">
        <v>66.2</v>
      </c>
      <c r="D1757">
        <v>62.6</v>
      </c>
      <c r="G1757">
        <f t="shared" si="270"/>
        <v>0</v>
      </c>
      <c r="H1757">
        <f t="shared" si="271"/>
        <v>0</v>
      </c>
      <c r="I1757">
        <f t="shared" si="272"/>
        <v>0</v>
      </c>
      <c r="J1757">
        <v>64.400000000000006</v>
      </c>
      <c r="K1757">
        <v>66.2</v>
      </c>
      <c r="L1757">
        <v>62.6</v>
      </c>
      <c r="M1757">
        <v>64.400000000000006</v>
      </c>
      <c r="N1757">
        <v>53.2</v>
      </c>
      <c r="O1757">
        <v>67.099999999999994</v>
      </c>
      <c r="S1757">
        <f t="shared" si="273"/>
        <v>0</v>
      </c>
      <c r="T1757">
        <f t="shared" si="274"/>
        <v>0</v>
      </c>
      <c r="U1757">
        <f t="shared" si="275"/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28.2</v>
      </c>
      <c r="AC1757">
        <v>17.2</v>
      </c>
      <c r="AG1757">
        <f t="shared" si="276"/>
        <v>0</v>
      </c>
      <c r="AH1757">
        <f t="shared" si="277"/>
        <v>0</v>
      </c>
      <c r="AI1757">
        <f t="shared" si="278"/>
        <v>0</v>
      </c>
      <c r="AJ1757">
        <v>327</v>
      </c>
      <c r="AK1757">
        <v>1024.3</v>
      </c>
      <c r="AL1757">
        <v>93.6</v>
      </c>
      <c r="AM1757">
        <v>6.2</v>
      </c>
      <c r="AN1757">
        <v>141</v>
      </c>
      <c r="AO1757">
        <v>12.2</v>
      </c>
      <c r="AP1757">
        <v>6</v>
      </c>
      <c r="AQ1757">
        <v>0</v>
      </c>
      <c r="AR1757" t="s">
        <v>5906</v>
      </c>
      <c r="AS1757" t="s">
        <v>5907</v>
      </c>
      <c r="AT1757">
        <v>0.69</v>
      </c>
      <c r="AU1757" t="s">
        <v>275</v>
      </c>
      <c r="AV1757" t="s">
        <v>276</v>
      </c>
      <c r="AW1757" t="s">
        <v>277</v>
      </c>
      <c r="AX1757" t="s">
        <v>2413</v>
      </c>
      <c r="AY1757" t="s">
        <v>5908</v>
      </c>
      <c r="AZ1757">
        <v>90</v>
      </c>
      <c r="BA1757">
        <v>0</v>
      </c>
      <c r="BB1757">
        <v>0</v>
      </c>
      <c r="BC1757">
        <v>0.1</v>
      </c>
      <c r="BD1757">
        <v>0</v>
      </c>
      <c r="BE1757">
        <f t="shared" si="279"/>
        <v>0</v>
      </c>
    </row>
    <row r="1758" spans="1:57" x14ac:dyDescent="0.25">
      <c r="A1758" t="s">
        <v>39</v>
      </c>
      <c r="B1758" t="s">
        <v>5909</v>
      </c>
      <c r="C1758">
        <v>69.8</v>
      </c>
      <c r="D1758">
        <v>57.2</v>
      </c>
      <c r="G1758">
        <f t="shared" si="270"/>
        <v>1</v>
      </c>
      <c r="H1758">
        <f t="shared" si="271"/>
        <v>1</v>
      </c>
      <c r="I1758">
        <f t="shared" si="272"/>
        <v>0</v>
      </c>
      <c r="J1758">
        <v>64.599999999999994</v>
      </c>
      <c r="K1758">
        <v>69.8</v>
      </c>
      <c r="L1758">
        <v>57.2</v>
      </c>
      <c r="M1758">
        <v>64.599999999999994</v>
      </c>
      <c r="N1758">
        <v>52.4</v>
      </c>
      <c r="O1758">
        <v>64.900000000000006</v>
      </c>
      <c r="S1758">
        <f t="shared" si="273"/>
        <v>0</v>
      </c>
      <c r="T1758">
        <f t="shared" si="274"/>
        <v>0</v>
      </c>
      <c r="U1758">
        <f t="shared" si="275"/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34.200000000000003</v>
      </c>
      <c r="AC1758">
        <v>20.8</v>
      </c>
      <c r="AG1758">
        <f t="shared" si="276"/>
        <v>1</v>
      </c>
      <c r="AH1758">
        <f t="shared" si="277"/>
        <v>1</v>
      </c>
      <c r="AI1758">
        <f t="shared" si="278"/>
        <v>0</v>
      </c>
      <c r="AJ1758">
        <v>316</v>
      </c>
      <c r="AK1758">
        <v>1021.7</v>
      </c>
      <c r="AL1758">
        <v>35.200000000000003</v>
      </c>
      <c r="AM1758">
        <v>6.2</v>
      </c>
      <c r="AN1758">
        <v>154.4</v>
      </c>
      <c r="AO1758">
        <v>13.3</v>
      </c>
      <c r="AP1758">
        <v>6</v>
      </c>
      <c r="AQ1758">
        <v>0</v>
      </c>
      <c r="AR1758" t="s">
        <v>5910</v>
      </c>
      <c r="AS1758" t="s">
        <v>5911</v>
      </c>
      <c r="AT1758">
        <v>0.92</v>
      </c>
      <c r="AU1758" t="s">
        <v>43</v>
      </c>
      <c r="AV1758" t="s">
        <v>44</v>
      </c>
      <c r="AW1758" t="s">
        <v>45</v>
      </c>
      <c r="AX1758" t="s">
        <v>4080</v>
      </c>
      <c r="AY1758" t="s">
        <v>5912</v>
      </c>
      <c r="AZ1758">
        <v>90</v>
      </c>
      <c r="BA1758">
        <v>0</v>
      </c>
      <c r="BB1758">
        <v>0</v>
      </c>
      <c r="BC1758">
        <v>1</v>
      </c>
      <c r="BD1758">
        <v>0</v>
      </c>
      <c r="BE1758">
        <f t="shared" si="279"/>
        <v>0</v>
      </c>
    </row>
    <row r="1759" spans="1:57" x14ac:dyDescent="0.25">
      <c r="A1759" t="s">
        <v>39</v>
      </c>
      <c r="B1759" t="s">
        <v>5913</v>
      </c>
      <c r="C1759">
        <v>55.4</v>
      </c>
      <c r="D1759">
        <v>50</v>
      </c>
      <c r="G1759">
        <f t="shared" si="270"/>
        <v>1</v>
      </c>
      <c r="H1759">
        <f t="shared" si="271"/>
        <v>0</v>
      </c>
      <c r="I1759">
        <f t="shared" si="272"/>
        <v>1</v>
      </c>
      <c r="J1759">
        <v>53.8</v>
      </c>
      <c r="K1759">
        <v>55.4</v>
      </c>
      <c r="L1759">
        <v>50</v>
      </c>
      <c r="M1759">
        <v>53.8</v>
      </c>
      <c r="N1759">
        <v>36.700000000000003</v>
      </c>
      <c r="O1759">
        <v>53</v>
      </c>
      <c r="S1759">
        <f t="shared" si="273"/>
        <v>1</v>
      </c>
      <c r="T1759">
        <f t="shared" si="274"/>
        <v>0</v>
      </c>
      <c r="U1759">
        <f t="shared" si="275"/>
        <v>1</v>
      </c>
      <c r="V1759">
        <v>0.159</v>
      </c>
      <c r="W1759">
        <v>100</v>
      </c>
      <c r="X1759">
        <v>4.17</v>
      </c>
      <c r="Y1759" t="s">
        <v>103</v>
      </c>
      <c r="Z1759">
        <v>0</v>
      </c>
      <c r="AA1759">
        <v>0</v>
      </c>
      <c r="AB1759">
        <v>61.3</v>
      </c>
      <c r="AC1759">
        <v>41.4</v>
      </c>
      <c r="AG1759">
        <f t="shared" si="276"/>
        <v>1</v>
      </c>
      <c r="AH1759">
        <f t="shared" si="277"/>
        <v>1</v>
      </c>
      <c r="AI1759">
        <f t="shared" si="278"/>
        <v>0</v>
      </c>
      <c r="AJ1759">
        <v>338.1</v>
      </c>
      <c r="AK1759">
        <v>1018.7</v>
      </c>
      <c r="AL1759">
        <v>74.400000000000006</v>
      </c>
      <c r="AM1759">
        <v>6.2</v>
      </c>
      <c r="AN1759">
        <v>224.7</v>
      </c>
      <c r="AO1759">
        <v>19.399999999999999</v>
      </c>
      <c r="AP1759">
        <v>7</v>
      </c>
      <c r="AQ1759">
        <v>0</v>
      </c>
      <c r="AR1759" t="s">
        <v>5914</v>
      </c>
      <c r="AS1759" t="s">
        <v>5915</v>
      </c>
      <c r="AT1759">
        <v>0.71</v>
      </c>
      <c r="AU1759" t="s">
        <v>106</v>
      </c>
      <c r="AV1759" t="s">
        <v>433</v>
      </c>
      <c r="AW1759" t="s">
        <v>103</v>
      </c>
      <c r="AX1759" t="s">
        <v>5916</v>
      </c>
      <c r="AY1759" t="s">
        <v>5917</v>
      </c>
      <c r="AZ1759">
        <v>640.00000000116415</v>
      </c>
      <c r="BA1759">
        <v>1</v>
      </c>
      <c r="BB1759">
        <v>0</v>
      </c>
      <c r="BC1759">
        <v>15</v>
      </c>
      <c r="BD1759">
        <v>0</v>
      </c>
      <c r="BE1759">
        <f t="shared" si="279"/>
        <v>1</v>
      </c>
    </row>
    <row r="1760" spans="1:57" x14ac:dyDescent="0.25">
      <c r="A1760" t="s">
        <v>39</v>
      </c>
      <c r="B1760" t="s">
        <v>5918</v>
      </c>
      <c r="C1760">
        <v>68</v>
      </c>
      <c r="D1760">
        <v>51.8</v>
      </c>
      <c r="G1760">
        <f t="shared" si="270"/>
        <v>0</v>
      </c>
      <c r="H1760">
        <f t="shared" si="271"/>
        <v>0</v>
      </c>
      <c r="I1760">
        <f t="shared" si="272"/>
        <v>0</v>
      </c>
      <c r="J1760">
        <v>60.1</v>
      </c>
      <c r="K1760">
        <v>68</v>
      </c>
      <c r="L1760">
        <v>51.8</v>
      </c>
      <c r="M1760">
        <v>60.1</v>
      </c>
      <c r="N1760">
        <v>53.5</v>
      </c>
      <c r="O1760">
        <v>80</v>
      </c>
      <c r="S1760">
        <f t="shared" si="273"/>
        <v>1</v>
      </c>
      <c r="T1760">
        <f t="shared" si="274"/>
        <v>1</v>
      </c>
      <c r="U1760">
        <f t="shared" si="275"/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15.2</v>
      </c>
      <c r="AC1760">
        <v>6.9</v>
      </c>
      <c r="AG1760">
        <f t="shared" si="276"/>
        <v>1</v>
      </c>
      <c r="AH1760">
        <f t="shared" si="277"/>
        <v>0</v>
      </c>
      <c r="AI1760">
        <f t="shared" si="278"/>
        <v>1</v>
      </c>
      <c r="AJ1760">
        <v>116.2</v>
      </c>
      <c r="AK1760">
        <v>1022</v>
      </c>
      <c r="AL1760">
        <v>42.9</v>
      </c>
      <c r="AM1760">
        <v>6.2</v>
      </c>
      <c r="AN1760">
        <v>261.7</v>
      </c>
      <c r="AO1760">
        <v>22.5</v>
      </c>
      <c r="AP1760">
        <v>9</v>
      </c>
      <c r="AQ1760">
        <v>0</v>
      </c>
      <c r="AR1760" t="s">
        <v>5919</v>
      </c>
      <c r="AS1760" t="s">
        <v>5920</v>
      </c>
      <c r="AT1760">
        <v>0.92</v>
      </c>
      <c r="AU1760" t="s">
        <v>43</v>
      </c>
      <c r="AV1760" t="s">
        <v>80</v>
      </c>
      <c r="AW1760" t="s">
        <v>45</v>
      </c>
      <c r="AX1760" t="s">
        <v>2486</v>
      </c>
      <c r="AY1760" t="s">
        <v>5921</v>
      </c>
      <c r="AZ1760">
        <v>229.99999999534339</v>
      </c>
      <c r="BA1760">
        <v>0</v>
      </c>
      <c r="BB1760">
        <v>0</v>
      </c>
      <c r="BC1760">
        <v>1</v>
      </c>
      <c r="BD1760">
        <v>0</v>
      </c>
      <c r="BE1760">
        <f t="shared" si="279"/>
        <v>0</v>
      </c>
    </row>
    <row r="1761" spans="1:57" x14ac:dyDescent="0.25">
      <c r="A1761" t="s">
        <v>39</v>
      </c>
      <c r="B1761" t="s">
        <v>5922</v>
      </c>
      <c r="C1761">
        <v>82.4</v>
      </c>
      <c r="D1761">
        <v>68</v>
      </c>
      <c r="G1761">
        <f t="shared" si="270"/>
        <v>0</v>
      </c>
      <c r="H1761">
        <f t="shared" si="271"/>
        <v>0</v>
      </c>
      <c r="I1761">
        <f t="shared" si="272"/>
        <v>0</v>
      </c>
      <c r="J1761">
        <v>76.7</v>
      </c>
      <c r="K1761">
        <v>82.9</v>
      </c>
      <c r="L1761">
        <v>68</v>
      </c>
      <c r="M1761">
        <v>77.2</v>
      </c>
      <c r="N1761">
        <v>63.5</v>
      </c>
      <c r="O1761">
        <v>64.2</v>
      </c>
      <c r="S1761">
        <f t="shared" si="273"/>
        <v>1</v>
      </c>
      <c r="T1761">
        <f t="shared" si="274"/>
        <v>1</v>
      </c>
      <c r="U1761">
        <f t="shared" si="275"/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33.6</v>
      </c>
      <c r="AC1761">
        <v>19.7</v>
      </c>
      <c r="AG1761">
        <f t="shared" si="276"/>
        <v>1</v>
      </c>
      <c r="AH1761">
        <f t="shared" si="277"/>
        <v>1</v>
      </c>
      <c r="AI1761">
        <f t="shared" si="278"/>
        <v>0</v>
      </c>
      <c r="AJ1761">
        <v>305.60000000000002</v>
      </c>
      <c r="AK1761">
        <v>1016.3</v>
      </c>
      <c r="AL1761">
        <v>21.4</v>
      </c>
      <c r="AM1761">
        <v>6.2</v>
      </c>
      <c r="AN1761">
        <v>337.7</v>
      </c>
      <c r="AO1761">
        <v>29</v>
      </c>
      <c r="AP1761">
        <v>10</v>
      </c>
      <c r="AQ1761">
        <v>0</v>
      </c>
      <c r="AR1761" t="s">
        <v>5923</v>
      </c>
      <c r="AS1761" t="s">
        <v>5924</v>
      </c>
      <c r="AT1761">
        <v>0.55000000000000004</v>
      </c>
      <c r="AU1761" t="s">
        <v>43</v>
      </c>
      <c r="AV1761" t="s">
        <v>44</v>
      </c>
      <c r="AW1761" t="s">
        <v>45</v>
      </c>
      <c r="AX1761" t="s">
        <v>2555</v>
      </c>
      <c r="AY1761" t="s">
        <v>5925</v>
      </c>
      <c r="AZ1761">
        <v>1059.9999999976719</v>
      </c>
      <c r="BA1761">
        <v>1</v>
      </c>
      <c r="BB1761">
        <v>0</v>
      </c>
      <c r="BC1761">
        <v>20</v>
      </c>
      <c r="BD1761">
        <v>0</v>
      </c>
      <c r="BE1761">
        <f t="shared" si="279"/>
        <v>1</v>
      </c>
    </row>
    <row r="1762" spans="1:57" x14ac:dyDescent="0.25">
      <c r="A1762" t="s">
        <v>39</v>
      </c>
      <c r="B1762" t="s">
        <v>5926</v>
      </c>
      <c r="C1762">
        <v>84.2</v>
      </c>
      <c r="D1762">
        <v>71.599999999999994</v>
      </c>
      <c r="G1762">
        <f t="shared" si="270"/>
        <v>0</v>
      </c>
      <c r="H1762">
        <f t="shared" si="271"/>
        <v>0</v>
      </c>
      <c r="I1762">
        <f t="shared" si="272"/>
        <v>0</v>
      </c>
      <c r="J1762">
        <v>79.099999999999994</v>
      </c>
      <c r="K1762">
        <v>89.6</v>
      </c>
      <c r="L1762">
        <v>71.599999999999994</v>
      </c>
      <c r="M1762">
        <v>81.5</v>
      </c>
      <c r="N1762">
        <v>70.599999999999994</v>
      </c>
      <c r="O1762">
        <v>75.599999999999994</v>
      </c>
      <c r="S1762">
        <f t="shared" si="273"/>
        <v>1</v>
      </c>
      <c r="T1762">
        <f t="shared" si="274"/>
        <v>1</v>
      </c>
      <c r="U1762">
        <f t="shared" si="275"/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20.100000000000001</v>
      </c>
      <c r="AC1762">
        <v>15</v>
      </c>
      <c r="AG1762">
        <f t="shared" si="276"/>
        <v>1</v>
      </c>
      <c r="AH1762">
        <f t="shared" si="277"/>
        <v>0</v>
      </c>
      <c r="AI1762">
        <f t="shared" si="278"/>
        <v>1</v>
      </c>
      <c r="AJ1762">
        <v>324.8</v>
      </c>
      <c r="AK1762">
        <v>1012.3</v>
      </c>
      <c r="AL1762">
        <v>32.299999999999997</v>
      </c>
      <c r="AM1762">
        <v>6.2</v>
      </c>
      <c r="AN1762">
        <v>263.3</v>
      </c>
      <c r="AO1762">
        <v>22.7</v>
      </c>
      <c r="AP1762">
        <v>8</v>
      </c>
      <c r="AQ1762">
        <v>0</v>
      </c>
      <c r="AR1762" t="s">
        <v>5927</v>
      </c>
      <c r="AS1762" t="s">
        <v>5928</v>
      </c>
      <c r="AT1762">
        <v>0.81</v>
      </c>
      <c r="AU1762" t="s">
        <v>43</v>
      </c>
      <c r="AV1762" t="s">
        <v>44</v>
      </c>
      <c r="AW1762" t="s">
        <v>45</v>
      </c>
      <c r="AX1762" t="s">
        <v>2356</v>
      </c>
      <c r="AY1762" t="s">
        <v>5929</v>
      </c>
      <c r="AZ1762">
        <v>310.00000000465661</v>
      </c>
      <c r="BA1762">
        <v>0</v>
      </c>
      <c r="BB1762">
        <v>0</v>
      </c>
      <c r="BC1762">
        <v>3</v>
      </c>
      <c r="BD1762">
        <v>0</v>
      </c>
      <c r="BE1762">
        <f t="shared" si="279"/>
        <v>0</v>
      </c>
    </row>
    <row r="1763" spans="1:57" x14ac:dyDescent="0.25">
      <c r="A1763" t="s">
        <v>39</v>
      </c>
      <c r="B1763" t="s">
        <v>5930</v>
      </c>
      <c r="C1763">
        <v>82.5</v>
      </c>
      <c r="D1763">
        <v>71.599999999999994</v>
      </c>
      <c r="G1763">
        <f t="shared" si="270"/>
        <v>1</v>
      </c>
      <c r="H1763">
        <f t="shared" si="271"/>
        <v>1</v>
      </c>
      <c r="I1763">
        <f t="shared" si="272"/>
        <v>0</v>
      </c>
      <c r="J1763">
        <v>78</v>
      </c>
      <c r="K1763">
        <v>85.5</v>
      </c>
      <c r="L1763">
        <v>71.599999999999994</v>
      </c>
      <c r="M1763">
        <v>78.8</v>
      </c>
      <c r="N1763">
        <v>66</v>
      </c>
      <c r="O1763">
        <v>67</v>
      </c>
      <c r="S1763">
        <f t="shared" si="273"/>
        <v>0</v>
      </c>
      <c r="T1763">
        <f t="shared" si="274"/>
        <v>0</v>
      </c>
      <c r="U1763">
        <f t="shared" si="275"/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25.9</v>
      </c>
      <c r="AC1763">
        <v>19.7</v>
      </c>
      <c r="AG1763">
        <f t="shared" si="276"/>
        <v>1</v>
      </c>
      <c r="AH1763">
        <f t="shared" si="277"/>
        <v>1</v>
      </c>
      <c r="AI1763">
        <f t="shared" si="278"/>
        <v>0</v>
      </c>
      <c r="AJ1763">
        <v>301.39999999999998</v>
      </c>
      <c r="AK1763">
        <v>1015</v>
      </c>
      <c r="AL1763">
        <v>16.8</v>
      </c>
      <c r="AM1763">
        <v>6.2</v>
      </c>
      <c r="AN1763">
        <v>259</v>
      </c>
      <c r="AO1763">
        <v>22.4</v>
      </c>
      <c r="AP1763">
        <v>8</v>
      </c>
      <c r="AQ1763">
        <v>0</v>
      </c>
      <c r="AR1763" t="s">
        <v>5931</v>
      </c>
      <c r="AS1763" t="s">
        <v>5932</v>
      </c>
      <c r="AT1763">
        <v>0.97</v>
      </c>
      <c r="AU1763" t="s">
        <v>74</v>
      </c>
      <c r="AV1763" t="s">
        <v>2955</v>
      </c>
      <c r="AW1763" t="s">
        <v>75</v>
      </c>
      <c r="AX1763" t="s">
        <v>4600</v>
      </c>
      <c r="AY1763" t="s">
        <v>5933</v>
      </c>
      <c r="AZ1763">
        <v>1988.000000005122</v>
      </c>
      <c r="BA1763">
        <v>1</v>
      </c>
      <c r="BB1763">
        <v>0</v>
      </c>
      <c r="BC1763">
        <v>3</v>
      </c>
      <c r="BD1763">
        <v>0</v>
      </c>
      <c r="BE1763">
        <f t="shared" si="279"/>
        <v>1</v>
      </c>
    </row>
    <row r="1764" spans="1:57" x14ac:dyDescent="0.25">
      <c r="A1764" t="s">
        <v>39</v>
      </c>
      <c r="B1764" t="s">
        <v>5934</v>
      </c>
      <c r="C1764">
        <v>66.2</v>
      </c>
      <c r="D1764">
        <v>53.6</v>
      </c>
      <c r="G1764">
        <f t="shared" si="270"/>
        <v>1</v>
      </c>
      <c r="H1764">
        <f t="shared" si="271"/>
        <v>1</v>
      </c>
      <c r="I1764">
        <f t="shared" si="272"/>
        <v>0</v>
      </c>
      <c r="J1764">
        <v>61</v>
      </c>
      <c r="K1764">
        <v>66.2</v>
      </c>
      <c r="L1764">
        <v>53.6</v>
      </c>
      <c r="M1764">
        <v>61</v>
      </c>
      <c r="N1764">
        <v>51.7</v>
      </c>
      <c r="O1764">
        <v>72</v>
      </c>
      <c r="S1764">
        <f t="shared" si="273"/>
        <v>1</v>
      </c>
      <c r="T1764">
        <f t="shared" si="274"/>
        <v>1</v>
      </c>
      <c r="U1764">
        <f t="shared" si="275"/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22.8</v>
      </c>
      <c r="AC1764">
        <v>12.8</v>
      </c>
      <c r="AG1764">
        <f t="shared" si="276"/>
        <v>1</v>
      </c>
      <c r="AH1764">
        <f t="shared" si="277"/>
        <v>0</v>
      </c>
      <c r="AI1764">
        <f t="shared" si="278"/>
        <v>1</v>
      </c>
      <c r="AJ1764">
        <v>291.3</v>
      </c>
      <c r="AK1764">
        <v>1023</v>
      </c>
      <c r="AL1764">
        <v>42.5</v>
      </c>
      <c r="AM1764">
        <v>6.2</v>
      </c>
      <c r="AN1764">
        <v>129.19999999999999</v>
      </c>
      <c r="AO1764">
        <v>11.2</v>
      </c>
      <c r="AP1764">
        <v>5</v>
      </c>
      <c r="AQ1764">
        <v>0</v>
      </c>
      <c r="AR1764" t="s">
        <v>5935</v>
      </c>
      <c r="AS1764" t="s">
        <v>5936</v>
      </c>
      <c r="AT1764">
        <v>0.71</v>
      </c>
      <c r="AU1764" t="s">
        <v>43</v>
      </c>
      <c r="AV1764" t="s">
        <v>44</v>
      </c>
      <c r="AW1764" t="s">
        <v>45</v>
      </c>
      <c r="AX1764" t="s">
        <v>5937</v>
      </c>
      <c r="AY1764" t="s">
        <v>5938</v>
      </c>
      <c r="AZ1764">
        <v>1339.9999999988361</v>
      </c>
      <c r="BA1764">
        <v>1</v>
      </c>
      <c r="BB1764">
        <v>0</v>
      </c>
      <c r="BC1764">
        <v>15</v>
      </c>
      <c r="BD1764">
        <v>0</v>
      </c>
      <c r="BE1764">
        <f t="shared" si="279"/>
        <v>1</v>
      </c>
    </row>
    <row r="1765" spans="1:57" x14ac:dyDescent="0.25">
      <c r="A1765" t="s">
        <v>39</v>
      </c>
      <c r="B1765" t="s">
        <v>5939</v>
      </c>
      <c r="C1765">
        <v>66.2</v>
      </c>
      <c r="D1765">
        <v>57.1</v>
      </c>
      <c r="G1765">
        <f t="shared" si="270"/>
        <v>1</v>
      </c>
      <c r="H1765">
        <f t="shared" si="271"/>
        <v>1</v>
      </c>
      <c r="I1765">
        <f t="shared" si="272"/>
        <v>0</v>
      </c>
      <c r="J1765">
        <v>60.6</v>
      </c>
      <c r="K1765">
        <v>66.2</v>
      </c>
      <c r="L1765">
        <v>57.1</v>
      </c>
      <c r="M1765">
        <v>60.6</v>
      </c>
      <c r="N1765">
        <v>49.4</v>
      </c>
      <c r="O1765">
        <v>67</v>
      </c>
      <c r="S1765">
        <f t="shared" si="273"/>
        <v>0</v>
      </c>
      <c r="T1765">
        <f t="shared" si="274"/>
        <v>0</v>
      </c>
      <c r="U1765">
        <f t="shared" si="275"/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45.8</v>
      </c>
      <c r="AC1765">
        <v>34.299999999999997</v>
      </c>
      <c r="AG1765">
        <f t="shared" si="276"/>
        <v>1</v>
      </c>
      <c r="AH1765">
        <f t="shared" si="277"/>
        <v>1</v>
      </c>
      <c r="AI1765">
        <f t="shared" si="278"/>
        <v>0</v>
      </c>
      <c r="AJ1765">
        <v>173.1</v>
      </c>
      <c r="AK1765">
        <v>1016.3</v>
      </c>
      <c r="AL1765">
        <v>55.6</v>
      </c>
      <c r="AM1765">
        <v>6.2</v>
      </c>
      <c r="AN1765">
        <v>135.19999999999999</v>
      </c>
      <c r="AO1765">
        <v>11.7</v>
      </c>
      <c r="AP1765">
        <v>5</v>
      </c>
      <c r="AQ1765">
        <v>0</v>
      </c>
      <c r="AR1765" t="s">
        <v>5940</v>
      </c>
      <c r="AS1765" t="s">
        <v>5941</v>
      </c>
      <c r="AT1765">
        <v>0</v>
      </c>
      <c r="AU1765" t="s">
        <v>43</v>
      </c>
      <c r="AV1765" t="s">
        <v>44</v>
      </c>
      <c r="AW1765" t="s">
        <v>419</v>
      </c>
      <c r="AX1765" t="s">
        <v>2393</v>
      </c>
      <c r="AY1765" t="s">
        <v>5942</v>
      </c>
      <c r="AZ1765">
        <v>148.00000000046569</v>
      </c>
      <c r="BA1765">
        <v>0</v>
      </c>
      <c r="BB1765">
        <v>0</v>
      </c>
      <c r="BC1765">
        <v>1</v>
      </c>
      <c r="BD1765">
        <v>0</v>
      </c>
      <c r="BE1765">
        <f t="shared" si="279"/>
        <v>0</v>
      </c>
    </row>
    <row r="1766" spans="1:57" x14ac:dyDescent="0.25">
      <c r="A1766" t="s">
        <v>39</v>
      </c>
      <c r="B1766" t="s">
        <v>5943</v>
      </c>
      <c r="C1766">
        <v>82.4</v>
      </c>
      <c r="D1766">
        <v>72.400000000000006</v>
      </c>
      <c r="G1766">
        <f t="shared" si="270"/>
        <v>0</v>
      </c>
      <c r="H1766">
        <f t="shared" si="271"/>
        <v>0</v>
      </c>
      <c r="I1766">
        <f t="shared" si="272"/>
        <v>0</v>
      </c>
      <c r="J1766">
        <v>78.599999999999994</v>
      </c>
      <c r="K1766">
        <v>86.2</v>
      </c>
      <c r="L1766">
        <v>72.400000000000006</v>
      </c>
      <c r="M1766">
        <v>79.900000000000006</v>
      </c>
      <c r="N1766">
        <v>67</v>
      </c>
      <c r="O1766">
        <v>68</v>
      </c>
      <c r="S1766">
        <f t="shared" si="273"/>
        <v>1</v>
      </c>
      <c r="T1766">
        <f t="shared" si="274"/>
        <v>1</v>
      </c>
      <c r="U1766">
        <f t="shared" si="275"/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24.4</v>
      </c>
      <c r="AC1766">
        <v>20.8</v>
      </c>
      <c r="AG1766">
        <f t="shared" si="276"/>
        <v>1</v>
      </c>
      <c r="AH1766">
        <f t="shared" si="277"/>
        <v>1</v>
      </c>
      <c r="AI1766">
        <f t="shared" si="278"/>
        <v>0</v>
      </c>
      <c r="AJ1766">
        <v>311.3</v>
      </c>
      <c r="AK1766">
        <v>1012.2</v>
      </c>
      <c r="AL1766">
        <v>0.7</v>
      </c>
      <c r="AM1766">
        <v>6.2</v>
      </c>
      <c r="AN1766">
        <v>331.7</v>
      </c>
      <c r="AO1766">
        <v>28.8</v>
      </c>
      <c r="AP1766">
        <v>10</v>
      </c>
      <c r="AQ1766">
        <v>0</v>
      </c>
      <c r="AR1766" t="s">
        <v>5944</v>
      </c>
      <c r="AS1766" t="s">
        <v>5945</v>
      </c>
      <c r="AT1766">
        <v>0.04</v>
      </c>
      <c r="AU1766" t="s">
        <v>74</v>
      </c>
      <c r="AV1766" t="s">
        <v>2955</v>
      </c>
      <c r="AW1766" t="s">
        <v>75</v>
      </c>
      <c r="AX1766" t="s">
        <v>5946</v>
      </c>
      <c r="AY1766" t="s">
        <v>5947</v>
      </c>
      <c r="AZ1766">
        <v>20674.999999991851</v>
      </c>
      <c r="BA1766">
        <v>1</v>
      </c>
      <c r="BB1766">
        <v>0</v>
      </c>
      <c r="BC1766">
        <v>10000</v>
      </c>
      <c r="BD1766">
        <v>0</v>
      </c>
      <c r="BE1766">
        <f t="shared" si="279"/>
        <v>1</v>
      </c>
    </row>
    <row r="1767" spans="1:57" x14ac:dyDescent="0.25">
      <c r="A1767" t="s">
        <v>39</v>
      </c>
      <c r="B1767" t="s">
        <v>5842</v>
      </c>
      <c r="C1767">
        <v>86</v>
      </c>
      <c r="D1767">
        <v>71.599999999999994</v>
      </c>
      <c r="G1767">
        <f t="shared" si="270"/>
        <v>1</v>
      </c>
      <c r="H1767">
        <f t="shared" si="271"/>
        <v>1</v>
      </c>
      <c r="I1767">
        <f t="shared" si="272"/>
        <v>0</v>
      </c>
      <c r="J1767">
        <v>79.8</v>
      </c>
      <c r="K1767">
        <v>97.2</v>
      </c>
      <c r="L1767">
        <v>71.599999999999994</v>
      </c>
      <c r="M1767">
        <v>83.1</v>
      </c>
      <c r="N1767">
        <v>70.900000000000006</v>
      </c>
      <c r="O1767">
        <v>74.8</v>
      </c>
      <c r="S1767">
        <f t="shared" si="273"/>
        <v>1</v>
      </c>
      <c r="T1767">
        <f t="shared" si="274"/>
        <v>1</v>
      </c>
      <c r="U1767">
        <f t="shared" si="275"/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17.7</v>
      </c>
      <c r="AC1767">
        <v>10.3</v>
      </c>
      <c r="AG1767">
        <f t="shared" si="276"/>
        <v>1</v>
      </c>
      <c r="AH1767">
        <f t="shared" si="277"/>
        <v>0</v>
      </c>
      <c r="AI1767">
        <f t="shared" si="278"/>
        <v>1</v>
      </c>
      <c r="AJ1767">
        <v>339.7</v>
      </c>
      <c r="AK1767">
        <v>1008.5</v>
      </c>
      <c r="AL1767">
        <v>23.7</v>
      </c>
      <c r="AM1767">
        <v>6.2</v>
      </c>
      <c r="AN1767">
        <v>306</v>
      </c>
      <c r="AO1767">
        <v>26.4</v>
      </c>
      <c r="AP1767">
        <v>9</v>
      </c>
      <c r="AQ1767">
        <v>0</v>
      </c>
      <c r="AR1767" t="s">
        <v>5843</v>
      </c>
      <c r="AS1767" t="s">
        <v>5844</v>
      </c>
      <c r="AT1767">
        <v>0.67</v>
      </c>
      <c r="AU1767" t="s">
        <v>43</v>
      </c>
      <c r="AV1767" t="s">
        <v>44</v>
      </c>
      <c r="AW1767" t="s">
        <v>45</v>
      </c>
      <c r="AX1767" t="s">
        <v>4080</v>
      </c>
      <c r="AY1767" t="s">
        <v>5948</v>
      </c>
      <c r="AZ1767">
        <v>85.000000004656613</v>
      </c>
      <c r="BA1767">
        <v>0</v>
      </c>
      <c r="BB1767">
        <v>0</v>
      </c>
      <c r="BC1767">
        <v>0.1</v>
      </c>
      <c r="BD1767">
        <v>0</v>
      </c>
      <c r="BE1767">
        <f t="shared" si="279"/>
        <v>1</v>
      </c>
    </row>
    <row r="1768" spans="1:57" x14ac:dyDescent="0.25">
      <c r="A1768" t="s">
        <v>39</v>
      </c>
      <c r="B1768" t="s">
        <v>5949</v>
      </c>
      <c r="C1768">
        <v>84.2</v>
      </c>
      <c r="D1768">
        <v>73.400000000000006</v>
      </c>
      <c r="G1768">
        <f t="shared" si="270"/>
        <v>0</v>
      </c>
      <c r="H1768">
        <f t="shared" si="271"/>
        <v>0</v>
      </c>
      <c r="I1768">
        <f t="shared" si="272"/>
        <v>0</v>
      </c>
      <c r="J1768">
        <v>79</v>
      </c>
      <c r="K1768">
        <v>91</v>
      </c>
      <c r="L1768">
        <v>73.400000000000006</v>
      </c>
      <c r="M1768">
        <v>81.400000000000006</v>
      </c>
      <c r="N1768">
        <v>71.5</v>
      </c>
      <c r="O1768">
        <v>78</v>
      </c>
      <c r="S1768">
        <f t="shared" si="273"/>
        <v>1</v>
      </c>
      <c r="T1768">
        <f t="shared" si="274"/>
        <v>1</v>
      </c>
      <c r="U1768">
        <f t="shared" si="275"/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17</v>
      </c>
      <c r="AC1768">
        <v>11.4</v>
      </c>
      <c r="AG1768">
        <f t="shared" si="276"/>
        <v>1</v>
      </c>
      <c r="AH1768">
        <f t="shared" si="277"/>
        <v>0</v>
      </c>
      <c r="AI1768">
        <f t="shared" si="278"/>
        <v>1</v>
      </c>
      <c r="AJ1768">
        <v>328.7</v>
      </c>
      <c r="AK1768">
        <v>1011.3</v>
      </c>
      <c r="AL1768">
        <v>34.4</v>
      </c>
      <c r="AM1768">
        <v>6.2</v>
      </c>
      <c r="AN1768">
        <v>254</v>
      </c>
      <c r="AO1768">
        <v>22</v>
      </c>
      <c r="AP1768">
        <v>8</v>
      </c>
      <c r="AQ1768">
        <v>0</v>
      </c>
      <c r="AR1768" t="s">
        <v>5950</v>
      </c>
      <c r="AS1768" t="s">
        <v>5951</v>
      </c>
      <c r="AT1768">
        <v>0.78</v>
      </c>
      <c r="AU1768" t="s">
        <v>43</v>
      </c>
      <c r="AV1768" t="s">
        <v>44</v>
      </c>
      <c r="AW1768" t="s">
        <v>45</v>
      </c>
      <c r="AX1768" t="s">
        <v>4254</v>
      </c>
      <c r="AY1768" t="s">
        <v>5952</v>
      </c>
      <c r="AZ1768">
        <v>195.00000000698489</v>
      </c>
      <c r="BA1768">
        <v>0</v>
      </c>
      <c r="BB1768">
        <v>0</v>
      </c>
      <c r="BC1768">
        <v>0.1</v>
      </c>
      <c r="BD1768">
        <v>0</v>
      </c>
      <c r="BE1768">
        <f t="shared" si="279"/>
        <v>0</v>
      </c>
    </row>
    <row r="1769" spans="1:57" x14ac:dyDescent="0.25">
      <c r="A1769" t="s">
        <v>39</v>
      </c>
      <c r="B1769" t="s">
        <v>5953</v>
      </c>
      <c r="C1769">
        <v>75.2</v>
      </c>
      <c r="D1769">
        <v>62.5</v>
      </c>
      <c r="G1769">
        <f t="shared" si="270"/>
        <v>1</v>
      </c>
      <c r="H1769">
        <f t="shared" si="271"/>
        <v>1</v>
      </c>
      <c r="I1769">
        <f t="shared" si="272"/>
        <v>0</v>
      </c>
      <c r="J1769">
        <v>66.400000000000006</v>
      </c>
      <c r="K1769">
        <v>75.2</v>
      </c>
      <c r="L1769">
        <v>62.5</v>
      </c>
      <c r="M1769">
        <v>66.400000000000006</v>
      </c>
      <c r="N1769">
        <v>56.4</v>
      </c>
      <c r="O1769">
        <v>70.8</v>
      </c>
      <c r="S1769">
        <f t="shared" si="273"/>
        <v>1</v>
      </c>
      <c r="T1769">
        <f t="shared" si="274"/>
        <v>1</v>
      </c>
      <c r="U1769">
        <f t="shared" si="275"/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18.8</v>
      </c>
      <c r="AC1769">
        <v>19.7</v>
      </c>
      <c r="AG1769">
        <f t="shared" si="276"/>
        <v>1</v>
      </c>
      <c r="AH1769">
        <f t="shared" si="277"/>
        <v>1</v>
      </c>
      <c r="AI1769">
        <f t="shared" si="278"/>
        <v>0</v>
      </c>
      <c r="AJ1769">
        <v>177.8</v>
      </c>
      <c r="AK1769">
        <v>1019.2</v>
      </c>
      <c r="AL1769">
        <v>42.7</v>
      </c>
      <c r="AM1769">
        <v>6.2</v>
      </c>
      <c r="AN1769">
        <v>121.9</v>
      </c>
      <c r="AO1769">
        <v>10.5</v>
      </c>
      <c r="AP1769">
        <v>5</v>
      </c>
      <c r="AQ1769">
        <v>0</v>
      </c>
      <c r="AR1769" t="s">
        <v>5954</v>
      </c>
      <c r="AS1769" t="s">
        <v>5955</v>
      </c>
      <c r="AT1769">
        <v>0.41</v>
      </c>
      <c r="AU1769" t="s">
        <v>43</v>
      </c>
      <c r="AV1769" t="s">
        <v>44</v>
      </c>
      <c r="AW1769" t="s">
        <v>45</v>
      </c>
      <c r="AX1769" t="s">
        <v>4025</v>
      </c>
      <c r="AY1769" t="s">
        <v>5956</v>
      </c>
      <c r="AZ1769">
        <v>0</v>
      </c>
      <c r="BA1769">
        <v>0</v>
      </c>
      <c r="BB1769">
        <v>0</v>
      </c>
      <c r="BC1769">
        <v>1</v>
      </c>
      <c r="BD1769">
        <v>0</v>
      </c>
      <c r="BE1769">
        <f t="shared" si="279"/>
        <v>1</v>
      </c>
    </row>
    <row r="1770" spans="1:57" x14ac:dyDescent="0.25">
      <c r="A1770" t="s">
        <v>39</v>
      </c>
      <c r="B1770" t="s">
        <v>5957</v>
      </c>
      <c r="C1770">
        <v>66.2</v>
      </c>
      <c r="D1770">
        <v>55.4</v>
      </c>
      <c r="G1770">
        <f t="shared" si="270"/>
        <v>0</v>
      </c>
      <c r="H1770">
        <f t="shared" si="271"/>
        <v>0</v>
      </c>
      <c r="I1770">
        <f t="shared" si="272"/>
        <v>0</v>
      </c>
      <c r="J1770">
        <v>61</v>
      </c>
      <c r="K1770">
        <v>66.2</v>
      </c>
      <c r="L1770">
        <v>55.4</v>
      </c>
      <c r="M1770">
        <v>61</v>
      </c>
      <c r="N1770">
        <v>51.8</v>
      </c>
      <c r="O1770">
        <v>72.400000000000006</v>
      </c>
      <c r="S1770">
        <f t="shared" si="273"/>
        <v>1</v>
      </c>
      <c r="T1770">
        <f t="shared" si="274"/>
        <v>1</v>
      </c>
      <c r="U1770">
        <f t="shared" si="275"/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25.3</v>
      </c>
      <c r="AC1770">
        <v>19.600000000000001</v>
      </c>
      <c r="AG1770">
        <f t="shared" si="276"/>
        <v>1</v>
      </c>
      <c r="AH1770">
        <f t="shared" si="277"/>
        <v>1</v>
      </c>
      <c r="AI1770">
        <f t="shared" si="278"/>
        <v>0</v>
      </c>
      <c r="AJ1770">
        <v>317.2</v>
      </c>
      <c r="AK1770">
        <v>1013.4</v>
      </c>
      <c r="AL1770">
        <v>35.200000000000003</v>
      </c>
      <c r="AM1770">
        <v>6.2</v>
      </c>
      <c r="AN1770">
        <v>250.4</v>
      </c>
      <c r="AO1770">
        <v>21.6</v>
      </c>
      <c r="AP1770">
        <v>8</v>
      </c>
      <c r="AQ1770">
        <v>0</v>
      </c>
      <c r="AR1770" t="s">
        <v>5958</v>
      </c>
      <c r="AS1770" t="s">
        <v>5959</v>
      </c>
      <c r="AT1770">
        <v>0.08</v>
      </c>
      <c r="AU1770" t="s">
        <v>43</v>
      </c>
      <c r="AV1770" t="s">
        <v>44</v>
      </c>
      <c r="AW1770" t="s">
        <v>45</v>
      </c>
      <c r="AX1770" t="s">
        <v>5271</v>
      </c>
      <c r="AY1770" t="s">
        <v>5960</v>
      </c>
      <c r="AZ1770">
        <v>120.9999999962747</v>
      </c>
      <c r="BA1770">
        <v>0</v>
      </c>
      <c r="BB1770">
        <v>0</v>
      </c>
      <c r="BC1770">
        <v>0.1</v>
      </c>
      <c r="BD1770">
        <v>0.1</v>
      </c>
      <c r="BE1770">
        <f t="shared" si="279"/>
        <v>0</v>
      </c>
    </row>
    <row r="1771" spans="1:57" x14ac:dyDescent="0.25">
      <c r="A1771" t="s">
        <v>39</v>
      </c>
      <c r="B1771" t="s">
        <v>5961</v>
      </c>
      <c r="C1771">
        <v>66.2</v>
      </c>
      <c r="D1771">
        <v>44.3</v>
      </c>
      <c r="G1771">
        <f t="shared" si="270"/>
        <v>0</v>
      </c>
      <c r="H1771">
        <f t="shared" si="271"/>
        <v>0</v>
      </c>
      <c r="I1771">
        <f t="shared" si="272"/>
        <v>0</v>
      </c>
      <c r="J1771">
        <v>57.1</v>
      </c>
      <c r="K1771">
        <v>66.2</v>
      </c>
      <c r="L1771">
        <v>41.9</v>
      </c>
      <c r="M1771">
        <v>56.5</v>
      </c>
      <c r="N1771">
        <v>44.7</v>
      </c>
      <c r="O1771">
        <v>64.099999999999994</v>
      </c>
      <c r="S1771">
        <f t="shared" si="273"/>
        <v>0</v>
      </c>
      <c r="T1771">
        <f t="shared" si="274"/>
        <v>0</v>
      </c>
      <c r="U1771">
        <f t="shared" si="275"/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19</v>
      </c>
      <c r="AC1771">
        <v>11.4</v>
      </c>
      <c r="AG1771">
        <f t="shared" si="276"/>
        <v>1</v>
      </c>
      <c r="AH1771">
        <f t="shared" si="277"/>
        <v>0</v>
      </c>
      <c r="AI1771">
        <f t="shared" si="278"/>
        <v>1</v>
      </c>
      <c r="AJ1771">
        <v>108</v>
      </c>
      <c r="AK1771">
        <v>1022.2</v>
      </c>
      <c r="AL1771">
        <v>27.3</v>
      </c>
      <c r="AM1771">
        <v>6.2</v>
      </c>
      <c r="AN1771">
        <v>306.7</v>
      </c>
      <c r="AO1771">
        <v>26.5</v>
      </c>
      <c r="AP1771">
        <v>9</v>
      </c>
      <c r="AQ1771">
        <v>0</v>
      </c>
      <c r="AR1771" t="s">
        <v>5962</v>
      </c>
      <c r="AS1771" t="s">
        <v>5963</v>
      </c>
      <c r="AT1771">
        <v>0.18</v>
      </c>
      <c r="AU1771" t="s">
        <v>43</v>
      </c>
      <c r="AV1771" t="s">
        <v>44</v>
      </c>
      <c r="AW1771" t="s">
        <v>45</v>
      </c>
      <c r="AX1771" t="s">
        <v>5964</v>
      </c>
      <c r="AY1771" t="s">
        <v>5965</v>
      </c>
      <c r="AZ1771">
        <v>95.999999998603016</v>
      </c>
      <c r="BA1771">
        <v>0</v>
      </c>
      <c r="BB1771">
        <v>0</v>
      </c>
      <c r="BC1771">
        <v>0.5</v>
      </c>
      <c r="BD1771">
        <v>0</v>
      </c>
      <c r="BE1771">
        <f t="shared" si="279"/>
        <v>0</v>
      </c>
    </row>
    <row r="1772" spans="1:57" x14ac:dyDescent="0.25">
      <c r="A1772" t="s">
        <v>39</v>
      </c>
      <c r="B1772" t="s">
        <v>5961</v>
      </c>
      <c r="C1772">
        <v>66.2</v>
      </c>
      <c r="D1772">
        <v>44.3</v>
      </c>
      <c r="G1772">
        <f t="shared" si="270"/>
        <v>0</v>
      </c>
      <c r="H1772">
        <f t="shared" si="271"/>
        <v>0</v>
      </c>
      <c r="I1772">
        <f t="shared" si="272"/>
        <v>0</v>
      </c>
      <c r="J1772">
        <v>57.1</v>
      </c>
      <c r="K1772">
        <v>66.2</v>
      </c>
      <c r="L1772">
        <v>41.9</v>
      </c>
      <c r="M1772">
        <v>56.5</v>
      </c>
      <c r="N1772">
        <v>44.7</v>
      </c>
      <c r="O1772">
        <v>64.099999999999994</v>
      </c>
      <c r="S1772">
        <f t="shared" si="273"/>
        <v>0</v>
      </c>
      <c r="T1772">
        <f t="shared" si="274"/>
        <v>0</v>
      </c>
      <c r="U1772">
        <f t="shared" si="275"/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19</v>
      </c>
      <c r="AC1772">
        <v>11.4</v>
      </c>
      <c r="AG1772">
        <f t="shared" si="276"/>
        <v>1</v>
      </c>
      <c r="AH1772">
        <f t="shared" si="277"/>
        <v>0</v>
      </c>
      <c r="AI1772">
        <f t="shared" si="278"/>
        <v>1</v>
      </c>
      <c r="AJ1772">
        <v>108</v>
      </c>
      <c r="AK1772">
        <v>1022.2</v>
      </c>
      <c r="AL1772">
        <v>27.3</v>
      </c>
      <c r="AM1772">
        <v>6.2</v>
      </c>
      <c r="AN1772">
        <v>306.7</v>
      </c>
      <c r="AO1772">
        <v>26.5</v>
      </c>
      <c r="AP1772">
        <v>9</v>
      </c>
      <c r="AQ1772">
        <v>0</v>
      </c>
      <c r="AR1772" t="s">
        <v>5962</v>
      </c>
      <c r="AS1772" t="s">
        <v>5963</v>
      </c>
      <c r="AT1772">
        <v>0.18</v>
      </c>
      <c r="AU1772" t="s">
        <v>43</v>
      </c>
      <c r="AV1772" t="s">
        <v>44</v>
      </c>
      <c r="AW1772" t="s">
        <v>45</v>
      </c>
      <c r="AX1772" t="s">
        <v>2454</v>
      </c>
      <c r="AY1772" t="s">
        <v>5966</v>
      </c>
      <c r="AZ1772">
        <v>94.999999995343387</v>
      </c>
      <c r="BA1772">
        <v>0</v>
      </c>
      <c r="BB1772">
        <v>0</v>
      </c>
      <c r="BC1772">
        <v>0.5</v>
      </c>
      <c r="BD1772">
        <v>0</v>
      </c>
      <c r="BE1772">
        <f t="shared" si="279"/>
        <v>0</v>
      </c>
    </row>
    <row r="1773" spans="1:57" x14ac:dyDescent="0.25">
      <c r="A1773" t="s">
        <v>39</v>
      </c>
      <c r="B1773" t="s">
        <v>5967</v>
      </c>
      <c r="C1773">
        <v>80.599999999999994</v>
      </c>
      <c r="D1773">
        <v>57.2</v>
      </c>
      <c r="G1773">
        <f t="shared" si="270"/>
        <v>1</v>
      </c>
      <c r="H1773">
        <f t="shared" si="271"/>
        <v>1</v>
      </c>
      <c r="I1773">
        <f t="shared" si="272"/>
        <v>0</v>
      </c>
      <c r="J1773">
        <v>70.400000000000006</v>
      </c>
      <c r="K1773">
        <v>79.3</v>
      </c>
      <c r="L1773">
        <v>57.2</v>
      </c>
      <c r="M1773">
        <v>70.099999999999994</v>
      </c>
      <c r="N1773">
        <v>39.9</v>
      </c>
      <c r="O1773">
        <v>35.9</v>
      </c>
      <c r="S1773">
        <f t="shared" si="273"/>
        <v>1</v>
      </c>
      <c r="T1773">
        <f t="shared" si="274"/>
        <v>0</v>
      </c>
      <c r="U1773">
        <f t="shared" si="275"/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36.9</v>
      </c>
      <c r="AC1773">
        <v>36.9</v>
      </c>
      <c r="AG1773">
        <f t="shared" si="276"/>
        <v>1</v>
      </c>
      <c r="AH1773">
        <f t="shared" si="277"/>
        <v>1</v>
      </c>
      <c r="AI1773">
        <f t="shared" si="278"/>
        <v>0</v>
      </c>
      <c r="AJ1773">
        <v>164.5</v>
      </c>
      <c r="AK1773">
        <v>1010.9</v>
      </c>
      <c r="AL1773">
        <v>42.6</v>
      </c>
      <c r="AM1773">
        <v>6.2</v>
      </c>
      <c r="AN1773">
        <v>310.39999999999998</v>
      </c>
      <c r="AO1773">
        <v>26.9</v>
      </c>
      <c r="AP1773">
        <v>9</v>
      </c>
      <c r="AQ1773">
        <v>0</v>
      </c>
      <c r="AR1773" t="s">
        <v>5968</v>
      </c>
      <c r="AS1773" t="s">
        <v>5969</v>
      </c>
      <c r="AT1773">
        <v>0.31</v>
      </c>
      <c r="AU1773" t="s">
        <v>43</v>
      </c>
      <c r="AV1773" t="s">
        <v>44</v>
      </c>
      <c r="AW1773" t="s">
        <v>419</v>
      </c>
      <c r="AX1773" t="s">
        <v>4582</v>
      </c>
      <c r="AY1773" t="s">
        <v>5970</v>
      </c>
      <c r="AZ1773">
        <v>67.000000008847564</v>
      </c>
      <c r="BA1773">
        <v>0</v>
      </c>
      <c r="BB1773">
        <v>0</v>
      </c>
      <c r="BC1773">
        <v>0.1</v>
      </c>
      <c r="BD1773">
        <v>0</v>
      </c>
      <c r="BE1773">
        <f t="shared" si="279"/>
        <v>1</v>
      </c>
    </row>
    <row r="1774" spans="1:57" x14ac:dyDescent="0.25">
      <c r="A1774" t="s">
        <v>39</v>
      </c>
      <c r="B1774" t="s">
        <v>5971</v>
      </c>
      <c r="C1774">
        <v>77</v>
      </c>
      <c r="D1774">
        <v>59.3</v>
      </c>
      <c r="G1774">
        <f t="shared" si="270"/>
        <v>1</v>
      </c>
      <c r="H1774">
        <f t="shared" si="271"/>
        <v>1</v>
      </c>
      <c r="I1774">
        <f t="shared" si="272"/>
        <v>0</v>
      </c>
      <c r="J1774">
        <v>68.7</v>
      </c>
      <c r="K1774">
        <v>77</v>
      </c>
      <c r="L1774">
        <v>59.3</v>
      </c>
      <c r="M1774">
        <v>68.7</v>
      </c>
      <c r="N1774">
        <v>60.3</v>
      </c>
      <c r="O1774">
        <v>75.7</v>
      </c>
      <c r="S1774">
        <f t="shared" si="273"/>
        <v>1</v>
      </c>
      <c r="T1774">
        <f t="shared" si="274"/>
        <v>1</v>
      </c>
      <c r="U1774">
        <f t="shared" si="275"/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15.7</v>
      </c>
      <c r="AC1774">
        <v>10.3</v>
      </c>
      <c r="AG1774">
        <f t="shared" si="276"/>
        <v>1</v>
      </c>
      <c r="AH1774">
        <f t="shared" si="277"/>
        <v>0</v>
      </c>
      <c r="AI1774">
        <f t="shared" si="278"/>
        <v>1</v>
      </c>
      <c r="AJ1774">
        <v>111.5</v>
      </c>
      <c r="AK1774">
        <v>1019.4</v>
      </c>
      <c r="AL1774">
        <v>46.3</v>
      </c>
      <c r="AM1774">
        <v>6.2</v>
      </c>
      <c r="AN1774">
        <v>320</v>
      </c>
      <c r="AO1774">
        <v>27.8</v>
      </c>
      <c r="AP1774">
        <v>10</v>
      </c>
      <c r="AQ1774">
        <v>0</v>
      </c>
      <c r="AR1774" t="s">
        <v>5972</v>
      </c>
      <c r="AS1774" t="s">
        <v>5973</v>
      </c>
      <c r="AT1774">
        <v>0.94</v>
      </c>
      <c r="AU1774" t="s">
        <v>43</v>
      </c>
      <c r="AV1774" t="s">
        <v>44</v>
      </c>
      <c r="AW1774" t="s">
        <v>45</v>
      </c>
      <c r="AX1774" t="s">
        <v>5609</v>
      </c>
      <c r="AY1774" t="s">
        <v>5974</v>
      </c>
      <c r="AZ1774">
        <v>91.000000003259629</v>
      </c>
      <c r="BA1774">
        <v>0</v>
      </c>
      <c r="BB1774">
        <v>0</v>
      </c>
      <c r="BC1774">
        <v>1</v>
      </c>
      <c r="BD1774">
        <v>0</v>
      </c>
      <c r="BE1774">
        <f t="shared" si="279"/>
        <v>1</v>
      </c>
    </row>
    <row r="1775" spans="1:57" x14ac:dyDescent="0.25">
      <c r="A1775" t="s">
        <v>39</v>
      </c>
      <c r="B1775" t="s">
        <v>5975</v>
      </c>
      <c r="C1775">
        <v>75.2</v>
      </c>
      <c r="D1775">
        <v>68</v>
      </c>
      <c r="G1775">
        <f t="shared" si="270"/>
        <v>1</v>
      </c>
      <c r="H1775">
        <f t="shared" si="271"/>
        <v>1</v>
      </c>
      <c r="I1775">
        <f t="shared" si="272"/>
        <v>0</v>
      </c>
      <c r="J1775">
        <v>70.7</v>
      </c>
      <c r="K1775">
        <v>75.2</v>
      </c>
      <c r="L1775">
        <v>68</v>
      </c>
      <c r="M1775">
        <v>70.7</v>
      </c>
      <c r="N1775">
        <v>62.4</v>
      </c>
      <c r="O1775">
        <v>75.5</v>
      </c>
      <c r="S1775">
        <f t="shared" si="273"/>
        <v>1</v>
      </c>
      <c r="T1775">
        <f t="shared" si="274"/>
        <v>1</v>
      </c>
      <c r="U1775">
        <f t="shared" si="275"/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28.9</v>
      </c>
      <c r="AC1775">
        <v>20.8</v>
      </c>
      <c r="AG1775">
        <f t="shared" si="276"/>
        <v>1</v>
      </c>
      <c r="AH1775">
        <f t="shared" si="277"/>
        <v>1</v>
      </c>
      <c r="AI1775">
        <f t="shared" si="278"/>
        <v>0</v>
      </c>
      <c r="AJ1775">
        <v>331.2</v>
      </c>
      <c r="AK1775">
        <v>1005.1</v>
      </c>
      <c r="AL1775">
        <v>61.8</v>
      </c>
      <c r="AM1775">
        <v>6.2</v>
      </c>
      <c r="AN1775">
        <v>309.8</v>
      </c>
      <c r="AO1775">
        <v>26.8</v>
      </c>
      <c r="AP1775">
        <v>10</v>
      </c>
      <c r="AQ1775">
        <v>0</v>
      </c>
      <c r="AR1775" t="s">
        <v>5976</v>
      </c>
      <c r="AS1775" t="s">
        <v>5977</v>
      </c>
      <c r="AT1775">
        <v>0.3</v>
      </c>
      <c r="AU1775" t="s">
        <v>43</v>
      </c>
      <c r="AV1775" t="s">
        <v>80</v>
      </c>
      <c r="AW1775" t="s">
        <v>45</v>
      </c>
      <c r="AX1775" t="s">
        <v>5046</v>
      </c>
      <c r="AY1775" t="s">
        <v>5978</v>
      </c>
      <c r="AZ1775">
        <v>101.0000000044238</v>
      </c>
      <c r="BA1775">
        <v>0</v>
      </c>
      <c r="BB1775">
        <v>0</v>
      </c>
      <c r="BC1775">
        <v>0.5</v>
      </c>
      <c r="BD1775">
        <v>0</v>
      </c>
      <c r="BE1775">
        <f t="shared" si="279"/>
        <v>1</v>
      </c>
    </row>
    <row r="1776" spans="1:57" x14ac:dyDescent="0.25">
      <c r="A1776" t="s">
        <v>39</v>
      </c>
      <c r="B1776" t="s">
        <v>5979</v>
      </c>
      <c r="C1776">
        <v>78.8</v>
      </c>
      <c r="D1776">
        <v>64.400000000000006</v>
      </c>
      <c r="G1776">
        <f t="shared" si="270"/>
        <v>0</v>
      </c>
      <c r="H1776">
        <f t="shared" si="271"/>
        <v>0</v>
      </c>
      <c r="I1776">
        <f t="shared" si="272"/>
        <v>0</v>
      </c>
      <c r="J1776">
        <v>73.3</v>
      </c>
      <c r="K1776">
        <v>78.8</v>
      </c>
      <c r="L1776">
        <v>64.400000000000006</v>
      </c>
      <c r="M1776">
        <v>73.3</v>
      </c>
      <c r="N1776">
        <v>65.3</v>
      </c>
      <c r="O1776">
        <v>76.7</v>
      </c>
      <c r="S1776">
        <f t="shared" si="273"/>
        <v>1</v>
      </c>
      <c r="T1776">
        <f t="shared" si="274"/>
        <v>1</v>
      </c>
      <c r="U1776">
        <f t="shared" si="275"/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16.600000000000001</v>
      </c>
      <c r="AC1776">
        <v>11.3</v>
      </c>
      <c r="AG1776">
        <f t="shared" si="276"/>
        <v>1</v>
      </c>
      <c r="AH1776">
        <f t="shared" si="277"/>
        <v>0</v>
      </c>
      <c r="AI1776">
        <f t="shared" si="278"/>
        <v>1</v>
      </c>
      <c r="AJ1776">
        <v>56.5</v>
      </c>
      <c r="AK1776">
        <v>1010</v>
      </c>
      <c r="AL1776">
        <v>19.7</v>
      </c>
      <c r="AM1776">
        <v>6.2</v>
      </c>
      <c r="AN1776">
        <v>338.2</v>
      </c>
      <c r="AO1776">
        <v>29.1</v>
      </c>
      <c r="AP1776">
        <v>10</v>
      </c>
      <c r="AQ1776">
        <v>0</v>
      </c>
      <c r="AR1776" t="s">
        <v>5980</v>
      </c>
      <c r="AS1776" t="s">
        <v>5981</v>
      </c>
      <c r="AT1776">
        <v>0.32</v>
      </c>
      <c r="AU1776" t="s">
        <v>74</v>
      </c>
      <c r="AV1776" t="s">
        <v>2955</v>
      </c>
      <c r="AW1776" t="s">
        <v>75</v>
      </c>
      <c r="AX1776" t="s">
        <v>5982</v>
      </c>
      <c r="AY1776" t="s">
        <v>5983</v>
      </c>
      <c r="AZ1776">
        <v>71.000000000931323</v>
      </c>
      <c r="BA1776">
        <v>0</v>
      </c>
      <c r="BB1776">
        <v>0</v>
      </c>
      <c r="BC1776">
        <v>0.1</v>
      </c>
      <c r="BD1776">
        <v>0</v>
      </c>
      <c r="BE1776">
        <f t="shared" si="279"/>
        <v>0</v>
      </c>
    </row>
    <row r="1777" spans="1:57" x14ac:dyDescent="0.25">
      <c r="A1777" t="s">
        <v>39</v>
      </c>
      <c r="B1777" t="s">
        <v>5943</v>
      </c>
      <c r="C1777">
        <v>82.4</v>
      </c>
      <c r="D1777">
        <v>72.400000000000006</v>
      </c>
      <c r="G1777">
        <f t="shared" si="270"/>
        <v>0</v>
      </c>
      <c r="H1777">
        <f t="shared" si="271"/>
        <v>0</v>
      </c>
      <c r="I1777">
        <f t="shared" si="272"/>
        <v>0</v>
      </c>
      <c r="J1777">
        <v>78.599999999999994</v>
      </c>
      <c r="K1777">
        <v>86.2</v>
      </c>
      <c r="L1777">
        <v>72.400000000000006</v>
      </c>
      <c r="M1777">
        <v>79.900000000000006</v>
      </c>
      <c r="N1777">
        <v>67</v>
      </c>
      <c r="O1777">
        <v>68</v>
      </c>
      <c r="S1777">
        <f t="shared" si="273"/>
        <v>1</v>
      </c>
      <c r="T1777">
        <f t="shared" si="274"/>
        <v>1</v>
      </c>
      <c r="U1777">
        <f t="shared" si="275"/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24.4</v>
      </c>
      <c r="AC1777">
        <v>20.8</v>
      </c>
      <c r="AG1777">
        <f t="shared" si="276"/>
        <v>1</v>
      </c>
      <c r="AH1777">
        <f t="shared" si="277"/>
        <v>1</v>
      </c>
      <c r="AI1777">
        <f t="shared" si="278"/>
        <v>0</v>
      </c>
      <c r="AJ1777">
        <v>311.3</v>
      </c>
      <c r="AK1777">
        <v>1012.2</v>
      </c>
      <c r="AL1777">
        <v>0.7</v>
      </c>
      <c r="AM1777">
        <v>6.2</v>
      </c>
      <c r="AN1777">
        <v>331.7</v>
      </c>
      <c r="AO1777">
        <v>28.8</v>
      </c>
      <c r="AP1777">
        <v>10</v>
      </c>
      <c r="AQ1777">
        <v>0</v>
      </c>
      <c r="AR1777" t="s">
        <v>5944</v>
      </c>
      <c r="AS1777" t="s">
        <v>5945</v>
      </c>
      <c r="AT1777">
        <v>0.04</v>
      </c>
      <c r="AU1777" t="s">
        <v>74</v>
      </c>
      <c r="AV1777" t="s">
        <v>2955</v>
      </c>
      <c r="AW1777" t="s">
        <v>75</v>
      </c>
      <c r="AX1777" t="s">
        <v>4912</v>
      </c>
      <c r="AY1777" t="s">
        <v>5984</v>
      </c>
      <c r="AZ1777">
        <v>1296.000000002095</v>
      </c>
      <c r="BA1777">
        <v>1</v>
      </c>
      <c r="BB1777">
        <v>0</v>
      </c>
      <c r="BC1777">
        <v>20</v>
      </c>
      <c r="BD1777">
        <v>0</v>
      </c>
      <c r="BE1777">
        <f t="shared" si="279"/>
        <v>1</v>
      </c>
    </row>
    <row r="1778" spans="1:57" x14ac:dyDescent="0.25">
      <c r="A1778" t="s">
        <v>39</v>
      </c>
      <c r="B1778" t="s">
        <v>5985</v>
      </c>
      <c r="C1778">
        <v>82.4</v>
      </c>
      <c r="D1778">
        <v>69.8</v>
      </c>
      <c r="G1778">
        <f t="shared" si="270"/>
        <v>0</v>
      </c>
      <c r="H1778">
        <f t="shared" si="271"/>
        <v>0</v>
      </c>
      <c r="I1778">
        <f t="shared" si="272"/>
        <v>0</v>
      </c>
      <c r="J1778">
        <v>78.3</v>
      </c>
      <c r="K1778">
        <v>86.2</v>
      </c>
      <c r="L1778">
        <v>69.8</v>
      </c>
      <c r="M1778">
        <v>79.7</v>
      </c>
      <c r="N1778">
        <v>65.2</v>
      </c>
      <c r="O1778">
        <v>64.400000000000006</v>
      </c>
      <c r="S1778">
        <f t="shared" si="273"/>
        <v>1</v>
      </c>
      <c r="T1778">
        <f t="shared" si="274"/>
        <v>1</v>
      </c>
      <c r="U1778">
        <f t="shared" si="275"/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23</v>
      </c>
      <c r="AC1778">
        <v>19.7</v>
      </c>
      <c r="AG1778">
        <f t="shared" si="276"/>
        <v>1</v>
      </c>
      <c r="AH1778">
        <f t="shared" si="277"/>
        <v>1</v>
      </c>
      <c r="AI1778">
        <f t="shared" si="278"/>
        <v>0</v>
      </c>
      <c r="AJ1778">
        <v>302.3</v>
      </c>
      <c r="AK1778">
        <v>1014.7</v>
      </c>
      <c r="AL1778">
        <v>7</v>
      </c>
      <c r="AM1778">
        <v>6.2</v>
      </c>
      <c r="AN1778">
        <v>284.60000000000002</v>
      </c>
      <c r="AO1778">
        <v>24.5</v>
      </c>
      <c r="AP1778">
        <v>9</v>
      </c>
      <c r="AQ1778">
        <v>0</v>
      </c>
      <c r="AR1778" t="s">
        <v>5986</v>
      </c>
      <c r="AS1778" t="s">
        <v>5987</v>
      </c>
      <c r="AT1778">
        <v>0.52</v>
      </c>
      <c r="AU1778" t="s">
        <v>74</v>
      </c>
      <c r="AV1778" t="s">
        <v>2955</v>
      </c>
      <c r="AW1778" t="s">
        <v>75</v>
      </c>
      <c r="AX1778" t="s">
        <v>5609</v>
      </c>
      <c r="AY1778" t="s">
        <v>5988</v>
      </c>
      <c r="AZ1778">
        <v>326.00000000442378</v>
      </c>
      <c r="BA1778">
        <v>0</v>
      </c>
      <c r="BB1778">
        <v>0</v>
      </c>
      <c r="BC1778">
        <v>3</v>
      </c>
      <c r="BD1778">
        <v>0</v>
      </c>
      <c r="BE1778">
        <f t="shared" si="279"/>
        <v>0</v>
      </c>
    </row>
    <row r="1779" spans="1:57" x14ac:dyDescent="0.25">
      <c r="A1779" t="s">
        <v>39</v>
      </c>
      <c r="B1779" t="s">
        <v>5989</v>
      </c>
      <c r="C1779">
        <v>84.2</v>
      </c>
      <c r="D1779">
        <v>68</v>
      </c>
      <c r="G1779">
        <f t="shared" si="270"/>
        <v>1</v>
      </c>
      <c r="H1779">
        <f t="shared" si="271"/>
        <v>1</v>
      </c>
      <c r="I1779">
        <f t="shared" si="272"/>
        <v>0</v>
      </c>
      <c r="J1779">
        <v>76.8</v>
      </c>
      <c r="K1779">
        <v>89.6</v>
      </c>
      <c r="L1779">
        <v>68</v>
      </c>
      <c r="M1779">
        <v>78.599999999999994</v>
      </c>
      <c r="N1779">
        <v>67.099999999999994</v>
      </c>
      <c r="O1779">
        <v>72.5</v>
      </c>
      <c r="S1779">
        <f t="shared" si="273"/>
        <v>1</v>
      </c>
      <c r="T1779">
        <f t="shared" si="274"/>
        <v>1</v>
      </c>
      <c r="U1779">
        <f t="shared" si="275"/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18.3</v>
      </c>
      <c r="AC1779">
        <v>9.1999999999999993</v>
      </c>
      <c r="AG1779">
        <f t="shared" si="276"/>
        <v>1</v>
      </c>
      <c r="AH1779">
        <f t="shared" si="277"/>
        <v>0</v>
      </c>
      <c r="AI1779">
        <f t="shared" si="278"/>
        <v>1</v>
      </c>
      <c r="AJ1779">
        <v>67.900000000000006</v>
      </c>
      <c r="AK1779">
        <v>1012.4</v>
      </c>
      <c r="AL1779">
        <v>3.9</v>
      </c>
      <c r="AM1779">
        <v>6.2</v>
      </c>
      <c r="AN1779">
        <v>279.89999999999998</v>
      </c>
      <c r="AO1779">
        <v>24.1</v>
      </c>
      <c r="AP1779">
        <v>9</v>
      </c>
      <c r="AQ1779">
        <v>0</v>
      </c>
      <c r="AR1779" t="s">
        <v>5990</v>
      </c>
      <c r="AS1779" t="s">
        <v>5991</v>
      </c>
      <c r="AT1779">
        <v>0.59</v>
      </c>
      <c r="AU1779" t="s">
        <v>74</v>
      </c>
      <c r="AV1779" t="s">
        <v>2955</v>
      </c>
      <c r="AW1779" t="s">
        <v>75</v>
      </c>
      <c r="AX1779" t="s">
        <v>5992</v>
      </c>
      <c r="AY1779" t="s">
        <v>5993</v>
      </c>
      <c r="AZ1779">
        <v>1393.0000000039579</v>
      </c>
      <c r="BA1779">
        <v>1</v>
      </c>
      <c r="BB1779">
        <v>0</v>
      </c>
      <c r="BC1779">
        <v>100</v>
      </c>
      <c r="BD1779">
        <v>0</v>
      </c>
      <c r="BE1779">
        <f t="shared" si="279"/>
        <v>1</v>
      </c>
    </row>
    <row r="1780" spans="1:57" x14ac:dyDescent="0.25">
      <c r="A1780" t="s">
        <v>39</v>
      </c>
      <c r="B1780" t="s">
        <v>5890</v>
      </c>
      <c r="C1780">
        <v>84.2</v>
      </c>
      <c r="D1780">
        <v>73.400000000000006</v>
      </c>
      <c r="G1780">
        <f t="shared" si="270"/>
        <v>1</v>
      </c>
      <c r="H1780">
        <f t="shared" si="271"/>
        <v>1</v>
      </c>
      <c r="I1780">
        <f t="shared" si="272"/>
        <v>0</v>
      </c>
      <c r="J1780">
        <v>78.900000000000006</v>
      </c>
      <c r="K1780">
        <v>92.4</v>
      </c>
      <c r="L1780">
        <v>73.400000000000006</v>
      </c>
      <c r="M1780">
        <v>81.099999999999994</v>
      </c>
      <c r="N1780">
        <v>69.900000000000006</v>
      </c>
      <c r="O1780">
        <v>74.599999999999994</v>
      </c>
      <c r="S1780">
        <f t="shared" si="273"/>
        <v>1</v>
      </c>
      <c r="T1780">
        <f t="shared" si="274"/>
        <v>1</v>
      </c>
      <c r="U1780">
        <f t="shared" si="275"/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22.8</v>
      </c>
      <c r="AC1780">
        <v>20.8</v>
      </c>
      <c r="AG1780">
        <f t="shared" si="276"/>
        <v>1</v>
      </c>
      <c r="AH1780">
        <f t="shared" si="277"/>
        <v>1</v>
      </c>
      <c r="AI1780">
        <f t="shared" si="278"/>
        <v>0</v>
      </c>
      <c r="AJ1780">
        <v>295.39999999999998</v>
      </c>
      <c r="AK1780">
        <v>1011.2</v>
      </c>
      <c r="AL1780">
        <v>20.2</v>
      </c>
      <c r="AM1780">
        <v>6.2</v>
      </c>
      <c r="AN1780">
        <v>261.2</v>
      </c>
      <c r="AO1780">
        <v>22.5</v>
      </c>
      <c r="AP1780">
        <v>8</v>
      </c>
      <c r="AQ1780">
        <v>0</v>
      </c>
      <c r="AR1780" t="s">
        <v>5891</v>
      </c>
      <c r="AS1780" t="s">
        <v>5892</v>
      </c>
      <c r="AT1780">
        <v>0.66</v>
      </c>
      <c r="AU1780" t="s">
        <v>43</v>
      </c>
      <c r="AV1780" t="s">
        <v>44</v>
      </c>
      <c r="AW1780" t="s">
        <v>45</v>
      </c>
      <c r="AX1780" t="s">
        <v>5994</v>
      </c>
      <c r="AY1780" t="s">
        <v>5995</v>
      </c>
      <c r="AZ1780">
        <v>680.99999999860302</v>
      </c>
      <c r="BA1780">
        <v>1</v>
      </c>
      <c r="BB1780">
        <v>0</v>
      </c>
      <c r="BC1780">
        <v>10</v>
      </c>
      <c r="BD1780">
        <v>0</v>
      </c>
      <c r="BE1780">
        <f t="shared" si="279"/>
        <v>1</v>
      </c>
    </row>
    <row r="1781" spans="1:57" x14ac:dyDescent="0.25">
      <c r="A1781" t="s">
        <v>39</v>
      </c>
      <c r="B1781" t="s">
        <v>5890</v>
      </c>
      <c r="C1781">
        <v>84.2</v>
      </c>
      <c r="D1781">
        <v>73.400000000000006</v>
      </c>
      <c r="G1781">
        <f t="shared" si="270"/>
        <v>1</v>
      </c>
      <c r="H1781">
        <f t="shared" si="271"/>
        <v>1</v>
      </c>
      <c r="I1781">
        <f t="shared" si="272"/>
        <v>0</v>
      </c>
      <c r="J1781">
        <v>78.900000000000006</v>
      </c>
      <c r="K1781">
        <v>92.4</v>
      </c>
      <c r="L1781">
        <v>73.400000000000006</v>
      </c>
      <c r="M1781">
        <v>81.099999999999994</v>
      </c>
      <c r="N1781">
        <v>69.900000000000006</v>
      </c>
      <c r="O1781">
        <v>74.599999999999994</v>
      </c>
      <c r="S1781">
        <f t="shared" si="273"/>
        <v>1</v>
      </c>
      <c r="T1781">
        <f t="shared" si="274"/>
        <v>1</v>
      </c>
      <c r="U1781">
        <f t="shared" si="275"/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22.8</v>
      </c>
      <c r="AC1781">
        <v>20.8</v>
      </c>
      <c r="AG1781">
        <f t="shared" si="276"/>
        <v>1</v>
      </c>
      <c r="AH1781">
        <f t="shared" si="277"/>
        <v>1</v>
      </c>
      <c r="AI1781">
        <f t="shared" si="278"/>
        <v>0</v>
      </c>
      <c r="AJ1781">
        <v>295.39999999999998</v>
      </c>
      <c r="AK1781">
        <v>1011.2</v>
      </c>
      <c r="AL1781">
        <v>20.2</v>
      </c>
      <c r="AM1781">
        <v>6.2</v>
      </c>
      <c r="AN1781">
        <v>261.2</v>
      </c>
      <c r="AO1781">
        <v>22.5</v>
      </c>
      <c r="AP1781">
        <v>8</v>
      </c>
      <c r="AQ1781">
        <v>0</v>
      </c>
      <c r="AR1781" t="s">
        <v>5891</v>
      </c>
      <c r="AS1781" t="s">
        <v>5892</v>
      </c>
      <c r="AT1781">
        <v>0.66</v>
      </c>
      <c r="AU1781" t="s">
        <v>43</v>
      </c>
      <c r="AV1781" t="s">
        <v>44</v>
      </c>
      <c r="AW1781" t="s">
        <v>45</v>
      </c>
      <c r="AX1781" t="s">
        <v>5996</v>
      </c>
      <c r="AY1781" t="s">
        <v>5997</v>
      </c>
      <c r="AZ1781">
        <v>600.99999999976717</v>
      </c>
      <c r="BA1781">
        <v>1</v>
      </c>
      <c r="BB1781">
        <v>0</v>
      </c>
      <c r="BC1781">
        <v>3</v>
      </c>
      <c r="BD1781">
        <v>0</v>
      </c>
      <c r="BE1781">
        <f t="shared" si="279"/>
        <v>1</v>
      </c>
    </row>
    <row r="1782" spans="1:57" x14ac:dyDescent="0.25">
      <c r="A1782" t="s">
        <v>39</v>
      </c>
      <c r="B1782" t="s">
        <v>5998</v>
      </c>
      <c r="C1782">
        <v>93.2</v>
      </c>
      <c r="D1782">
        <v>71.599999999999994</v>
      </c>
      <c r="G1782">
        <f t="shared" si="270"/>
        <v>1</v>
      </c>
      <c r="H1782">
        <f t="shared" si="271"/>
        <v>1</v>
      </c>
      <c r="I1782">
        <f t="shared" si="272"/>
        <v>0</v>
      </c>
      <c r="J1782">
        <v>82.1</v>
      </c>
      <c r="K1782">
        <v>97.8</v>
      </c>
      <c r="L1782">
        <v>71.599999999999994</v>
      </c>
      <c r="M1782">
        <v>84.3</v>
      </c>
      <c r="N1782">
        <v>60.6</v>
      </c>
      <c r="O1782">
        <v>49.6</v>
      </c>
      <c r="S1782">
        <f t="shared" si="273"/>
        <v>1</v>
      </c>
      <c r="T1782">
        <f t="shared" si="274"/>
        <v>0</v>
      </c>
      <c r="U1782">
        <f t="shared" si="275"/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21.7</v>
      </c>
      <c r="AC1782">
        <v>12.8</v>
      </c>
      <c r="AG1782">
        <f t="shared" si="276"/>
        <v>1</v>
      </c>
      <c r="AH1782">
        <f t="shared" si="277"/>
        <v>0</v>
      </c>
      <c r="AI1782">
        <f t="shared" si="278"/>
        <v>1</v>
      </c>
      <c r="AJ1782">
        <v>173.4</v>
      </c>
      <c r="AK1782">
        <v>1012.9</v>
      </c>
      <c r="AL1782">
        <v>0</v>
      </c>
      <c r="AM1782">
        <v>6.2</v>
      </c>
      <c r="AN1782">
        <v>274.2</v>
      </c>
      <c r="AO1782">
        <v>23.7</v>
      </c>
      <c r="AP1782">
        <v>9</v>
      </c>
      <c r="AQ1782">
        <v>0</v>
      </c>
      <c r="AR1782" t="s">
        <v>5999</v>
      </c>
      <c r="AS1782" t="s">
        <v>6000</v>
      </c>
      <c r="AT1782">
        <v>0.76</v>
      </c>
      <c r="AU1782" t="s">
        <v>74</v>
      </c>
      <c r="AV1782" t="s">
        <v>2955</v>
      </c>
      <c r="AW1782" t="s">
        <v>75</v>
      </c>
      <c r="AX1782" t="s">
        <v>6001</v>
      </c>
      <c r="AY1782" t="s">
        <v>6002</v>
      </c>
      <c r="AZ1782">
        <v>1226.000000004424</v>
      </c>
      <c r="BA1782">
        <v>1</v>
      </c>
      <c r="BB1782">
        <v>0</v>
      </c>
      <c r="BC1782">
        <v>1</v>
      </c>
      <c r="BD1782">
        <v>0</v>
      </c>
      <c r="BE1782">
        <f t="shared" si="279"/>
        <v>1</v>
      </c>
    </row>
    <row r="1783" spans="1:57" x14ac:dyDescent="0.25">
      <c r="A1783" t="s">
        <v>39</v>
      </c>
      <c r="B1783" t="s">
        <v>6003</v>
      </c>
      <c r="C1783">
        <v>84.2</v>
      </c>
      <c r="D1783">
        <v>73.400000000000006</v>
      </c>
      <c r="G1783">
        <f t="shared" si="270"/>
        <v>1</v>
      </c>
      <c r="H1783">
        <f t="shared" si="271"/>
        <v>1</v>
      </c>
      <c r="I1783">
        <f t="shared" si="272"/>
        <v>0</v>
      </c>
      <c r="J1783">
        <v>79.2</v>
      </c>
      <c r="K1783">
        <v>89.6</v>
      </c>
      <c r="L1783">
        <v>73.400000000000006</v>
      </c>
      <c r="M1783">
        <v>80.8</v>
      </c>
      <c r="N1783">
        <v>70.400000000000006</v>
      </c>
      <c r="O1783">
        <v>74.900000000000006</v>
      </c>
      <c r="S1783">
        <f t="shared" si="273"/>
        <v>1</v>
      </c>
      <c r="T1783">
        <f t="shared" si="274"/>
        <v>1</v>
      </c>
      <c r="U1783">
        <f t="shared" si="275"/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20.6</v>
      </c>
      <c r="AC1783">
        <v>10.3</v>
      </c>
      <c r="AG1783">
        <f t="shared" si="276"/>
        <v>1</v>
      </c>
      <c r="AH1783">
        <f t="shared" si="277"/>
        <v>0</v>
      </c>
      <c r="AI1783">
        <f t="shared" si="278"/>
        <v>1</v>
      </c>
      <c r="AJ1783">
        <v>328.9</v>
      </c>
      <c r="AK1783">
        <v>1012.9</v>
      </c>
      <c r="AL1783">
        <v>26.8</v>
      </c>
      <c r="AM1783">
        <v>6.2</v>
      </c>
      <c r="AN1783">
        <v>255</v>
      </c>
      <c r="AO1783">
        <v>21.9</v>
      </c>
      <c r="AP1783">
        <v>8</v>
      </c>
      <c r="AQ1783">
        <v>0</v>
      </c>
      <c r="AR1783" t="s">
        <v>6004</v>
      </c>
      <c r="AS1783" t="s">
        <v>6005</v>
      </c>
      <c r="AT1783">
        <v>0.87</v>
      </c>
      <c r="AU1783" t="s">
        <v>43</v>
      </c>
      <c r="AV1783" t="s">
        <v>44</v>
      </c>
      <c r="AW1783" t="s">
        <v>45</v>
      </c>
      <c r="AX1783" t="s">
        <v>6006</v>
      </c>
      <c r="AY1783" t="s">
        <v>6007</v>
      </c>
      <c r="AZ1783">
        <v>2141.0000000009309</v>
      </c>
      <c r="BA1783">
        <v>1</v>
      </c>
      <c r="BB1783">
        <v>0</v>
      </c>
      <c r="BC1783">
        <v>110</v>
      </c>
      <c r="BD1783">
        <v>0</v>
      </c>
      <c r="BE1783">
        <f t="shared" si="279"/>
        <v>1</v>
      </c>
    </row>
    <row r="1784" spans="1:57" x14ac:dyDescent="0.25">
      <c r="A1784" t="s">
        <v>39</v>
      </c>
      <c r="B1784" t="s">
        <v>6008</v>
      </c>
      <c r="C1784">
        <v>75.2</v>
      </c>
      <c r="D1784">
        <v>68</v>
      </c>
      <c r="G1784">
        <f t="shared" si="270"/>
        <v>0</v>
      </c>
      <c r="H1784">
        <f t="shared" si="271"/>
        <v>0</v>
      </c>
      <c r="I1784">
        <f t="shared" si="272"/>
        <v>0</v>
      </c>
      <c r="J1784">
        <v>71.7</v>
      </c>
      <c r="K1784">
        <v>75.2</v>
      </c>
      <c r="L1784">
        <v>68</v>
      </c>
      <c r="M1784">
        <v>71.7</v>
      </c>
      <c r="N1784">
        <v>60.5</v>
      </c>
      <c r="O1784">
        <v>68</v>
      </c>
      <c r="S1784">
        <f t="shared" si="273"/>
        <v>0</v>
      </c>
      <c r="T1784">
        <f t="shared" si="274"/>
        <v>0</v>
      </c>
      <c r="U1784">
        <f t="shared" si="275"/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18.3</v>
      </c>
      <c r="AC1784">
        <v>12.7</v>
      </c>
      <c r="AG1784">
        <f t="shared" si="276"/>
        <v>1</v>
      </c>
      <c r="AH1784">
        <f t="shared" si="277"/>
        <v>0</v>
      </c>
      <c r="AI1784">
        <f t="shared" si="278"/>
        <v>1</v>
      </c>
      <c r="AJ1784">
        <v>324.89999999999998</v>
      </c>
      <c r="AK1784">
        <v>1022.6</v>
      </c>
      <c r="AL1784">
        <v>64.599999999999994</v>
      </c>
      <c r="AM1784">
        <v>6.2</v>
      </c>
      <c r="AN1784">
        <v>158.19999999999999</v>
      </c>
      <c r="AO1784">
        <v>13.6</v>
      </c>
      <c r="AP1784">
        <v>6</v>
      </c>
      <c r="AQ1784">
        <v>0</v>
      </c>
      <c r="AR1784" t="s">
        <v>6009</v>
      </c>
      <c r="AS1784" t="s">
        <v>6010</v>
      </c>
      <c r="AT1784">
        <v>0.68</v>
      </c>
      <c r="AU1784" t="s">
        <v>43</v>
      </c>
      <c r="AV1784" t="s">
        <v>44</v>
      </c>
      <c r="AW1784" t="s">
        <v>45</v>
      </c>
      <c r="AX1784" t="s">
        <v>5719</v>
      </c>
      <c r="AY1784" t="s">
        <v>6011</v>
      </c>
      <c r="AZ1784">
        <v>223.00000000395809</v>
      </c>
      <c r="BA1784">
        <v>0</v>
      </c>
      <c r="BB1784">
        <v>0</v>
      </c>
      <c r="BC1784">
        <v>8</v>
      </c>
      <c r="BD1784">
        <v>0</v>
      </c>
      <c r="BE1784">
        <f t="shared" si="279"/>
        <v>0</v>
      </c>
    </row>
    <row r="1785" spans="1:57" x14ac:dyDescent="0.25">
      <c r="A1785" t="s">
        <v>39</v>
      </c>
      <c r="B1785" t="s">
        <v>6012</v>
      </c>
      <c r="C1785">
        <v>78.8</v>
      </c>
      <c r="D1785">
        <v>64.400000000000006</v>
      </c>
      <c r="G1785">
        <f t="shared" si="270"/>
        <v>1</v>
      </c>
      <c r="H1785">
        <f t="shared" si="271"/>
        <v>1</v>
      </c>
      <c r="I1785">
        <f t="shared" si="272"/>
        <v>0</v>
      </c>
      <c r="J1785">
        <v>71.8</v>
      </c>
      <c r="K1785">
        <v>78.8</v>
      </c>
      <c r="L1785">
        <v>64.400000000000006</v>
      </c>
      <c r="M1785">
        <v>71.8</v>
      </c>
      <c r="N1785">
        <v>64.7</v>
      </c>
      <c r="O1785">
        <v>78.7</v>
      </c>
      <c r="S1785">
        <f t="shared" si="273"/>
        <v>1</v>
      </c>
      <c r="T1785">
        <f t="shared" si="274"/>
        <v>1</v>
      </c>
      <c r="U1785">
        <f t="shared" si="275"/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21.7</v>
      </c>
      <c r="AC1785">
        <v>19.7</v>
      </c>
      <c r="AG1785">
        <f t="shared" si="276"/>
        <v>1</v>
      </c>
      <c r="AH1785">
        <f t="shared" si="277"/>
        <v>1</v>
      </c>
      <c r="AI1785">
        <f t="shared" si="278"/>
        <v>0</v>
      </c>
      <c r="AJ1785">
        <v>296.5</v>
      </c>
      <c r="AK1785">
        <v>1010.5</v>
      </c>
      <c r="AL1785">
        <v>34.9</v>
      </c>
      <c r="AM1785">
        <v>6.2</v>
      </c>
      <c r="AN1785">
        <v>196.1</v>
      </c>
      <c r="AO1785">
        <v>17</v>
      </c>
      <c r="AP1785">
        <v>7</v>
      </c>
      <c r="AQ1785">
        <v>0</v>
      </c>
      <c r="AR1785" t="s">
        <v>6013</v>
      </c>
      <c r="AS1785" t="s">
        <v>6014</v>
      </c>
      <c r="AT1785">
        <v>0.78</v>
      </c>
      <c r="AU1785" t="s">
        <v>43</v>
      </c>
      <c r="AV1785" t="s">
        <v>44</v>
      </c>
      <c r="AW1785" t="s">
        <v>45</v>
      </c>
      <c r="AX1785" t="s">
        <v>6015</v>
      </c>
      <c r="AY1785" t="s">
        <v>6016</v>
      </c>
      <c r="AZ1785">
        <v>672.99999999348074</v>
      </c>
      <c r="BA1785">
        <v>1</v>
      </c>
      <c r="BB1785">
        <v>0</v>
      </c>
      <c r="BC1785">
        <v>5</v>
      </c>
      <c r="BD1785">
        <v>0</v>
      </c>
      <c r="BE1785">
        <f t="shared" si="279"/>
        <v>1</v>
      </c>
    </row>
    <row r="1786" spans="1:57" x14ac:dyDescent="0.25">
      <c r="A1786" t="s">
        <v>39</v>
      </c>
      <c r="B1786" t="s">
        <v>6017</v>
      </c>
      <c r="C1786">
        <v>66.2</v>
      </c>
      <c r="D1786">
        <v>64.400000000000006</v>
      </c>
      <c r="G1786">
        <f t="shared" si="270"/>
        <v>1</v>
      </c>
      <c r="H1786">
        <f t="shared" si="271"/>
        <v>0</v>
      </c>
      <c r="I1786">
        <f t="shared" si="272"/>
        <v>1</v>
      </c>
      <c r="J1786">
        <v>65.599999999999994</v>
      </c>
      <c r="K1786">
        <v>66.2</v>
      </c>
      <c r="L1786">
        <v>64.400000000000006</v>
      </c>
      <c r="M1786">
        <v>65.599999999999994</v>
      </c>
      <c r="N1786">
        <v>58.6</v>
      </c>
      <c r="O1786">
        <v>78.099999999999994</v>
      </c>
      <c r="S1786">
        <f t="shared" si="273"/>
        <v>1</v>
      </c>
      <c r="T1786">
        <f t="shared" si="274"/>
        <v>1</v>
      </c>
      <c r="U1786">
        <f t="shared" si="275"/>
        <v>0</v>
      </c>
      <c r="V1786">
        <v>4.4999999999999998E-2</v>
      </c>
      <c r="W1786">
        <v>100</v>
      </c>
      <c r="X1786">
        <v>12.5</v>
      </c>
      <c r="Y1786" t="s">
        <v>103</v>
      </c>
      <c r="Z1786">
        <v>0</v>
      </c>
      <c r="AA1786">
        <v>0</v>
      </c>
      <c r="AB1786">
        <v>29.1</v>
      </c>
      <c r="AC1786">
        <v>25.3</v>
      </c>
      <c r="AG1786">
        <f t="shared" si="276"/>
        <v>1</v>
      </c>
      <c r="AH1786">
        <f t="shared" si="277"/>
        <v>1</v>
      </c>
      <c r="AI1786">
        <f t="shared" si="278"/>
        <v>0</v>
      </c>
      <c r="AJ1786">
        <v>343.9</v>
      </c>
      <c r="AK1786">
        <v>1015.4</v>
      </c>
      <c r="AL1786">
        <v>89.1</v>
      </c>
      <c r="AM1786">
        <v>6</v>
      </c>
      <c r="AN1786">
        <v>116.9</v>
      </c>
      <c r="AO1786">
        <v>10.4</v>
      </c>
      <c r="AP1786">
        <v>5</v>
      </c>
      <c r="AQ1786">
        <v>0</v>
      </c>
      <c r="AR1786" t="s">
        <v>6018</v>
      </c>
      <c r="AS1786" t="s">
        <v>6019</v>
      </c>
      <c r="AT1786">
        <v>0.43</v>
      </c>
      <c r="AU1786" t="s">
        <v>106</v>
      </c>
      <c r="AV1786" t="s">
        <v>257</v>
      </c>
      <c r="AW1786" t="s">
        <v>103</v>
      </c>
      <c r="AX1786" t="s">
        <v>6020</v>
      </c>
      <c r="AY1786" t="s">
        <v>6021</v>
      </c>
      <c r="AZ1786">
        <v>20.99999999511056</v>
      </c>
      <c r="BA1786">
        <v>0</v>
      </c>
      <c r="BB1786">
        <v>0</v>
      </c>
      <c r="BC1786">
        <v>0.2</v>
      </c>
      <c r="BD1786">
        <v>0</v>
      </c>
      <c r="BE1786">
        <f t="shared" si="279"/>
        <v>1</v>
      </c>
    </row>
    <row r="1787" spans="1:57" x14ac:dyDescent="0.25">
      <c r="A1787" t="s">
        <v>39</v>
      </c>
      <c r="B1787" t="s">
        <v>6022</v>
      </c>
      <c r="C1787">
        <v>68</v>
      </c>
      <c r="D1787">
        <v>60.5</v>
      </c>
      <c r="G1787">
        <f t="shared" si="270"/>
        <v>1</v>
      </c>
      <c r="H1787">
        <f t="shared" si="271"/>
        <v>0</v>
      </c>
      <c r="I1787">
        <f t="shared" si="272"/>
        <v>1</v>
      </c>
      <c r="J1787">
        <v>65.8</v>
      </c>
      <c r="K1787">
        <v>68</v>
      </c>
      <c r="L1787">
        <v>60.5</v>
      </c>
      <c r="M1787">
        <v>65.8</v>
      </c>
      <c r="N1787">
        <v>53.7</v>
      </c>
      <c r="O1787">
        <v>65.3</v>
      </c>
      <c r="S1787">
        <f t="shared" si="273"/>
        <v>0</v>
      </c>
      <c r="T1787">
        <f t="shared" si="274"/>
        <v>0</v>
      </c>
      <c r="U1787">
        <f t="shared" si="275"/>
        <v>0</v>
      </c>
      <c r="V1787">
        <v>1E-3</v>
      </c>
      <c r="W1787">
        <v>100</v>
      </c>
      <c r="X1787">
        <v>4.17</v>
      </c>
      <c r="Y1787" t="s">
        <v>103</v>
      </c>
      <c r="Z1787">
        <v>0</v>
      </c>
      <c r="AA1787">
        <v>0</v>
      </c>
      <c r="AB1787">
        <v>30.9</v>
      </c>
      <c r="AC1787">
        <v>19.7</v>
      </c>
      <c r="AG1787">
        <f t="shared" si="276"/>
        <v>1</v>
      </c>
      <c r="AH1787">
        <f t="shared" si="277"/>
        <v>1</v>
      </c>
      <c r="AI1787">
        <f t="shared" si="278"/>
        <v>0</v>
      </c>
      <c r="AJ1787">
        <v>337.6</v>
      </c>
      <c r="AK1787">
        <v>1017.2</v>
      </c>
      <c r="AL1787">
        <v>65.7</v>
      </c>
      <c r="AM1787">
        <v>6.2</v>
      </c>
      <c r="AN1787">
        <v>143.6</v>
      </c>
      <c r="AO1787">
        <v>12.2</v>
      </c>
      <c r="AP1787">
        <v>5</v>
      </c>
      <c r="AQ1787">
        <v>0</v>
      </c>
      <c r="AR1787" t="s">
        <v>6023</v>
      </c>
      <c r="AS1787" t="s">
        <v>6024</v>
      </c>
      <c r="AT1787">
        <v>0.46</v>
      </c>
      <c r="AU1787" t="s">
        <v>106</v>
      </c>
      <c r="AV1787" t="s">
        <v>433</v>
      </c>
      <c r="AW1787" t="s">
        <v>103</v>
      </c>
      <c r="AX1787" t="s">
        <v>6025</v>
      </c>
      <c r="AY1787" t="s">
        <v>6026</v>
      </c>
      <c r="AZ1787">
        <v>63.000000006286427</v>
      </c>
      <c r="BA1787">
        <v>0</v>
      </c>
      <c r="BB1787">
        <v>0</v>
      </c>
      <c r="BC1787">
        <v>0.2</v>
      </c>
      <c r="BD1787">
        <v>0</v>
      </c>
      <c r="BE1787">
        <f t="shared" si="279"/>
        <v>0</v>
      </c>
    </row>
    <row r="1788" spans="1:57" x14ac:dyDescent="0.25">
      <c r="A1788" t="s">
        <v>39</v>
      </c>
      <c r="B1788" t="s">
        <v>5905</v>
      </c>
      <c r="C1788">
        <v>66.2</v>
      </c>
      <c r="D1788">
        <v>62.6</v>
      </c>
      <c r="G1788">
        <f t="shared" si="270"/>
        <v>0</v>
      </c>
      <c r="H1788">
        <f t="shared" si="271"/>
        <v>0</v>
      </c>
      <c r="I1788">
        <f t="shared" si="272"/>
        <v>0</v>
      </c>
      <c r="J1788">
        <v>64.400000000000006</v>
      </c>
      <c r="K1788">
        <v>66.2</v>
      </c>
      <c r="L1788">
        <v>62.6</v>
      </c>
      <c r="M1788">
        <v>64.400000000000006</v>
      </c>
      <c r="N1788">
        <v>53.2</v>
      </c>
      <c r="O1788">
        <v>67.099999999999994</v>
      </c>
      <c r="S1788">
        <f t="shared" si="273"/>
        <v>0</v>
      </c>
      <c r="T1788">
        <f t="shared" si="274"/>
        <v>0</v>
      </c>
      <c r="U1788">
        <f t="shared" si="275"/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28.2</v>
      </c>
      <c r="AC1788">
        <v>17.2</v>
      </c>
      <c r="AG1788">
        <f t="shared" si="276"/>
        <v>0</v>
      </c>
      <c r="AH1788">
        <f t="shared" si="277"/>
        <v>0</v>
      </c>
      <c r="AI1788">
        <f t="shared" si="278"/>
        <v>0</v>
      </c>
      <c r="AJ1788">
        <v>327</v>
      </c>
      <c r="AK1788">
        <v>1024.3</v>
      </c>
      <c r="AL1788">
        <v>93.6</v>
      </c>
      <c r="AM1788">
        <v>6.2</v>
      </c>
      <c r="AN1788">
        <v>141</v>
      </c>
      <c r="AO1788">
        <v>12.2</v>
      </c>
      <c r="AP1788">
        <v>6</v>
      </c>
      <c r="AQ1788">
        <v>0</v>
      </c>
      <c r="AR1788" t="s">
        <v>5906</v>
      </c>
      <c r="AS1788" t="s">
        <v>5907</v>
      </c>
      <c r="AT1788">
        <v>0.69</v>
      </c>
      <c r="AU1788" t="s">
        <v>275</v>
      </c>
      <c r="AV1788" t="s">
        <v>276</v>
      </c>
      <c r="AW1788" t="s">
        <v>277</v>
      </c>
      <c r="AX1788" t="s">
        <v>6027</v>
      </c>
      <c r="AY1788" t="s">
        <v>6028</v>
      </c>
      <c r="AZ1788">
        <v>551.00000000442378</v>
      </c>
      <c r="BA1788">
        <v>1</v>
      </c>
      <c r="BB1788">
        <v>0</v>
      </c>
      <c r="BC1788">
        <v>10</v>
      </c>
      <c r="BD1788">
        <v>0</v>
      </c>
      <c r="BE1788">
        <f t="shared" si="279"/>
        <v>0</v>
      </c>
    </row>
    <row r="1789" spans="1:57" x14ac:dyDescent="0.25">
      <c r="A1789" t="s">
        <v>39</v>
      </c>
      <c r="B1789" t="s">
        <v>6029</v>
      </c>
      <c r="C1789">
        <v>68</v>
      </c>
      <c r="D1789">
        <v>57.1</v>
      </c>
      <c r="G1789">
        <f t="shared" si="270"/>
        <v>0</v>
      </c>
      <c r="H1789">
        <f t="shared" si="271"/>
        <v>0</v>
      </c>
      <c r="I1789">
        <f t="shared" si="272"/>
        <v>0</v>
      </c>
      <c r="J1789">
        <v>63.2</v>
      </c>
      <c r="K1789">
        <v>68</v>
      </c>
      <c r="L1789">
        <v>57.1</v>
      </c>
      <c r="M1789">
        <v>63.2</v>
      </c>
      <c r="N1789">
        <v>52.8</v>
      </c>
      <c r="O1789">
        <v>69.2</v>
      </c>
      <c r="S1789">
        <f t="shared" si="273"/>
        <v>1</v>
      </c>
      <c r="T1789">
        <f t="shared" si="274"/>
        <v>1</v>
      </c>
      <c r="U1789">
        <f t="shared" si="275"/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19.5</v>
      </c>
      <c r="AC1789">
        <v>11.4</v>
      </c>
      <c r="AG1789">
        <f t="shared" si="276"/>
        <v>1</v>
      </c>
      <c r="AH1789">
        <f t="shared" si="277"/>
        <v>0</v>
      </c>
      <c r="AI1789">
        <f t="shared" si="278"/>
        <v>1</v>
      </c>
      <c r="AJ1789">
        <v>315.2</v>
      </c>
      <c r="AK1789">
        <v>1018.7</v>
      </c>
      <c r="AL1789">
        <v>44.5</v>
      </c>
      <c r="AM1789">
        <v>6.2</v>
      </c>
      <c r="AN1789">
        <v>159.9</v>
      </c>
      <c r="AO1789">
        <v>13.8</v>
      </c>
      <c r="AP1789">
        <v>6</v>
      </c>
      <c r="AQ1789">
        <v>0</v>
      </c>
      <c r="AR1789" t="s">
        <v>6030</v>
      </c>
      <c r="AS1789" t="s">
        <v>6031</v>
      </c>
      <c r="AT1789">
        <v>0.76</v>
      </c>
      <c r="AU1789" t="s">
        <v>43</v>
      </c>
      <c r="AV1789" t="s">
        <v>44</v>
      </c>
      <c r="AW1789" t="s">
        <v>45</v>
      </c>
      <c r="AX1789" t="s">
        <v>6032</v>
      </c>
      <c r="AY1789" t="s">
        <v>6033</v>
      </c>
      <c r="AZ1789">
        <v>2462.999999992317</v>
      </c>
      <c r="BA1789">
        <v>1</v>
      </c>
      <c r="BB1789">
        <v>0</v>
      </c>
      <c r="BC1789">
        <v>30</v>
      </c>
      <c r="BD1789">
        <v>0</v>
      </c>
      <c r="BE1789">
        <f t="shared" si="279"/>
        <v>0</v>
      </c>
    </row>
    <row r="1790" spans="1:57" x14ac:dyDescent="0.25">
      <c r="A1790" t="s">
        <v>39</v>
      </c>
      <c r="B1790" t="s">
        <v>6034</v>
      </c>
      <c r="C1790">
        <v>66.2</v>
      </c>
      <c r="D1790">
        <v>57.2</v>
      </c>
      <c r="G1790">
        <f t="shared" si="270"/>
        <v>0</v>
      </c>
      <c r="H1790">
        <f t="shared" si="271"/>
        <v>0</v>
      </c>
      <c r="I1790">
        <f t="shared" si="272"/>
        <v>0</v>
      </c>
      <c r="J1790">
        <v>62</v>
      </c>
      <c r="K1790">
        <v>66.2</v>
      </c>
      <c r="L1790">
        <v>57.2</v>
      </c>
      <c r="M1790">
        <v>62</v>
      </c>
      <c r="N1790">
        <v>53.8</v>
      </c>
      <c r="O1790">
        <v>74.900000000000006</v>
      </c>
      <c r="S1790">
        <f t="shared" si="273"/>
        <v>1</v>
      </c>
      <c r="T1790">
        <f t="shared" si="274"/>
        <v>1</v>
      </c>
      <c r="U1790">
        <f t="shared" si="275"/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20.8</v>
      </c>
      <c r="AC1790">
        <v>15</v>
      </c>
      <c r="AG1790">
        <f t="shared" si="276"/>
        <v>1</v>
      </c>
      <c r="AH1790">
        <f t="shared" si="277"/>
        <v>0</v>
      </c>
      <c r="AI1790">
        <f t="shared" si="278"/>
        <v>1</v>
      </c>
      <c r="AJ1790">
        <v>330</v>
      </c>
      <c r="AK1790">
        <v>1020.7</v>
      </c>
      <c r="AL1790">
        <v>63</v>
      </c>
      <c r="AM1790">
        <v>6.2</v>
      </c>
      <c r="AN1790">
        <v>133.1</v>
      </c>
      <c r="AO1790">
        <v>11.6</v>
      </c>
      <c r="AP1790">
        <v>5</v>
      </c>
      <c r="AQ1790">
        <v>0</v>
      </c>
      <c r="AR1790" t="s">
        <v>6035</v>
      </c>
      <c r="AS1790" t="s">
        <v>6036</v>
      </c>
      <c r="AT1790">
        <v>0.86</v>
      </c>
      <c r="AU1790" t="s">
        <v>43</v>
      </c>
      <c r="AV1790" t="s">
        <v>44</v>
      </c>
      <c r="AW1790" t="s">
        <v>45</v>
      </c>
      <c r="AX1790" t="s">
        <v>6037</v>
      </c>
      <c r="AY1790" t="s">
        <v>6038</v>
      </c>
      <c r="AZ1790">
        <v>483.00000000279402</v>
      </c>
      <c r="BA1790">
        <v>1</v>
      </c>
      <c r="BB1790">
        <v>0</v>
      </c>
      <c r="BC1790">
        <v>1</v>
      </c>
      <c r="BD1790">
        <v>0</v>
      </c>
      <c r="BE1790">
        <f t="shared" si="279"/>
        <v>0</v>
      </c>
    </row>
    <row r="1791" spans="1:57" x14ac:dyDescent="0.25">
      <c r="A1791" t="s">
        <v>39</v>
      </c>
      <c r="B1791" t="s">
        <v>6039</v>
      </c>
      <c r="C1791">
        <v>66.2</v>
      </c>
      <c r="D1791">
        <v>60.8</v>
      </c>
      <c r="G1791">
        <f t="shared" si="270"/>
        <v>0</v>
      </c>
      <c r="H1791">
        <f t="shared" si="271"/>
        <v>0</v>
      </c>
      <c r="I1791">
        <f t="shared" si="272"/>
        <v>0</v>
      </c>
      <c r="J1791">
        <v>63.4</v>
      </c>
      <c r="K1791">
        <v>66.2</v>
      </c>
      <c r="L1791">
        <v>60.8</v>
      </c>
      <c r="M1791">
        <v>63.4</v>
      </c>
      <c r="N1791">
        <v>52.6</v>
      </c>
      <c r="O1791">
        <v>67.900000000000006</v>
      </c>
      <c r="S1791">
        <f t="shared" si="273"/>
        <v>0</v>
      </c>
      <c r="T1791">
        <f t="shared" si="274"/>
        <v>0</v>
      </c>
      <c r="U1791">
        <f t="shared" si="275"/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30.9</v>
      </c>
      <c r="AC1791">
        <v>18.3</v>
      </c>
      <c r="AG1791">
        <f t="shared" si="276"/>
        <v>1</v>
      </c>
      <c r="AH1791">
        <f t="shared" si="277"/>
        <v>1</v>
      </c>
      <c r="AI1791">
        <f t="shared" si="278"/>
        <v>0</v>
      </c>
      <c r="AJ1791">
        <v>321.89999999999998</v>
      </c>
      <c r="AK1791">
        <v>1023.1</v>
      </c>
      <c r="AL1791">
        <v>59.8</v>
      </c>
      <c r="AM1791">
        <v>6.2</v>
      </c>
      <c r="AN1791">
        <v>126.3</v>
      </c>
      <c r="AO1791">
        <v>11</v>
      </c>
      <c r="AP1791">
        <v>5</v>
      </c>
      <c r="AQ1791">
        <v>0</v>
      </c>
      <c r="AR1791" t="s">
        <v>6040</v>
      </c>
      <c r="AS1791" t="s">
        <v>6041</v>
      </c>
      <c r="AT1791">
        <v>0.89</v>
      </c>
      <c r="AU1791" t="s">
        <v>43</v>
      </c>
      <c r="AV1791" t="s">
        <v>44</v>
      </c>
      <c r="AW1791" t="s">
        <v>45</v>
      </c>
      <c r="AX1791" t="s">
        <v>5209</v>
      </c>
      <c r="AY1791" t="s">
        <v>6042</v>
      </c>
      <c r="AZ1791">
        <v>1311.0000000090799</v>
      </c>
      <c r="BA1791">
        <v>1</v>
      </c>
      <c r="BB1791">
        <v>0</v>
      </c>
      <c r="BC1791">
        <v>10</v>
      </c>
      <c r="BD1791">
        <v>0</v>
      </c>
      <c r="BE1791">
        <f t="shared" si="279"/>
        <v>0</v>
      </c>
    </row>
    <row r="1792" spans="1:57" x14ac:dyDescent="0.25">
      <c r="A1792" t="s">
        <v>39</v>
      </c>
      <c r="B1792" t="s">
        <v>6043</v>
      </c>
      <c r="C1792">
        <v>69.8</v>
      </c>
      <c r="D1792">
        <v>57.2</v>
      </c>
      <c r="G1792">
        <f t="shared" si="270"/>
        <v>1</v>
      </c>
      <c r="H1792">
        <f t="shared" si="271"/>
        <v>1</v>
      </c>
      <c r="I1792">
        <f t="shared" si="272"/>
        <v>0</v>
      </c>
      <c r="J1792">
        <v>62.7</v>
      </c>
      <c r="K1792">
        <v>69.8</v>
      </c>
      <c r="L1792">
        <v>57.2</v>
      </c>
      <c r="M1792">
        <v>62.7</v>
      </c>
      <c r="N1792">
        <v>59.2</v>
      </c>
      <c r="O1792">
        <v>88.5</v>
      </c>
      <c r="S1792">
        <f t="shared" si="273"/>
        <v>1</v>
      </c>
      <c r="T1792">
        <f t="shared" si="274"/>
        <v>1</v>
      </c>
      <c r="U1792">
        <f t="shared" si="275"/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13.9</v>
      </c>
      <c r="AC1792">
        <v>6.9</v>
      </c>
      <c r="AG1792">
        <f t="shared" si="276"/>
        <v>1</v>
      </c>
      <c r="AH1792">
        <f t="shared" si="277"/>
        <v>0</v>
      </c>
      <c r="AI1792">
        <f t="shared" si="278"/>
        <v>1</v>
      </c>
      <c r="AJ1792">
        <v>239.7</v>
      </c>
      <c r="AK1792">
        <v>1021.9</v>
      </c>
      <c r="AL1792">
        <v>36.799999999999997</v>
      </c>
      <c r="AM1792">
        <v>6.2</v>
      </c>
      <c r="AN1792">
        <v>143.80000000000001</v>
      </c>
      <c r="AO1792">
        <v>12.5</v>
      </c>
      <c r="AP1792">
        <v>6</v>
      </c>
      <c r="AQ1792">
        <v>0</v>
      </c>
      <c r="AR1792" t="s">
        <v>6044</v>
      </c>
      <c r="AS1792" t="s">
        <v>6045</v>
      </c>
      <c r="AT1792">
        <v>0.09</v>
      </c>
      <c r="AU1792" t="s">
        <v>43</v>
      </c>
      <c r="AV1792" t="s">
        <v>44</v>
      </c>
      <c r="AW1792" t="s">
        <v>45</v>
      </c>
      <c r="AX1792" t="s">
        <v>5570</v>
      </c>
      <c r="AY1792" t="s">
        <v>6046</v>
      </c>
      <c r="AZ1792">
        <v>91.000000003259629</v>
      </c>
      <c r="BA1792">
        <v>0</v>
      </c>
      <c r="BB1792">
        <v>0</v>
      </c>
      <c r="BC1792">
        <v>0.1</v>
      </c>
      <c r="BD1792">
        <v>0</v>
      </c>
      <c r="BE1792">
        <f t="shared" si="279"/>
        <v>1</v>
      </c>
    </row>
    <row r="1793" spans="1:57" x14ac:dyDescent="0.25">
      <c r="A1793" t="s">
        <v>39</v>
      </c>
      <c r="B1793" t="s">
        <v>6047</v>
      </c>
      <c r="C1793">
        <v>68</v>
      </c>
      <c r="D1793">
        <v>58.2</v>
      </c>
      <c r="G1793">
        <f t="shared" si="270"/>
        <v>0</v>
      </c>
      <c r="H1793">
        <f t="shared" si="271"/>
        <v>0</v>
      </c>
      <c r="I1793">
        <f t="shared" si="272"/>
        <v>0</v>
      </c>
      <c r="J1793">
        <v>64.599999999999994</v>
      </c>
      <c r="K1793">
        <v>68</v>
      </c>
      <c r="L1793">
        <v>58.2</v>
      </c>
      <c r="M1793">
        <v>64.599999999999994</v>
      </c>
      <c r="N1793">
        <v>55</v>
      </c>
      <c r="O1793">
        <v>71.400000000000006</v>
      </c>
      <c r="S1793">
        <f t="shared" si="273"/>
        <v>1</v>
      </c>
      <c r="T1793">
        <f t="shared" si="274"/>
        <v>1</v>
      </c>
      <c r="U1793">
        <f t="shared" si="275"/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25.7</v>
      </c>
      <c r="AC1793">
        <v>15</v>
      </c>
      <c r="AG1793">
        <f t="shared" si="276"/>
        <v>1</v>
      </c>
      <c r="AH1793">
        <f t="shared" si="277"/>
        <v>0</v>
      </c>
      <c r="AI1793">
        <f t="shared" si="278"/>
        <v>1</v>
      </c>
      <c r="AJ1793">
        <v>314.2</v>
      </c>
      <c r="AK1793">
        <v>1013.6</v>
      </c>
      <c r="AL1793">
        <v>42.5</v>
      </c>
      <c r="AM1793">
        <v>6.2</v>
      </c>
      <c r="AN1793">
        <v>134.5</v>
      </c>
      <c r="AO1793">
        <v>11.7</v>
      </c>
      <c r="AP1793">
        <v>5</v>
      </c>
      <c r="AQ1793">
        <v>0</v>
      </c>
      <c r="AR1793" t="s">
        <v>6048</v>
      </c>
      <c r="AS1793" t="s">
        <v>6049</v>
      </c>
      <c r="AT1793">
        <v>0.16</v>
      </c>
      <c r="AU1793" t="s">
        <v>43</v>
      </c>
      <c r="AV1793" t="s">
        <v>80</v>
      </c>
      <c r="AW1793" t="s">
        <v>45</v>
      </c>
      <c r="AX1793" t="s">
        <v>6050</v>
      </c>
      <c r="AY1793" t="s">
        <v>6051</v>
      </c>
      <c r="AZ1793">
        <v>57.000000007683411</v>
      </c>
      <c r="BA1793">
        <v>0</v>
      </c>
      <c r="BB1793">
        <v>0</v>
      </c>
      <c r="BC1793">
        <v>0.1</v>
      </c>
      <c r="BD1793">
        <v>0</v>
      </c>
      <c r="BE1793">
        <f t="shared" si="279"/>
        <v>0</v>
      </c>
    </row>
    <row r="1794" spans="1:57" x14ac:dyDescent="0.25">
      <c r="A1794" t="s">
        <v>39</v>
      </c>
      <c r="B1794" t="s">
        <v>6052</v>
      </c>
      <c r="C1794">
        <v>68</v>
      </c>
      <c r="D1794">
        <v>53.6</v>
      </c>
      <c r="G1794">
        <f t="shared" si="270"/>
        <v>0</v>
      </c>
      <c r="H1794">
        <f t="shared" si="271"/>
        <v>0</v>
      </c>
      <c r="I1794">
        <f t="shared" si="272"/>
        <v>0</v>
      </c>
      <c r="J1794">
        <v>59.7</v>
      </c>
      <c r="K1794">
        <v>68</v>
      </c>
      <c r="L1794">
        <v>53.6</v>
      </c>
      <c r="M1794">
        <v>59.7</v>
      </c>
      <c r="N1794">
        <v>55</v>
      </c>
      <c r="O1794">
        <v>84.9</v>
      </c>
      <c r="S1794">
        <f t="shared" si="273"/>
        <v>1</v>
      </c>
      <c r="T1794">
        <f t="shared" si="274"/>
        <v>1</v>
      </c>
      <c r="U1794">
        <f t="shared" si="275"/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17.899999999999999</v>
      </c>
      <c r="AC1794">
        <v>9.1999999999999993</v>
      </c>
      <c r="AG1794">
        <f t="shared" si="276"/>
        <v>1</v>
      </c>
      <c r="AH1794">
        <f t="shared" si="277"/>
        <v>0</v>
      </c>
      <c r="AI1794">
        <f t="shared" si="278"/>
        <v>1</v>
      </c>
      <c r="AJ1794">
        <v>164.7</v>
      </c>
      <c r="AK1794">
        <v>1019.3</v>
      </c>
      <c r="AL1794">
        <v>29.9</v>
      </c>
      <c r="AM1794">
        <v>6.2</v>
      </c>
      <c r="AN1794">
        <v>129.69999999999999</v>
      </c>
      <c r="AO1794">
        <v>11.2</v>
      </c>
      <c r="AP1794">
        <v>5</v>
      </c>
      <c r="AQ1794">
        <v>0</v>
      </c>
      <c r="AR1794" t="s">
        <v>6053</v>
      </c>
      <c r="AS1794" t="s">
        <v>6054</v>
      </c>
      <c r="AT1794">
        <v>0.31</v>
      </c>
      <c r="AU1794" t="s">
        <v>43</v>
      </c>
      <c r="AV1794" t="s">
        <v>44</v>
      </c>
      <c r="AW1794" t="s">
        <v>45</v>
      </c>
      <c r="AX1794" t="s">
        <v>6055</v>
      </c>
      <c r="AY1794" t="s">
        <v>6056</v>
      </c>
      <c r="AZ1794">
        <v>226.0000000032596</v>
      </c>
      <c r="BA1794">
        <v>0</v>
      </c>
      <c r="BB1794">
        <v>0</v>
      </c>
      <c r="BC1794">
        <v>5</v>
      </c>
      <c r="BD1794">
        <v>0</v>
      </c>
      <c r="BE1794">
        <f t="shared" si="279"/>
        <v>0</v>
      </c>
    </row>
    <row r="1795" spans="1:57" x14ac:dyDescent="0.25">
      <c r="A1795" t="s">
        <v>39</v>
      </c>
      <c r="B1795" t="s">
        <v>6052</v>
      </c>
      <c r="C1795">
        <v>68</v>
      </c>
      <c r="D1795">
        <v>53.6</v>
      </c>
      <c r="G1795">
        <f t="shared" ref="G1795:G1858" si="280">IF(ABS(C1795-INDEX($F$2:$F$13,MONTH(B1795)))&gt;1.8,1,0)</f>
        <v>0</v>
      </c>
      <c r="H1795">
        <f t="shared" ref="H1795:H1858" si="281">IF(C1795&gt;=INDEX($F$2:$F$13,MONTH(B1795))+1.8,1,0)</f>
        <v>0</v>
      </c>
      <c r="I1795">
        <f t="shared" ref="I1795:I1858" si="282">IF(C1795&lt;=INDEX($F$2:$F$13,MONTH(B1795))-1.8,1,0)</f>
        <v>0</v>
      </c>
      <c r="J1795">
        <v>59.7</v>
      </c>
      <c r="K1795">
        <v>68</v>
      </c>
      <c r="L1795">
        <v>53.6</v>
      </c>
      <c r="M1795">
        <v>59.7</v>
      </c>
      <c r="N1795">
        <v>55</v>
      </c>
      <c r="O1795">
        <v>84.9</v>
      </c>
      <c r="S1795">
        <f t="shared" ref="S1795:S1858" si="283">IF(OR(O1795&lt;INDEX($Q$2:$Q$13,MONTH(B1795)),O1795&gt;INDEX($R$2:$R$13,MONTH(B1795))),1,0)</f>
        <v>1</v>
      </c>
      <c r="T1795">
        <f t="shared" ref="T1795:T1858" si="284">IF(O1795&gt;INDEX($R$2:$R$13,MONTH(B1795)),1,0)</f>
        <v>1</v>
      </c>
      <c r="U1795">
        <f t="shared" ref="U1795:U1858" si="285">IF(O1795&lt;INDEX($Q$2:$Q$13,MONTH(B1795)),1,0)</f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17.899999999999999</v>
      </c>
      <c r="AC1795">
        <v>9.1999999999999993</v>
      </c>
      <c r="AG1795">
        <f t="shared" ref="AG1795:AG1858" si="286">IF(OR(AC1795&lt;INDEX($AE$2:$AE$13,MONTH(B1795)),AC1795&gt;INDEX($AF$2:$AF$13,MONTH(B1795))),1,0)</f>
        <v>1</v>
      </c>
      <c r="AH1795">
        <f t="shared" ref="AH1795:AH1858" si="287">IF(AC1795&gt;INDEX($AF$2:$AF$13,MONTH(B1795)),1,0)</f>
        <v>0</v>
      </c>
      <c r="AI1795">
        <f t="shared" ref="AI1795:AI1858" si="288">IF(AC1795&lt;INDEX($AE$2:$AE$13,MONTH(B1795)),1,0)</f>
        <v>1</v>
      </c>
      <c r="AJ1795">
        <v>164.7</v>
      </c>
      <c r="AK1795">
        <v>1019.3</v>
      </c>
      <c r="AL1795">
        <v>29.9</v>
      </c>
      <c r="AM1795">
        <v>6.2</v>
      </c>
      <c r="AN1795">
        <v>129.69999999999999</v>
      </c>
      <c r="AO1795">
        <v>11.2</v>
      </c>
      <c r="AP1795">
        <v>5</v>
      </c>
      <c r="AQ1795">
        <v>0</v>
      </c>
      <c r="AR1795" t="s">
        <v>6053</v>
      </c>
      <c r="AS1795" t="s">
        <v>6054</v>
      </c>
      <c r="AT1795">
        <v>0.31</v>
      </c>
      <c r="AU1795" t="s">
        <v>43</v>
      </c>
      <c r="AV1795" t="s">
        <v>44</v>
      </c>
      <c r="AW1795" t="s">
        <v>45</v>
      </c>
      <c r="AX1795" t="s">
        <v>6057</v>
      </c>
      <c r="AY1795" t="s">
        <v>6058</v>
      </c>
      <c r="AZ1795">
        <v>1556.0000000009311</v>
      </c>
      <c r="BA1795">
        <v>1</v>
      </c>
      <c r="BB1795">
        <v>0</v>
      </c>
      <c r="BC1795">
        <v>20</v>
      </c>
      <c r="BD1795">
        <v>0</v>
      </c>
      <c r="BE1795">
        <f t="shared" ref="BE1795:BE1858" si="289">IF((3*AH1795+3*H1795+2*U1795+2*BA1795-(2*(1-T1795)+2*(1-I1795)+2*(1-AI1795)))&gt;=1,1,0)</f>
        <v>0</v>
      </c>
    </row>
    <row r="1796" spans="1:57" x14ac:dyDescent="0.25">
      <c r="A1796" t="s">
        <v>39</v>
      </c>
      <c r="B1796" t="s">
        <v>6059</v>
      </c>
      <c r="C1796">
        <v>75.2</v>
      </c>
      <c r="D1796">
        <v>69.8</v>
      </c>
      <c r="G1796">
        <f t="shared" si="280"/>
        <v>0</v>
      </c>
      <c r="H1796">
        <f t="shared" si="281"/>
        <v>0</v>
      </c>
      <c r="I1796">
        <f t="shared" si="282"/>
        <v>0</v>
      </c>
      <c r="J1796">
        <v>72</v>
      </c>
      <c r="K1796">
        <v>75.2</v>
      </c>
      <c r="L1796">
        <v>69.8</v>
      </c>
      <c r="M1796">
        <v>72</v>
      </c>
      <c r="N1796">
        <v>59.8</v>
      </c>
      <c r="O1796">
        <v>65.900000000000006</v>
      </c>
      <c r="S1796">
        <f t="shared" si="283"/>
        <v>0</v>
      </c>
      <c r="T1796">
        <f t="shared" si="284"/>
        <v>0</v>
      </c>
      <c r="U1796">
        <f t="shared" si="285"/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24.6</v>
      </c>
      <c r="AC1796">
        <v>16.100000000000001</v>
      </c>
      <c r="AG1796">
        <f t="shared" si="286"/>
        <v>0</v>
      </c>
      <c r="AH1796">
        <f t="shared" si="287"/>
        <v>0</v>
      </c>
      <c r="AI1796">
        <f t="shared" si="288"/>
        <v>0</v>
      </c>
      <c r="AJ1796">
        <v>312.89999999999998</v>
      </c>
      <c r="AK1796">
        <v>1021.6</v>
      </c>
      <c r="AL1796">
        <v>50.5</v>
      </c>
      <c r="AM1796">
        <v>6.2</v>
      </c>
      <c r="AN1796">
        <v>197.8</v>
      </c>
      <c r="AO1796">
        <v>17.2</v>
      </c>
      <c r="AP1796">
        <v>7</v>
      </c>
      <c r="AQ1796">
        <v>0</v>
      </c>
      <c r="AR1796" t="s">
        <v>6060</v>
      </c>
      <c r="AS1796" t="s">
        <v>6061</v>
      </c>
      <c r="AT1796">
        <v>0.71</v>
      </c>
      <c r="AU1796" t="s">
        <v>43</v>
      </c>
      <c r="AV1796" t="s">
        <v>44</v>
      </c>
      <c r="AW1796" t="s">
        <v>45</v>
      </c>
      <c r="AX1796" t="s">
        <v>4401</v>
      </c>
      <c r="AY1796" t="s">
        <v>6062</v>
      </c>
      <c r="AZ1796">
        <v>1455.0000000069849</v>
      </c>
      <c r="BA1796">
        <v>1</v>
      </c>
      <c r="BB1796">
        <v>0</v>
      </c>
      <c r="BC1796">
        <v>3</v>
      </c>
      <c r="BD1796">
        <v>0</v>
      </c>
      <c r="BE1796">
        <f t="shared" si="289"/>
        <v>0</v>
      </c>
    </row>
    <row r="1797" spans="1:57" x14ac:dyDescent="0.25">
      <c r="A1797" t="s">
        <v>39</v>
      </c>
      <c r="B1797" t="s">
        <v>5939</v>
      </c>
      <c r="C1797">
        <v>66.2</v>
      </c>
      <c r="D1797">
        <v>57.1</v>
      </c>
      <c r="G1797">
        <f t="shared" si="280"/>
        <v>1</v>
      </c>
      <c r="H1797">
        <f t="shared" si="281"/>
        <v>1</v>
      </c>
      <c r="I1797">
        <f t="shared" si="282"/>
        <v>0</v>
      </c>
      <c r="J1797">
        <v>60.6</v>
      </c>
      <c r="K1797">
        <v>66.2</v>
      </c>
      <c r="L1797">
        <v>57.1</v>
      </c>
      <c r="M1797">
        <v>60.6</v>
      </c>
      <c r="N1797">
        <v>49.4</v>
      </c>
      <c r="O1797">
        <v>67</v>
      </c>
      <c r="S1797">
        <f t="shared" si="283"/>
        <v>0</v>
      </c>
      <c r="T1797">
        <f t="shared" si="284"/>
        <v>0</v>
      </c>
      <c r="U1797">
        <f t="shared" si="285"/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45.8</v>
      </c>
      <c r="AC1797">
        <v>34.299999999999997</v>
      </c>
      <c r="AG1797">
        <f t="shared" si="286"/>
        <v>1</v>
      </c>
      <c r="AH1797">
        <f t="shared" si="287"/>
        <v>1</v>
      </c>
      <c r="AI1797">
        <f t="shared" si="288"/>
        <v>0</v>
      </c>
      <c r="AJ1797">
        <v>173.1</v>
      </c>
      <c r="AK1797">
        <v>1016.3</v>
      </c>
      <c r="AL1797">
        <v>55.6</v>
      </c>
      <c r="AM1797">
        <v>6.2</v>
      </c>
      <c r="AN1797">
        <v>135.19999999999999</v>
      </c>
      <c r="AO1797">
        <v>11.7</v>
      </c>
      <c r="AP1797">
        <v>5</v>
      </c>
      <c r="AQ1797">
        <v>0</v>
      </c>
      <c r="AR1797" t="s">
        <v>5940</v>
      </c>
      <c r="AS1797" t="s">
        <v>5941</v>
      </c>
      <c r="AT1797">
        <v>0</v>
      </c>
      <c r="AU1797" t="s">
        <v>43</v>
      </c>
      <c r="AV1797" t="s">
        <v>44</v>
      </c>
      <c r="AW1797" t="s">
        <v>419</v>
      </c>
      <c r="AX1797" t="s">
        <v>4788</v>
      </c>
      <c r="AY1797" t="s">
        <v>6063</v>
      </c>
      <c r="AZ1797">
        <v>110.00000000232831</v>
      </c>
      <c r="BA1797">
        <v>0</v>
      </c>
      <c r="BB1797">
        <v>0</v>
      </c>
      <c r="BC1797">
        <v>2</v>
      </c>
      <c r="BD1797">
        <v>0</v>
      </c>
      <c r="BE1797">
        <f t="shared" si="289"/>
        <v>0</v>
      </c>
    </row>
    <row r="1798" spans="1:57" x14ac:dyDescent="0.25">
      <c r="A1798" t="s">
        <v>39</v>
      </c>
      <c r="B1798" t="s">
        <v>6064</v>
      </c>
      <c r="C1798">
        <v>80.599999999999994</v>
      </c>
      <c r="D1798">
        <v>66.2</v>
      </c>
      <c r="G1798">
        <f t="shared" si="280"/>
        <v>0</v>
      </c>
      <c r="H1798">
        <f t="shared" si="281"/>
        <v>0</v>
      </c>
      <c r="I1798">
        <f t="shared" si="282"/>
        <v>0</v>
      </c>
      <c r="J1798">
        <v>74.099999999999994</v>
      </c>
      <c r="K1798">
        <v>82.8</v>
      </c>
      <c r="L1798">
        <v>66.2</v>
      </c>
      <c r="M1798">
        <v>74.3</v>
      </c>
      <c r="N1798">
        <v>64.8</v>
      </c>
      <c r="O1798">
        <v>73.400000000000006</v>
      </c>
      <c r="S1798">
        <f t="shared" si="283"/>
        <v>1</v>
      </c>
      <c r="T1798">
        <f t="shared" si="284"/>
        <v>1</v>
      </c>
      <c r="U1798">
        <f t="shared" si="285"/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25.9</v>
      </c>
      <c r="AC1798">
        <v>18.3</v>
      </c>
      <c r="AG1798">
        <f t="shared" si="286"/>
        <v>0</v>
      </c>
      <c r="AH1798">
        <f t="shared" si="287"/>
        <v>0</v>
      </c>
      <c r="AI1798">
        <f t="shared" si="288"/>
        <v>0</v>
      </c>
      <c r="AJ1798">
        <v>323.60000000000002</v>
      </c>
      <c r="AK1798">
        <v>1013.4</v>
      </c>
      <c r="AL1798">
        <v>5.8</v>
      </c>
      <c r="AM1798">
        <v>6.2</v>
      </c>
      <c r="AN1798">
        <v>336.7</v>
      </c>
      <c r="AO1798">
        <v>29.1</v>
      </c>
      <c r="AP1798">
        <v>10</v>
      </c>
      <c r="AQ1798">
        <v>0</v>
      </c>
      <c r="AR1798" t="s">
        <v>6065</v>
      </c>
      <c r="AS1798" t="s">
        <v>6066</v>
      </c>
      <c r="AT1798">
        <v>0.28000000000000003</v>
      </c>
      <c r="AU1798" t="s">
        <v>74</v>
      </c>
      <c r="AV1798" t="s">
        <v>2955</v>
      </c>
      <c r="AW1798" t="s">
        <v>75</v>
      </c>
      <c r="AX1798" t="s">
        <v>4085</v>
      </c>
      <c r="AY1798" t="s">
        <v>6067</v>
      </c>
      <c r="AZ1798">
        <v>133.00000000395809</v>
      </c>
      <c r="BA1798">
        <v>0</v>
      </c>
      <c r="BB1798">
        <v>0</v>
      </c>
      <c r="BC1798">
        <v>0.05</v>
      </c>
      <c r="BD1798">
        <v>0</v>
      </c>
      <c r="BE1798">
        <f t="shared" si="289"/>
        <v>0</v>
      </c>
    </row>
    <row r="1799" spans="1:57" x14ac:dyDescent="0.25">
      <c r="A1799" t="s">
        <v>39</v>
      </c>
      <c r="B1799" t="s">
        <v>6068</v>
      </c>
      <c r="C1799">
        <v>82.4</v>
      </c>
      <c r="D1799">
        <v>73.400000000000006</v>
      </c>
      <c r="G1799">
        <f t="shared" si="280"/>
        <v>0</v>
      </c>
      <c r="H1799">
        <f t="shared" si="281"/>
        <v>0</v>
      </c>
      <c r="I1799">
        <f t="shared" si="282"/>
        <v>0</v>
      </c>
      <c r="J1799">
        <v>78.400000000000006</v>
      </c>
      <c r="K1799">
        <v>84.7</v>
      </c>
      <c r="L1799">
        <v>73.400000000000006</v>
      </c>
      <c r="M1799">
        <v>79.3</v>
      </c>
      <c r="N1799">
        <v>64.400000000000006</v>
      </c>
      <c r="O1799">
        <v>62.2</v>
      </c>
      <c r="S1799">
        <f t="shared" si="283"/>
        <v>1</v>
      </c>
      <c r="T1799">
        <f t="shared" si="284"/>
        <v>1</v>
      </c>
      <c r="U1799">
        <f t="shared" si="285"/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21.5</v>
      </c>
      <c r="AC1799">
        <v>20.8</v>
      </c>
      <c r="AG1799">
        <f t="shared" si="286"/>
        <v>1</v>
      </c>
      <c r="AH1799">
        <f t="shared" si="287"/>
        <v>1</v>
      </c>
      <c r="AI1799">
        <f t="shared" si="288"/>
        <v>0</v>
      </c>
      <c r="AJ1799">
        <v>313.39999999999998</v>
      </c>
      <c r="AK1799">
        <v>1009.4</v>
      </c>
      <c r="AL1799">
        <v>4.7</v>
      </c>
      <c r="AM1799">
        <v>6.2</v>
      </c>
      <c r="AN1799">
        <v>334.3</v>
      </c>
      <c r="AO1799">
        <v>28.8</v>
      </c>
      <c r="AP1799">
        <v>10</v>
      </c>
      <c r="AQ1799">
        <v>0</v>
      </c>
      <c r="AR1799" t="s">
        <v>6069</v>
      </c>
      <c r="AS1799" t="s">
        <v>6070</v>
      </c>
      <c r="AT1799">
        <v>0.11</v>
      </c>
      <c r="AU1799" t="s">
        <v>74</v>
      </c>
      <c r="AV1799" t="s">
        <v>2955</v>
      </c>
      <c r="AW1799" t="s">
        <v>75</v>
      </c>
      <c r="AX1799" t="s">
        <v>6071</v>
      </c>
      <c r="AY1799" t="s">
        <v>6072</v>
      </c>
      <c r="AZ1799">
        <v>1452.000000007683</v>
      </c>
      <c r="BA1799">
        <v>1</v>
      </c>
      <c r="BB1799">
        <v>0</v>
      </c>
      <c r="BC1799">
        <v>1.5</v>
      </c>
      <c r="BD1799">
        <v>0</v>
      </c>
      <c r="BE1799">
        <f t="shared" si="289"/>
        <v>1</v>
      </c>
    </row>
    <row r="1800" spans="1:57" x14ac:dyDescent="0.25">
      <c r="A1800" t="s">
        <v>39</v>
      </c>
      <c r="B1800" t="s">
        <v>6073</v>
      </c>
      <c r="C1800">
        <v>86</v>
      </c>
      <c r="D1800">
        <v>69.8</v>
      </c>
      <c r="G1800">
        <f t="shared" si="280"/>
        <v>1</v>
      </c>
      <c r="H1800">
        <f t="shared" si="281"/>
        <v>1</v>
      </c>
      <c r="I1800">
        <f t="shared" si="282"/>
        <v>0</v>
      </c>
      <c r="J1800">
        <v>77.599999999999994</v>
      </c>
      <c r="K1800">
        <v>94.1</v>
      </c>
      <c r="L1800">
        <v>69.8</v>
      </c>
      <c r="M1800">
        <v>79.400000000000006</v>
      </c>
      <c r="N1800">
        <v>68</v>
      </c>
      <c r="O1800">
        <v>73.400000000000006</v>
      </c>
      <c r="S1800">
        <f t="shared" si="283"/>
        <v>1</v>
      </c>
      <c r="T1800">
        <f t="shared" si="284"/>
        <v>1</v>
      </c>
      <c r="U1800">
        <f t="shared" si="285"/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28.9</v>
      </c>
      <c r="AC1800">
        <v>9.1999999999999993</v>
      </c>
      <c r="AG1800">
        <f t="shared" si="286"/>
        <v>1</v>
      </c>
      <c r="AH1800">
        <f t="shared" si="287"/>
        <v>0</v>
      </c>
      <c r="AI1800">
        <f t="shared" si="288"/>
        <v>1</v>
      </c>
      <c r="AJ1800">
        <v>131.19999999999999</v>
      </c>
      <c r="AK1800">
        <v>1011.6</v>
      </c>
      <c r="AL1800">
        <v>17</v>
      </c>
      <c r="AM1800">
        <v>6.2</v>
      </c>
      <c r="AN1800">
        <v>276.60000000000002</v>
      </c>
      <c r="AO1800">
        <v>23.8</v>
      </c>
      <c r="AP1800">
        <v>9</v>
      </c>
      <c r="AQ1800">
        <v>0</v>
      </c>
      <c r="AR1800" t="s">
        <v>6074</v>
      </c>
      <c r="AS1800" t="s">
        <v>6075</v>
      </c>
      <c r="AT1800">
        <v>0.62</v>
      </c>
      <c r="AU1800" t="s">
        <v>74</v>
      </c>
      <c r="AV1800" t="s">
        <v>2955</v>
      </c>
      <c r="AW1800" t="s">
        <v>75</v>
      </c>
      <c r="AX1800" t="s">
        <v>5835</v>
      </c>
      <c r="AY1800" t="s">
        <v>6076</v>
      </c>
      <c r="AZ1800">
        <v>1856.000000004424</v>
      </c>
      <c r="BA1800">
        <v>1</v>
      </c>
      <c r="BB1800">
        <v>30</v>
      </c>
      <c r="BC1800">
        <v>0</v>
      </c>
      <c r="BD1800">
        <v>0</v>
      </c>
      <c r="BE1800">
        <f t="shared" si="289"/>
        <v>1</v>
      </c>
    </row>
    <row r="1801" spans="1:57" x14ac:dyDescent="0.25">
      <c r="A1801" t="s">
        <v>39</v>
      </c>
      <c r="B1801" t="s">
        <v>5967</v>
      </c>
      <c r="C1801">
        <v>80.599999999999994</v>
      </c>
      <c r="D1801">
        <v>57.2</v>
      </c>
      <c r="G1801">
        <f t="shared" si="280"/>
        <v>1</v>
      </c>
      <c r="H1801">
        <f t="shared" si="281"/>
        <v>1</v>
      </c>
      <c r="I1801">
        <f t="shared" si="282"/>
        <v>0</v>
      </c>
      <c r="J1801">
        <v>70.400000000000006</v>
      </c>
      <c r="K1801">
        <v>79.3</v>
      </c>
      <c r="L1801">
        <v>57.2</v>
      </c>
      <c r="M1801">
        <v>70.099999999999994</v>
      </c>
      <c r="N1801">
        <v>39.9</v>
      </c>
      <c r="O1801">
        <v>35.9</v>
      </c>
      <c r="S1801">
        <f t="shared" si="283"/>
        <v>1</v>
      </c>
      <c r="T1801">
        <f t="shared" si="284"/>
        <v>0</v>
      </c>
      <c r="U1801">
        <f t="shared" si="285"/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36.9</v>
      </c>
      <c r="AC1801">
        <v>36.9</v>
      </c>
      <c r="AG1801">
        <f t="shared" si="286"/>
        <v>1</v>
      </c>
      <c r="AH1801">
        <f t="shared" si="287"/>
        <v>1</v>
      </c>
      <c r="AI1801">
        <f t="shared" si="288"/>
        <v>0</v>
      </c>
      <c r="AJ1801">
        <v>164.5</v>
      </c>
      <c r="AK1801">
        <v>1010.9</v>
      </c>
      <c r="AL1801">
        <v>42.6</v>
      </c>
      <c r="AM1801">
        <v>6.2</v>
      </c>
      <c r="AN1801">
        <v>310.39999999999998</v>
      </c>
      <c r="AO1801">
        <v>26.9</v>
      </c>
      <c r="AP1801">
        <v>9</v>
      </c>
      <c r="AQ1801">
        <v>0</v>
      </c>
      <c r="AR1801" t="s">
        <v>5968</v>
      </c>
      <c r="AS1801" t="s">
        <v>5969</v>
      </c>
      <c r="AT1801">
        <v>0.31</v>
      </c>
      <c r="AU1801" t="s">
        <v>43</v>
      </c>
      <c r="AV1801" t="s">
        <v>44</v>
      </c>
      <c r="AW1801" t="s">
        <v>419</v>
      </c>
      <c r="AX1801" t="s">
        <v>5805</v>
      </c>
      <c r="AY1801" t="s">
        <v>6077</v>
      </c>
      <c r="AZ1801">
        <v>3720.000000003492</v>
      </c>
      <c r="BA1801">
        <v>1</v>
      </c>
      <c r="BB1801">
        <v>0</v>
      </c>
      <c r="BC1801">
        <v>140</v>
      </c>
      <c r="BD1801">
        <v>0</v>
      </c>
      <c r="BE1801">
        <f t="shared" si="289"/>
        <v>1</v>
      </c>
    </row>
    <row r="1802" spans="1:57" x14ac:dyDescent="0.25">
      <c r="A1802" t="s">
        <v>39</v>
      </c>
      <c r="B1802" t="s">
        <v>6078</v>
      </c>
      <c r="C1802">
        <v>87.8</v>
      </c>
      <c r="D1802">
        <v>70.400000000000006</v>
      </c>
      <c r="G1802">
        <f t="shared" si="280"/>
        <v>1</v>
      </c>
      <c r="H1802">
        <f t="shared" si="281"/>
        <v>1</v>
      </c>
      <c r="I1802">
        <f t="shared" si="282"/>
        <v>0</v>
      </c>
      <c r="J1802">
        <v>81.099999999999994</v>
      </c>
      <c r="K1802">
        <v>100</v>
      </c>
      <c r="L1802">
        <v>70.400000000000006</v>
      </c>
      <c r="M1802">
        <v>84.7</v>
      </c>
      <c r="N1802">
        <v>70</v>
      </c>
      <c r="O1802">
        <v>70.599999999999994</v>
      </c>
      <c r="S1802">
        <f t="shared" si="283"/>
        <v>1</v>
      </c>
      <c r="T1802">
        <f t="shared" si="284"/>
        <v>1</v>
      </c>
      <c r="U1802">
        <f t="shared" si="285"/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17.399999999999999</v>
      </c>
      <c r="AC1802">
        <v>5.8</v>
      </c>
      <c r="AG1802">
        <f t="shared" si="286"/>
        <v>1</v>
      </c>
      <c r="AH1802">
        <f t="shared" si="287"/>
        <v>0</v>
      </c>
      <c r="AI1802">
        <f t="shared" si="288"/>
        <v>1</v>
      </c>
      <c r="AJ1802">
        <v>343.3</v>
      </c>
      <c r="AK1802">
        <v>1006.8</v>
      </c>
      <c r="AL1802">
        <v>0.3</v>
      </c>
      <c r="AM1802">
        <v>6.2</v>
      </c>
      <c r="AN1802">
        <v>323.7</v>
      </c>
      <c r="AO1802">
        <v>28.1</v>
      </c>
      <c r="AP1802">
        <v>10</v>
      </c>
      <c r="AQ1802">
        <v>0</v>
      </c>
      <c r="AR1802" t="s">
        <v>6079</v>
      </c>
      <c r="AS1802" t="s">
        <v>6080</v>
      </c>
      <c r="AT1802">
        <v>0.43</v>
      </c>
      <c r="AU1802" t="s">
        <v>74</v>
      </c>
      <c r="AV1802" t="s">
        <v>2955</v>
      </c>
      <c r="AW1802" t="s">
        <v>75</v>
      </c>
      <c r="AX1802" t="s">
        <v>2582</v>
      </c>
      <c r="AY1802" t="s">
        <v>6081</v>
      </c>
      <c r="AZ1802">
        <v>505.00000000116421</v>
      </c>
      <c r="BA1802">
        <v>1</v>
      </c>
      <c r="BB1802">
        <v>0</v>
      </c>
      <c r="BC1802">
        <v>0.5</v>
      </c>
      <c r="BD1802">
        <v>0</v>
      </c>
      <c r="BE1802">
        <f t="shared" si="289"/>
        <v>1</v>
      </c>
    </row>
    <row r="1803" spans="1:57" x14ac:dyDescent="0.25">
      <c r="A1803" t="s">
        <v>39</v>
      </c>
      <c r="B1803" t="s">
        <v>5930</v>
      </c>
      <c r="C1803">
        <v>82.5</v>
      </c>
      <c r="D1803">
        <v>71.599999999999994</v>
      </c>
      <c r="G1803">
        <f t="shared" si="280"/>
        <v>1</v>
      </c>
      <c r="H1803">
        <f t="shared" si="281"/>
        <v>1</v>
      </c>
      <c r="I1803">
        <f t="shared" si="282"/>
        <v>0</v>
      </c>
      <c r="J1803">
        <v>78</v>
      </c>
      <c r="K1803">
        <v>85.5</v>
      </c>
      <c r="L1803">
        <v>71.599999999999994</v>
      </c>
      <c r="M1803">
        <v>78.8</v>
      </c>
      <c r="N1803">
        <v>66</v>
      </c>
      <c r="O1803">
        <v>67</v>
      </c>
      <c r="S1803">
        <f t="shared" si="283"/>
        <v>0</v>
      </c>
      <c r="T1803">
        <f t="shared" si="284"/>
        <v>0</v>
      </c>
      <c r="U1803">
        <f t="shared" si="285"/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25.9</v>
      </c>
      <c r="AC1803">
        <v>19.7</v>
      </c>
      <c r="AG1803">
        <f t="shared" si="286"/>
        <v>1</v>
      </c>
      <c r="AH1803">
        <f t="shared" si="287"/>
        <v>1</v>
      </c>
      <c r="AI1803">
        <f t="shared" si="288"/>
        <v>0</v>
      </c>
      <c r="AJ1803">
        <v>301.39999999999998</v>
      </c>
      <c r="AK1803">
        <v>1015</v>
      </c>
      <c r="AL1803">
        <v>16.8</v>
      </c>
      <c r="AM1803">
        <v>6.2</v>
      </c>
      <c r="AN1803">
        <v>259</v>
      </c>
      <c r="AO1803">
        <v>22.4</v>
      </c>
      <c r="AP1803">
        <v>8</v>
      </c>
      <c r="AQ1803">
        <v>0</v>
      </c>
      <c r="AR1803" t="s">
        <v>5931</v>
      </c>
      <c r="AS1803" t="s">
        <v>5932</v>
      </c>
      <c r="AT1803">
        <v>0.97</v>
      </c>
      <c r="AU1803" t="s">
        <v>74</v>
      </c>
      <c r="AV1803" t="s">
        <v>2955</v>
      </c>
      <c r="AW1803" t="s">
        <v>75</v>
      </c>
      <c r="AX1803" t="s">
        <v>6082</v>
      </c>
      <c r="AY1803" t="s">
        <v>6083</v>
      </c>
      <c r="AZ1803">
        <v>551.99999999720603</v>
      </c>
      <c r="BA1803">
        <v>1</v>
      </c>
      <c r="BB1803">
        <v>10</v>
      </c>
      <c r="BC1803">
        <v>0</v>
      </c>
      <c r="BD1803">
        <v>0</v>
      </c>
      <c r="BE1803">
        <f t="shared" si="289"/>
        <v>1</v>
      </c>
    </row>
    <row r="1804" spans="1:57" x14ac:dyDescent="0.25">
      <c r="A1804" t="s">
        <v>39</v>
      </c>
      <c r="B1804" t="s">
        <v>6084</v>
      </c>
      <c r="C1804">
        <v>82.4</v>
      </c>
      <c r="D1804">
        <v>69.8</v>
      </c>
      <c r="G1804">
        <f t="shared" si="280"/>
        <v>1</v>
      </c>
      <c r="H1804">
        <f t="shared" si="281"/>
        <v>1</v>
      </c>
      <c r="I1804">
        <f t="shared" si="282"/>
        <v>0</v>
      </c>
      <c r="J1804">
        <v>77.400000000000006</v>
      </c>
      <c r="K1804">
        <v>84</v>
      </c>
      <c r="L1804">
        <v>69.8</v>
      </c>
      <c r="M1804">
        <v>77.900000000000006</v>
      </c>
      <c r="N1804">
        <v>60.4</v>
      </c>
      <c r="O1804">
        <v>57</v>
      </c>
      <c r="S1804">
        <f t="shared" si="283"/>
        <v>1</v>
      </c>
      <c r="T1804">
        <f t="shared" si="284"/>
        <v>0</v>
      </c>
      <c r="U1804">
        <f t="shared" si="285"/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43.8</v>
      </c>
      <c r="AC1804">
        <v>31</v>
      </c>
      <c r="AG1804">
        <f t="shared" si="286"/>
        <v>1</v>
      </c>
      <c r="AH1804">
        <f t="shared" si="287"/>
        <v>1</v>
      </c>
      <c r="AI1804">
        <f t="shared" si="288"/>
        <v>0</v>
      </c>
      <c r="AJ1804">
        <v>180.4</v>
      </c>
      <c r="AK1804">
        <v>1010.9</v>
      </c>
      <c r="AL1804">
        <v>74</v>
      </c>
      <c r="AM1804">
        <v>6.2</v>
      </c>
      <c r="AN1804">
        <v>101.1</v>
      </c>
      <c r="AO1804">
        <v>8.8000000000000007</v>
      </c>
      <c r="AP1804">
        <v>4</v>
      </c>
      <c r="AQ1804">
        <v>0</v>
      </c>
      <c r="AR1804" t="s">
        <v>6085</v>
      </c>
      <c r="AS1804" t="s">
        <v>6086</v>
      </c>
      <c r="AT1804">
        <v>0.95</v>
      </c>
      <c r="AU1804" t="s">
        <v>43</v>
      </c>
      <c r="AV1804" t="s">
        <v>44</v>
      </c>
      <c r="AW1804" t="s">
        <v>419</v>
      </c>
      <c r="AX1804" t="s">
        <v>6087</v>
      </c>
      <c r="AY1804" t="s">
        <v>6088</v>
      </c>
      <c r="AZ1804">
        <v>107.0000000030268</v>
      </c>
      <c r="BA1804">
        <v>0</v>
      </c>
      <c r="BB1804">
        <v>0</v>
      </c>
      <c r="BC1804">
        <v>1</v>
      </c>
      <c r="BD1804">
        <v>0</v>
      </c>
      <c r="BE1804">
        <f t="shared" si="289"/>
        <v>1</v>
      </c>
    </row>
    <row r="1805" spans="1:57" x14ac:dyDescent="0.25">
      <c r="A1805" t="s">
        <v>39</v>
      </c>
      <c r="B1805" t="s">
        <v>6084</v>
      </c>
      <c r="C1805">
        <v>82.4</v>
      </c>
      <c r="D1805">
        <v>69.8</v>
      </c>
      <c r="G1805">
        <f t="shared" si="280"/>
        <v>1</v>
      </c>
      <c r="H1805">
        <f t="shared" si="281"/>
        <v>1</v>
      </c>
      <c r="I1805">
        <f t="shared" si="282"/>
        <v>0</v>
      </c>
      <c r="J1805">
        <v>77.400000000000006</v>
      </c>
      <c r="K1805">
        <v>84</v>
      </c>
      <c r="L1805">
        <v>69.8</v>
      </c>
      <c r="M1805">
        <v>77.900000000000006</v>
      </c>
      <c r="N1805">
        <v>60.4</v>
      </c>
      <c r="O1805">
        <v>57</v>
      </c>
      <c r="S1805">
        <f t="shared" si="283"/>
        <v>1</v>
      </c>
      <c r="T1805">
        <f t="shared" si="284"/>
        <v>0</v>
      </c>
      <c r="U1805">
        <f t="shared" si="285"/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43.8</v>
      </c>
      <c r="AC1805">
        <v>31</v>
      </c>
      <c r="AG1805">
        <f t="shared" si="286"/>
        <v>1</v>
      </c>
      <c r="AH1805">
        <f t="shared" si="287"/>
        <v>1</v>
      </c>
      <c r="AI1805">
        <f t="shared" si="288"/>
        <v>0</v>
      </c>
      <c r="AJ1805">
        <v>180.4</v>
      </c>
      <c r="AK1805">
        <v>1010.9</v>
      </c>
      <c r="AL1805">
        <v>74</v>
      </c>
      <c r="AM1805">
        <v>6.2</v>
      </c>
      <c r="AN1805">
        <v>101.1</v>
      </c>
      <c r="AO1805">
        <v>8.8000000000000007</v>
      </c>
      <c r="AP1805">
        <v>4</v>
      </c>
      <c r="AQ1805">
        <v>0</v>
      </c>
      <c r="AR1805" t="s">
        <v>6085</v>
      </c>
      <c r="AS1805" t="s">
        <v>6086</v>
      </c>
      <c r="AT1805">
        <v>0.95</v>
      </c>
      <c r="AU1805" t="s">
        <v>43</v>
      </c>
      <c r="AV1805" t="s">
        <v>44</v>
      </c>
      <c r="AW1805" t="s">
        <v>419</v>
      </c>
      <c r="AX1805" t="s">
        <v>6089</v>
      </c>
      <c r="AY1805" t="s">
        <v>6090</v>
      </c>
      <c r="AZ1805">
        <v>76.999999999534339</v>
      </c>
      <c r="BA1805">
        <v>0</v>
      </c>
      <c r="BB1805">
        <v>0</v>
      </c>
      <c r="BC1805">
        <v>1</v>
      </c>
      <c r="BD1805">
        <v>0</v>
      </c>
      <c r="BE1805">
        <f t="shared" si="289"/>
        <v>1</v>
      </c>
    </row>
    <row r="1806" spans="1:57" x14ac:dyDescent="0.25">
      <c r="A1806" t="s">
        <v>39</v>
      </c>
      <c r="B1806" t="s">
        <v>6091</v>
      </c>
      <c r="C1806">
        <v>68</v>
      </c>
      <c r="D1806">
        <v>55.4</v>
      </c>
      <c r="G1806">
        <f t="shared" si="280"/>
        <v>1</v>
      </c>
      <c r="H1806">
        <f t="shared" si="281"/>
        <v>1</v>
      </c>
      <c r="I1806">
        <f t="shared" si="282"/>
        <v>0</v>
      </c>
      <c r="J1806">
        <v>63</v>
      </c>
      <c r="K1806">
        <v>68</v>
      </c>
      <c r="L1806">
        <v>55.4</v>
      </c>
      <c r="M1806">
        <v>63</v>
      </c>
      <c r="N1806">
        <v>48.5</v>
      </c>
      <c r="O1806">
        <v>59.8</v>
      </c>
      <c r="S1806">
        <f t="shared" si="283"/>
        <v>1</v>
      </c>
      <c r="T1806">
        <f t="shared" si="284"/>
        <v>0</v>
      </c>
      <c r="U1806">
        <f t="shared" si="285"/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51.9</v>
      </c>
      <c r="AC1806">
        <v>25.3</v>
      </c>
      <c r="AG1806">
        <f t="shared" si="286"/>
        <v>1</v>
      </c>
      <c r="AH1806">
        <f t="shared" si="287"/>
        <v>1</v>
      </c>
      <c r="AI1806">
        <f t="shared" si="288"/>
        <v>0</v>
      </c>
      <c r="AJ1806">
        <v>181.2</v>
      </c>
      <c r="AK1806">
        <v>1010.3</v>
      </c>
      <c r="AL1806">
        <v>29.7</v>
      </c>
      <c r="AM1806">
        <v>6.2</v>
      </c>
      <c r="AN1806">
        <v>136.6</v>
      </c>
      <c r="AO1806">
        <v>11.7</v>
      </c>
      <c r="AP1806">
        <v>5</v>
      </c>
      <c r="AQ1806">
        <v>0</v>
      </c>
      <c r="AR1806" t="s">
        <v>6092</v>
      </c>
      <c r="AS1806" t="s">
        <v>6093</v>
      </c>
      <c r="AT1806">
        <v>0.1</v>
      </c>
      <c r="AU1806" t="s">
        <v>43</v>
      </c>
      <c r="AV1806" t="s">
        <v>44</v>
      </c>
      <c r="AW1806" t="s">
        <v>45</v>
      </c>
      <c r="AX1806" t="s">
        <v>6094</v>
      </c>
      <c r="AY1806" t="s">
        <v>6095</v>
      </c>
      <c r="AZ1806">
        <v>121.0000000067521</v>
      </c>
      <c r="BA1806">
        <v>0</v>
      </c>
      <c r="BB1806">
        <v>0</v>
      </c>
      <c r="BC1806">
        <v>1</v>
      </c>
      <c r="BD1806">
        <v>0</v>
      </c>
      <c r="BE1806">
        <f t="shared" si="289"/>
        <v>1</v>
      </c>
    </row>
    <row r="1807" spans="1:57" x14ac:dyDescent="0.25">
      <c r="A1807" t="s">
        <v>39</v>
      </c>
      <c r="B1807" t="s">
        <v>5918</v>
      </c>
      <c r="C1807">
        <v>68</v>
      </c>
      <c r="D1807">
        <v>51.8</v>
      </c>
      <c r="G1807">
        <f t="shared" si="280"/>
        <v>0</v>
      </c>
      <c r="H1807">
        <f t="shared" si="281"/>
        <v>0</v>
      </c>
      <c r="I1807">
        <f t="shared" si="282"/>
        <v>0</v>
      </c>
      <c r="J1807">
        <v>60.1</v>
      </c>
      <c r="K1807">
        <v>68</v>
      </c>
      <c r="L1807">
        <v>51.8</v>
      </c>
      <c r="M1807">
        <v>60.1</v>
      </c>
      <c r="N1807">
        <v>53.5</v>
      </c>
      <c r="O1807">
        <v>80</v>
      </c>
      <c r="S1807">
        <f t="shared" si="283"/>
        <v>1</v>
      </c>
      <c r="T1807">
        <f t="shared" si="284"/>
        <v>1</v>
      </c>
      <c r="U1807">
        <f t="shared" si="285"/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15.2</v>
      </c>
      <c r="AC1807">
        <v>6.9</v>
      </c>
      <c r="AG1807">
        <f t="shared" si="286"/>
        <v>1</v>
      </c>
      <c r="AH1807">
        <f t="shared" si="287"/>
        <v>0</v>
      </c>
      <c r="AI1807">
        <f t="shared" si="288"/>
        <v>1</v>
      </c>
      <c r="AJ1807">
        <v>116.2</v>
      </c>
      <c r="AK1807">
        <v>1022</v>
      </c>
      <c r="AL1807">
        <v>42.9</v>
      </c>
      <c r="AM1807">
        <v>6.2</v>
      </c>
      <c r="AN1807">
        <v>261.7</v>
      </c>
      <c r="AO1807">
        <v>22.5</v>
      </c>
      <c r="AP1807">
        <v>9</v>
      </c>
      <c r="AQ1807">
        <v>0</v>
      </c>
      <c r="AR1807" t="s">
        <v>5919</v>
      </c>
      <c r="AS1807" t="s">
        <v>5920</v>
      </c>
      <c r="AT1807">
        <v>0.92</v>
      </c>
      <c r="AU1807" t="s">
        <v>43</v>
      </c>
      <c r="AV1807" t="s">
        <v>80</v>
      </c>
      <c r="AW1807" t="s">
        <v>45</v>
      </c>
      <c r="AX1807" t="s">
        <v>6096</v>
      </c>
      <c r="AY1807" t="s">
        <v>6097</v>
      </c>
      <c r="AZ1807">
        <v>82.999999998137355</v>
      </c>
      <c r="BA1807">
        <v>0</v>
      </c>
      <c r="BB1807">
        <v>0</v>
      </c>
      <c r="BC1807">
        <v>1.5</v>
      </c>
      <c r="BD1807">
        <v>0</v>
      </c>
      <c r="BE1807">
        <f t="shared" si="289"/>
        <v>0</v>
      </c>
    </row>
    <row r="1808" spans="1:57" x14ac:dyDescent="0.25">
      <c r="A1808" t="s">
        <v>39</v>
      </c>
      <c r="B1808" t="s">
        <v>6098</v>
      </c>
      <c r="C1808">
        <v>82.4</v>
      </c>
      <c r="D1808">
        <v>68</v>
      </c>
      <c r="G1808">
        <f t="shared" si="280"/>
        <v>0</v>
      </c>
      <c r="H1808">
        <f t="shared" si="281"/>
        <v>0</v>
      </c>
      <c r="I1808">
        <f t="shared" si="282"/>
        <v>0</v>
      </c>
      <c r="J1808">
        <v>77</v>
      </c>
      <c r="K1808">
        <v>89.5</v>
      </c>
      <c r="L1808">
        <v>68</v>
      </c>
      <c r="M1808">
        <v>79</v>
      </c>
      <c r="N1808">
        <v>70.099999999999994</v>
      </c>
      <c r="O1808">
        <v>80</v>
      </c>
      <c r="S1808">
        <f t="shared" si="283"/>
        <v>1</v>
      </c>
      <c r="T1808">
        <f t="shared" si="284"/>
        <v>1</v>
      </c>
      <c r="U1808">
        <f t="shared" si="285"/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21.5</v>
      </c>
      <c r="AC1808">
        <v>8.1</v>
      </c>
      <c r="AG1808">
        <f t="shared" si="286"/>
        <v>1</v>
      </c>
      <c r="AH1808">
        <f t="shared" si="287"/>
        <v>0</v>
      </c>
      <c r="AI1808">
        <f t="shared" si="288"/>
        <v>1</v>
      </c>
      <c r="AJ1808">
        <v>349.8</v>
      </c>
      <c r="AK1808">
        <v>1011</v>
      </c>
      <c r="AL1808">
        <v>29.1</v>
      </c>
      <c r="AM1808">
        <v>5.8</v>
      </c>
      <c r="AN1808">
        <v>333.4</v>
      </c>
      <c r="AO1808">
        <v>28.7</v>
      </c>
      <c r="AP1808">
        <v>10</v>
      </c>
      <c r="AQ1808">
        <v>0</v>
      </c>
      <c r="AR1808" t="s">
        <v>6099</v>
      </c>
      <c r="AS1808" t="s">
        <v>6100</v>
      </c>
      <c r="AT1808">
        <v>0.8</v>
      </c>
      <c r="AU1808" t="s">
        <v>43</v>
      </c>
      <c r="AV1808" t="s">
        <v>44</v>
      </c>
      <c r="AW1808" t="s">
        <v>45</v>
      </c>
      <c r="AX1808" t="s">
        <v>2466</v>
      </c>
      <c r="AY1808" t="s">
        <v>6101</v>
      </c>
      <c r="AZ1808">
        <v>366.0000000090804</v>
      </c>
      <c r="BA1808">
        <v>1</v>
      </c>
      <c r="BB1808">
        <v>0</v>
      </c>
      <c r="BC1808">
        <v>1.5</v>
      </c>
      <c r="BD1808">
        <v>0</v>
      </c>
      <c r="BE1808">
        <f t="shared" si="289"/>
        <v>0</v>
      </c>
    </row>
    <row r="1809" spans="1:57" x14ac:dyDescent="0.25">
      <c r="A1809" t="s">
        <v>39</v>
      </c>
      <c r="B1809" t="s">
        <v>6102</v>
      </c>
      <c r="C1809">
        <v>84.2</v>
      </c>
      <c r="D1809">
        <v>78.8</v>
      </c>
      <c r="G1809">
        <f t="shared" si="280"/>
        <v>0</v>
      </c>
      <c r="H1809">
        <f t="shared" si="281"/>
        <v>0</v>
      </c>
      <c r="I1809">
        <f t="shared" si="282"/>
        <v>0</v>
      </c>
      <c r="J1809">
        <v>80.8</v>
      </c>
      <c r="K1809">
        <v>89.6</v>
      </c>
      <c r="L1809">
        <v>78.8</v>
      </c>
      <c r="M1809">
        <v>83.4</v>
      </c>
      <c r="N1809">
        <v>71.099999999999994</v>
      </c>
      <c r="O1809">
        <v>72.5</v>
      </c>
      <c r="S1809">
        <f t="shared" si="283"/>
        <v>1</v>
      </c>
      <c r="T1809">
        <f t="shared" si="284"/>
        <v>1</v>
      </c>
      <c r="U1809">
        <f t="shared" si="285"/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26.4</v>
      </c>
      <c r="AC1809">
        <v>13.9</v>
      </c>
      <c r="AG1809">
        <f t="shared" si="286"/>
        <v>1</v>
      </c>
      <c r="AH1809">
        <f t="shared" si="287"/>
        <v>0</v>
      </c>
      <c r="AI1809">
        <f t="shared" si="288"/>
        <v>1</v>
      </c>
      <c r="AJ1809">
        <v>319.60000000000002</v>
      </c>
      <c r="AK1809">
        <v>1011.8</v>
      </c>
      <c r="AL1809">
        <v>21.6</v>
      </c>
      <c r="AM1809">
        <v>6.2</v>
      </c>
      <c r="AN1809">
        <v>285.3</v>
      </c>
      <c r="AO1809">
        <v>24.7</v>
      </c>
      <c r="AP1809">
        <v>9</v>
      </c>
      <c r="AQ1809">
        <v>0</v>
      </c>
      <c r="AR1809" t="s">
        <v>6103</v>
      </c>
      <c r="AS1809" t="s">
        <v>6104</v>
      </c>
      <c r="AT1809">
        <v>0.6</v>
      </c>
      <c r="AU1809" t="s">
        <v>43</v>
      </c>
      <c r="AV1809" t="s">
        <v>44</v>
      </c>
      <c r="AW1809" t="s">
        <v>45</v>
      </c>
      <c r="AX1809" t="s">
        <v>6105</v>
      </c>
      <c r="AY1809" t="s">
        <v>6106</v>
      </c>
      <c r="AZ1809">
        <v>496.00000000325957</v>
      </c>
      <c r="BA1809">
        <v>1</v>
      </c>
      <c r="BB1809">
        <v>0</v>
      </c>
      <c r="BC1809">
        <v>12</v>
      </c>
      <c r="BD1809">
        <v>0</v>
      </c>
      <c r="BE1809">
        <f t="shared" si="289"/>
        <v>0</v>
      </c>
    </row>
    <row r="1810" spans="1:57" x14ac:dyDescent="0.25">
      <c r="A1810" t="s">
        <v>39</v>
      </c>
      <c r="B1810" t="s">
        <v>6107</v>
      </c>
      <c r="C1810">
        <v>87.8</v>
      </c>
      <c r="D1810">
        <v>71.599999999999994</v>
      </c>
      <c r="G1810">
        <f t="shared" si="280"/>
        <v>1</v>
      </c>
      <c r="H1810">
        <f t="shared" si="281"/>
        <v>1</v>
      </c>
      <c r="I1810">
        <f t="shared" si="282"/>
        <v>0</v>
      </c>
      <c r="J1810">
        <v>80.3</v>
      </c>
      <c r="K1810">
        <v>101.9</v>
      </c>
      <c r="L1810">
        <v>71.599999999999994</v>
      </c>
      <c r="M1810">
        <v>83.8</v>
      </c>
      <c r="N1810">
        <v>69.2</v>
      </c>
      <c r="O1810">
        <v>69.7</v>
      </c>
      <c r="S1810">
        <f t="shared" si="283"/>
        <v>1</v>
      </c>
      <c r="T1810">
        <f t="shared" si="284"/>
        <v>1</v>
      </c>
      <c r="U1810">
        <f t="shared" si="285"/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23</v>
      </c>
      <c r="AC1810">
        <v>10.3</v>
      </c>
      <c r="AG1810">
        <f t="shared" si="286"/>
        <v>1</v>
      </c>
      <c r="AH1810">
        <f t="shared" si="287"/>
        <v>0</v>
      </c>
      <c r="AI1810">
        <f t="shared" si="288"/>
        <v>1</v>
      </c>
      <c r="AJ1810">
        <v>56.8</v>
      </c>
      <c r="AK1810">
        <v>1009.9</v>
      </c>
      <c r="AL1810">
        <v>22.2</v>
      </c>
      <c r="AM1810">
        <v>6.2</v>
      </c>
      <c r="AN1810">
        <v>281.8</v>
      </c>
      <c r="AO1810">
        <v>24.2</v>
      </c>
      <c r="AP1810">
        <v>9</v>
      </c>
      <c r="AQ1810">
        <v>0</v>
      </c>
      <c r="AR1810" t="s">
        <v>6108</v>
      </c>
      <c r="AS1810" t="s">
        <v>6109</v>
      </c>
      <c r="AT1810">
        <v>0.96</v>
      </c>
      <c r="AU1810" t="s">
        <v>43</v>
      </c>
      <c r="AV1810" t="s">
        <v>44</v>
      </c>
      <c r="AW1810" t="s">
        <v>45</v>
      </c>
      <c r="AX1810" t="s">
        <v>2486</v>
      </c>
      <c r="AY1810" t="s">
        <v>6110</v>
      </c>
      <c r="AZ1810">
        <v>720</v>
      </c>
      <c r="BA1810">
        <v>1</v>
      </c>
      <c r="BB1810">
        <v>0</v>
      </c>
      <c r="BC1810">
        <v>2</v>
      </c>
      <c r="BD1810">
        <v>0</v>
      </c>
      <c r="BE1810">
        <f t="shared" si="289"/>
        <v>1</v>
      </c>
    </row>
    <row r="1811" spans="1:57" x14ac:dyDescent="0.25">
      <c r="A1811" t="s">
        <v>39</v>
      </c>
      <c r="B1811" t="s">
        <v>6111</v>
      </c>
      <c r="C1811">
        <v>78.8</v>
      </c>
      <c r="D1811">
        <v>71.599999999999994</v>
      </c>
      <c r="G1811">
        <f t="shared" si="280"/>
        <v>1</v>
      </c>
      <c r="H1811">
        <f t="shared" si="281"/>
        <v>0</v>
      </c>
      <c r="I1811">
        <f t="shared" si="282"/>
        <v>1</v>
      </c>
      <c r="J1811">
        <v>75.599999999999994</v>
      </c>
      <c r="K1811">
        <v>78.8</v>
      </c>
      <c r="L1811">
        <v>71.599999999999994</v>
      </c>
      <c r="M1811">
        <v>75.599999999999994</v>
      </c>
      <c r="N1811">
        <v>62.5</v>
      </c>
      <c r="O1811">
        <v>64</v>
      </c>
      <c r="S1811">
        <f t="shared" si="283"/>
        <v>1</v>
      </c>
      <c r="T1811">
        <f t="shared" si="284"/>
        <v>1</v>
      </c>
      <c r="U1811">
        <f t="shared" si="285"/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33.6</v>
      </c>
      <c r="AC1811">
        <v>19.7</v>
      </c>
      <c r="AG1811">
        <f t="shared" si="286"/>
        <v>1</v>
      </c>
      <c r="AH1811">
        <f t="shared" si="287"/>
        <v>1</v>
      </c>
      <c r="AI1811">
        <f t="shared" si="288"/>
        <v>0</v>
      </c>
      <c r="AJ1811">
        <v>309.39999999999998</v>
      </c>
      <c r="AK1811">
        <v>1016.2</v>
      </c>
      <c r="AL1811">
        <v>22.8</v>
      </c>
      <c r="AM1811">
        <v>6.2</v>
      </c>
      <c r="AN1811">
        <v>331.1</v>
      </c>
      <c r="AO1811">
        <v>28.6</v>
      </c>
      <c r="AP1811">
        <v>10</v>
      </c>
      <c r="AQ1811">
        <v>0</v>
      </c>
      <c r="AR1811" t="s">
        <v>6112</v>
      </c>
      <c r="AS1811" t="s">
        <v>6113</v>
      </c>
      <c r="AT1811">
        <v>0.62</v>
      </c>
      <c r="AU1811" t="s">
        <v>43</v>
      </c>
      <c r="AV1811" t="s">
        <v>44</v>
      </c>
      <c r="AW1811" t="s">
        <v>45</v>
      </c>
      <c r="AX1811" t="s">
        <v>2491</v>
      </c>
      <c r="AY1811" t="s">
        <v>6114</v>
      </c>
      <c r="AZ1811">
        <v>525.00000000349246</v>
      </c>
      <c r="BA1811">
        <v>1</v>
      </c>
      <c r="BB1811">
        <v>0</v>
      </c>
      <c r="BC1811">
        <v>5</v>
      </c>
      <c r="BD1811">
        <v>0</v>
      </c>
      <c r="BE1811">
        <f t="shared" si="289"/>
        <v>1</v>
      </c>
    </row>
    <row r="1812" spans="1:57" x14ac:dyDescent="0.25">
      <c r="A1812" t="s">
        <v>39</v>
      </c>
      <c r="B1812" t="s">
        <v>6115</v>
      </c>
      <c r="C1812">
        <v>68</v>
      </c>
      <c r="D1812">
        <v>60.8</v>
      </c>
      <c r="G1812">
        <f t="shared" si="280"/>
        <v>0</v>
      </c>
      <c r="H1812">
        <f t="shared" si="281"/>
        <v>0</v>
      </c>
      <c r="I1812">
        <f t="shared" si="282"/>
        <v>0</v>
      </c>
      <c r="J1812">
        <v>64.900000000000006</v>
      </c>
      <c r="K1812">
        <v>68</v>
      </c>
      <c r="L1812">
        <v>60.8</v>
      </c>
      <c r="M1812">
        <v>64.900000000000006</v>
      </c>
      <c r="N1812">
        <v>56.6</v>
      </c>
      <c r="O1812">
        <v>74.7</v>
      </c>
      <c r="S1812">
        <f t="shared" si="283"/>
        <v>1</v>
      </c>
      <c r="T1812">
        <f t="shared" si="284"/>
        <v>1</v>
      </c>
      <c r="U1812">
        <f t="shared" si="285"/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32.4</v>
      </c>
      <c r="AC1812">
        <v>19.7</v>
      </c>
      <c r="AG1812">
        <f t="shared" si="286"/>
        <v>1</v>
      </c>
      <c r="AH1812">
        <f t="shared" si="287"/>
        <v>1</v>
      </c>
      <c r="AI1812">
        <f t="shared" si="288"/>
        <v>0</v>
      </c>
      <c r="AJ1812">
        <v>313.2</v>
      </c>
      <c r="AK1812">
        <v>1016.5</v>
      </c>
      <c r="AL1812">
        <v>44</v>
      </c>
      <c r="AM1812">
        <v>6.2</v>
      </c>
      <c r="AN1812">
        <v>140.4</v>
      </c>
      <c r="AO1812">
        <v>12.2</v>
      </c>
      <c r="AP1812">
        <v>6</v>
      </c>
      <c r="AQ1812">
        <v>0</v>
      </c>
      <c r="AR1812" t="s">
        <v>6116</v>
      </c>
      <c r="AS1812" t="s">
        <v>6117</v>
      </c>
      <c r="AT1812">
        <v>0.2</v>
      </c>
      <c r="AU1812" t="s">
        <v>43</v>
      </c>
      <c r="AV1812" t="s">
        <v>44</v>
      </c>
      <c r="AW1812" t="s">
        <v>45</v>
      </c>
      <c r="AX1812" t="s">
        <v>2524</v>
      </c>
      <c r="AY1812" t="s">
        <v>6118</v>
      </c>
      <c r="AZ1812">
        <v>129.99999999417921</v>
      </c>
      <c r="BA1812">
        <v>0</v>
      </c>
      <c r="BB1812">
        <v>0</v>
      </c>
      <c r="BC1812">
        <v>3</v>
      </c>
      <c r="BD1812">
        <v>0</v>
      </c>
      <c r="BE1812">
        <f t="shared" si="289"/>
        <v>0</v>
      </c>
    </row>
    <row r="1813" spans="1:57" x14ac:dyDescent="0.25">
      <c r="A1813" t="s">
        <v>39</v>
      </c>
      <c r="B1813" t="s">
        <v>6119</v>
      </c>
      <c r="C1813">
        <v>66.2</v>
      </c>
      <c r="D1813">
        <v>57.2</v>
      </c>
      <c r="G1813">
        <f t="shared" si="280"/>
        <v>1</v>
      </c>
      <c r="H1813">
        <f t="shared" si="281"/>
        <v>1</v>
      </c>
      <c r="I1813">
        <f t="shared" si="282"/>
        <v>0</v>
      </c>
      <c r="J1813">
        <v>61.1</v>
      </c>
      <c r="K1813">
        <v>66.2</v>
      </c>
      <c r="L1813">
        <v>57.2</v>
      </c>
      <c r="M1813">
        <v>61.1</v>
      </c>
      <c r="N1813">
        <v>45</v>
      </c>
      <c r="O1813">
        <v>56.3</v>
      </c>
      <c r="S1813">
        <f t="shared" si="283"/>
        <v>1</v>
      </c>
      <c r="T1813">
        <f t="shared" si="284"/>
        <v>0</v>
      </c>
      <c r="U1813">
        <f t="shared" si="285"/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43.8</v>
      </c>
      <c r="AC1813">
        <v>31.1</v>
      </c>
      <c r="AG1813">
        <f t="shared" si="286"/>
        <v>1</v>
      </c>
      <c r="AH1813">
        <f t="shared" si="287"/>
        <v>1</v>
      </c>
      <c r="AI1813">
        <f t="shared" si="288"/>
        <v>0</v>
      </c>
      <c r="AJ1813">
        <v>180.2</v>
      </c>
      <c r="AK1813">
        <v>1013.3</v>
      </c>
      <c r="AL1813">
        <v>37.9</v>
      </c>
      <c r="AM1813">
        <v>6.2</v>
      </c>
      <c r="AN1813">
        <v>169.8</v>
      </c>
      <c r="AO1813">
        <v>14.6</v>
      </c>
      <c r="AP1813">
        <v>6</v>
      </c>
      <c r="AQ1813">
        <v>0</v>
      </c>
      <c r="AR1813" t="s">
        <v>6120</v>
      </c>
      <c r="AS1813" t="s">
        <v>6121</v>
      </c>
      <c r="AT1813">
        <v>0.55000000000000004</v>
      </c>
      <c r="AU1813" t="s">
        <v>43</v>
      </c>
      <c r="AV1813" t="s">
        <v>44</v>
      </c>
      <c r="AW1813" t="s">
        <v>419</v>
      </c>
      <c r="AX1813" t="s">
        <v>6122</v>
      </c>
      <c r="AY1813" t="s">
        <v>6123</v>
      </c>
      <c r="AZ1813">
        <v>1590.9999999997669</v>
      </c>
      <c r="BA1813">
        <v>1</v>
      </c>
      <c r="BB1813">
        <v>0</v>
      </c>
      <c r="BC1813">
        <v>0.5</v>
      </c>
      <c r="BD1813">
        <v>0</v>
      </c>
      <c r="BE1813">
        <f t="shared" si="289"/>
        <v>1</v>
      </c>
    </row>
    <row r="1814" spans="1:57" x14ac:dyDescent="0.25">
      <c r="A1814" t="s">
        <v>39</v>
      </c>
      <c r="B1814" t="s">
        <v>6124</v>
      </c>
      <c r="C1814">
        <v>66.2</v>
      </c>
      <c r="D1814">
        <v>51.8</v>
      </c>
      <c r="G1814">
        <f t="shared" si="280"/>
        <v>1</v>
      </c>
      <c r="H1814">
        <f t="shared" si="281"/>
        <v>1</v>
      </c>
      <c r="I1814">
        <f t="shared" si="282"/>
        <v>0</v>
      </c>
      <c r="J1814">
        <v>59.2</v>
      </c>
      <c r="K1814">
        <v>66.2</v>
      </c>
      <c r="L1814">
        <v>51.8</v>
      </c>
      <c r="M1814">
        <v>59.2</v>
      </c>
      <c r="N1814">
        <v>47.2</v>
      </c>
      <c r="O1814">
        <v>65.5</v>
      </c>
      <c r="S1814">
        <f t="shared" si="283"/>
        <v>1</v>
      </c>
      <c r="T1814">
        <f t="shared" si="284"/>
        <v>0</v>
      </c>
      <c r="U1814">
        <f t="shared" si="285"/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29.3</v>
      </c>
      <c r="AC1814">
        <v>21.9</v>
      </c>
      <c r="AG1814">
        <f t="shared" si="286"/>
        <v>1</v>
      </c>
      <c r="AH1814">
        <f t="shared" si="287"/>
        <v>1</v>
      </c>
      <c r="AI1814">
        <f t="shared" si="288"/>
        <v>0</v>
      </c>
      <c r="AJ1814">
        <v>168.3</v>
      </c>
      <c r="AK1814">
        <v>1016.3</v>
      </c>
      <c r="AL1814">
        <v>46.8</v>
      </c>
      <c r="AM1814">
        <v>6.2</v>
      </c>
      <c r="AN1814">
        <v>170.6</v>
      </c>
      <c r="AO1814">
        <v>14.8</v>
      </c>
      <c r="AP1814">
        <v>6</v>
      </c>
      <c r="AQ1814">
        <v>0</v>
      </c>
      <c r="AR1814" t="s">
        <v>6125</v>
      </c>
      <c r="AS1814" t="s">
        <v>6126</v>
      </c>
      <c r="AT1814">
        <v>0.25</v>
      </c>
      <c r="AU1814" t="s">
        <v>43</v>
      </c>
      <c r="AV1814" t="s">
        <v>44</v>
      </c>
      <c r="AW1814" t="s">
        <v>45</v>
      </c>
      <c r="AX1814" t="s">
        <v>6127</v>
      </c>
      <c r="AY1814" t="s">
        <v>6128</v>
      </c>
      <c r="AZ1814">
        <v>210.00000000349249</v>
      </c>
      <c r="BA1814">
        <v>0</v>
      </c>
      <c r="BB1814">
        <v>1</v>
      </c>
      <c r="BC1814">
        <v>0</v>
      </c>
      <c r="BD1814">
        <v>0</v>
      </c>
      <c r="BE1814">
        <f t="shared" si="289"/>
        <v>1</v>
      </c>
    </row>
    <row r="1815" spans="1:57" x14ac:dyDescent="0.25">
      <c r="A1815" t="s">
        <v>39</v>
      </c>
      <c r="B1815" t="s">
        <v>5886</v>
      </c>
      <c r="C1815">
        <v>84.2</v>
      </c>
      <c r="D1815">
        <v>77</v>
      </c>
      <c r="G1815">
        <f t="shared" si="280"/>
        <v>0</v>
      </c>
      <c r="H1815">
        <f t="shared" si="281"/>
        <v>0</v>
      </c>
      <c r="I1815">
        <f t="shared" si="282"/>
        <v>0</v>
      </c>
      <c r="J1815">
        <v>79.400000000000006</v>
      </c>
      <c r="K1815">
        <v>85.7</v>
      </c>
      <c r="L1815">
        <v>77</v>
      </c>
      <c r="M1815">
        <v>80</v>
      </c>
      <c r="N1815">
        <v>65.400000000000006</v>
      </c>
      <c r="O1815">
        <v>62.9</v>
      </c>
      <c r="S1815">
        <f t="shared" si="283"/>
        <v>1</v>
      </c>
      <c r="T1815">
        <f t="shared" si="284"/>
        <v>1</v>
      </c>
      <c r="U1815">
        <f t="shared" si="285"/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36.9</v>
      </c>
      <c r="AC1815">
        <v>19.7</v>
      </c>
      <c r="AG1815">
        <f t="shared" si="286"/>
        <v>1</v>
      </c>
      <c r="AH1815">
        <f t="shared" si="287"/>
        <v>1</v>
      </c>
      <c r="AI1815">
        <f t="shared" si="288"/>
        <v>0</v>
      </c>
      <c r="AJ1815">
        <v>325.60000000000002</v>
      </c>
      <c r="AK1815">
        <v>1012.2</v>
      </c>
      <c r="AL1815">
        <v>38.9</v>
      </c>
      <c r="AM1815">
        <v>6.2</v>
      </c>
      <c r="AN1815">
        <v>283.7</v>
      </c>
      <c r="AO1815">
        <v>24.6</v>
      </c>
      <c r="AP1815">
        <v>9</v>
      </c>
      <c r="AQ1815">
        <v>0</v>
      </c>
      <c r="AR1815" t="s">
        <v>5887</v>
      </c>
      <c r="AS1815" t="s">
        <v>5888</v>
      </c>
      <c r="AT1815">
        <v>0.32</v>
      </c>
      <c r="AU1815" t="s">
        <v>43</v>
      </c>
      <c r="AV1815" t="s">
        <v>44</v>
      </c>
      <c r="AW1815" t="s">
        <v>45</v>
      </c>
      <c r="AX1815" t="s">
        <v>6129</v>
      </c>
      <c r="AY1815" t="s">
        <v>6130</v>
      </c>
      <c r="AZ1815">
        <v>1020.9999999962751</v>
      </c>
      <c r="BA1815">
        <v>1</v>
      </c>
      <c r="BB1815">
        <v>0</v>
      </c>
      <c r="BC1815">
        <v>5</v>
      </c>
      <c r="BD1815">
        <v>0</v>
      </c>
      <c r="BE1815">
        <f t="shared" si="289"/>
        <v>1</v>
      </c>
    </row>
    <row r="1816" spans="1:57" x14ac:dyDescent="0.25">
      <c r="A1816" t="s">
        <v>39</v>
      </c>
      <c r="B1816" t="s">
        <v>6131</v>
      </c>
      <c r="C1816">
        <v>75.2</v>
      </c>
      <c r="D1816">
        <v>62.6</v>
      </c>
      <c r="G1816">
        <f t="shared" si="280"/>
        <v>1</v>
      </c>
      <c r="H1816">
        <f t="shared" si="281"/>
        <v>1</v>
      </c>
      <c r="I1816">
        <f t="shared" si="282"/>
        <v>0</v>
      </c>
      <c r="J1816">
        <v>67.3</v>
      </c>
      <c r="K1816">
        <v>75.2</v>
      </c>
      <c r="L1816">
        <v>62.6</v>
      </c>
      <c r="M1816">
        <v>67.3</v>
      </c>
      <c r="N1816">
        <v>57.5</v>
      </c>
      <c r="O1816">
        <v>71.3</v>
      </c>
      <c r="S1816">
        <f t="shared" si="283"/>
        <v>1</v>
      </c>
      <c r="T1816">
        <f t="shared" si="284"/>
        <v>1</v>
      </c>
      <c r="U1816">
        <f t="shared" si="285"/>
        <v>0</v>
      </c>
      <c r="V1816">
        <v>2E-3</v>
      </c>
      <c r="W1816">
        <v>100</v>
      </c>
      <c r="X1816">
        <v>4.17</v>
      </c>
      <c r="Y1816" t="s">
        <v>103</v>
      </c>
      <c r="Z1816">
        <v>0</v>
      </c>
      <c r="AA1816">
        <v>0</v>
      </c>
      <c r="AB1816">
        <v>25.7</v>
      </c>
      <c r="AC1816">
        <v>19.7</v>
      </c>
      <c r="AG1816">
        <f t="shared" si="286"/>
        <v>1</v>
      </c>
      <c r="AH1816">
        <f t="shared" si="287"/>
        <v>1</v>
      </c>
      <c r="AI1816">
        <f t="shared" si="288"/>
        <v>0</v>
      </c>
      <c r="AJ1816">
        <v>172.5</v>
      </c>
      <c r="AK1816">
        <v>1012.9</v>
      </c>
      <c r="AL1816">
        <v>37.6</v>
      </c>
      <c r="AM1816">
        <v>6.2</v>
      </c>
      <c r="AN1816">
        <v>119.6</v>
      </c>
      <c r="AO1816">
        <v>10.1</v>
      </c>
      <c r="AP1816">
        <v>5</v>
      </c>
      <c r="AQ1816">
        <v>0</v>
      </c>
      <c r="AR1816" t="s">
        <v>6132</v>
      </c>
      <c r="AS1816" t="s">
        <v>6133</v>
      </c>
      <c r="AT1816">
        <v>0.38</v>
      </c>
      <c r="AU1816" t="s">
        <v>106</v>
      </c>
      <c r="AV1816" t="s">
        <v>1180</v>
      </c>
      <c r="AW1816" t="s">
        <v>103</v>
      </c>
      <c r="AX1816" t="s">
        <v>6134</v>
      </c>
      <c r="AY1816" t="s">
        <v>6135</v>
      </c>
      <c r="AZ1816">
        <v>924.99999999767169</v>
      </c>
      <c r="BA1816">
        <v>1</v>
      </c>
      <c r="BB1816">
        <v>0</v>
      </c>
      <c r="BC1816">
        <v>30</v>
      </c>
      <c r="BD1816">
        <v>0</v>
      </c>
      <c r="BE1816">
        <f t="shared" si="289"/>
        <v>1</v>
      </c>
    </row>
    <row r="1817" spans="1:57" x14ac:dyDescent="0.25">
      <c r="A1817" t="s">
        <v>39</v>
      </c>
      <c r="B1817" t="s">
        <v>5823</v>
      </c>
      <c r="C1817">
        <v>64.400000000000006</v>
      </c>
      <c r="D1817">
        <v>46.8</v>
      </c>
      <c r="G1817">
        <f t="shared" si="280"/>
        <v>1</v>
      </c>
      <c r="H1817">
        <f t="shared" si="281"/>
        <v>0</v>
      </c>
      <c r="I1817">
        <f t="shared" si="282"/>
        <v>1</v>
      </c>
      <c r="J1817">
        <v>57.1</v>
      </c>
      <c r="K1817">
        <v>64.400000000000006</v>
      </c>
      <c r="L1817">
        <v>44.3</v>
      </c>
      <c r="M1817">
        <v>56.6</v>
      </c>
      <c r="N1817">
        <v>50.7</v>
      </c>
      <c r="O1817">
        <v>79.5</v>
      </c>
      <c r="S1817">
        <f t="shared" si="283"/>
        <v>1</v>
      </c>
      <c r="T1817">
        <f t="shared" si="284"/>
        <v>1</v>
      </c>
      <c r="U1817">
        <f t="shared" si="285"/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20.8</v>
      </c>
      <c r="AC1817">
        <v>11.4</v>
      </c>
      <c r="AG1817">
        <f t="shared" si="286"/>
        <v>1</v>
      </c>
      <c r="AH1817">
        <f t="shared" si="287"/>
        <v>0</v>
      </c>
      <c r="AI1817">
        <f t="shared" si="288"/>
        <v>1</v>
      </c>
      <c r="AJ1817">
        <v>272.89999999999998</v>
      </c>
      <c r="AK1817">
        <v>1023.1</v>
      </c>
      <c r="AL1817">
        <v>72.2</v>
      </c>
      <c r="AM1817">
        <v>6.2</v>
      </c>
      <c r="AN1817">
        <v>291.7</v>
      </c>
      <c r="AO1817">
        <v>25.4</v>
      </c>
      <c r="AP1817">
        <v>9</v>
      </c>
      <c r="AQ1817">
        <v>0</v>
      </c>
      <c r="AR1817" t="s">
        <v>5824</v>
      </c>
      <c r="AS1817" t="s">
        <v>5825</v>
      </c>
      <c r="AT1817">
        <v>0.81</v>
      </c>
      <c r="AU1817" t="s">
        <v>43</v>
      </c>
      <c r="AV1817" t="s">
        <v>44</v>
      </c>
      <c r="AW1817" t="s">
        <v>45</v>
      </c>
      <c r="AX1817" t="s">
        <v>2373</v>
      </c>
      <c r="AY1817" t="s">
        <v>6136</v>
      </c>
      <c r="AZ1817">
        <v>1949.999999996508</v>
      </c>
      <c r="BA1817">
        <v>1</v>
      </c>
      <c r="BB1817">
        <v>0</v>
      </c>
      <c r="BC1817">
        <v>30</v>
      </c>
      <c r="BD1817">
        <v>0</v>
      </c>
      <c r="BE1817">
        <f t="shared" si="289"/>
        <v>1</v>
      </c>
    </row>
    <row r="1818" spans="1:57" x14ac:dyDescent="0.25">
      <c r="A1818" t="s">
        <v>39</v>
      </c>
      <c r="B1818" t="s">
        <v>6137</v>
      </c>
      <c r="C1818">
        <v>71.599999999999994</v>
      </c>
      <c r="D1818">
        <v>57.2</v>
      </c>
      <c r="G1818">
        <f t="shared" si="280"/>
        <v>1</v>
      </c>
      <c r="H1818">
        <f t="shared" si="281"/>
        <v>1</v>
      </c>
      <c r="I1818">
        <f t="shared" si="282"/>
        <v>0</v>
      </c>
      <c r="J1818">
        <v>64.900000000000006</v>
      </c>
      <c r="K1818">
        <v>71.599999999999994</v>
      </c>
      <c r="L1818">
        <v>57.2</v>
      </c>
      <c r="M1818">
        <v>64.900000000000006</v>
      </c>
      <c r="N1818">
        <v>52.2</v>
      </c>
      <c r="O1818">
        <v>64.400000000000006</v>
      </c>
      <c r="S1818">
        <f t="shared" si="283"/>
        <v>0</v>
      </c>
      <c r="T1818">
        <f t="shared" si="284"/>
        <v>0</v>
      </c>
      <c r="U1818">
        <f t="shared" si="285"/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34.4</v>
      </c>
      <c r="AC1818">
        <v>18.3</v>
      </c>
      <c r="AG1818">
        <f t="shared" si="286"/>
        <v>0</v>
      </c>
      <c r="AH1818">
        <f t="shared" si="287"/>
        <v>0</v>
      </c>
      <c r="AI1818">
        <f t="shared" si="288"/>
        <v>0</v>
      </c>
      <c r="AJ1818">
        <v>69</v>
      </c>
      <c r="AK1818">
        <v>1012.7</v>
      </c>
      <c r="AL1818">
        <v>28.2</v>
      </c>
      <c r="AM1818">
        <v>6.2</v>
      </c>
      <c r="AN1818">
        <v>295.2</v>
      </c>
      <c r="AO1818">
        <v>25.5</v>
      </c>
      <c r="AP1818">
        <v>9</v>
      </c>
      <c r="AQ1818">
        <v>0</v>
      </c>
      <c r="AR1818" t="s">
        <v>6138</v>
      </c>
      <c r="AS1818" t="s">
        <v>6139</v>
      </c>
      <c r="AT1818">
        <v>0.25</v>
      </c>
      <c r="AU1818" t="s">
        <v>43</v>
      </c>
      <c r="AV1818" t="s">
        <v>2026</v>
      </c>
      <c r="AW1818" t="s">
        <v>45</v>
      </c>
      <c r="AX1818" t="s">
        <v>4376</v>
      </c>
      <c r="AY1818" t="s">
        <v>6140</v>
      </c>
      <c r="AZ1818">
        <v>175.00000000465661</v>
      </c>
      <c r="BA1818">
        <v>0</v>
      </c>
      <c r="BB1818">
        <v>0</v>
      </c>
      <c r="BC1818">
        <v>0.1</v>
      </c>
      <c r="BD1818">
        <v>0</v>
      </c>
      <c r="BE1818">
        <f t="shared" si="289"/>
        <v>0</v>
      </c>
    </row>
    <row r="1819" spans="1:57" x14ac:dyDescent="0.25">
      <c r="A1819" t="s">
        <v>39</v>
      </c>
      <c r="B1819" t="s">
        <v>6039</v>
      </c>
      <c r="C1819">
        <v>66.2</v>
      </c>
      <c r="D1819">
        <v>60.8</v>
      </c>
      <c r="G1819">
        <f t="shared" si="280"/>
        <v>0</v>
      </c>
      <c r="H1819">
        <f t="shared" si="281"/>
        <v>0</v>
      </c>
      <c r="I1819">
        <f t="shared" si="282"/>
        <v>0</v>
      </c>
      <c r="J1819">
        <v>63.4</v>
      </c>
      <c r="K1819">
        <v>66.2</v>
      </c>
      <c r="L1819">
        <v>60.8</v>
      </c>
      <c r="M1819">
        <v>63.4</v>
      </c>
      <c r="N1819">
        <v>52.6</v>
      </c>
      <c r="O1819">
        <v>67.900000000000006</v>
      </c>
      <c r="S1819">
        <f t="shared" si="283"/>
        <v>0</v>
      </c>
      <c r="T1819">
        <f t="shared" si="284"/>
        <v>0</v>
      </c>
      <c r="U1819">
        <f t="shared" si="285"/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30.9</v>
      </c>
      <c r="AC1819">
        <v>18.3</v>
      </c>
      <c r="AG1819">
        <f t="shared" si="286"/>
        <v>1</v>
      </c>
      <c r="AH1819">
        <f t="shared" si="287"/>
        <v>1</v>
      </c>
      <c r="AI1819">
        <f t="shared" si="288"/>
        <v>0</v>
      </c>
      <c r="AJ1819">
        <v>321.89999999999998</v>
      </c>
      <c r="AK1819">
        <v>1023.1</v>
      </c>
      <c r="AL1819">
        <v>59.8</v>
      </c>
      <c r="AM1819">
        <v>6.2</v>
      </c>
      <c r="AN1819">
        <v>126.3</v>
      </c>
      <c r="AO1819">
        <v>11</v>
      </c>
      <c r="AP1819">
        <v>5</v>
      </c>
      <c r="AQ1819">
        <v>0</v>
      </c>
      <c r="AR1819" t="s">
        <v>6040</v>
      </c>
      <c r="AS1819" t="s">
        <v>6041</v>
      </c>
      <c r="AT1819">
        <v>0.89</v>
      </c>
      <c r="AU1819" t="s">
        <v>43</v>
      </c>
      <c r="AV1819" t="s">
        <v>44</v>
      </c>
      <c r="AW1819" t="s">
        <v>45</v>
      </c>
      <c r="AX1819" t="s">
        <v>6141</v>
      </c>
      <c r="AY1819" t="s">
        <v>6142</v>
      </c>
      <c r="AZ1819">
        <v>936.99999999487773</v>
      </c>
      <c r="BA1819">
        <v>1</v>
      </c>
      <c r="BB1819">
        <v>0</v>
      </c>
      <c r="BC1819">
        <v>0.2</v>
      </c>
      <c r="BD1819">
        <v>0</v>
      </c>
      <c r="BE1819">
        <f t="shared" si="289"/>
        <v>0</v>
      </c>
    </row>
    <row r="1820" spans="1:57" x14ac:dyDescent="0.25">
      <c r="A1820" t="s">
        <v>39</v>
      </c>
      <c r="B1820" t="s">
        <v>6143</v>
      </c>
      <c r="C1820">
        <v>71.599999999999994</v>
      </c>
      <c r="D1820">
        <v>55.4</v>
      </c>
      <c r="G1820">
        <f t="shared" si="280"/>
        <v>1</v>
      </c>
      <c r="H1820">
        <f t="shared" si="281"/>
        <v>1</v>
      </c>
      <c r="I1820">
        <f t="shared" si="282"/>
        <v>0</v>
      </c>
      <c r="J1820">
        <v>62.7</v>
      </c>
      <c r="K1820">
        <v>71.599999999999994</v>
      </c>
      <c r="L1820">
        <v>55.4</v>
      </c>
      <c r="M1820">
        <v>62.7</v>
      </c>
      <c r="N1820">
        <v>53.1</v>
      </c>
      <c r="O1820">
        <v>71.2</v>
      </c>
      <c r="S1820">
        <f t="shared" si="283"/>
        <v>1</v>
      </c>
      <c r="T1820">
        <f t="shared" si="284"/>
        <v>1</v>
      </c>
      <c r="U1820">
        <f t="shared" si="285"/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25.5</v>
      </c>
      <c r="AC1820">
        <v>17.2</v>
      </c>
      <c r="AG1820">
        <f t="shared" si="286"/>
        <v>0</v>
      </c>
      <c r="AH1820">
        <f t="shared" si="287"/>
        <v>0</v>
      </c>
      <c r="AI1820">
        <f t="shared" si="288"/>
        <v>0</v>
      </c>
      <c r="AJ1820">
        <v>257.2</v>
      </c>
      <c r="AK1820">
        <v>1018.4</v>
      </c>
      <c r="AL1820">
        <v>23.2</v>
      </c>
      <c r="AM1820">
        <v>6.2</v>
      </c>
      <c r="AN1820">
        <v>156.5</v>
      </c>
      <c r="AO1820">
        <v>13.4</v>
      </c>
      <c r="AP1820">
        <v>6</v>
      </c>
      <c r="AQ1820">
        <v>0</v>
      </c>
      <c r="AR1820" t="s">
        <v>6144</v>
      </c>
      <c r="AS1820" t="s">
        <v>6145</v>
      </c>
      <c r="AT1820">
        <v>0.96</v>
      </c>
      <c r="AU1820" t="s">
        <v>43</v>
      </c>
      <c r="AV1820" t="s">
        <v>44</v>
      </c>
      <c r="AW1820" t="s">
        <v>45</v>
      </c>
      <c r="AX1820" t="s">
        <v>4170</v>
      </c>
      <c r="AY1820" t="s">
        <v>6146</v>
      </c>
      <c r="AZ1820">
        <v>1290.000000003492</v>
      </c>
      <c r="BA1820">
        <v>1</v>
      </c>
      <c r="BB1820">
        <v>0</v>
      </c>
      <c r="BC1820">
        <v>1</v>
      </c>
      <c r="BD1820">
        <v>0</v>
      </c>
      <c r="BE1820">
        <f t="shared" si="289"/>
        <v>1</v>
      </c>
    </row>
    <row r="1821" spans="1:57" x14ac:dyDescent="0.25">
      <c r="A1821" t="s">
        <v>39</v>
      </c>
      <c r="B1821" t="s">
        <v>6147</v>
      </c>
      <c r="C1821">
        <v>86</v>
      </c>
      <c r="D1821">
        <v>71.599999999999994</v>
      </c>
      <c r="G1821">
        <f t="shared" si="280"/>
        <v>1</v>
      </c>
      <c r="H1821">
        <f t="shared" si="281"/>
        <v>1</v>
      </c>
      <c r="I1821">
        <f t="shared" si="282"/>
        <v>0</v>
      </c>
      <c r="J1821">
        <v>78.8</v>
      </c>
      <c r="K1821">
        <v>95.2</v>
      </c>
      <c r="L1821">
        <v>71.599999999999994</v>
      </c>
      <c r="M1821">
        <v>81.5</v>
      </c>
      <c r="N1821">
        <v>68.099999999999994</v>
      </c>
      <c r="O1821">
        <v>70.099999999999994</v>
      </c>
      <c r="S1821">
        <f t="shared" si="283"/>
        <v>1</v>
      </c>
      <c r="T1821">
        <f t="shared" si="284"/>
        <v>1</v>
      </c>
      <c r="U1821">
        <f t="shared" si="285"/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25.3</v>
      </c>
      <c r="AC1821">
        <v>13.8</v>
      </c>
      <c r="AG1821">
        <f t="shared" si="286"/>
        <v>1</v>
      </c>
      <c r="AH1821">
        <f t="shared" si="287"/>
        <v>0</v>
      </c>
      <c r="AI1821">
        <f t="shared" si="288"/>
        <v>1</v>
      </c>
      <c r="AJ1821">
        <v>298.2</v>
      </c>
      <c r="AK1821">
        <v>1011.6</v>
      </c>
      <c r="AL1821">
        <v>11.9</v>
      </c>
      <c r="AM1821">
        <v>6.2</v>
      </c>
      <c r="AN1821">
        <v>274.7</v>
      </c>
      <c r="AO1821">
        <v>23.7</v>
      </c>
      <c r="AP1821">
        <v>9</v>
      </c>
      <c r="AQ1821">
        <v>0</v>
      </c>
      <c r="AR1821" t="s">
        <v>6148</v>
      </c>
      <c r="AS1821" t="s">
        <v>6149</v>
      </c>
      <c r="AT1821">
        <v>0.69</v>
      </c>
      <c r="AU1821" t="s">
        <v>74</v>
      </c>
      <c r="AV1821" t="s">
        <v>2955</v>
      </c>
      <c r="AW1821" t="s">
        <v>75</v>
      </c>
      <c r="AX1821" t="s">
        <v>4254</v>
      </c>
      <c r="AY1821" t="s">
        <v>6150</v>
      </c>
      <c r="AZ1821">
        <v>5890.0000000046566</v>
      </c>
      <c r="BA1821">
        <v>1</v>
      </c>
      <c r="BB1821">
        <v>0</v>
      </c>
      <c r="BC1821">
        <v>1000</v>
      </c>
      <c r="BD1821">
        <v>0</v>
      </c>
      <c r="BE1821">
        <f t="shared" si="289"/>
        <v>1</v>
      </c>
    </row>
    <row r="1822" spans="1:57" x14ac:dyDescent="0.25">
      <c r="A1822" t="s">
        <v>39</v>
      </c>
      <c r="B1822" t="s">
        <v>6151</v>
      </c>
      <c r="C1822">
        <v>66.2</v>
      </c>
      <c r="D1822">
        <v>55.4</v>
      </c>
      <c r="G1822">
        <f t="shared" si="280"/>
        <v>1</v>
      </c>
      <c r="H1822">
        <f t="shared" si="281"/>
        <v>1</v>
      </c>
      <c r="I1822">
        <f t="shared" si="282"/>
        <v>0</v>
      </c>
      <c r="J1822">
        <v>59.7</v>
      </c>
      <c r="K1822">
        <v>66.2</v>
      </c>
      <c r="L1822">
        <v>55.4</v>
      </c>
      <c r="M1822">
        <v>59.7</v>
      </c>
      <c r="N1822">
        <v>49.8</v>
      </c>
      <c r="O1822">
        <v>70.099999999999994</v>
      </c>
      <c r="S1822">
        <f t="shared" si="283"/>
        <v>1</v>
      </c>
      <c r="T1822">
        <f t="shared" si="284"/>
        <v>1</v>
      </c>
      <c r="U1822">
        <f t="shared" si="285"/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25.3</v>
      </c>
      <c r="AC1822">
        <v>18.3</v>
      </c>
      <c r="AG1822">
        <f t="shared" si="286"/>
        <v>1</v>
      </c>
      <c r="AH1822">
        <f t="shared" si="287"/>
        <v>0</v>
      </c>
      <c r="AI1822">
        <f t="shared" si="288"/>
        <v>1</v>
      </c>
      <c r="AJ1822">
        <v>171.2</v>
      </c>
      <c r="AK1822">
        <v>1018.7</v>
      </c>
      <c r="AL1822">
        <v>58.9</v>
      </c>
      <c r="AM1822">
        <v>6.2</v>
      </c>
      <c r="AN1822">
        <v>124</v>
      </c>
      <c r="AO1822">
        <v>10.8</v>
      </c>
      <c r="AP1822">
        <v>5</v>
      </c>
      <c r="AQ1822">
        <v>0</v>
      </c>
      <c r="AR1822" t="s">
        <v>6152</v>
      </c>
      <c r="AS1822" t="s">
        <v>6153</v>
      </c>
      <c r="AT1822">
        <v>0.87</v>
      </c>
      <c r="AU1822" t="s">
        <v>43</v>
      </c>
      <c r="AV1822" t="s">
        <v>44</v>
      </c>
      <c r="AW1822" t="s">
        <v>45</v>
      </c>
      <c r="AX1822" t="s">
        <v>6154</v>
      </c>
      <c r="AY1822" t="s">
        <v>6155</v>
      </c>
      <c r="AZ1822">
        <v>252.9999999969732</v>
      </c>
      <c r="BA1822">
        <v>0</v>
      </c>
      <c r="BB1822">
        <v>0</v>
      </c>
      <c r="BC1822">
        <v>0.2</v>
      </c>
      <c r="BD1822">
        <v>0</v>
      </c>
      <c r="BE1822">
        <f t="shared" si="289"/>
        <v>1</v>
      </c>
    </row>
    <row r="1823" spans="1:57" x14ac:dyDescent="0.25">
      <c r="A1823" t="s">
        <v>39</v>
      </c>
      <c r="B1823" t="s">
        <v>6156</v>
      </c>
      <c r="C1823">
        <v>71.599999999999994</v>
      </c>
      <c r="D1823">
        <v>62.6</v>
      </c>
      <c r="G1823">
        <f t="shared" si="280"/>
        <v>1</v>
      </c>
      <c r="H1823">
        <f t="shared" si="281"/>
        <v>1</v>
      </c>
      <c r="I1823">
        <f t="shared" si="282"/>
        <v>0</v>
      </c>
      <c r="J1823">
        <v>68.2</v>
      </c>
      <c r="K1823">
        <v>71.599999999999994</v>
      </c>
      <c r="L1823">
        <v>62.6</v>
      </c>
      <c r="M1823">
        <v>68.2</v>
      </c>
      <c r="N1823">
        <v>43.4</v>
      </c>
      <c r="O1823">
        <v>41.6</v>
      </c>
      <c r="S1823">
        <f t="shared" si="283"/>
        <v>1</v>
      </c>
      <c r="T1823">
        <f t="shared" si="284"/>
        <v>0</v>
      </c>
      <c r="U1823">
        <f t="shared" si="285"/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69.099999999999994</v>
      </c>
      <c r="AC1823">
        <v>46.1</v>
      </c>
      <c r="AG1823">
        <f t="shared" si="286"/>
        <v>1</v>
      </c>
      <c r="AH1823">
        <f t="shared" si="287"/>
        <v>1</v>
      </c>
      <c r="AI1823">
        <f t="shared" si="288"/>
        <v>0</v>
      </c>
      <c r="AJ1823">
        <v>170.6</v>
      </c>
      <c r="AK1823">
        <v>1004.7</v>
      </c>
      <c r="AL1823">
        <v>56.9</v>
      </c>
      <c r="AM1823">
        <v>5.2</v>
      </c>
      <c r="AN1823">
        <v>189.7</v>
      </c>
      <c r="AO1823">
        <v>16.3</v>
      </c>
      <c r="AP1823">
        <v>6</v>
      </c>
      <c r="AQ1823">
        <v>0</v>
      </c>
      <c r="AR1823" t="s">
        <v>6157</v>
      </c>
      <c r="AS1823" t="s">
        <v>6158</v>
      </c>
      <c r="AT1823">
        <v>0.5</v>
      </c>
      <c r="AU1823" t="s">
        <v>43</v>
      </c>
      <c r="AV1823" t="s">
        <v>44</v>
      </c>
      <c r="AW1823" t="s">
        <v>419</v>
      </c>
      <c r="AX1823" t="s">
        <v>6159</v>
      </c>
      <c r="AY1823" t="s">
        <v>6160</v>
      </c>
      <c r="AZ1823">
        <v>320.00000000582082</v>
      </c>
      <c r="BA1823">
        <v>0</v>
      </c>
      <c r="BB1823">
        <v>0</v>
      </c>
      <c r="BC1823">
        <v>6</v>
      </c>
      <c r="BD1823">
        <v>0</v>
      </c>
      <c r="BE1823">
        <f t="shared" si="289"/>
        <v>1</v>
      </c>
    </row>
    <row r="1824" spans="1:57" x14ac:dyDescent="0.25">
      <c r="A1824" t="s">
        <v>39</v>
      </c>
      <c r="B1824" t="s">
        <v>6156</v>
      </c>
      <c r="C1824">
        <v>71.599999999999994</v>
      </c>
      <c r="D1824">
        <v>62.6</v>
      </c>
      <c r="G1824">
        <f t="shared" si="280"/>
        <v>1</v>
      </c>
      <c r="H1824">
        <f t="shared" si="281"/>
        <v>1</v>
      </c>
      <c r="I1824">
        <f t="shared" si="282"/>
        <v>0</v>
      </c>
      <c r="J1824">
        <v>68.2</v>
      </c>
      <c r="K1824">
        <v>71.599999999999994</v>
      </c>
      <c r="L1824">
        <v>62.6</v>
      </c>
      <c r="M1824">
        <v>68.2</v>
      </c>
      <c r="N1824">
        <v>43.4</v>
      </c>
      <c r="O1824">
        <v>41.6</v>
      </c>
      <c r="S1824">
        <f t="shared" si="283"/>
        <v>1</v>
      </c>
      <c r="T1824">
        <f t="shared" si="284"/>
        <v>0</v>
      </c>
      <c r="U1824">
        <f t="shared" si="285"/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69.099999999999994</v>
      </c>
      <c r="AC1824">
        <v>46.1</v>
      </c>
      <c r="AG1824">
        <f t="shared" si="286"/>
        <v>1</v>
      </c>
      <c r="AH1824">
        <f t="shared" si="287"/>
        <v>1</v>
      </c>
      <c r="AI1824">
        <f t="shared" si="288"/>
        <v>0</v>
      </c>
      <c r="AJ1824">
        <v>170.6</v>
      </c>
      <c r="AK1824">
        <v>1004.7</v>
      </c>
      <c r="AL1824">
        <v>56.9</v>
      </c>
      <c r="AM1824">
        <v>5.2</v>
      </c>
      <c r="AN1824">
        <v>189.7</v>
      </c>
      <c r="AO1824">
        <v>16.3</v>
      </c>
      <c r="AP1824">
        <v>6</v>
      </c>
      <c r="AQ1824">
        <v>0</v>
      </c>
      <c r="AR1824" t="s">
        <v>6157</v>
      </c>
      <c r="AS1824" t="s">
        <v>6158</v>
      </c>
      <c r="AT1824">
        <v>0.5</v>
      </c>
      <c r="AU1824" t="s">
        <v>43</v>
      </c>
      <c r="AV1824" t="s">
        <v>44</v>
      </c>
      <c r="AW1824" t="s">
        <v>419</v>
      </c>
      <c r="AX1824" t="s">
        <v>6161</v>
      </c>
      <c r="AY1824" t="s">
        <v>6162</v>
      </c>
      <c r="AZ1824">
        <v>686.00000000442378</v>
      </c>
      <c r="BA1824">
        <v>1</v>
      </c>
      <c r="BB1824">
        <v>0</v>
      </c>
      <c r="BC1824">
        <v>4</v>
      </c>
      <c r="BD1824">
        <v>0</v>
      </c>
      <c r="BE1824">
        <f t="shared" si="289"/>
        <v>1</v>
      </c>
    </row>
    <row r="1825" spans="1:57" x14ac:dyDescent="0.25">
      <c r="A1825" t="s">
        <v>39</v>
      </c>
      <c r="B1825" t="s">
        <v>6163</v>
      </c>
      <c r="C1825">
        <v>68</v>
      </c>
      <c r="D1825">
        <v>53.6</v>
      </c>
      <c r="G1825">
        <f t="shared" si="280"/>
        <v>1</v>
      </c>
      <c r="H1825">
        <f t="shared" si="281"/>
        <v>0</v>
      </c>
      <c r="I1825">
        <f t="shared" si="282"/>
        <v>1</v>
      </c>
      <c r="J1825">
        <v>63.1</v>
      </c>
      <c r="K1825">
        <v>68</v>
      </c>
      <c r="L1825">
        <v>53.6</v>
      </c>
      <c r="M1825">
        <v>63.1</v>
      </c>
      <c r="N1825">
        <v>51.8</v>
      </c>
      <c r="O1825">
        <v>67</v>
      </c>
      <c r="S1825">
        <f t="shared" si="283"/>
        <v>1</v>
      </c>
      <c r="T1825">
        <f t="shared" si="284"/>
        <v>1</v>
      </c>
      <c r="U1825">
        <f t="shared" si="285"/>
        <v>0</v>
      </c>
      <c r="V1825">
        <v>1.9E-2</v>
      </c>
      <c r="W1825">
        <v>100</v>
      </c>
      <c r="X1825">
        <v>4.17</v>
      </c>
      <c r="Y1825" t="s">
        <v>103</v>
      </c>
      <c r="Z1825">
        <v>0</v>
      </c>
      <c r="AA1825">
        <v>0</v>
      </c>
      <c r="AB1825">
        <v>26.8</v>
      </c>
      <c r="AC1825">
        <v>18.3</v>
      </c>
      <c r="AG1825">
        <f t="shared" si="286"/>
        <v>0</v>
      </c>
      <c r="AH1825">
        <f t="shared" si="287"/>
        <v>0</v>
      </c>
      <c r="AI1825">
        <f t="shared" si="288"/>
        <v>0</v>
      </c>
      <c r="AJ1825">
        <v>301.60000000000002</v>
      </c>
      <c r="AK1825">
        <v>1013.7</v>
      </c>
      <c r="AL1825">
        <v>33.4</v>
      </c>
      <c r="AM1825">
        <v>6.2</v>
      </c>
      <c r="AN1825">
        <v>279.3</v>
      </c>
      <c r="AO1825">
        <v>24.1</v>
      </c>
      <c r="AP1825">
        <v>8</v>
      </c>
      <c r="AQ1825">
        <v>0</v>
      </c>
      <c r="AR1825" t="s">
        <v>6164</v>
      </c>
      <c r="AS1825" t="s">
        <v>6165</v>
      </c>
      <c r="AT1825">
        <v>0</v>
      </c>
      <c r="AU1825" t="s">
        <v>106</v>
      </c>
      <c r="AV1825" t="s">
        <v>296</v>
      </c>
      <c r="AW1825" t="s">
        <v>103</v>
      </c>
      <c r="AX1825" t="s">
        <v>6166</v>
      </c>
      <c r="AY1825" t="s">
        <v>6167</v>
      </c>
      <c r="AZ1825">
        <v>168.000000002794</v>
      </c>
      <c r="BA1825">
        <v>0</v>
      </c>
      <c r="BB1825">
        <v>0</v>
      </c>
      <c r="BC1825">
        <v>0.1</v>
      </c>
      <c r="BD1825">
        <v>0</v>
      </c>
      <c r="BE1825">
        <f t="shared" si="289"/>
        <v>0</v>
      </c>
    </row>
    <row r="1826" spans="1:57" x14ac:dyDescent="0.25">
      <c r="A1826" t="s">
        <v>39</v>
      </c>
      <c r="B1826" t="s">
        <v>6168</v>
      </c>
      <c r="C1826">
        <v>91.3</v>
      </c>
      <c r="D1826">
        <v>68</v>
      </c>
      <c r="G1826">
        <f t="shared" si="280"/>
        <v>1</v>
      </c>
      <c r="H1826">
        <f t="shared" si="281"/>
        <v>1</v>
      </c>
      <c r="I1826">
        <f t="shared" si="282"/>
        <v>0</v>
      </c>
      <c r="J1826">
        <v>77</v>
      </c>
      <c r="K1826">
        <v>87.4</v>
      </c>
      <c r="L1826">
        <v>68</v>
      </c>
      <c r="M1826">
        <v>76.5</v>
      </c>
      <c r="N1826">
        <v>56.8</v>
      </c>
      <c r="O1826">
        <v>53.5</v>
      </c>
      <c r="S1826">
        <f t="shared" si="283"/>
        <v>1</v>
      </c>
      <c r="T1826">
        <f t="shared" si="284"/>
        <v>0</v>
      </c>
      <c r="U1826">
        <f t="shared" si="285"/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41.6</v>
      </c>
      <c r="AC1826">
        <v>24.2</v>
      </c>
      <c r="AG1826">
        <f t="shared" si="286"/>
        <v>1</v>
      </c>
      <c r="AH1826">
        <f t="shared" si="287"/>
        <v>1</v>
      </c>
      <c r="AI1826">
        <f t="shared" si="288"/>
        <v>0</v>
      </c>
      <c r="AJ1826">
        <v>159.19999999999999</v>
      </c>
      <c r="AK1826">
        <v>1008.8</v>
      </c>
      <c r="AL1826">
        <v>38</v>
      </c>
      <c r="AM1826">
        <v>6.2</v>
      </c>
      <c r="AN1826">
        <v>301.3</v>
      </c>
      <c r="AO1826">
        <v>26</v>
      </c>
      <c r="AP1826">
        <v>9</v>
      </c>
      <c r="AQ1826">
        <v>0</v>
      </c>
      <c r="AR1826" t="s">
        <v>6169</v>
      </c>
      <c r="AS1826" t="s">
        <v>6170</v>
      </c>
      <c r="AT1826">
        <v>0.27</v>
      </c>
      <c r="AU1826" t="s">
        <v>43</v>
      </c>
      <c r="AV1826" t="s">
        <v>44</v>
      </c>
      <c r="AW1826" t="s">
        <v>45</v>
      </c>
      <c r="AX1826" t="s">
        <v>4509</v>
      </c>
      <c r="AY1826" t="s">
        <v>6171</v>
      </c>
      <c r="AZ1826">
        <v>3366.000000002095</v>
      </c>
      <c r="BA1826">
        <v>1</v>
      </c>
      <c r="BB1826">
        <v>10</v>
      </c>
      <c r="BC1826">
        <v>0</v>
      </c>
      <c r="BD1826">
        <v>0</v>
      </c>
      <c r="BE1826">
        <f t="shared" si="289"/>
        <v>1</v>
      </c>
    </row>
    <row r="1827" spans="1:57" x14ac:dyDescent="0.25">
      <c r="A1827" t="s">
        <v>39</v>
      </c>
      <c r="B1827" t="s">
        <v>6172</v>
      </c>
      <c r="C1827">
        <v>86</v>
      </c>
      <c r="D1827">
        <v>78.8</v>
      </c>
      <c r="G1827">
        <f t="shared" si="280"/>
        <v>1</v>
      </c>
      <c r="H1827">
        <f t="shared" si="281"/>
        <v>1</v>
      </c>
      <c r="I1827">
        <f t="shared" si="282"/>
        <v>0</v>
      </c>
      <c r="J1827">
        <v>82</v>
      </c>
      <c r="K1827">
        <v>95.1</v>
      </c>
      <c r="L1827">
        <v>78.8</v>
      </c>
      <c r="M1827">
        <v>85.9</v>
      </c>
      <c r="N1827">
        <v>72.599999999999994</v>
      </c>
      <c r="O1827">
        <v>73.5</v>
      </c>
      <c r="S1827">
        <f t="shared" si="283"/>
        <v>1</v>
      </c>
      <c r="T1827">
        <f t="shared" si="284"/>
        <v>1</v>
      </c>
      <c r="U1827">
        <f t="shared" si="285"/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26.2</v>
      </c>
      <c r="AC1827">
        <v>17.2</v>
      </c>
      <c r="AG1827">
        <f t="shared" si="286"/>
        <v>0</v>
      </c>
      <c r="AH1827">
        <f t="shared" si="287"/>
        <v>0</v>
      </c>
      <c r="AI1827">
        <f t="shared" si="288"/>
        <v>0</v>
      </c>
      <c r="AJ1827">
        <v>311.7</v>
      </c>
      <c r="AK1827">
        <v>1009.9</v>
      </c>
      <c r="AL1827">
        <v>1.3</v>
      </c>
      <c r="AM1827">
        <v>6.2</v>
      </c>
      <c r="AN1827">
        <v>312.39999999999998</v>
      </c>
      <c r="AO1827">
        <v>27</v>
      </c>
      <c r="AP1827">
        <v>9</v>
      </c>
      <c r="AQ1827">
        <v>0</v>
      </c>
      <c r="AR1827" t="s">
        <v>6173</v>
      </c>
      <c r="AS1827" t="s">
        <v>6174</v>
      </c>
      <c r="AT1827">
        <v>0.11</v>
      </c>
      <c r="AU1827" t="s">
        <v>74</v>
      </c>
      <c r="AV1827" t="s">
        <v>2955</v>
      </c>
      <c r="AW1827" t="s">
        <v>75</v>
      </c>
      <c r="AX1827" t="s">
        <v>4533</v>
      </c>
      <c r="AY1827" t="s">
        <v>6175</v>
      </c>
      <c r="AZ1827">
        <v>13161.99999999837</v>
      </c>
      <c r="BA1827">
        <v>1</v>
      </c>
      <c r="BB1827">
        <v>0</v>
      </c>
      <c r="BC1827">
        <v>5</v>
      </c>
      <c r="BD1827">
        <v>0</v>
      </c>
      <c r="BE1827">
        <f t="shared" si="289"/>
        <v>1</v>
      </c>
    </row>
    <row r="1828" spans="1:57" x14ac:dyDescent="0.25">
      <c r="A1828" t="s">
        <v>39</v>
      </c>
      <c r="B1828" t="s">
        <v>6176</v>
      </c>
      <c r="C1828">
        <v>86</v>
      </c>
      <c r="D1828">
        <v>73.400000000000006</v>
      </c>
      <c r="G1828">
        <f t="shared" si="280"/>
        <v>1</v>
      </c>
      <c r="H1828">
        <f t="shared" si="281"/>
        <v>1</v>
      </c>
      <c r="I1828">
        <f t="shared" si="282"/>
        <v>0</v>
      </c>
      <c r="J1828">
        <v>80.900000000000006</v>
      </c>
      <c r="K1828">
        <v>95.2</v>
      </c>
      <c r="L1828">
        <v>73.400000000000006</v>
      </c>
      <c r="M1828">
        <v>84.8</v>
      </c>
      <c r="N1828">
        <v>71.2</v>
      </c>
      <c r="O1828">
        <v>72.8</v>
      </c>
      <c r="S1828">
        <f t="shared" si="283"/>
        <v>1</v>
      </c>
      <c r="T1828">
        <f t="shared" si="284"/>
        <v>1</v>
      </c>
      <c r="U1828">
        <f t="shared" si="285"/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29.1</v>
      </c>
      <c r="AC1828">
        <v>19.7</v>
      </c>
      <c r="AG1828">
        <f t="shared" si="286"/>
        <v>1</v>
      </c>
      <c r="AH1828">
        <f t="shared" si="287"/>
        <v>1</v>
      </c>
      <c r="AI1828">
        <f t="shared" si="288"/>
        <v>0</v>
      </c>
      <c r="AJ1828">
        <v>307</v>
      </c>
      <c r="AK1828">
        <v>1010.1</v>
      </c>
      <c r="AL1828">
        <v>13.9</v>
      </c>
      <c r="AM1828">
        <v>6.2</v>
      </c>
      <c r="AN1828">
        <v>306.39999999999998</v>
      </c>
      <c r="AO1828">
        <v>26.3</v>
      </c>
      <c r="AP1828">
        <v>9</v>
      </c>
      <c r="AQ1828">
        <v>0</v>
      </c>
      <c r="AR1828" t="s">
        <v>6177</v>
      </c>
      <c r="AS1828" t="s">
        <v>6178</v>
      </c>
      <c r="AT1828">
        <v>0.15</v>
      </c>
      <c r="AU1828" t="s">
        <v>74</v>
      </c>
      <c r="AV1828" t="s">
        <v>2955</v>
      </c>
      <c r="AW1828" t="s">
        <v>75</v>
      </c>
      <c r="AX1828" t="s">
        <v>6179</v>
      </c>
      <c r="AY1828" t="s">
        <v>6180</v>
      </c>
      <c r="AZ1828">
        <v>1962.999999996973</v>
      </c>
      <c r="BA1828">
        <v>1</v>
      </c>
      <c r="BB1828">
        <v>0</v>
      </c>
      <c r="BC1828">
        <v>5</v>
      </c>
      <c r="BD1828">
        <v>0</v>
      </c>
      <c r="BE1828">
        <f t="shared" si="289"/>
        <v>1</v>
      </c>
    </row>
    <row r="1829" spans="1:57" x14ac:dyDescent="0.25">
      <c r="A1829" t="s">
        <v>39</v>
      </c>
      <c r="B1829" t="s">
        <v>6181</v>
      </c>
      <c r="C1829">
        <v>62.6</v>
      </c>
      <c r="D1829">
        <v>51.5</v>
      </c>
      <c r="G1829">
        <f t="shared" si="280"/>
        <v>1</v>
      </c>
      <c r="H1829">
        <f t="shared" si="281"/>
        <v>0</v>
      </c>
      <c r="I1829">
        <f t="shared" si="282"/>
        <v>1</v>
      </c>
      <c r="J1829">
        <v>58.7</v>
      </c>
      <c r="K1829">
        <v>62.6</v>
      </c>
      <c r="L1829">
        <v>51.5</v>
      </c>
      <c r="M1829">
        <v>58.7</v>
      </c>
      <c r="N1829">
        <v>47</v>
      </c>
      <c r="O1829">
        <v>65.400000000000006</v>
      </c>
      <c r="S1829">
        <f t="shared" si="283"/>
        <v>0</v>
      </c>
      <c r="T1829">
        <f t="shared" si="284"/>
        <v>0</v>
      </c>
      <c r="U1829">
        <f t="shared" si="285"/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26.2</v>
      </c>
      <c r="AC1829">
        <v>13.9</v>
      </c>
      <c r="AG1829">
        <f t="shared" si="286"/>
        <v>1</v>
      </c>
      <c r="AH1829">
        <f t="shared" si="287"/>
        <v>0</v>
      </c>
      <c r="AI1829">
        <f t="shared" si="288"/>
        <v>1</v>
      </c>
      <c r="AJ1829">
        <v>342.2</v>
      </c>
      <c r="AK1829">
        <v>1021.6</v>
      </c>
      <c r="AL1829">
        <v>52.3</v>
      </c>
      <c r="AM1829">
        <v>6.2</v>
      </c>
      <c r="AN1829">
        <v>107.5</v>
      </c>
      <c r="AO1829">
        <v>9.3000000000000007</v>
      </c>
      <c r="AP1829">
        <v>4</v>
      </c>
      <c r="AQ1829">
        <v>0</v>
      </c>
      <c r="AR1829" t="s">
        <v>6182</v>
      </c>
      <c r="AS1829" t="s">
        <v>6183</v>
      </c>
      <c r="AT1829">
        <v>0.6</v>
      </c>
      <c r="AU1829" t="s">
        <v>43</v>
      </c>
      <c r="AV1829" t="s">
        <v>44</v>
      </c>
      <c r="AW1829" t="s">
        <v>45</v>
      </c>
      <c r="AX1829" t="s">
        <v>6184</v>
      </c>
      <c r="AY1829" t="s">
        <v>6185</v>
      </c>
      <c r="AZ1829">
        <v>92.000000006519258</v>
      </c>
      <c r="BA1829">
        <v>0</v>
      </c>
      <c r="BB1829">
        <v>0</v>
      </c>
      <c r="BC1829">
        <v>0.2</v>
      </c>
      <c r="BD1829">
        <v>0</v>
      </c>
      <c r="BE1829">
        <f t="shared" si="289"/>
        <v>0</v>
      </c>
    </row>
    <row r="1830" spans="1:57" x14ac:dyDescent="0.25">
      <c r="A1830" t="s">
        <v>39</v>
      </c>
      <c r="B1830" t="s">
        <v>6186</v>
      </c>
      <c r="C1830">
        <v>82.4</v>
      </c>
      <c r="D1830">
        <v>61.1</v>
      </c>
      <c r="G1830">
        <f t="shared" si="280"/>
        <v>1</v>
      </c>
      <c r="H1830">
        <f t="shared" si="281"/>
        <v>1</v>
      </c>
      <c r="I1830">
        <f t="shared" si="282"/>
        <v>0</v>
      </c>
      <c r="J1830">
        <v>72.400000000000006</v>
      </c>
      <c r="K1830">
        <v>80.3</v>
      </c>
      <c r="L1830">
        <v>61.1</v>
      </c>
      <c r="M1830">
        <v>72</v>
      </c>
      <c r="N1830">
        <v>40.700000000000003</v>
      </c>
      <c r="O1830">
        <v>33.9</v>
      </c>
      <c r="S1830">
        <f t="shared" si="283"/>
        <v>1</v>
      </c>
      <c r="T1830">
        <f t="shared" si="284"/>
        <v>0</v>
      </c>
      <c r="U1830">
        <f t="shared" si="285"/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27.7</v>
      </c>
      <c r="AC1830">
        <v>21.9</v>
      </c>
      <c r="AG1830">
        <f t="shared" si="286"/>
        <v>1</v>
      </c>
      <c r="AH1830">
        <f t="shared" si="287"/>
        <v>1</v>
      </c>
      <c r="AI1830">
        <f t="shared" si="288"/>
        <v>0</v>
      </c>
      <c r="AJ1830">
        <v>177.1</v>
      </c>
      <c r="AK1830">
        <v>1018.5</v>
      </c>
      <c r="AL1830">
        <v>37.6</v>
      </c>
      <c r="AM1830">
        <v>6.2</v>
      </c>
      <c r="AN1830">
        <v>187.1</v>
      </c>
      <c r="AO1830">
        <v>16.2</v>
      </c>
      <c r="AP1830">
        <v>7</v>
      </c>
      <c r="AQ1830">
        <v>0</v>
      </c>
      <c r="AR1830" t="s">
        <v>6187</v>
      </c>
      <c r="AS1830" t="s">
        <v>6188</v>
      </c>
      <c r="AT1830">
        <v>0.25</v>
      </c>
      <c r="AU1830" t="s">
        <v>43</v>
      </c>
      <c r="AV1830" t="s">
        <v>80</v>
      </c>
      <c r="AW1830" t="s">
        <v>45</v>
      </c>
      <c r="AX1830" t="s">
        <v>2763</v>
      </c>
      <c r="AY1830" t="s">
        <v>6189</v>
      </c>
      <c r="AZ1830">
        <v>30.00000000349246</v>
      </c>
      <c r="BA1830">
        <v>0</v>
      </c>
      <c r="BB1830">
        <v>0</v>
      </c>
      <c r="BC1830">
        <v>0.2</v>
      </c>
      <c r="BD1830">
        <v>0</v>
      </c>
      <c r="BE1830">
        <f t="shared" si="289"/>
        <v>1</v>
      </c>
    </row>
    <row r="1831" spans="1:57" x14ac:dyDescent="0.25">
      <c r="A1831" t="s">
        <v>39</v>
      </c>
      <c r="B1831" t="s">
        <v>6190</v>
      </c>
      <c r="C1831">
        <v>77</v>
      </c>
      <c r="D1831">
        <v>60.8</v>
      </c>
      <c r="G1831">
        <f t="shared" si="280"/>
        <v>1</v>
      </c>
      <c r="H1831">
        <f t="shared" si="281"/>
        <v>1</v>
      </c>
      <c r="I1831">
        <f t="shared" si="282"/>
        <v>0</v>
      </c>
      <c r="J1831">
        <v>70</v>
      </c>
      <c r="K1831">
        <v>77</v>
      </c>
      <c r="L1831">
        <v>60.8</v>
      </c>
      <c r="M1831">
        <v>70</v>
      </c>
      <c r="N1831">
        <v>56.3</v>
      </c>
      <c r="O1831">
        <v>63.2</v>
      </c>
      <c r="S1831">
        <f t="shared" si="283"/>
        <v>0</v>
      </c>
      <c r="T1831">
        <f t="shared" si="284"/>
        <v>0</v>
      </c>
      <c r="U1831">
        <f t="shared" si="285"/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29.8</v>
      </c>
      <c r="AC1831">
        <v>15</v>
      </c>
      <c r="AG1831">
        <f t="shared" si="286"/>
        <v>1</v>
      </c>
      <c r="AH1831">
        <f t="shared" si="287"/>
        <v>0</v>
      </c>
      <c r="AI1831">
        <f t="shared" si="288"/>
        <v>1</v>
      </c>
      <c r="AJ1831">
        <v>312.3</v>
      </c>
      <c r="AK1831">
        <v>1015.5</v>
      </c>
      <c r="AL1831">
        <v>16.399999999999999</v>
      </c>
      <c r="AM1831">
        <v>6.2</v>
      </c>
      <c r="AN1831">
        <v>332.1</v>
      </c>
      <c r="AO1831">
        <v>28.6</v>
      </c>
      <c r="AP1831">
        <v>10</v>
      </c>
      <c r="AQ1831">
        <v>0</v>
      </c>
      <c r="AR1831" t="s">
        <v>6191</v>
      </c>
      <c r="AS1831" t="s">
        <v>6192</v>
      </c>
      <c r="AT1831">
        <v>0.73</v>
      </c>
      <c r="AU1831" t="s">
        <v>74</v>
      </c>
      <c r="AV1831" t="s">
        <v>2955</v>
      </c>
      <c r="AW1831" t="s">
        <v>75</v>
      </c>
      <c r="AX1831" t="s">
        <v>2795</v>
      </c>
      <c r="AY1831" t="s">
        <v>6193</v>
      </c>
      <c r="AZ1831">
        <v>245.00000000232831</v>
      </c>
      <c r="BA1831">
        <v>0</v>
      </c>
      <c r="BB1831">
        <v>0</v>
      </c>
      <c r="BC1831">
        <v>3</v>
      </c>
      <c r="BD1831">
        <v>0</v>
      </c>
      <c r="BE1831">
        <f t="shared" si="289"/>
        <v>0</v>
      </c>
    </row>
    <row r="1832" spans="1:57" x14ac:dyDescent="0.25">
      <c r="A1832" t="s">
        <v>39</v>
      </c>
      <c r="B1832" t="s">
        <v>6186</v>
      </c>
      <c r="C1832">
        <v>82.4</v>
      </c>
      <c r="D1832">
        <v>61.1</v>
      </c>
      <c r="G1832">
        <f t="shared" si="280"/>
        <v>1</v>
      </c>
      <c r="H1832">
        <f t="shared" si="281"/>
        <v>1</v>
      </c>
      <c r="I1832">
        <f t="shared" si="282"/>
        <v>0</v>
      </c>
      <c r="J1832">
        <v>72.400000000000006</v>
      </c>
      <c r="K1832">
        <v>80.3</v>
      </c>
      <c r="L1832">
        <v>61.1</v>
      </c>
      <c r="M1832">
        <v>72</v>
      </c>
      <c r="N1832">
        <v>40.700000000000003</v>
      </c>
      <c r="O1832">
        <v>33.9</v>
      </c>
      <c r="S1832">
        <f t="shared" si="283"/>
        <v>1</v>
      </c>
      <c r="T1832">
        <f t="shared" si="284"/>
        <v>0</v>
      </c>
      <c r="U1832">
        <f t="shared" si="285"/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27.7</v>
      </c>
      <c r="AC1832">
        <v>21.9</v>
      </c>
      <c r="AG1832">
        <f t="shared" si="286"/>
        <v>1</v>
      </c>
      <c r="AH1832">
        <f t="shared" si="287"/>
        <v>1</v>
      </c>
      <c r="AI1832">
        <f t="shared" si="288"/>
        <v>0</v>
      </c>
      <c r="AJ1832">
        <v>177.1</v>
      </c>
      <c r="AK1832">
        <v>1018.5</v>
      </c>
      <c r="AL1832">
        <v>37.6</v>
      </c>
      <c r="AM1832">
        <v>6.2</v>
      </c>
      <c r="AN1832">
        <v>187.1</v>
      </c>
      <c r="AO1832">
        <v>16.2</v>
      </c>
      <c r="AP1832">
        <v>7</v>
      </c>
      <c r="AQ1832">
        <v>0</v>
      </c>
      <c r="AR1832" t="s">
        <v>6187</v>
      </c>
      <c r="AS1832" t="s">
        <v>6188</v>
      </c>
      <c r="AT1832">
        <v>0.25</v>
      </c>
      <c r="AU1832" t="s">
        <v>43</v>
      </c>
      <c r="AV1832" t="s">
        <v>80</v>
      </c>
      <c r="AW1832" t="s">
        <v>45</v>
      </c>
      <c r="AX1832" t="s">
        <v>2670</v>
      </c>
      <c r="AY1832" t="s">
        <v>6194</v>
      </c>
      <c r="AZ1832">
        <v>239.99999999650751</v>
      </c>
      <c r="BA1832">
        <v>0</v>
      </c>
      <c r="BB1832">
        <v>0</v>
      </c>
      <c r="BC1832">
        <v>10</v>
      </c>
      <c r="BD1832">
        <v>0</v>
      </c>
      <c r="BE1832">
        <f t="shared" si="289"/>
        <v>1</v>
      </c>
    </row>
    <row r="1833" spans="1:57" x14ac:dyDescent="0.25">
      <c r="A1833" t="s">
        <v>39</v>
      </c>
      <c r="B1833" t="s">
        <v>6195</v>
      </c>
      <c r="C1833">
        <v>82.4</v>
      </c>
      <c r="D1833">
        <v>64.3</v>
      </c>
      <c r="G1833">
        <f t="shared" si="280"/>
        <v>1</v>
      </c>
      <c r="H1833">
        <f t="shared" si="281"/>
        <v>1</v>
      </c>
      <c r="I1833">
        <f t="shared" si="282"/>
        <v>0</v>
      </c>
      <c r="J1833">
        <v>72.5</v>
      </c>
      <c r="K1833">
        <v>80.3</v>
      </c>
      <c r="L1833">
        <v>64.3</v>
      </c>
      <c r="M1833">
        <v>72.3</v>
      </c>
      <c r="N1833">
        <v>39.4</v>
      </c>
      <c r="O1833">
        <v>31</v>
      </c>
      <c r="S1833">
        <f t="shared" si="283"/>
        <v>1</v>
      </c>
      <c r="T1833">
        <f t="shared" si="284"/>
        <v>0</v>
      </c>
      <c r="U1833">
        <f t="shared" si="285"/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28.9</v>
      </c>
      <c r="AC1833">
        <v>25.3</v>
      </c>
      <c r="AG1833">
        <f t="shared" si="286"/>
        <v>1</v>
      </c>
      <c r="AH1833">
        <f t="shared" si="287"/>
        <v>1</v>
      </c>
      <c r="AI1833">
        <f t="shared" si="288"/>
        <v>0</v>
      </c>
      <c r="AJ1833">
        <v>170.6</v>
      </c>
      <c r="AK1833">
        <v>1025.4000000000001</v>
      </c>
      <c r="AL1833">
        <v>31.8</v>
      </c>
      <c r="AM1833">
        <v>6.2</v>
      </c>
      <c r="AN1833">
        <v>188.9</v>
      </c>
      <c r="AO1833">
        <v>16.399999999999999</v>
      </c>
      <c r="AP1833">
        <v>7</v>
      </c>
      <c r="AQ1833">
        <v>0</v>
      </c>
      <c r="AR1833" t="s">
        <v>6196</v>
      </c>
      <c r="AS1833" t="s">
        <v>6197</v>
      </c>
      <c r="AT1833">
        <v>0.28000000000000003</v>
      </c>
      <c r="AU1833" t="s">
        <v>43</v>
      </c>
      <c r="AV1833" t="s">
        <v>44</v>
      </c>
      <c r="AW1833" t="s">
        <v>45</v>
      </c>
      <c r="AX1833" t="s">
        <v>4801</v>
      </c>
      <c r="AY1833" t="s">
        <v>6198</v>
      </c>
      <c r="AZ1833">
        <v>79.999999998835847</v>
      </c>
      <c r="BA1833">
        <v>0</v>
      </c>
      <c r="BB1833">
        <v>0</v>
      </c>
      <c r="BC1833">
        <v>2</v>
      </c>
      <c r="BD1833">
        <v>0</v>
      </c>
      <c r="BE1833">
        <f t="shared" si="289"/>
        <v>1</v>
      </c>
    </row>
    <row r="1834" spans="1:57" x14ac:dyDescent="0.25">
      <c r="A1834" t="s">
        <v>39</v>
      </c>
      <c r="B1834" t="s">
        <v>6199</v>
      </c>
      <c r="C1834">
        <v>73.400000000000006</v>
      </c>
      <c r="D1834">
        <v>58.6</v>
      </c>
      <c r="G1834">
        <f t="shared" si="280"/>
        <v>1</v>
      </c>
      <c r="H1834">
        <f t="shared" si="281"/>
        <v>1</v>
      </c>
      <c r="I1834">
        <f t="shared" si="282"/>
        <v>0</v>
      </c>
      <c r="J1834">
        <v>68.099999999999994</v>
      </c>
      <c r="K1834">
        <v>73.400000000000006</v>
      </c>
      <c r="L1834">
        <v>58.6</v>
      </c>
      <c r="M1834">
        <v>68.099999999999994</v>
      </c>
      <c r="N1834">
        <v>39.799999999999997</v>
      </c>
      <c r="O1834">
        <v>39.1</v>
      </c>
      <c r="S1834">
        <f t="shared" si="283"/>
        <v>1</v>
      </c>
      <c r="T1834">
        <f t="shared" si="284"/>
        <v>0</v>
      </c>
      <c r="U1834">
        <f t="shared" si="285"/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48.3</v>
      </c>
      <c r="AC1834">
        <v>36.799999999999997</v>
      </c>
      <c r="AG1834">
        <f t="shared" si="286"/>
        <v>1</v>
      </c>
      <c r="AH1834">
        <f t="shared" si="287"/>
        <v>1</v>
      </c>
      <c r="AI1834">
        <f t="shared" si="288"/>
        <v>0</v>
      </c>
      <c r="AJ1834">
        <v>172.2</v>
      </c>
      <c r="AK1834">
        <v>1017.4</v>
      </c>
      <c r="AL1834">
        <v>39.6</v>
      </c>
      <c r="AM1834">
        <v>6.2</v>
      </c>
      <c r="AN1834">
        <v>183.4</v>
      </c>
      <c r="AO1834">
        <v>15.9</v>
      </c>
      <c r="AP1834">
        <v>7</v>
      </c>
      <c r="AQ1834">
        <v>0</v>
      </c>
      <c r="AR1834" t="s">
        <v>6200</v>
      </c>
      <c r="AS1834" t="s">
        <v>6201</v>
      </c>
      <c r="AT1834">
        <v>0.72</v>
      </c>
      <c r="AU1834" t="s">
        <v>43</v>
      </c>
      <c r="AV1834" t="s">
        <v>44</v>
      </c>
      <c r="AW1834" t="s">
        <v>419</v>
      </c>
      <c r="AX1834" t="s">
        <v>5541</v>
      </c>
      <c r="AY1834" t="s">
        <v>6202</v>
      </c>
      <c r="AZ1834">
        <v>145.00000000116421</v>
      </c>
      <c r="BA1834">
        <v>0</v>
      </c>
      <c r="BB1834">
        <v>0</v>
      </c>
      <c r="BC1834">
        <v>0.5</v>
      </c>
      <c r="BD1834">
        <v>0</v>
      </c>
      <c r="BE1834">
        <f t="shared" si="289"/>
        <v>1</v>
      </c>
    </row>
    <row r="1835" spans="1:57" x14ac:dyDescent="0.25">
      <c r="A1835" t="s">
        <v>39</v>
      </c>
      <c r="B1835" t="s">
        <v>6203</v>
      </c>
      <c r="C1835">
        <v>75.2</v>
      </c>
      <c r="D1835">
        <v>53.1</v>
      </c>
      <c r="G1835">
        <f t="shared" si="280"/>
        <v>1</v>
      </c>
      <c r="H1835">
        <f t="shared" si="281"/>
        <v>1</v>
      </c>
      <c r="I1835">
        <f t="shared" si="282"/>
        <v>0</v>
      </c>
      <c r="J1835">
        <v>63.9</v>
      </c>
      <c r="K1835">
        <v>75.2</v>
      </c>
      <c r="L1835">
        <v>53.1</v>
      </c>
      <c r="M1835">
        <v>63.9</v>
      </c>
      <c r="N1835">
        <v>43.5</v>
      </c>
      <c r="O1835">
        <v>50.4</v>
      </c>
      <c r="S1835">
        <f t="shared" si="283"/>
        <v>1</v>
      </c>
      <c r="T1835">
        <f t="shared" si="284"/>
        <v>0</v>
      </c>
      <c r="U1835">
        <f t="shared" si="285"/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35.799999999999997</v>
      </c>
      <c r="AC1835">
        <v>25.3</v>
      </c>
      <c r="AG1835">
        <f t="shared" si="286"/>
        <v>1</v>
      </c>
      <c r="AH1835">
        <f t="shared" si="287"/>
        <v>1</v>
      </c>
      <c r="AI1835">
        <f t="shared" si="288"/>
        <v>0</v>
      </c>
      <c r="AJ1835">
        <v>184.8</v>
      </c>
      <c r="AK1835">
        <v>1011.4</v>
      </c>
      <c r="AL1835">
        <v>65.599999999999994</v>
      </c>
      <c r="AM1835">
        <v>6.2</v>
      </c>
      <c r="AN1835">
        <v>181</v>
      </c>
      <c r="AO1835">
        <v>15.4</v>
      </c>
      <c r="AP1835">
        <v>7</v>
      </c>
      <c r="AQ1835">
        <v>0</v>
      </c>
      <c r="AR1835" t="s">
        <v>6204</v>
      </c>
      <c r="AS1835" t="s">
        <v>6205</v>
      </c>
      <c r="AT1835">
        <v>0.12</v>
      </c>
      <c r="AU1835" t="s">
        <v>43</v>
      </c>
      <c r="AV1835" t="s">
        <v>44</v>
      </c>
      <c r="AW1835" t="s">
        <v>45</v>
      </c>
      <c r="AX1835" t="s">
        <v>6027</v>
      </c>
      <c r="AY1835" t="s">
        <v>6206</v>
      </c>
      <c r="AZ1835">
        <v>161.00000000093129</v>
      </c>
      <c r="BA1835">
        <v>0</v>
      </c>
      <c r="BB1835">
        <v>0</v>
      </c>
      <c r="BC1835">
        <v>2</v>
      </c>
      <c r="BD1835">
        <v>0</v>
      </c>
      <c r="BE1835">
        <f t="shared" si="289"/>
        <v>1</v>
      </c>
    </row>
    <row r="1836" spans="1:57" x14ac:dyDescent="0.25">
      <c r="A1836" t="s">
        <v>39</v>
      </c>
      <c r="B1836" t="s">
        <v>6207</v>
      </c>
      <c r="C1836">
        <v>76.900000000000006</v>
      </c>
      <c r="D1836">
        <v>51.5</v>
      </c>
      <c r="G1836">
        <f t="shared" si="280"/>
        <v>1</v>
      </c>
      <c r="H1836">
        <f t="shared" si="281"/>
        <v>1</v>
      </c>
      <c r="I1836">
        <f t="shared" si="282"/>
        <v>0</v>
      </c>
      <c r="J1836">
        <v>63.7</v>
      </c>
      <c r="K1836">
        <v>76.900000000000006</v>
      </c>
      <c r="L1836">
        <v>51.5</v>
      </c>
      <c r="M1836">
        <v>63.7</v>
      </c>
      <c r="N1836">
        <v>49.4</v>
      </c>
      <c r="O1836">
        <v>63.8</v>
      </c>
      <c r="S1836">
        <f t="shared" si="283"/>
        <v>0</v>
      </c>
      <c r="T1836">
        <f t="shared" si="284"/>
        <v>0</v>
      </c>
      <c r="U1836">
        <f t="shared" si="285"/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32.200000000000003</v>
      </c>
      <c r="AC1836">
        <v>20.8</v>
      </c>
      <c r="AG1836">
        <f t="shared" si="286"/>
        <v>1</v>
      </c>
      <c r="AH1836">
        <f t="shared" si="287"/>
        <v>1</v>
      </c>
      <c r="AI1836">
        <f t="shared" si="288"/>
        <v>0</v>
      </c>
      <c r="AJ1836">
        <v>127.6</v>
      </c>
      <c r="AK1836">
        <v>1009.2</v>
      </c>
      <c r="AL1836">
        <v>37.200000000000003</v>
      </c>
      <c r="AM1836">
        <v>6.2</v>
      </c>
      <c r="AN1836">
        <v>226.6</v>
      </c>
      <c r="AO1836">
        <v>19.7</v>
      </c>
      <c r="AP1836">
        <v>8</v>
      </c>
      <c r="AQ1836">
        <v>0</v>
      </c>
      <c r="AR1836" t="s">
        <v>6208</v>
      </c>
      <c r="AS1836" t="s">
        <v>6209</v>
      </c>
      <c r="AT1836">
        <v>0</v>
      </c>
      <c r="AU1836" t="s">
        <v>43</v>
      </c>
      <c r="AV1836" t="s">
        <v>44</v>
      </c>
      <c r="AW1836" t="s">
        <v>45</v>
      </c>
      <c r="AX1836" t="s">
        <v>5288</v>
      </c>
      <c r="AY1836" t="s">
        <v>6210</v>
      </c>
      <c r="AZ1836">
        <v>654.99999999767169</v>
      </c>
      <c r="BA1836">
        <v>1</v>
      </c>
      <c r="BB1836">
        <v>0</v>
      </c>
      <c r="BC1836">
        <v>50</v>
      </c>
      <c r="BD1836">
        <v>0</v>
      </c>
      <c r="BE1836">
        <f t="shared" si="289"/>
        <v>1</v>
      </c>
    </row>
    <row r="1837" spans="1:57" x14ac:dyDescent="0.25">
      <c r="A1837" t="s">
        <v>39</v>
      </c>
      <c r="B1837" t="s">
        <v>6211</v>
      </c>
      <c r="C1837">
        <v>84.2</v>
      </c>
      <c r="D1837">
        <v>62.6</v>
      </c>
      <c r="G1837">
        <f t="shared" si="280"/>
        <v>1</v>
      </c>
      <c r="H1837">
        <f t="shared" si="281"/>
        <v>1</v>
      </c>
      <c r="I1837">
        <f t="shared" si="282"/>
        <v>0</v>
      </c>
      <c r="J1837">
        <v>70</v>
      </c>
      <c r="K1837">
        <v>81.7</v>
      </c>
      <c r="L1837">
        <v>62.6</v>
      </c>
      <c r="M1837">
        <v>69.8</v>
      </c>
      <c r="N1837">
        <v>52.6</v>
      </c>
      <c r="O1837">
        <v>58.4</v>
      </c>
      <c r="S1837">
        <f t="shared" si="283"/>
        <v>1</v>
      </c>
      <c r="T1837">
        <f t="shared" si="284"/>
        <v>0</v>
      </c>
      <c r="U1837">
        <f t="shared" si="285"/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27.6</v>
      </c>
      <c r="AC1837">
        <v>12.7</v>
      </c>
      <c r="AG1837">
        <f t="shared" si="286"/>
        <v>1</v>
      </c>
      <c r="AH1837">
        <f t="shared" si="287"/>
        <v>0</v>
      </c>
      <c r="AI1837">
        <f t="shared" si="288"/>
        <v>1</v>
      </c>
      <c r="AJ1837">
        <v>311.10000000000002</v>
      </c>
      <c r="AK1837">
        <v>1012.7</v>
      </c>
      <c r="AL1837">
        <v>41</v>
      </c>
      <c r="AM1837">
        <v>6.2</v>
      </c>
      <c r="AN1837">
        <v>289.2</v>
      </c>
      <c r="AO1837">
        <v>25</v>
      </c>
      <c r="AP1837">
        <v>9</v>
      </c>
      <c r="AQ1837">
        <v>0</v>
      </c>
      <c r="AR1837" t="s">
        <v>6212</v>
      </c>
      <c r="AS1837" t="s">
        <v>6213</v>
      </c>
      <c r="AT1837">
        <v>0.27</v>
      </c>
      <c r="AU1837" t="s">
        <v>43</v>
      </c>
      <c r="AV1837" t="s">
        <v>80</v>
      </c>
      <c r="AW1837" t="s">
        <v>45</v>
      </c>
      <c r="AX1837" t="s">
        <v>2519</v>
      </c>
      <c r="AY1837" t="s">
        <v>6214</v>
      </c>
      <c r="AZ1837">
        <v>110.00000000232831</v>
      </c>
      <c r="BA1837">
        <v>0</v>
      </c>
      <c r="BB1837">
        <v>0</v>
      </c>
      <c r="BC1837">
        <v>0.4</v>
      </c>
      <c r="BD1837">
        <v>0</v>
      </c>
      <c r="BE1837">
        <f t="shared" si="289"/>
        <v>1</v>
      </c>
    </row>
    <row r="1838" spans="1:57" x14ac:dyDescent="0.25">
      <c r="A1838" t="s">
        <v>39</v>
      </c>
      <c r="B1838" t="s">
        <v>6215</v>
      </c>
      <c r="C1838">
        <v>86</v>
      </c>
      <c r="D1838">
        <v>59</v>
      </c>
      <c r="G1838">
        <f t="shared" si="280"/>
        <v>1</v>
      </c>
      <c r="H1838">
        <f t="shared" si="281"/>
        <v>1</v>
      </c>
      <c r="I1838">
        <f t="shared" si="282"/>
        <v>0</v>
      </c>
      <c r="J1838">
        <v>71</v>
      </c>
      <c r="K1838">
        <v>83.2</v>
      </c>
      <c r="L1838">
        <v>59</v>
      </c>
      <c r="M1838">
        <v>70.599999999999994</v>
      </c>
      <c r="N1838">
        <v>43.5</v>
      </c>
      <c r="O1838">
        <v>40.200000000000003</v>
      </c>
      <c r="S1838">
        <f t="shared" si="283"/>
        <v>1</v>
      </c>
      <c r="T1838">
        <f t="shared" si="284"/>
        <v>0</v>
      </c>
      <c r="U1838">
        <f t="shared" si="285"/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36.9</v>
      </c>
      <c r="AC1838">
        <v>21.9</v>
      </c>
      <c r="AG1838">
        <f t="shared" si="286"/>
        <v>1</v>
      </c>
      <c r="AH1838">
        <f t="shared" si="287"/>
        <v>1</v>
      </c>
      <c r="AI1838">
        <f t="shared" si="288"/>
        <v>0</v>
      </c>
      <c r="AJ1838">
        <v>159.9</v>
      </c>
      <c r="AK1838">
        <v>1013.4</v>
      </c>
      <c r="AL1838">
        <v>26</v>
      </c>
      <c r="AM1838">
        <v>6.2</v>
      </c>
      <c r="AN1838">
        <v>304</v>
      </c>
      <c r="AO1838">
        <v>26.2</v>
      </c>
      <c r="AP1838">
        <v>9</v>
      </c>
      <c r="AQ1838">
        <v>0</v>
      </c>
      <c r="AR1838" t="s">
        <v>6216</v>
      </c>
      <c r="AS1838" t="s">
        <v>6217</v>
      </c>
      <c r="AT1838">
        <v>0.75</v>
      </c>
      <c r="AU1838" t="s">
        <v>43</v>
      </c>
      <c r="AV1838" t="s">
        <v>44</v>
      </c>
      <c r="AW1838" t="s">
        <v>45</v>
      </c>
      <c r="AX1838" t="s">
        <v>2476</v>
      </c>
      <c r="AY1838" t="s">
        <v>6218</v>
      </c>
      <c r="AZ1838">
        <v>454.99999999534339</v>
      </c>
      <c r="BA1838">
        <v>1</v>
      </c>
      <c r="BB1838">
        <v>0</v>
      </c>
      <c r="BC1838">
        <v>15</v>
      </c>
      <c r="BD1838">
        <v>0</v>
      </c>
      <c r="BE1838">
        <f t="shared" si="289"/>
        <v>1</v>
      </c>
    </row>
    <row r="1839" spans="1:57" x14ac:dyDescent="0.25">
      <c r="A1839" t="s">
        <v>39</v>
      </c>
      <c r="B1839" t="s">
        <v>6219</v>
      </c>
      <c r="C1839">
        <v>84.2</v>
      </c>
      <c r="D1839">
        <v>68</v>
      </c>
      <c r="G1839">
        <f t="shared" si="280"/>
        <v>0</v>
      </c>
      <c r="H1839">
        <f t="shared" si="281"/>
        <v>0</v>
      </c>
      <c r="I1839">
        <f t="shared" si="282"/>
        <v>0</v>
      </c>
      <c r="J1839">
        <v>76.8</v>
      </c>
      <c r="K1839">
        <v>91</v>
      </c>
      <c r="L1839">
        <v>68</v>
      </c>
      <c r="M1839">
        <v>78.8</v>
      </c>
      <c r="N1839">
        <v>68.599999999999994</v>
      </c>
      <c r="O1839">
        <v>76.099999999999994</v>
      </c>
      <c r="S1839">
        <f t="shared" si="283"/>
        <v>1</v>
      </c>
      <c r="T1839">
        <f t="shared" si="284"/>
        <v>1</v>
      </c>
      <c r="U1839">
        <f t="shared" si="285"/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26.8</v>
      </c>
      <c r="AC1839">
        <v>17.2</v>
      </c>
      <c r="AG1839">
        <f t="shared" si="286"/>
        <v>0</v>
      </c>
      <c r="AH1839">
        <f t="shared" si="287"/>
        <v>0</v>
      </c>
      <c r="AI1839">
        <f t="shared" si="288"/>
        <v>0</v>
      </c>
      <c r="AJ1839">
        <v>304.2</v>
      </c>
      <c r="AK1839">
        <v>1010.1</v>
      </c>
      <c r="AL1839">
        <v>0</v>
      </c>
      <c r="AM1839">
        <v>6.2</v>
      </c>
      <c r="AN1839">
        <v>309</v>
      </c>
      <c r="AO1839">
        <v>26.7</v>
      </c>
      <c r="AP1839">
        <v>9</v>
      </c>
      <c r="AQ1839">
        <v>0</v>
      </c>
      <c r="AR1839" t="s">
        <v>6220</v>
      </c>
      <c r="AS1839" t="s">
        <v>6221</v>
      </c>
      <c r="AT1839">
        <v>0.47</v>
      </c>
      <c r="AU1839" t="s">
        <v>74</v>
      </c>
      <c r="AV1839" t="s">
        <v>2955</v>
      </c>
      <c r="AW1839" t="s">
        <v>75</v>
      </c>
      <c r="AX1839" t="s">
        <v>2582</v>
      </c>
      <c r="AY1839" t="s">
        <v>6222</v>
      </c>
      <c r="AZ1839">
        <v>1205.000000009313</v>
      </c>
      <c r="BA1839">
        <v>1</v>
      </c>
      <c r="BB1839">
        <v>10</v>
      </c>
      <c r="BC1839">
        <v>0</v>
      </c>
      <c r="BD1839">
        <v>0</v>
      </c>
      <c r="BE1839">
        <f t="shared" si="289"/>
        <v>0</v>
      </c>
    </row>
    <row r="1840" spans="1:57" x14ac:dyDescent="0.25">
      <c r="A1840" t="s">
        <v>39</v>
      </c>
      <c r="B1840" t="s">
        <v>6219</v>
      </c>
      <c r="C1840">
        <v>84.2</v>
      </c>
      <c r="D1840">
        <v>68</v>
      </c>
      <c r="G1840">
        <f t="shared" si="280"/>
        <v>0</v>
      </c>
      <c r="H1840">
        <f t="shared" si="281"/>
        <v>0</v>
      </c>
      <c r="I1840">
        <f t="shared" si="282"/>
        <v>0</v>
      </c>
      <c r="J1840">
        <v>76.8</v>
      </c>
      <c r="K1840">
        <v>91</v>
      </c>
      <c r="L1840">
        <v>68</v>
      </c>
      <c r="M1840">
        <v>78.8</v>
      </c>
      <c r="N1840">
        <v>68.599999999999994</v>
      </c>
      <c r="O1840">
        <v>76.099999999999994</v>
      </c>
      <c r="S1840">
        <f t="shared" si="283"/>
        <v>1</v>
      </c>
      <c r="T1840">
        <f t="shared" si="284"/>
        <v>1</v>
      </c>
      <c r="U1840">
        <f t="shared" si="285"/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26.8</v>
      </c>
      <c r="AC1840">
        <v>17.2</v>
      </c>
      <c r="AG1840">
        <f t="shared" si="286"/>
        <v>0</v>
      </c>
      <c r="AH1840">
        <f t="shared" si="287"/>
        <v>0</v>
      </c>
      <c r="AI1840">
        <f t="shared" si="288"/>
        <v>0</v>
      </c>
      <c r="AJ1840">
        <v>304.2</v>
      </c>
      <c r="AK1840">
        <v>1010.1</v>
      </c>
      <c r="AL1840">
        <v>0</v>
      </c>
      <c r="AM1840">
        <v>6.2</v>
      </c>
      <c r="AN1840">
        <v>309</v>
      </c>
      <c r="AO1840">
        <v>26.7</v>
      </c>
      <c r="AP1840">
        <v>9</v>
      </c>
      <c r="AQ1840">
        <v>0</v>
      </c>
      <c r="AR1840" t="s">
        <v>6220</v>
      </c>
      <c r="AS1840" t="s">
        <v>6221</v>
      </c>
      <c r="AT1840">
        <v>0.47</v>
      </c>
      <c r="AU1840" t="s">
        <v>74</v>
      </c>
      <c r="AV1840" t="s">
        <v>2955</v>
      </c>
      <c r="AW1840" t="s">
        <v>75</v>
      </c>
      <c r="AX1840" t="s">
        <v>6223</v>
      </c>
      <c r="AY1840" t="s">
        <v>6224</v>
      </c>
      <c r="AZ1840">
        <v>1894.9999999953429</v>
      </c>
      <c r="BA1840">
        <v>1</v>
      </c>
      <c r="BB1840">
        <v>30</v>
      </c>
      <c r="BC1840">
        <v>0</v>
      </c>
      <c r="BD1840">
        <v>0</v>
      </c>
      <c r="BE1840">
        <f t="shared" si="289"/>
        <v>0</v>
      </c>
    </row>
    <row r="1841" spans="1:57" x14ac:dyDescent="0.25">
      <c r="A1841" t="s">
        <v>39</v>
      </c>
      <c r="B1841" t="s">
        <v>6225</v>
      </c>
      <c r="C1841">
        <v>80.599999999999994</v>
      </c>
      <c r="D1841">
        <v>73.400000000000006</v>
      </c>
      <c r="G1841">
        <f t="shared" si="280"/>
        <v>0</v>
      </c>
      <c r="H1841">
        <f t="shared" si="281"/>
        <v>0</v>
      </c>
      <c r="I1841">
        <f t="shared" si="282"/>
        <v>0</v>
      </c>
      <c r="J1841">
        <v>76.8</v>
      </c>
      <c r="K1841">
        <v>83.3</v>
      </c>
      <c r="L1841">
        <v>73.400000000000006</v>
      </c>
      <c r="M1841">
        <v>77</v>
      </c>
      <c r="N1841">
        <v>68.599999999999994</v>
      </c>
      <c r="O1841">
        <v>76.2</v>
      </c>
      <c r="S1841">
        <f t="shared" si="283"/>
        <v>1</v>
      </c>
      <c r="T1841">
        <f t="shared" si="284"/>
        <v>1</v>
      </c>
      <c r="U1841">
        <f t="shared" si="285"/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30.6</v>
      </c>
      <c r="AC1841">
        <v>18.3</v>
      </c>
      <c r="AG1841">
        <f t="shared" si="286"/>
        <v>1</v>
      </c>
      <c r="AH1841">
        <f t="shared" si="287"/>
        <v>1</v>
      </c>
      <c r="AI1841">
        <f t="shared" si="288"/>
        <v>0</v>
      </c>
      <c r="AJ1841">
        <v>307.60000000000002</v>
      </c>
      <c r="AK1841">
        <v>1012.9</v>
      </c>
      <c r="AL1841">
        <v>50</v>
      </c>
      <c r="AM1841">
        <v>6.2</v>
      </c>
      <c r="AN1841">
        <v>239.9</v>
      </c>
      <c r="AO1841">
        <v>20.8</v>
      </c>
      <c r="AP1841">
        <v>8</v>
      </c>
      <c r="AQ1841">
        <v>0</v>
      </c>
      <c r="AR1841" t="s">
        <v>6226</v>
      </c>
      <c r="AS1841" t="s">
        <v>6227</v>
      </c>
      <c r="AT1841">
        <v>0.1</v>
      </c>
      <c r="AU1841" t="s">
        <v>43</v>
      </c>
      <c r="AV1841" t="s">
        <v>44</v>
      </c>
      <c r="AW1841" t="s">
        <v>45</v>
      </c>
      <c r="AX1841" t="s">
        <v>2560</v>
      </c>
      <c r="AY1841" t="s">
        <v>6228</v>
      </c>
      <c r="AZ1841">
        <v>2925</v>
      </c>
      <c r="BA1841">
        <v>1</v>
      </c>
      <c r="BB1841">
        <v>0</v>
      </c>
      <c r="BC1841">
        <v>10</v>
      </c>
      <c r="BD1841">
        <v>0</v>
      </c>
      <c r="BE1841">
        <f t="shared" si="289"/>
        <v>1</v>
      </c>
    </row>
    <row r="1842" spans="1:57" x14ac:dyDescent="0.25">
      <c r="A1842" t="s">
        <v>39</v>
      </c>
      <c r="B1842" t="s">
        <v>6229</v>
      </c>
      <c r="C1842">
        <v>75.2</v>
      </c>
      <c r="D1842">
        <v>68</v>
      </c>
      <c r="G1842">
        <f t="shared" si="280"/>
        <v>1</v>
      </c>
      <c r="H1842">
        <f t="shared" si="281"/>
        <v>0</v>
      </c>
      <c r="I1842">
        <f t="shared" si="282"/>
        <v>1</v>
      </c>
      <c r="J1842">
        <v>71.400000000000006</v>
      </c>
      <c r="K1842">
        <v>75.2</v>
      </c>
      <c r="L1842">
        <v>68</v>
      </c>
      <c r="M1842">
        <v>71.400000000000006</v>
      </c>
      <c r="N1842">
        <v>55.7</v>
      </c>
      <c r="O1842">
        <v>58</v>
      </c>
      <c r="S1842">
        <f t="shared" si="283"/>
        <v>1</v>
      </c>
      <c r="T1842">
        <f t="shared" si="284"/>
        <v>0</v>
      </c>
      <c r="U1842">
        <f t="shared" si="285"/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32.700000000000003</v>
      </c>
      <c r="AC1842">
        <v>18.3</v>
      </c>
      <c r="AG1842">
        <f t="shared" si="286"/>
        <v>1</v>
      </c>
      <c r="AH1842">
        <f t="shared" si="287"/>
        <v>1</v>
      </c>
      <c r="AI1842">
        <f t="shared" si="288"/>
        <v>0</v>
      </c>
      <c r="AJ1842">
        <v>332.8</v>
      </c>
      <c r="AK1842">
        <v>1020.3</v>
      </c>
      <c r="AL1842">
        <v>34.299999999999997</v>
      </c>
      <c r="AM1842">
        <v>6.2</v>
      </c>
      <c r="AN1842">
        <v>239.9</v>
      </c>
      <c r="AO1842">
        <v>20.7</v>
      </c>
      <c r="AP1842">
        <v>8</v>
      </c>
      <c r="AQ1842">
        <v>0</v>
      </c>
      <c r="AR1842" t="s">
        <v>6230</v>
      </c>
      <c r="AS1842" t="s">
        <v>6231</v>
      </c>
      <c r="AT1842">
        <v>0.77</v>
      </c>
      <c r="AU1842" t="s">
        <v>43</v>
      </c>
      <c r="AV1842" t="s">
        <v>44</v>
      </c>
      <c r="AW1842" t="s">
        <v>45</v>
      </c>
      <c r="AX1842" t="s">
        <v>4085</v>
      </c>
      <c r="AY1842" t="s">
        <v>6232</v>
      </c>
      <c r="AZ1842">
        <v>1814.999999996508</v>
      </c>
      <c r="BA1842">
        <v>1</v>
      </c>
      <c r="BB1842">
        <v>0</v>
      </c>
      <c r="BC1842">
        <v>2</v>
      </c>
      <c r="BD1842">
        <v>0</v>
      </c>
      <c r="BE1842">
        <f t="shared" si="289"/>
        <v>1</v>
      </c>
    </row>
    <row r="1843" spans="1:57" x14ac:dyDescent="0.25">
      <c r="A1843" t="s">
        <v>39</v>
      </c>
      <c r="B1843" t="s">
        <v>6233</v>
      </c>
      <c r="C1843">
        <v>75.2</v>
      </c>
      <c r="D1843">
        <v>69.8</v>
      </c>
      <c r="G1843">
        <f t="shared" si="280"/>
        <v>1</v>
      </c>
      <c r="H1843">
        <f t="shared" si="281"/>
        <v>0</v>
      </c>
      <c r="I1843">
        <f t="shared" si="282"/>
        <v>1</v>
      </c>
      <c r="J1843">
        <v>72.099999999999994</v>
      </c>
      <c r="K1843">
        <v>75.2</v>
      </c>
      <c r="L1843">
        <v>69.8</v>
      </c>
      <c r="M1843">
        <v>72.099999999999994</v>
      </c>
      <c r="N1843">
        <v>56.2</v>
      </c>
      <c r="O1843">
        <v>57.5</v>
      </c>
      <c r="S1843">
        <f t="shared" si="283"/>
        <v>1</v>
      </c>
      <c r="T1843">
        <f t="shared" si="284"/>
        <v>0</v>
      </c>
      <c r="U1843">
        <f t="shared" si="285"/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28.6</v>
      </c>
      <c r="AC1843">
        <v>16.100000000000001</v>
      </c>
      <c r="AG1843">
        <f t="shared" si="286"/>
        <v>0</v>
      </c>
      <c r="AH1843">
        <f t="shared" si="287"/>
        <v>0</v>
      </c>
      <c r="AI1843">
        <f t="shared" si="288"/>
        <v>0</v>
      </c>
      <c r="AJ1843">
        <v>318</v>
      </c>
      <c r="AK1843">
        <v>1015.1</v>
      </c>
      <c r="AL1843">
        <v>39.799999999999997</v>
      </c>
      <c r="AM1843">
        <v>6.2</v>
      </c>
      <c r="AN1843">
        <v>219.1</v>
      </c>
      <c r="AO1843">
        <v>18.899999999999999</v>
      </c>
      <c r="AP1843">
        <v>7</v>
      </c>
      <c r="AQ1843">
        <v>0</v>
      </c>
      <c r="AR1843" t="s">
        <v>6234</v>
      </c>
      <c r="AS1843" t="s">
        <v>6235</v>
      </c>
      <c r="AT1843">
        <v>0.84</v>
      </c>
      <c r="AU1843" t="s">
        <v>43</v>
      </c>
      <c r="AV1843" t="s">
        <v>44</v>
      </c>
      <c r="AW1843" t="s">
        <v>45</v>
      </c>
      <c r="AX1843" t="s">
        <v>4306</v>
      </c>
      <c r="AY1843" t="s">
        <v>6236</v>
      </c>
      <c r="AZ1843">
        <v>759.99999999417923</v>
      </c>
      <c r="BA1843">
        <v>1</v>
      </c>
      <c r="BB1843">
        <v>0</v>
      </c>
      <c r="BC1843">
        <v>0.5</v>
      </c>
      <c r="BD1843">
        <v>0</v>
      </c>
      <c r="BE1843">
        <f t="shared" si="289"/>
        <v>0</v>
      </c>
    </row>
    <row r="1844" spans="1:57" x14ac:dyDescent="0.25">
      <c r="A1844" t="s">
        <v>39</v>
      </c>
      <c r="B1844" t="s">
        <v>6237</v>
      </c>
      <c r="C1844">
        <v>86</v>
      </c>
      <c r="D1844">
        <v>65.7</v>
      </c>
      <c r="G1844">
        <f t="shared" si="280"/>
        <v>1</v>
      </c>
      <c r="H1844">
        <f t="shared" si="281"/>
        <v>1</v>
      </c>
      <c r="I1844">
        <f t="shared" si="282"/>
        <v>0</v>
      </c>
      <c r="J1844">
        <v>76.599999999999994</v>
      </c>
      <c r="K1844">
        <v>104.8</v>
      </c>
      <c r="L1844">
        <v>65.7</v>
      </c>
      <c r="M1844">
        <v>78</v>
      </c>
      <c r="N1844">
        <v>63.7</v>
      </c>
      <c r="O1844">
        <v>66.400000000000006</v>
      </c>
      <c r="S1844">
        <f t="shared" si="283"/>
        <v>0</v>
      </c>
      <c r="T1844">
        <f t="shared" si="284"/>
        <v>0</v>
      </c>
      <c r="U1844">
        <f t="shared" si="285"/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34.700000000000003</v>
      </c>
      <c r="AC1844">
        <v>19.7</v>
      </c>
      <c r="AG1844">
        <f t="shared" si="286"/>
        <v>1</v>
      </c>
      <c r="AH1844">
        <f t="shared" si="287"/>
        <v>1</v>
      </c>
      <c r="AI1844">
        <f t="shared" si="288"/>
        <v>0</v>
      </c>
      <c r="AJ1844">
        <v>208.7</v>
      </c>
      <c r="AK1844">
        <v>1011.3</v>
      </c>
      <c r="AL1844">
        <v>63</v>
      </c>
      <c r="AM1844">
        <v>6.2</v>
      </c>
      <c r="AN1844">
        <v>163.69999999999999</v>
      </c>
      <c r="AO1844">
        <v>14.1</v>
      </c>
      <c r="AP1844">
        <v>6</v>
      </c>
      <c r="AQ1844">
        <v>0</v>
      </c>
      <c r="AR1844" t="s">
        <v>6238</v>
      </c>
      <c r="AS1844" t="s">
        <v>6239</v>
      </c>
      <c r="AT1844">
        <v>0.34</v>
      </c>
      <c r="AU1844" t="s">
        <v>43</v>
      </c>
      <c r="AV1844" t="s">
        <v>44</v>
      </c>
      <c r="AW1844" t="s">
        <v>45</v>
      </c>
      <c r="AX1844" t="s">
        <v>6240</v>
      </c>
      <c r="AY1844" t="s">
        <v>6241</v>
      </c>
      <c r="AZ1844">
        <v>209.99999999301511</v>
      </c>
      <c r="BA1844">
        <v>0</v>
      </c>
      <c r="BB1844">
        <v>0</v>
      </c>
      <c r="BC1844">
        <v>1</v>
      </c>
      <c r="BD1844">
        <v>0</v>
      </c>
      <c r="BE1844">
        <f t="shared" si="289"/>
        <v>0</v>
      </c>
    </row>
    <row r="1845" spans="1:57" x14ac:dyDescent="0.25">
      <c r="A1845" t="s">
        <v>39</v>
      </c>
      <c r="B1845" t="s">
        <v>6242</v>
      </c>
      <c r="C1845">
        <v>66.2</v>
      </c>
      <c r="D1845">
        <v>51.8</v>
      </c>
      <c r="G1845">
        <f t="shared" si="280"/>
        <v>0</v>
      </c>
      <c r="H1845">
        <f t="shared" si="281"/>
        <v>0</v>
      </c>
      <c r="I1845">
        <f t="shared" si="282"/>
        <v>0</v>
      </c>
      <c r="J1845">
        <v>59.2</v>
      </c>
      <c r="K1845">
        <v>66.2</v>
      </c>
      <c r="L1845">
        <v>51.8</v>
      </c>
      <c r="M1845">
        <v>59.2</v>
      </c>
      <c r="N1845">
        <v>53.1</v>
      </c>
      <c r="O1845">
        <v>80.599999999999994</v>
      </c>
      <c r="S1845">
        <f t="shared" si="283"/>
        <v>1</v>
      </c>
      <c r="T1845">
        <f t="shared" si="284"/>
        <v>1</v>
      </c>
      <c r="U1845">
        <f t="shared" si="285"/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9.1999999999999993</v>
      </c>
      <c r="AC1845">
        <v>11.3</v>
      </c>
      <c r="AG1845">
        <f t="shared" si="286"/>
        <v>1</v>
      </c>
      <c r="AH1845">
        <f t="shared" si="287"/>
        <v>0</v>
      </c>
      <c r="AI1845">
        <f t="shared" si="288"/>
        <v>1</v>
      </c>
      <c r="AJ1845">
        <v>143.4</v>
      </c>
      <c r="AK1845">
        <v>1018.4</v>
      </c>
      <c r="AL1845">
        <v>30.3</v>
      </c>
      <c r="AM1845">
        <v>6.2</v>
      </c>
      <c r="AN1845">
        <v>114.9</v>
      </c>
      <c r="AO1845">
        <v>9.8000000000000007</v>
      </c>
      <c r="AP1845">
        <v>5</v>
      </c>
      <c r="AQ1845">
        <v>0</v>
      </c>
      <c r="AR1845" t="s">
        <v>6243</v>
      </c>
      <c r="AS1845" t="s">
        <v>6244</v>
      </c>
      <c r="AT1845">
        <v>0.9</v>
      </c>
      <c r="AU1845" t="s">
        <v>43</v>
      </c>
      <c r="AV1845" t="s">
        <v>44</v>
      </c>
      <c r="AW1845" t="s">
        <v>45</v>
      </c>
      <c r="AX1845" t="s">
        <v>5651</v>
      </c>
      <c r="AY1845" t="s">
        <v>6245</v>
      </c>
      <c r="AZ1845">
        <v>54.999999990686767</v>
      </c>
      <c r="BA1845">
        <v>0</v>
      </c>
      <c r="BB1845">
        <v>0</v>
      </c>
      <c r="BC1845">
        <v>0.1</v>
      </c>
      <c r="BD1845">
        <v>0</v>
      </c>
      <c r="BE1845">
        <f t="shared" si="289"/>
        <v>0</v>
      </c>
    </row>
    <row r="1846" spans="1:57" x14ac:dyDescent="0.25">
      <c r="A1846" t="s">
        <v>39</v>
      </c>
      <c r="B1846" t="s">
        <v>6246</v>
      </c>
      <c r="C1846">
        <v>73.400000000000006</v>
      </c>
      <c r="D1846">
        <v>64.400000000000006</v>
      </c>
      <c r="G1846">
        <f t="shared" si="280"/>
        <v>1</v>
      </c>
      <c r="H1846">
        <f t="shared" si="281"/>
        <v>1</v>
      </c>
      <c r="I1846">
        <f t="shared" si="282"/>
        <v>0</v>
      </c>
      <c r="J1846">
        <v>67.3</v>
      </c>
      <c r="K1846">
        <v>73.400000000000006</v>
      </c>
      <c r="L1846">
        <v>64.400000000000006</v>
      </c>
      <c r="M1846">
        <v>67.3</v>
      </c>
      <c r="N1846">
        <v>53.5</v>
      </c>
      <c r="O1846">
        <v>61.8</v>
      </c>
      <c r="S1846">
        <f t="shared" si="283"/>
        <v>1</v>
      </c>
      <c r="T1846">
        <f t="shared" si="284"/>
        <v>0</v>
      </c>
      <c r="U1846">
        <f t="shared" si="285"/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37.9</v>
      </c>
      <c r="AC1846">
        <v>26.4</v>
      </c>
      <c r="AG1846">
        <f t="shared" si="286"/>
        <v>1</v>
      </c>
      <c r="AH1846">
        <f t="shared" si="287"/>
        <v>1</v>
      </c>
      <c r="AI1846">
        <f t="shared" si="288"/>
        <v>0</v>
      </c>
      <c r="AJ1846">
        <v>179.4</v>
      </c>
      <c r="AK1846">
        <v>1010.4</v>
      </c>
      <c r="AL1846">
        <v>57.5</v>
      </c>
      <c r="AM1846">
        <v>6.2</v>
      </c>
      <c r="AN1846">
        <v>113.2</v>
      </c>
      <c r="AO1846">
        <v>9.8000000000000007</v>
      </c>
      <c r="AP1846">
        <v>5</v>
      </c>
      <c r="AQ1846">
        <v>0</v>
      </c>
      <c r="AR1846" t="s">
        <v>6247</v>
      </c>
      <c r="AS1846" t="s">
        <v>6248</v>
      </c>
      <c r="AT1846">
        <v>0.96</v>
      </c>
      <c r="AU1846" t="s">
        <v>43</v>
      </c>
      <c r="AV1846" t="s">
        <v>44</v>
      </c>
      <c r="AW1846" t="s">
        <v>45</v>
      </c>
      <c r="AX1846" t="s">
        <v>4157</v>
      </c>
      <c r="AY1846" t="s">
        <v>6249</v>
      </c>
      <c r="AZ1846">
        <v>959.99999999650754</v>
      </c>
      <c r="BA1846">
        <v>1</v>
      </c>
      <c r="BB1846">
        <v>0</v>
      </c>
      <c r="BC1846">
        <v>30</v>
      </c>
      <c r="BD1846">
        <v>0</v>
      </c>
      <c r="BE1846">
        <f t="shared" si="289"/>
        <v>1</v>
      </c>
    </row>
    <row r="1847" spans="1:57" x14ac:dyDescent="0.25">
      <c r="A1847" t="s">
        <v>39</v>
      </c>
      <c r="B1847" t="s">
        <v>6250</v>
      </c>
      <c r="C1847">
        <v>53.6</v>
      </c>
      <c r="D1847">
        <v>48.2</v>
      </c>
      <c r="G1847">
        <f t="shared" si="280"/>
        <v>1</v>
      </c>
      <c r="H1847">
        <f t="shared" si="281"/>
        <v>0</v>
      </c>
      <c r="I1847">
        <f t="shared" si="282"/>
        <v>1</v>
      </c>
      <c r="J1847">
        <v>51.3</v>
      </c>
      <c r="K1847">
        <v>53.6</v>
      </c>
      <c r="L1847">
        <v>39.799999999999997</v>
      </c>
      <c r="M1847">
        <v>49.2</v>
      </c>
      <c r="N1847">
        <v>41.5</v>
      </c>
      <c r="O1847">
        <v>69.900000000000006</v>
      </c>
      <c r="S1847">
        <f t="shared" si="283"/>
        <v>1</v>
      </c>
      <c r="T1847">
        <f t="shared" si="284"/>
        <v>1</v>
      </c>
      <c r="U1847">
        <f t="shared" si="285"/>
        <v>0</v>
      </c>
      <c r="V1847">
        <v>1E-3</v>
      </c>
      <c r="W1847">
        <v>100</v>
      </c>
      <c r="X1847">
        <v>4.17</v>
      </c>
      <c r="Y1847" t="s">
        <v>103</v>
      </c>
      <c r="Z1847">
        <v>0</v>
      </c>
      <c r="AA1847">
        <v>0</v>
      </c>
      <c r="AB1847">
        <v>39.1</v>
      </c>
      <c r="AC1847">
        <v>34.299999999999997</v>
      </c>
      <c r="AG1847">
        <f t="shared" si="286"/>
        <v>1</v>
      </c>
      <c r="AH1847">
        <f t="shared" si="287"/>
        <v>1</v>
      </c>
      <c r="AI1847">
        <f t="shared" si="288"/>
        <v>0</v>
      </c>
      <c r="AJ1847">
        <v>1</v>
      </c>
      <c r="AK1847">
        <v>1021.5</v>
      </c>
      <c r="AL1847">
        <v>89.1</v>
      </c>
      <c r="AM1847">
        <v>6.2</v>
      </c>
      <c r="AN1847">
        <v>89.3</v>
      </c>
      <c r="AO1847">
        <v>7.6</v>
      </c>
      <c r="AP1847">
        <v>4</v>
      </c>
      <c r="AQ1847">
        <v>0</v>
      </c>
      <c r="AR1847" t="s">
        <v>6251</v>
      </c>
      <c r="AS1847" t="s">
        <v>6252</v>
      </c>
      <c r="AT1847">
        <v>0.75</v>
      </c>
      <c r="AU1847" t="s">
        <v>106</v>
      </c>
      <c r="AV1847" t="s">
        <v>1180</v>
      </c>
      <c r="AW1847" t="s">
        <v>103</v>
      </c>
      <c r="AX1847" t="s">
        <v>2609</v>
      </c>
      <c r="AY1847" t="s">
        <v>6253</v>
      </c>
      <c r="AZ1847">
        <v>25.000000008149069</v>
      </c>
      <c r="BA1847">
        <v>0</v>
      </c>
      <c r="BB1847">
        <v>0.1</v>
      </c>
      <c r="BC1847">
        <v>0</v>
      </c>
      <c r="BD1847">
        <v>0</v>
      </c>
      <c r="BE1847">
        <f t="shared" si="289"/>
        <v>1</v>
      </c>
    </row>
    <row r="1848" spans="1:57" x14ac:dyDescent="0.25">
      <c r="A1848" t="s">
        <v>39</v>
      </c>
      <c r="B1848" t="s">
        <v>6254</v>
      </c>
      <c r="C1848">
        <v>84.2</v>
      </c>
      <c r="D1848">
        <v>68</v>
      </c>
      <c r="G1848">
        <f t="shared" si="280"/>
        <v>1</v>
      </c>
      <c r="H1848">
        <f t="shared" si="281"/>
        <v>1</v>
      </c>
      <c r="I1848">
        <f t="shared" si="282"/>
        <v>0</v>
      </c>
      <c r="J1848">
        <v>75.099999999999994</v>
      </c>
      <c r="K1848">
        <v>81.8</v>
      </c>
      <c r="L1848">
        <v>68</v>
      </c>
      <c r="M1848">
        <v>74.7</v>
      </c>
      <c r="N1848">
        <v>50</v>
      </c>
      <c r="O1848">
        <v>44.3</v>
      </c>
      <c r="S1848">
        <f t="shared" si="283"/>
        <v>1</v>
      </c>
      <c r="T1848">
        <f t="shared" si="284"/>
        <v>0</v>
      </c>
      <c r="U1848">
        <f t="shared" si="285"/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48.3</v>
      </c>
      <c r="AC1848">
        <v>38</v>
      </c>
      <c r="AG1848">
        <f t="shared" si="286"/>
        <v>1</v>
      </c>
      <c r="AH1848">
        <f t="shared" si="287"/>
        <v>1</v>
      </c>
      <c r="AI1848">
        <f t="shared" si="288"/>
        <v>0</v>
      </c>
      <c r="AJ1848">
        <v>184.7</v>
      </c>
      <c r="AK1848">
        <v>1004.3</v>
      </c>
      <c r="AL1848">
        <v>36.4</v>
      </c>
      <c r="AM1848">
        <v>5.5</v>
      </c>
      <c r="AN1848">
        <v>279.8</v>
      </c>
      <c r="AO1848">
        <v>24.1</v>
      </c>
      <c r="AP1848">
        <v>9</v>
      </c>
      <c r="AQ1848">
        <v>0</v>
      </c>
      <c r="AR1848" t="s">
        <v>6255</v>
      </c>
      <c r="AS1848" t="s">
        <v>6256</v>
      </c>
      <c r="AT1848">
        <v>0.03</v>
      </c>
      <c r="AU1848" t="s">
        <v>43</v>
      </c>
      <c r="AV1848" t="s">
        <v>44</v>
      </c>
      <c r="AW1848" t="s">
        <v>419</v>
      </c>
      <c r="AX1848" t="s">
        <v>2577</v>
      </c>
      <c r="AY1848" t="s">
        <v>6257</v>
      </c>
      <c r="AZ1848">
        <v>345.00000000349252</v>
      </c>
      <c r="BA1848">
        <v>0</v>
      </c>
      <c r="BB1848">
        <v>0</v>
      </c>
      <c r="BC1848">
        <v>3</v>
      </c>
      <c r="BD1848">
        <v>0</v>
      </c>
      <c r="BE1848">
        <f t="shared" si="289"/>
        <v>1</v>
      </c>
    </row>
    <row r="1849" spans="1:57" x14ac:dyDescent="0.25">
      <c r="A1849" t="s">
        <v>39</v>
      </c>
      <c r="B1849" t="s">
        <v>6258</v>
      </c>
      <c r="C1849">
        <v>87.8</v>
      </c>
      <c r="D1849">
        <v>71.599999999999994</v>
      </c>
      <c r="G1849">
        <f t="shared" si="280"/>
        <v>1</v>
      </c>
      <c r="H1849">
        <f t="shared" si="281"/>
        <v>1</v>
      </c>
      <c r="I1849">
        <f t="shared" si="282"/>
        <v>0</v>
      </c>
      <c r="J1849">
        <v>79.599999999999994</v>
      </c>
      <c r="K1849">
        <v>95.9</v>
      </c>
      <c r="L1849">
        <v>71.599999999999994</v>
      </c>
      <c r="M1849">
        <v>82.8</v>
      </c>
      <c r="N1849">
        <v>69.8</v>
      </c>
      <c r="O1849">
        <v>72.7</v>
      </c>
      <c r="S1849">
        <f t="shared" si="283"/>
        <v>1</v>
      </c>
      <c r="T1849">
        <f t="shared" si="284"/>
        <v>1</v>
      </c>
      <c r="U1849">
        <f t="shared" si="285"/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19.7</v>
      </c>
      <c r="AC1849">
        <v>9.1999999999999993</v>
      </c>
      <c r="AG1849">
        <f t="shared" si="286"/>
        <v>1</v>
      </c>
      <c r="AH1849">
        <f t="shared" si="287"/>
        <v>0</v>
      </c>
      <c r="AI1849">
        <f t="shared" si="288"/>
        <v>1</v>
      </c>
      <c r="AJ1849">
        <v>222.3</v>
      </c>
      <c r="AK1849">
        <v>1011.1</v>
      </c>
      <c r="AL1849">
        <v>9.3000000000000007</v>
      </c>
      <c r="AM1849">
        <v>6.2</v>
      </c>
      <c r="AN1849">
        <v>290.8</v>
      </c>
      <c r="AO1849">
        <v>25.2</v>
      </c>
      <c r="AP1849">
        <v>9</v>
      </c>
      <c r="AQ1849">
        <v>0</v>
      </c>
      <c r="AR1849" t="s">
        <v>6259</v>
      </c>
      <c r="AS1849" t="s">
        <v>6260</v>
      </c>
      <c r="AT1849">
        <v>0.68</v>
      </c>
      <c r="AU1849" t="s">
        <v>74</v>
      </c>
      <c r="AV1849" t="s">
        <v>2955</v>
      </c>
      <c r="AW1849" t="s">
        <v>75</v>
      </c>
      <c r="AX1849" t="s">
        <v>6261</v>
      </c>
      <c r="AY1849" t="s">
        <v>6262</v>
      </c>
      <c r="AZ1849">
        <v>525.00000000349246</v>
      </c>
      <c r="BA1849">
        <v>1</v>
      </c>
      <c r="BB1849">
        <v>1</v>
      </c>
      <c r="BC1849">
        <v>0</v>
      </c>
      <c r="BD1849">
        <v>0</v>
      </c>
      <c r="BE1849">
        <f t="shared" si="289"/>
        <v>1</v>
      </c>
    </row>
    <row r="1850" spans="1:57" x14ac:dyDescent="0.25">
      <c r="A1850" t="s">
        <v>39</v>
      </c>
      <c r="B1850" t="s">
        <v>6263</v>
      </c>
      <c r="C1850">
        <v>71.599999999999994</v>
      </c>
      <c r="D1850">
        <v>51.8</v>
      </c>
      <c r="G1850">
        <f t="shared" si="280"/>
        <v>1</v>
      </c>
      <c r="H1850">
        <f t="shared" si="281"/>
        <v>1</v>
      </c>
      <c r="I1850">
        <f t="shared" si="282"/>
        <v>0</v>
      </c>
      <c r="J1850">
        <v>62.3</v>
      </c>
      <c r="K1850">
        <v>71.599999999999994</v>
      </c>
      <c r="L1850">
        <v>51.8</v>
      </c>
      <c r="M1850">
        <v>62.3</v>
      </c>
      <c r="N1850">
        <v>50.8</v>
      </c>
      <c r="O1850">
        <v>67</v>
      </c>
      <c r="S1850">
        <f t="shared" si="283"/>
        <v>1</v>
      </c>
      <c r="T1850">
        <f t="shared" si="284"/>
        <v>1</v>
      </c>
      <c r="U1850">
        <f t="shared" si="285"/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15</v>
      </c>
      <c r="AC1850">
        <v>8.1</v>
      </c>
      <c r="AG1850">
        <f t="shared" si="286"/>
        <v>1</v>
      </c>
      <c r="AH1850">
        <f t="shared" si="287"/>
        <v>0</v>
      </c>
      <c r="AI1850">
        <f t="shared" si="288"/>
        <v>1</v>
      </c>
      <c r="AJ1850">
        <v>134</v>
      </c>
      <c r="AK1850">
        <v>1011</v>
      </c>
      <c r="AL1850">
        <v>17.600000000000001</v>
      </c>
      <c r="AM1850">
        <v>6.2</v>
      </c>
      <c r="AN1850">
        <v>283.2</v>
      </c>
      <c r="AO1850">
        <v>24.5</v>
      </c>
      <c r="AP1850">
        <v>9</v>
      </c>
      <c r="AQ1850">
        <v>0</v>
      </c>
      <c r="AR1850" t="s">
        <v>6264</v>
      </c>
      <c r="AS1850" t="s">
        <v>6265</v>
      </c>
      <c r="AT1850">
        <v>0.96</v>
      </c>
      <c r="AU1850" t="s">
        <v>74</v>
      </c>
      <c r="AV1850" t="s">
        <v>2955</v>
      </c>
      <c r="AW1850" t="s">
        <v>75</v>
      </c>
      <c r="AX1850" t="s">
        <v>4049</v>
      </c>
      <c r="AY1850" t="s">
        <v>6266</v>
      </c>
      <c r="AZ1850">
        <v>120.0000000034925</v>
      </c>
      <c r="BA1850">
        <v>0</v>
      </c>
      <c r="BB1850">
        <v>0</v>
      </c>
      <c r="BC1850">
        <v>0.5</v>
      </c>
      <c r="BD1850">
        <v>0</v>
      </c>
      <c r="BE1850">
        <f t="shared" si="289"/>
        <v>1</v>
      </c>
    </row>
    <row r="1851" spans="1:57" x14ac:dyDescent="0.25">
      <c r="A1851" t="s">
        <v>39</v>
      </c>
      <c r="B1851" t="s">
        <v>6267</v>
      </c>
      <c r="C1851">
        <v>73.400000000000006</v>
      </c>
      <c r="D1851">
        <v>66.2</v>
      </c>
      <c r="G1851">
        <f t="shared" si="280"/>
        <v>0</v>
      </c>
      <c r="H1851">
        <f t="shared" si="281"/>
        <v>0</v>
      </c>
      <c r="I1851">
        <f t="shared" si="282"/>
        <v>0</v>
      </c>
      <c r="J1851">
        <v>69.400000000000006</v>
      </c>
      <c r="K1851">
        <v>73.400000000000006</v>
      </c>
      <c r="L1851">
        <v>66.2</v>
      </c>
      <c r="M1851">
        <v>69.400000000000006</v>
      </c>
      <c r="N1851">
        <v>54.6</v>
      </c>
      <c r="O1851">
        <v>60.2</v>
      </c>
      <c r="S1851">
        <f t="shared" si="283"/>
        <v>1</v>
      </c>
      <c r="T1851">
        <f t="shared" si="284"/>
        <v>0</v>
      </c>
      <c r="U1851">
        <f t="shared" si="285"/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40.5</v>
      </c>
      <c r="AC1851">
        <v>24.2</v>
      </c>
      <c r="AG1851">
        <f t="shared" si="286"/>
        <v>1</v>
      </c>
      <c r="AH1851">
        <f t="shared" si="287"/>
        <v>1</v>
      </c>
      <c r="AI1851">
        <f t="shared" si="288"/>
        <v>0</v>
      </c>
      <c r="AJ1851">
        <v>306.89999999999998</v>
      </c>
      <c r="AK1851">
        <v>1015.3</v>
      </c>
      <c r="AL1851">
        <v>33.299999999999997</v>
      </c>
      <c r="AM1851">
        <v>6.2</v>
      </c>
      <c r="AN1851">
        <v>322.39999999999998</v>
      </c>
      <c r="AO1851">
        <v>27.8</v>
      </c>
      <c r="AP1851">
        <v>10</v>
      </c>
      <c r="AQ1851">
        <v>0</v>
      </c>
      <c r="AR1851" t="s">
        <v>6268</v>
      </c>
      <c r="AS1851" t="s">
        <v>6269</v>
      </c>
      <c r="AT1851">
        <v>0.55000000000000004</v>
      </c>
      <c r="AU1851" t="s">
        <v>43</v>
      </c>
      <c r="AV1851" t="s">
        <v>44</v>
      </c>
      <c r="AW1851" t="s">
        <v>45</v>
      </c>
      <c r="AX1851" t="s">
        <v>4095</v>
      </c>
      <c r="AY1851" t="s">
        <v>6270</v>
      </c>
      <c r="AZ1851">
        <v>249.99999999767169</v>
      </c>
      <c r="BA1851">
        <v>0</v>
      </c>
      <c r="BB1851">
        <v>0</v>
      </c>
      <c r="BC1851">
        <v>5</v>
      </c>
      <c r="BD1851">
        <v>0</v>
      </c>
      <c r="BE1851">
        <f t="shared" si="289"/>
        <v>0</v>
      </c>
    </row>
    <row r="1852" spans="1:57" x14ac:dyDescent="0.25">
      <c r="A1852" t="s">
        <v>39</v>
      </c>
      <c r="B1852" t="s">
        <v>6168</v>
      </c>
      <c r="C1852">
        <v>91.3</v>
      </c>
      <c r="D1852">
        <v>68</v>
      </c>
      <c r="G1852">
        <f t="shared" si="280"/>
        <v>1</v>
      </c>
      <c r="H1852">
        <f t="shared" si="281"/>
        <v>1</v>
      </c>
      <c r="I1852">
        <f t="shared" si="282"/>
        <v>0</v>
      </c>
      <c r="J1852">
        <v>77</v>
      </c>
      <c r="K1852">
        <v>87.4</v>
      </c>
      <c r="L1852">
        <v>68</v>
      </c>
      <c r="M1852">
        <v>76.5</v>
      </c>
      <c r="N1852">
        <v>56.8</v>
      </c>
      <c r="O1852">
        <v>53.5</v>
      </c>
      <c r="S1852">
        <f t="shared" si="283"/>
        <v>1</v>
      </c>
      <c r="T1852">
        <f t="shared" si="284"/>
        <v>0</v>
      </c>
      <c r="U1852">
        <f t="shared" si="285"/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41.6</v>
      </c>
      <c r="AC1852">
        <v>24.2</v>
      </c>
      <c r="AG1852">
        <f t="shared" si="286"/>
        <v>1</v>
      </c>
      <c r="AH1852">
        <f t="shared" si="287"/>
        <v>1</v>
      </c>
      <c r="AI1852">
        <f t="shared" si="288"/>
        <v>0</v>
      </c>
      <c r="AJ1852">
        <v>159.19999999999999</v>
      </c>
      <c r="AK1852">
        <v>1008.8</v>
      </c>
      <c r="AL1852">
        <v>38</v>
      </c>
      <c r="AM1852">
        <v>6.2</v>
      </c>
      <c r="AN1852">
        <v>301.3</v>
      </c>
      <c r="AO1852">
        <v>26</v>
      </c>
      <c r="AP1852">
        <v>9</v>
      </c>
      <c r="AQ1852">
        <v>0</v>
      </c>
      <c r="AR1852" t="s">
        <v>6169</v>
      </c>
      <c r="AS1852" t="s">
        <v>6170</v>
      </c>
      <c r="AT1852">
        <v>0.27</v>
      </c>
      <c r="AU1852" t="s">
        <v>43</v>
      </c>
      <c r="AV1852" t="s">
        <v>44</v>
      </c>
      <c r="AW1852" t="s">
        <v>45</v>
      </c>
      <c r="AX1852" t="s">
        <v>2763</v>
      </c>
      <c r="AY1852" t="s">
        <v>6271</v>
      </c>
      <c r="AZ1852">
        <v>204.99999999767169</v>
      </c>
      <c r="BA1852">
        <v>0</v>
      </c>
      <c r="BB1852">
        <v>0</v>
      </c>
      <c r="BC1852">
        <v>2</v>
      </c>
      <c r="BD1852">
        <v>0</v>
      </c>
      <c r="BE1852">
        <f t="shared" si="289"/>
        <v>1</v>
      </c>
    </row>
    <row r="1853" spans="1:57" x14ac:dyDescent="0.25">
      <c r="A1853" t="s">
        <v>39</v>
      </c>
      <c r="B1853" t="s">
        <v>6272</v>
      </c>
      <c r="C1853">
        <v>82.4</v>
      </c>
      <c r="D1853">
        <v>75.2</v>
      </c>
      <c r="G1853">
        <f t="shared" si="280"/>
        <v>0</v>
      </c>
      <c r="H1853">
        <f t="shared" si="281"/>
        <v>0</v>
      </c>
      <c r="I1853">
        <f t="shared" si="282"/>
        <v>0</v>
      </c>
      <c r="J1853">
        <v>79.099999999999994</v>
      </c>
      <c r="K1853">
        <v>88.3</v>
      </c>
      <c r="L1853">
        <v>75.2</v>
      </c>
      <c r="M1853">
        <v>81.2</v>
      </c>
      <c r="N1853">
        <v>73.2</v>
      </c>
      <c r="O1853">
        <v>82.5</v>
      </c>
      <c r="S1853">
        <f t="shared" si="283"/>
        <v>1</v>
      </c>
      <c r="T1853">
        <f t="shared" si="284"/>
        <v>1</v>
      </c>
      <c r="U1853">
        <f t="shared" si="285"/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27.1</v>
      </c>
      <c r="AC1853">
        <v>19.7</v>
      </c>
      <c r="AG1853">
        <f t="shared" si="286"/>
        <v>1</v>
      </c>
      <c r="AH1853">
        <f t="shared" si="287"/>
        <v>1</v>
      </c>
      <c r="AI1853">
        <f t="shared" si="288"/>
        <v>0</v>
      </c>
      <c r="AJ1853">
        <v>310.7</v>
      </c>
      <c r="AK1853">
        <v>1013.2</v>
      </c>
      <c r="AL1853">
        <v>51.5</v>
      </c>
      <c r="AM1853">
        <v>6.2</v>
      </c>
      <c r="AN1853">
        <v>259.3</v>
      </c>
      <c r="AO1853">
        <v>22.4</v>
      </c>
      <c r="AP1853">
        <v>8</v>
      </c>
      <c r="AQ1853">
        <v>0</v>
      </c>
      <c r="AR1853" t="s">
        <v>6273</v>
      </c>
      <c r="AS1853" t="s">
        <v>6274</v>
      </c>
      <c r="AT1853">
        <v>0.34</v>
      </c>
      <c r="AU1853" t="s">
        <v>43</v>
      </c>
      <c r="AV1853" t="s">
        <v>44</v>
      </c>
      <c r="AW1853" t="s">
        <v>45</v>
      </c>
      <c r="AX1853" t="s">
        <v>4184</v>
      </c>
      <c r="AY1853" t="s">
        <v>6275</v>
      </c>
      <c r="AZ1853">
        <v>780.00000000698492</v>
      </c>
      <c r="BA1853">
        <v>1</v>
      </c>
      <c r="BB1853">
        <v>0</v>
      </c>
      <c r="BC1853">
        <v>2</v>
      </c>
      <c r="BD1853">
        <v>0</v>
      </c>
      <c r="BE1853">
        <f t="shared" si="289"/>
        <v>1</v>
      </c>
    </row>
    <row r="1854" spans="1:57" x14ac:dyDescent="0.25">
      <c r="A1854" t="s">
        <v>39</v>
      </c>
      <c r="B1854" t="s">
        <v>6276</v>
      </c>
      <c r="C1854">
        <v>82.4</v>
      </c>
      <c r="D1854">
        <v>77</v>
      </c>
      <c r="G1854">
        <f t="shared" si="280"/>
        <v>1</v>
      </c>
      <c r="H1854">
        <f t="shared" si="281"/>
        <v>1</v>
      </c>
      <c r="I1854">
        <f t="shared" si="282"/>
        <v>0</v>
      </c>
      <c r="J1854">
        <v>79.7</v>
      </c>
      <c r="K1854">
        <v>87.2</v>
      </c>
      <c r="L1854">
        <v>77</v>
      </c>
      <c r="M1854">
        <v>81.099999999999994</v>
      </c>
      <c r="N1854">
        <v>68.7</v>
      </c>
      <c r="O1854">
        <v>69.2</v>
      </c>
      <c r="S1854">
        <f t="shared" si="283"/>
        <v>1</v>
      </c>
      <c r="T1854">
        <f t="shared" si="284"/>
        <v>1</v>
      </c>
      <c r="U1854">
        <f t="shared" si="285"/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34</v>
      </c>
      <c r="AC1854">
        <v>21.9</v>
      </c>
      <c r="AG1854">
        <f t="shared" si="286"/>
        <v>1</v>
      </c>
      <c r="AH1854">
        <f t="shared" si="287"/>
        <v>1</v>
      </c>
      <c r="AI1854">
        <f t="shared" si="288"/>
        <v>0</v>
      </c>
      <c r="AJ1854">
        <v>303.60000000000002</v>
      </c>
      <c r="AK1854">
        <v>1014.1</v>
      </c>
      <c r="AL1854">
        <v>28.9</v>
      </c>
      <c r="AM1854">
        <v>6.2</v>
      </c>
      <c r="AN1854">
        <v>259.7</v>
      </c>
      <c r="AO1854">
        <v>22.3</v>
      </c>
      <c r="AP1854">
        <v>8</v>
      </c>
      <c r="AQ1854">
        <v>0</v>
      </c>
      <c r="AR1854" t="s">
        <v>6277</v>
      </c>
      <c r="AS1854" t="s">
        <v>6278</v>
      </c>
      <c r="AT1854">
        <v>0</v>
      </c>
      <c r="AU1854" t="s">
        <v>43</v>
      </c>
      <c r="AV1854" t="s">
        <v>44</v>
      </c>
      <c r="AW1854" t="s">
        <v>45</v>
      </c>
      <c r="AX1854" t="s">
        <v>5893</v>
      </c>
      <c r="AY1854" t="s">
        <v>6279</v>
      </c>
      <c r="AZ1854">
        <v>515.99999999511056</v>
      </c>
      <c r="BA1854">
        <v>1</v>
      </c>
      <c r="BB1854">
        <v>0</v>
      </c>
      <c r="BC1854">
        <v>20</v>
      </c>
      <c r="BD1854">
        <v>0</v>
      </c>
      <c r="BE1854">
        <f t="shared" si="289"/>
        <v>1</v>
      </c>
    </row>
    <row r="1855" spans="1:57" x14ac:dyDescent="0.25">
      <c r="A1855" t="s">
        <v>39</v>
      </c>
      <c r="B1855" t="s">
        <v>6280</v>
      </c>
      <c r="C1855">
        <v>87.8</v>
      </c>
      <c r="D1855">
        <v>73.400000000000006</v>
      </c>
      <c r="G1855">
        <f t="shared" si="280"/>
        <v>1</v>
      </c>
      <c r="H1855">
        <f t="shared" si="281"/>
        <v>1</v>
      </c>
      <c r="I1855">
        <f t="shared" si="282"/>
        <v>0</v>
      </c>
      <c r="J1855">
        <v>81.400000000000006</v>
      </c>
      <c r="K1855">
        <v>94.2</v>
      </c>
      <c r="L1855">
        <v>73.400000000000006</v>
      </c>
      <c r="M1855">
        <v>84.8</v>
      </c>
      <c r="N1855">
        <v>68.900000000000006</v>
      </c>
      <c r="O1855">
        <v>66.2</v>
      </c>
      <c r="S1855">
        <f t="shared" si="283"/>
        <v>1</v>
      </c>
      <c r="T1855">
        <f t="shared" si="284"/>
        <v>1</v>
      </c>
      <c r="U1855">
        <f t="shared" si="285"/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32.200000000000003</v>
      </c>
      <c r="AC1855">
        <v>20.8</v>
      </c>
      <c r="AG1855">
        <f t="shared" si="286"/>
        <v>1</v>
      </c>
      <c r="AH1855">
        <f t="shared" si="287"/>
        <v>1</v>
      </c>
      <c r="AI1855">
        <f t="shared" si="288"/>
        <v>0</v>
      </c>
      <c r="AJ1855">
        <v>295.7</v>
      </c>
      <c r="AK1855">
        <v>1009.9</v>
      </c>
      <c r="AL1855">
        <v>3.6</v>
      </c>
      <c r="AM1855">
        <v>6.2</v>
      </c>
      <c r="AN1855">
        <v>329.2</v>
      </c>
      <c r="AO1855">
        <v>28.5</v>
      </c>
      <c r="AP1855">
        <v>10</v>
      </c>
      <c r="AQ1855">
        <v>0</v>
      </c>
      <c r="AR1855" t="s">
        <v>6281</v>
      </c>
      <c r="AS1855" t="s">
        <v>6282</v>
      </c>
      <c r="AT1855">
        <v>0.66</v>
      </c>
      <c r="AU1855" t="s">
        <v>74</v>
      </c>
      <c r="AV1855" t="s">
        <v>2955</v>
      </c>
      <c r="AW1855" t="s">
        <v>75</v>
      </c>
      <c r="AX1855" t="s">
        <v>6283</v>
      </c>
      <c r="AY1855" t="s">
        <v>6284</v>
      </c>
      <c r="AZ1855">
        <v>1984.9999999953429</v>
      </c>
      <c r="BA1855">
        <v>1</v>
      </c>
      <c r="BB1855">
        <v>0</v>
      </c>
      <c r="BC1855">
        <v>10</v>
      </c>
      <c r="BD1855">
        <v>0</v>
      </c>
      <c r="BE1855">
        <f t="shared" si="289"/>
        <v>1</v>
      </c>
    </row>
    <row r="1856" spans="1:57" x14ac:dyDescent="0.25">
      <c r="A1856" t="s">
        <v>39</v>
      </c>
      <c r="B1856" t="s">
        <v>6151</v>
      </c>
      <c r="C1856">
        <v>66.2</v>
      </c>
      <c r="D1856">
        <v>55.4</v>
      </c>
      <c r="G1856">
        <f t="shared" si="280"/>
        <v>1</v>
      </c>
      <c r="H1856">
        <f t="shared" si="281"/>
        <v>1</v>
      </c>
      <c r="I1856">
        <f t="shared" si="282"/>
        <v>0</v>
      </c>
      <c r="J1856">
        <v>59.7</v>
      </c>
      <c r="K1856">
        <v>66.2</v>
      </c>
      <c r="L1856">
        <v>55.4</v>
      </c>
      <c r="M1856">
        <v>59.7</v>
      </c>
      <c r="N1856">
        <v>49.8</v>
      </c>
      <c r="O1856">
        <v>70.099999999999994</v>
      </c>
      <c r="S1856">
        <f t="shared" si="283"/>
        <v>1</v>
      </c>
      <c r="T1856">
        <f t="shared" si="284"/>
        <v>1</v>
      </c>
      <c r="U1856">
        <f t="shared" si="285"/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25.3</v>
      </c>
      <c r="AC1856">
        <v>18.3</v>
      </c>
      <c r="AG1856">
        <f t="shared" si="286"/>
        <v>1</v>
      </c>
      <c r="AH1856">
        <f t="shared" si="287"/>
        <v>0</v>
      </c>
      <c r="AI1856">
        <f t="shared" si="288"/>
        <v>1</v>
      </c>
      <c r="AJ1856">
        <v>171.2</v>
      </c>
      <c r="AK1856">
        <v>1018.7</v>
      </c>
      <c r="AL1856">
        <v>58.9</v>
      </c>
      <c r="AM1856">
        <v>6.2</v>
      </c>
      <c r="AN1856">
        <v>124</v>
      </c>
      <c r="AO1856">
        <v>10.8</v>
      </c>
      <c r="AP1856">
        <v>5</v>
      </c>
      <c r="AQ1856">
        <v>0</v>
      </c>
      <c r="AR1856" t="s">
        <v>6152</v>
      </c>
      <c r="AS1856" t="s">
        <v>6153</v>
      </c>
      <c r="AT1856">
        <v>0.87</v>
      </c>
      <c r="AU1856" t="s">
        <v>43</v>
      </c>
      <c r="AV1856" t="s">
        <v>44</v>
      </c>
      <c r="AW1856" t="s">
        <v>45</v>
      </c>
      <c r="AX1856" t="s">
        <v>2452</v>
      </c>
      <c r="AY1856" t="s">
        <v>6285</v>
      </c>
      <c r="AZ1856">
        <v>274.99999999534339</v>
      </c>
      <c r="BA1856">
        <v>0</v>
      </c>
      <c r="BB1856">
        <v>0</v>
      </c>
      <c r="BC1856">
        <v>20</v>
      </c>
      <c r="BD1856">
        <v>0</v>
      </c>
      <c r="BE1856">
        <f t="shared" si="289"/>
        <v>1</v>
      </c>
    </row>
    <row r="1857" spans="1:57" x14ac:dyDescent="0.25">
      <c r="A1857" t="s">
        <v>39</v>
      </c>
      <c r="B1857" t="s">
        <v>6286</v>
      </c>
      <c r="C1857">
        <v>69.8</v>
      </c>
      <c r="D1857">
        <v>56.6</v>
      </c>
      <c r="G1857">
        <f t="shared" si="280"/>
        <v>1</v>
      </c>
      <c r="H1857">
        <f t="shared" si="281"/>
        <v>1</v>
      </c>
      <c r="I1857">
        <f t="shared" si="282"/>
        <v>0</v>
      </c>
      <c r="J1857">
        <v>66.099999999999994</v>
      </c>
      <c r="K1857">
        <v>69.8</v>
      </c>
      <c r="L1857">
        <v>56.6</v>
      </c>
      <c r="M1857">
        <v>66.099999999999994</v>
      </c>
      <c r="N1857">
        <v>46.1</v>
      </c>
      <c r="O1857">
        <v>49.1</v>
      </c>
      <c r="S1857">
        <f t="shared" si="283"/>
        <v>1</v>
      </c>
      <c r="T1857">
        <f t="shared" si="284"/>
        <v>0</v>
      </c>
      <c r="U1857">
        <f t="shared" si="285"/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16.3</v>
      </c>
      <c r="AC1857">
        <v>13.9</v>
      </c>
      <c r="AG1857">
        <f t="shared" si="286"/>
        <v>1</v>
      </c>
      <c r="AH1857">
        <f t="shared" si="287"/>
        <v>0</v>
      </c>
      <c r="AI1857">
        <f t="shared" si="288"/>
        <v>1</v>
      </c>
      <c r="AJ1857">
        <v>147.69999999999999</v>
      </c>
      <c r="AK1857">
        <v>1024.0999999999999</v>
      </c>
      <c r="AL1857">
        <v>70.3</v>
      </c>
      <c r="AM1857">
        <v>6.2</v>
      </c>
      <c r="AN1857">
        <v>151.9</v>
      </c>
      <c r="AO1857">
        <v>13.2</v>
      </c>
      <c r="AP1857">
        <v>6</v>
      </c>
      <c r="AQ1857">
        <v>0</v>
      </c>
      <c r="AR1857" t="s">
        <v>6287</v>
      </c>
      <c r="AS1857" t="s">
        <v>6288</v>
      </c>
      <c r="AT1857">
        <v>0.31</v>
      </c>
      <c r="AU1857" t="s">
        <v>43</v>
      </c>
      <c r="AV1857" t="s">
        <v>44</v>
      </c>
      <c r="AW1857" t="s">
        <v>45</v>
      </c>
      <c r="AX1857" t="s">
        <v>2670</v>
      </c>
      <c r="AY1857" t="s">
        <v>6289</v>
      </c>
      <c r="AZ1857">
        <v>190.00000000116421</v>
      </c>
      <c r="BA1857">
        <v>0</v>
      </c>
      <c r="BB1857">
        <v>0</v>
      </c>
      <c r="BC1857">
        <v>3.5</v>
      </c>
      <c r="BD1857">
        <v>0</v>
      </c>
      <c r="BE1857">
        <f t="shared" si="289"/>
        <v>1</v>
      </c>
    </row>
    <row r="1858" spans="1:57" x14ac:dyDescent="0.25">
      <c r="A1858" t="s">
        <v>39</v>
      </c>
      <c r="B1858" t="s">
        <v>6290</v>
      </c>
      <c r="C1858">
        <v>78.8</v>
      </c>
      <c r="D1858">
        <v>60.8</v>
      </c>
      <c r="G1858">
        <f t="shared" si="280"/>
        <v>1</v>
      </c>
      <c r="H1858">
        <f t="shared" si="281"/>
        <v>1</v>
      </c>
      <c r="I1858">
        <f t="shared" si="282"/>
        <v>0</v>
      </c>
      <c r="J1858">
        <v>68.3</v>
      </c>
      <c r="K1858">
        <v>78.8</v>
      </c>
      <c r="L1858">
        <v>60.8</v>
      </c>
      <c r="M1858">
        <v>68.3</v>
      </c>
      <c r="N1858">
        <v>46.2</v>
      </c>
      <c r="O1858">
        <v>46.9</v>
      </c>
      <c r="S1858">
        <f t="shared" si="283"/>
        <v>1</v>
      </c>
      <c r="T1858">
        <f t="shared" si="284"/>
        <v>0</v>
      </c>
      <c r="U1858">
        <f t="shared" si="285"/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49.2</v>
      </c>
      <c r="AC1858">
        <v>37.9</v>
      </c>
      <c r="AG1858">
        <f t="shared" si="286"/>
        <v>1</v>
      </c>
      <c r="AH1858">
        <f t="shared" si="287"/>
        <v>1</v>
      </c>
      <c r="AI1858">
        <f t="shared" si="288"/>
        <v>0</v>
      </c>
      <c r="AJ1858">
        <v>164.4</v>
      </c>
      <c r="AK1858">
        <v>1014.3</v>
      </c>
      <c r="AL1858">
        <v>61.4</v>
      </c>
      <c r="AM1858">
        <v>6.2</v>
      </c>
      <c r="AN1858">
        <v>168.2</v>
      </c>
      <c r="AO1858">
        <v>14.5</v>
      </c>
      <c r="AP1858">
        <v>7</v>
      </c>
      <c r="AQ1858">
        <v>0</v>
      </c>
      <c r="AR1858" t="s">
        <v>6291</v>
      </c>
      <c r="AS1858" t="s">
        <v>6292</v>
      </c>
      <c r="AT1858">
        <v>0.35</v>
      </c>
      <c r="AU1858" t="s">
        <v>43</v>
      </c>
      <c r="AV1858" t="s">
        <v>44</v>
      </c>
      <c r="AW1858" t="s">
        <v>419</v>
      </c>
      <c r="AX1858" t="s">
        <v>6293</v>
      </c>
      <c r="AY1858" t="s">
        <v>6294</v>
      </c>
      <c r="AZ1858">
        <v>214.99999999883579</v>
      </c>
      <c r="BA1858">
        <v>0</v>
      </c>
      <c r="BB1858">
        <v>0</v>
      </c>
      <c r="BC1858">
        <v>2</v>
      </c>
      <c r="BD1858">
        <v>0</v>
      </c>
      <c r="BE1858">
        <f t="shared" si="289"/>
        <v>1</v>
      </c>
    </row>
    <row r="1859" spans="1:57" x14ac:dyDescent="0.25">
      <c r="A1859" t="s">
        <v>39</v>
      </c>
      <c r="B1859" t="s">
        <v>6295</v>
      </c>
      <c r="C1859">
        <v>64.400000000000006</v>
      </c>
      <c r="D1859">
        <v>50.6</v>
      </c>
      <c r="G1859">
        <f t="shared" ref="G1859:G1922" si="290">IF(ABS(C1859-INDEX($F$2:$F$13,MONTH(B1859)))&gt;1.8,1,0)</f>
        <v>1</v>
      </c>
      <c r="H1859">
        <f t="shared" ref="H1859:H1922" si="291">IF(C1859&gt;=INDEX($F$2:$F$13,MONTH(B1859))+1.8,1,0)</f>
        <v>1</v>
      </c>
      <c r="I1859">
        <f t="shared" ref="I1859:I1922" si="292">IF(C1859&lt;=INDEX($F$2:$F$13,MONTH(B1859))-1.8,1,0)</f>
        <v>0</v>
      </c>
      <c r="J1859">
        <v>57.9</v>
      </c>
      <c r="K1859">
        <v>64.400000000000006</v>
      </c>
      <c r="L1859">
        <v>50.6</v>
      </c>
      <c r="M1859">
        <v>57.9</v>
      </c>
      <c r="N1859">
        <v>46.2</v>
      </c>
      <c r="O1859">
        <v>65.900000000000006</v>
      </c>
      <c r="S1859">
        <f t="shared" ref="S1859:S1922" si="293">IF(OR(O1859&lt;INDEX($Q$2:$Q$13,MONTH(B1859)),O1859&gt;INDEX($R$2:$R$13,MONTH(B1859))),1,0)</f>
        <v>1</v>
      </c>
      <c r="T1859">
        <f t="shared" ref="T1859:T1922" si="294">IF(O1859&gt;INDEX($R$2:$R$13,MONTH(B1859)),1,0)</f>
        <v>0</v>
      </c>
      <c r="U1859">
        <f t="shared" ref="U1859:U1922" si="295">IF(O1859&lt;INDEX($Q$2:$Q$13,MONTH(B1859)),1,0)</f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30.2</v>
      </c>
      <c r="AC1859">
        <v>19.7</v>
      </c>
      <c r="AG1859">
        <f t="shared" ref="AG1859:AG1922" si="296">IF(OR(AC1859&lt;INDEX($AE$2:$AE$13,MONTH(B1859)),AC1859&gt;INDEX($AF$2:$AF$13,MONTH(B1859))),1,0)</f>
        <v>0</v>
      </c>
      <c r="AH1859">
        <f t="shared" ref="AH1859:AH1922" si="297">IF(AC1859&gt;INDEX($AF$2:$AF$13,MONTH(B1859)),1,0)</f>
        <v>0</v>
      </c>
      <c r="AI1859">
        <f t="shared" ref="AI1859:AI1922" si="298">IF(AC1859&lt;INDEX($AE$2:$AE$13,MONTH(B1859)),1,0)</f>
        <v>0</v>
      </c>
      <c r="AJ1859">
        <v>316.7</v>
      </c>
      <c r="AK1859">
        <v>1019.5</v>
      </c>
      <c r="AL1859">
        <v>29.8</v>
      </c>
      <c r="AM1859">
        <v>6.2</v>
      </c>
      <c r="AN1859">
        <v>197.4</v>
      </c>
      <c r="AO1859">
        <v>17.100000000000001</v>
      </c>
      <c r="AP1859">
        <v>7</v>
      </c>
      <c r="AQ1859">
        <v>0</v>
      </c>
      <c r="AR1859" t="s">
        <v>6296</v>
      </c>
      <c r="AS1859" t="s">
        <v>6297</v>
      </c>
      <c r="AT1859">
        <v>0.5</v>
      </c>
      <c r="AU1859" t="s">
        <v>43</v>
      </c>
      <c r="AV1859" t="s">
        <v>44</v>
      </c>
      <c r="AW1859" t="s">
        <v>45</v>
      </c>
      <c r="AX1859" t="s">
        <v>2423</v>
      </c>
      <c r="AY1859" t="s">
        <v>6298</v>
      </c>
      <c r="AZ1859">
        <v>544.99999999534339</v>
      </c>
      <c r="BA1859">
        <v>1</v>
      </c>
      <c r="BB1859">
        <v>0</v>
      </c>
      <c r="BC1859">
        <v>3</v>
      </c>
      <c r="BD1859">
        <v>0</v>
      </c>
      <c r="BE1859">
        <f t="shared" ref="BE1859:BE1922" si="299">IF((3*AH1859+3*H1859+2*U1859+2*BA1859-(2*(1-T1859)+2*(1-I1859)+2*(1-AI1859)))&gt;=1,1,0)</f>
        <v>1</v>
      </c>
    </row>
    <row r="1860" spans="1:57" x14ac:dyDescent="0.25">
      <c r="A1860" t="s">
        <v>39</v>
      </c>
      <c r="B1860" t="s">
        <v>6299</v>
      </c>
      <c r="C1860">
        <v>71.599999999999994</v>
      </c>
      <c r="D1860">
        <v>51.8</v>
      </c>
      <c r="G1860">
        <f t="shared" si="290"/>
        <v>1</v>
      </c>
      <c r="H1860">
        <f t="shared" si="291"/>
        <v>1</v>
      </c>
      <c r="I1860">
        <f t="shared" si="292"/>
        <v>0</v>
      </c>
      <c r="J1860">
        <v>61.6</v>
      </c>
      <c r="K1860">
        <v>71.599999999999994</v>
      </c>
      <c r="L1860">
        <v>51.8</v>
      </c>
      <c r="M1860">
        <v>61.6</v>
      </c>
      <c r="N1860">
        <v>52.5</v>
      </c>
      <c r="O1860">
        <v>73.599999999999994</v>
      </c>
      <c r="S1860">
        <f t="shared" si="293"/>
        <v>1</v>
      </c>
      <c r="T1860">
        <f t="shared" si="294"/>
        <v>1</v>
      </c>
      <c r="U1860">
        <f t="shared" si="295"/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17.399999999999999</v>
      </c>
      <c r="AC1860">
        <v>8.1</v>
      </c>
      <c r="AG1860">
        <f t="shared" si="296"/>
        <v>1</v>
      </c>
      <c r="AH1860">
        <f t="shared" si="297"/>
        <v>0</v>
      </c>
      <c r="AI1860">
        <f t="shared" si="298"/>
        <v>1</v>
      </c>
      <c r="AJ1860">
        <v>181.8</v>
      </c>
      <c r="AK1860">
        <v>1011.7</v>
      </c>
      <c r="AL1860">
        <v>10.6</v>
      </c>
      <c r="AM1860">
        <v>6.2</v>
      </c>
      <c r="AN1860">
        <v>279.10000000000002</v>
      </c>
      <c r="AO1860">
        <v>24</v>
      </c>
      <c r="AP1860">
        <v>9</v>
      </c>
      <c r="AQ1860">
        <v>0</v>
      </c>
      <c r="AR1860" t="s">
        <v>6300</v>
      </c>
      <c r="AS1860" t="s">
        <v>6301</v>
      </c>
      <c r="AT1860">
        <v>0.93</v>
      </c>
      <c r="AU1860" t="s">
        <v>74</v>
      </c>
      <c r="AV1860" t="s">
        <v>2955</v>
      </c>
      <c r="AW1860" t="s">
        <v>75</v>
      </c>
      <c r="AX1860" t="s">
        <v>2461</v>
      </c>
      <c r="AY1860" t="s">
        <v>6302</v>
      </c>
      <c r="AZ1860">
        <v>1585.0000000011639</v>
      </c>
      <c r="BA1860">
        <v>1</v>
      </c>
      <c r="BB1860">
        <v>0</v>
      </c>
      <c r="BC1860">
        <v>2</v>
      </c>
      <c r="BD1860">
        <v>0</v>
      </c>
      <c r="BE1860">
        <f t="shared" si="299"/>
        <v>1</v>
      </c>
    </row>
    <row r="1861" spans="1:57" x14ac:dyDescent="0.25">
      <c r="A1861" t="s">
        <v>39</v>
      </c>
      <c r="B1861" t="s">
        <v>6303</v>
      </c>
      <c r="C1861">
        <v>86</v>
      </c>
      <c r="D1861">
        <v>78.8</v>
      </c>
      <c r="G1861">
        <f t="shared" si="290"/>
        <v>1</v>
      </c>
      <c r="H1861">
        <f t="shared" si="291"/>
        <v>1</v>
      </c>
      <c r="I1861">
        <f t="shared" si="292"/>
        <v>0</v>
      </c>
      <c r="J1861">
        <v>82.4</v>
      </c>
      <c r="K1861">
        <v>93.5</v>
      </c>
      <c r="L1861">
        <v>78.8</v>
      </c>
      <c r="M1861">
        <v>87.2</v>
      </c>
      <c r="N1861">
        <v>72</v>
      </c>
      <c r="O1861">
        <v>71</v>
      </c>
      <c r="S1861">
        <f t="shared" si="293"/>
        <v>1</v>
      </c>
      <c r="T1861">
        <f t="shared" si="294"/>
        <v>1</v>
      </c>
      <c r="U1861">
        <f t="shared" si="295"/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34.700000000000003</v>
      </c>
      <c r="AC1861">
        <v>23</v>
      </c>
      <c r="AG1861">
        <f t="shared" si="296"/>
        <v>1</v>
      </c>
      <c r="AH1861">
        <f t="shared" si="297"/>
        <v>1</v>
      </c>
      <c r="AI1861">
        <f t="shared" si="298"/>
        <v>0</v>
      </c>
      <c r="AJ1861">
        <v>296.5</v>
      </c>
      <c r="AK1861">
        <v>1008.9</v>
      </c>
      <c r="AL1861">
        <v>12.2</v>
      </c>
      <c r="AM1861">
        <v>6.2</v>
      </c>
      <c r="AN1861">
        <v>304.2</v>
      </c>
      <c r="AO1861">
        <v>26.3</v>
      </c>
      <c r="AP1861">
        <v>9</v>
      </c>
      <c r="AQ1861">
        <v>0</v>
      </c>
      <c r="AR1861" t="s">
        <v>6304</v>
      </c>
      <c r="AS1861" t="s">
        <v>6305</v>
      </c>
      <c r="AT1861">
        <v>0.05</v>
      </c>
      <c r="AU1861" t="s">
        <v>74</v>
      </c>
      <c r="AV1861" t="s">
        <v>2955</v>
      </c>
      <c r="AW1861" t="s">
        <v>75</v>
      </c>
      <c r="AX1861" t="s">
        <v>6306</v>
      </c>
      <c r="AY1861" t="s">
        <v>6307</v>
      </c>
      <c r="AZ1861">
        <v>2830.0000000046571</v>
      </c>
      <c r="BA1861">
        <v>1</v>
      </c>
      <c r="BB1861">
        <v>0</v>
      </c>
      <c r="BC1861">
        <v>6</v>
      </c>
      <c r="BD1861">
        <v>0</v>
      </c>
      <c r="BE1861">
        <f t="shared" si="299"/>
        <v>1</v>
      </c>
    </row>
    <row r="1862" spans="1:57" x14ac:dyDescent="0.25">
      <c r="A1862" t="s">
        <v>39</v>
      </c>
      <c r="B1862" t="s">
        <v>6308</v>
      </c>
      <c r="C1862">
        <v>100.4</v>
      </c>
      <c r="D1862">
        <v>71.599999999999994</v>
      </c>
      <c r="G1862">
        <f t="shared" si="290"/>
        <v>1</v>
      </c>
      <c r="H1862">
        <f t="shared" si="291"/>
        <v>1</v>
      </c>
      <c r="I1862">
        <f t="shared" si="292"/>
        <v>0</v>
      </c>
      <c r="J1862">
        <v>83.5</v>
      </c>
      <c r="K1862">
        <v>103.7</v>
      </c>
      <c r="L1862">
        <v>71.599999999999994</v>
      </c>
      <c r="M1862">
        <v>85.4</v>
      </c>
      <c r="N1862">
        <v>66.2</v>
      </c>
      <c r="O1862">
        <v>60.3</v>
      </c>
      <c r="S1862">
        <f t="shared" si="293"/>
        <v>1</v>
      </c>
      <c r="T1862">
        <f t="shared" si="294"/>
        <v>0</v>
      </c>
      <c r="U1862">
        <f t="shared" si="295"/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27.7</v>
      </c>
      <c r="AC1862">
        <v>24.2</v>
      </c>
      <c r="AG1862">
        <f t="shared" si="296"/>
        <v>1</v>
      </c>
      <c r="AH1862">
        <f t="shared" si="297"/>
        <v>1</v>
      </c>
      <c r="AI1862">
        <f t="shared" si="298"/>
        <v>0</v>
      </c>
      <c r="AJ1862">
        <v>223.8</v>
      </c>
      <c r="AK1862">
        <v>1008.1</v>
      </c>
      <c r="AL1862">
        <v>27.4</v>
      </c>
      <c r="AM1862">
        <v>6.2</v>
      </c>
      <c r="AN1862">
        <v>244.1</v>
      </c>
      <c r="AO1862">
        <v>20.8</v>
      </c>
      <c r="AP1862">
        <v>8</v>
      </c>
      <c r="AQ1862">
        <v>0</v>
      </c>
      <c r="AR1862" t="s">
        <v>6309</v>
      </c>
      <c r="AS1862" t="s">
        <v>6310</v>
      </c>
      <c r="AT1862">
        <v>0.25</v>
      </c>
      <c r="AU1862" t="s">
        <v>43</v>
      </c>
      <c r="AV1862" t="s">
        <v>44</v>
      </c>
      <c r="AW1862" t="s">
        <v>45</v>
      </c>
      <c r="AX1862" t="s">
        <v>6311</v>
      </c>
      <c r="AY1862" t="s">
        <v>6312</v>
      </c>
      <c r="AZ1862">
        <v>97.999999994644895</v>
      </c>
      <c r="BA1862">
        <v>0</v>
      </c>
      <c r="BB1862">
        <v>0</v>
      </c>
      <c r="BC1862">
        <v>0.01</v>
      </c>
      <c r="BD1862">
        <v>0</v>
      </c>
      <c r="BE1862">
        <f t="shared" si="299"/>
        <v>1</v>
      </c>
    </row>
    <row r="1863" spans="1:57" x14ac:dyDescent="0.25">
      <c r="A1863" t="s">
        <v>39</v>
      </c>
      <c r="B1863" t="s">
        <v>6313</v>
      </c>
      <c r="C1863">
        <v>75.2</v>
      </c>
      <c r="D1863">
        <v>64.400000000000006</v>
      </c>
      <c r="G1863">
        <f t="shared" si="290"/>
        <v>0</v>
      </c>
      <c r="H1863">
        <f t="shared" si="291"/>
        <v>0</v>
      </c>
      <c r="I1863">
        <f t="shared" si="292"/>
        <v>0</v>
      </c>
      <c r="J1863">
        <v>69.3</v>
      </c>
      <c r="K1863">
        <v>75.2</v>
      </c>
      <c r="L1863">
        <v>64.400000000000006</v>
      </c>
      <c r="M1863">
        <v>69.3</v>
      </c>
      <c r="N1863">
        <v>62.1</v>
      </c>
      <c r="O1863">
        <v>78.2</v>
      </c>
      <c r="S1863">
        <f t="shared" si="293"/>
        <v>1</v>
      </c>
      <c r="T1863">
        <f t="shared" si="294"/>
        <v>1</v>
      </c>
      <c r="U1863">
        <f t="shared" si="295"/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22.8</v>
      </c>
      <c r="AC1863">
        <v>18.3</v>
      </c>
      <c r="AG1863">
        <f t="shared" si="296"/>
        <v>1</v>
      </c>
      <c r="AH1863">
        <f t="shared" si="297"/>
        <v>1</v>
      </c>
      <c r="AI1863">
        <f t="shared" si="298"/>
        <v>0</v>
      </c>
      <c r="AJ1863">
        <v>328.5</v>
      </c>
      <c r="AK1863">
        <v>1017.8</v>
      </c>
      <c r="AL1863">
        <v>64.5</v>
      </c>
      <c r="AM1863">
        <v>6.2</v>
      </c>
      <c r="AN1863">
        <v>157.80000000000001</v>
      </c>
      <c r="AO1863">
        <v>13.5</v>
      </c>
      <c r="AP1863">
        <v>6</v>
      </c>
      <c r="AQ1863">
        <v>0</v>
      </c>
      <c r="AR1863" t="s">
        <v>6314</v>
      </c>
      <c r="AS1863" t="s">
        <v>6315</v>
      </c>
      <c r="AT1863">
        <v>0.54</v>
      </c>
      <c r="AU1863" t="s">
        <v>43</v>
      </c>
      <c r="AV1863" t="s">
        <v>44</v>
      </c>
      <c r="AW1863" t="s">
        <v>45</v>
      </c>
      <c r="AX1863" t="s">
        <v>2715</v>
      </c>
      <c r="AY1863" t="s">
        <v>6316</v>
      </c>
      <c r="AZ1863">
        <v>555.00000000698492</v>
      </c>
      <c r="BA1863">
        <v>1</v>
      </c>
      <c r="BB1863">
        <v>0</v>
      </c>
      <c r="BC1863">
        <v>0.1</v>
      </c>
      <c r="BD1863">
        <v>0</v>
      </c>
      <c r="BE1863">
        <f t="shared" si="299"/>
        <v>1</v>
      </c>
    </row>
    <row r="1864" spans="1:57" x14ac:dyDescent="0.25">
      <c r="A1864" t="s">
        <v>39</v>
      </c>
      <c r="B1864" t="s">
        <v>6317</v>
      </c>
      <c r="C1864">
        <v>53.6</v>
      </c>
      <c r="D1864">
        <v>45.4</v>
      </c>
      <c r="G1864">
        <f t="shared" si="290"/>
        <v>1</v>
      </c>
      <c r="H1864">
        <f t="shared" si="291"/>
        <v>0</v>
      </c>
      <c r="I1864">
        <f t="shared" si="292"/>
        <v>1</v>
      </c>
      <c r="J1864">
        <v>51.2</v>
      </c>
      <c r="K1864">
        <v>53.6</v>
      </c>
      <c r="L1864">
        <v>43.7</v>
      </c>
      <c r="M1864">
        <v>50.7</v>
      </c>
      <c r="N1864">
        <v>42.2</v>
      </c>
      <c r="O1864">
        <v>72</v>
      </c>
      <c r="S1864">
        <f t="shared" si="293"/>
        <v>1</v>
      </c>
      <c r="T1864">
        <f t="shared" si="294"/>
        <v>1</v>
      </c>
      <c r="U1864">
        <f t="shared" si="295"/>
        <v>0</v>
      </c>
      <c r="V1864">
        <v>2E-3</v>
      </c>
      <c r="W1864">
        <v>100</v>
      </c>
      <c r="X1864">
        <v>4.17</v>
      </c>
      <c r="Y1864" t="s">
        <v>103</v>
      </c>
      <c r="Z1864">
        <v>0</v>
      </c>
      <c r="AA1864">
        <v>0</v>
      </c>
      <c r="AB1864">
        <v>24.4</v>
      </c>
      <c r="AC1864">
        <v>21.9</v>
      </c>
      <c r="AG1864">
        <f t="shared" si="296"/>
        <v>1</v>
      </c>
      <c r="AH1864">
        <f t="shared" si="297"/>
        <v>1</v>
      </c>
      <c r="AI1864">
        <f t="shared" si="298"/>
        <v>0</v>
      </c>
      <c r="AJ1864">
        <v>11.2</v>
      </c>
      <c r="AK1864">
        <v>1023.3</v>
      </c>
      <c r="AL1864">
        <v>75.599999999999994</v>
      </c>
      <c r="AM1864">
        <v>6.2</v>
      </c>
      <c r="AN1864">
        <v>97.8</v>
      </c>
      <c r="AO1864">
        <v>8.3000000000000007</v>
      </c>
      <c r="AP1864">
        <v>4</v>
      </c>
      <c r="AQ1864">
        <v>0</v>
      </c>
      <c r="AR1864" t="s">
        <v>6318</v>
      </c>
      <c r="AS1864" t="s">
        <v>6319</v>
      </c>
      <c r="AT1864">
        <v>0.57999999999999996</v>
      </c>
      <c r="AU1864" t="s">
        <v>106</v>
      </c>
      <c r="AV1864" t="s">
        <v>1180</v>
      </c>
      <c r="AW1864" t="s">
        <v>103</v>
      </c>
      <c r="AX1864" t="s">
        <v>2481</v>
      </c>
      <c r="AY1864" t="s">
        <v>6320</v>
      </c>
      <c r="AZ1864">
        <v>349.99999999883579</v>
      </c>
      <c r="BA1864">
        <v>0</v>
      </c>
      <c r="BB1864">
        <v>0</v>
      </c>
      <c r="BC1864">
        <v>30</v>
      </c>
      <c r="BD1864">
        <v>0</v>
      </c>
      <c r="BE1864">
        <f t="shared" si="299"/>
        <v>1</v>
      </c>
    </row>
    <row r="1865" spans="1:57" x14ac:dyDescent="0.25">
      <c r="A1865" t="s">
        <v>39</v>
      </c>
      <c r="B1865" t="s">
        <v>6321</v>
      </c>
      <c r="C1865">
        <v>62.6</v>
      </c>
      <c r="D1865">
        <v>53.6</v>
      </c>
      <c r="G1865">
        <f t="shared" si="290"/>
        <v>1</v>
      </c>
      <c r="H1865">
        <f t="shared" si="291"/>
        <v>1</v>
      </c>
      <c r="I1865">
        <f t="shared" si="292"/>
        <v>0</v>
      </c>
      <c r="J1865">
        <v>58.9</v>
      </c>
      <c r="K1865">
        <v>62.6</v>
      </c>
      <c r="L1865">
        <v>53.6</v>
      </c>
      <c r="M1865">
        <v>58.9</v>
      </c>
      <c r="N1865">
        <v>47</v>
      </c>
      <c r="O1865">
        <v>65.3</v>
      </c>
      <c r="S1865">
        <f t="shared" si="293"/>
        <v>1</v>
      </c>
      <c r="T1865">
        <f t="shared" si="294"/>
        <v>0</v>
      </c>
      <c r="U1865">
        <f t="shared" si="295"/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43.6</v>
      </c>
      <c r="AC1865">
        <v>31.1</v>
      </c>
      <c r="AG1865">
        <f t="shared" si="296"/>
        <v>1</v>
      </c>
      <c r="AH1865">
        <f t="shared" si="297"/>
        <v>1</v>
      </c>
      <c r="AI1865">
        <f t="shared" si="298"/>
        <v>0</v>
      </c>
      <c r="AJ1865">
        <v>172.9</v>
      </c>
      <c r="AK1865">
        <v>1011.4</v>
      </c>
      <c r="AL1865">
        <v>50.1</v>
      </c>
      <c r="AM1865">
        <v>6.2</v>
      </c>
      <c r="AN1865">
        <v>125.5</v>
      </c>
      <c r="AO1865">
        <v>10.7</v>
      </c>
      <c r="AP1865">
        <v>5</v>
      </c>
      <c r="AQ1865">
        <v>0</v>
      </c>
      <c r="AR1865" t="s">
        <v>6322</v>
      </c>
      <c r="AS1865" t="s">
        <v>6323</v>
      </c>
      <c r="AT1865">
        <v>0.23</v>
      </c>
      <c r="AU1865" t="s">
        <v>43</v>
      </c>
      <c r="AV1865" t="s">
        <v>44</v>
      </c>
      <c r="AW1865" t="s">
        <v>419</v>
      </c>
      <c r="AX1865" t="s">
        <v>2534</v>
      </c>
      <c r="AY1865" t="s">
        <v>6324</v>
      </c>
      <c r="AZ1865">
        <v>1059.9999999976719</v>
      </c>
      <c r="BA1865">
        <v>1</v>
      </c>
      <c r="BB1865">
        <v>0</v>
      </c>
      <c r="BC1865">
        <v>50</v>
      </c>
      <c r="BD1865">
        <v>0</v>
      </c>
      <c r="BE1865">
        <f t="shared" si="299"/>
        <v>1</v>
      </c>
    </row>
    <row r="1866" spans="1:57" x14ac:dyDescent="0.25">
      <c r="A1866" t="s">
        <v>39</v>
      </c>
      <c r="B1866" t="s">
        <v>6325</v>
      </c>
      <c r="C1866">
        <v>84.2</v>
      </c>
      <c r="D1866">
        <v>68</v>
      </c>
      <c r="G1866">
        <f t="shared" si="290"/>
        <v>1</v>
      </c>
      <c r="H1866">
        <f t="shared" si="291"/>
        <v>1</v>
      </c>
      <c r="I1866">
        <f t="shared" si="292"/>
        <v>0</v>
      </c>
      <c r="J1866">
        <v>76.099999999999994</v>
      </c>
      <c r="K1866">
        <v>90.9</v>
      </c>
      <c r="L1866">
        <v>68</v>
      </c>
      <c r="M1866">
        <v>78.099999999999994</v>
      </c>
      <c r="N1866">
        <v>67.099999999999994</v>
      </c>
      <c r="O1866">
        <v>74.5</v>
      </c>
      <c r="S1866">
        <f t="shared" si="293"/>
        <v>1</v>
      </c>
      <c r="T1866">
        <f t="shared" si="294"/>
        <v>1</v>
      </c>
      <c r="U1866">
        <f t="shared" si="295"/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21.7</v>
      </c>
      <c r="AC1866">
        <v>5.8</v>
      </c>
      <c r="AG1866">
        <f t="shared" si="296"/>
        <v>1</v>
      </c>
      <c r="AH1866">
        <f t="shared" si="297"/>
        <v>0</v>
      </c>
      <c r="AI1866">
        <f t="shared" si="298"/>
        <v>1</v>
      </c>
      <c r="AJ1866">
        <v>136.5</v>
      </c>
      <c r="AK1866">
        <v>1013.2</v>
      </c>
      <c r="AL1866">
        <v>21.8</v>
      </c>
      <c r="AM1866">
        <v>6.2</v>
      </c>
      <c r="AN1866">
        <v>335.5</v>
      </c>
      <c r="AO1866">
        <v>29</v>
      </c>
      <c r="AP1866">
        <v>10</v>
      </c>
      <c r="AQ1866">
        <v>0</v>
      </c>
      <c r="AR1866" t="s">
        <v>6326</v>
      </c>
      <c r="AS1866" t="s">
        <v>6327</v>
      </c>
      <c r="AT1866">
        <v>0.87</v>
      </c>
      <c r="AU1866" t="s">
        <v>43</v>
      </c>
      <c r="AV1866" t="s">
        <v>44</v>
      </c>
      <c r="AW1866" t="s">
        <v>45</v>
      </c>
      <c r="AX1866" t="s">
        <v>6328</v>
      </c>
      <c r="AY1866" t="s">
        <v>6329</v>
      </c>
      <c r="AZ1866">
        <v>374.00000000372529</v>
      </c>
      <c r="BA1866">
        <v>1</v>
      </c>
      <c r="BB1866">
        <v>0</v>
      </c>
      <c r="BC1866">
        <v>1</v>
      </c>
      <c r="BD1866">
        <v>0</v>
      </c>
      <c r="BE1866">
        <f t="shared" si="299"/>
        <v>1</v>
      </c>
    </row>
    <row r="1867" spans="1:57" x14ac:dyDescent="0.25">
      <c r="A1867" t="s">
        <v>39</v>
      </c>
      <c r="B1867" t="s">
        <v>6330</v>
      </c>
      <c r="C1867">
        <v>82.4</v>
      </c>
      <c r="D1867">
        <v>69.900000000000006</v>
      </c>
      <c r="G1867">
        <f t="shared" si="290"/>
        <v>1</v>
      </c>
      <c r="H1867">
        <f t="shared" si="291"/>
        <v>1</v>
      </c>
      <c r="I1867">
        <f t="shared" si="292"/>
        <v>0</v>
      </c>
      <c r="J1867">
        <v>78.3</v>
      </c>
      <c r="K1867">
        <v>85.4</v>
      </c>
      <c r="L1867">
        <v>69.900000000000006</v>
      </c>
      <c r="M1867">
        <v>79.2</v>
      </c>
      <c r="N1867">
        <v>66.099999999999994</v>
      </c>
      <c r="O1867">
        <v>67</v>
      </c>
      <c r="S1867">
        <f t="shared" si="293"/>
        <v>0</v>
      </c>
      <c r="T1867">
        <f t="shared" si="294"/>
        <v>0</v>
      </c>
      <c r="U1867">
        <f t="shared" si="295"/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27.7</v>
      </c>
      <c r="AC1867">
        <v>16.100000000000001</v>
      </c>
      <c r="AG1867">
        <f t="shared" si="296"/>
        <v>0</v>
      </c>
      <c r="AH1867">
        <f t="shared" si="297"/>
        <v>0</v>
      </c>
      <c r="AI1867">
        <f t="shared" si="298"/>
        <v>0</v>
      </c>
      <c r="AJ1867">
        <v>308.2</v>
      </c>
      <c r="AK1867">
        <v>1015.6</v>
      </c>
      <c r="AL1867">
        <v>13.4</v>
      </c>
      <c r="AM1867">
        <v>6.2</v>
      </c>
      <c r="AN1867">
        <v>252.3</v>
      </c>
      <c r="AO1867">
        <v>21.9</v>
      </c>
      <c r="AP1867">
        <v>8</v>
      </c>
      <c r="AQ1867">
        <v>0</v>
      </c>
      <c r="AR1867" t="s">
        <v>6331</v>
      </c>
      <c r="AS1867" t="s">
        <v>6332</v>
      </c>
      <c r="AT1867">
        <v>0.52</v>
      </c>
      <c r="AU1867" t="s">
        <v>74</v>
      </c>
      <c r="AV1867" t="s">
        <v>2955</v>
      </c>
      <c r="AW1867" t="s">
        <v>75</v>
      </c>
      <c r="AX1867" t="s">
        <v>4357</v>
      </c>
      <c r="AY1867" t="s">
        <v>6333</v>
      </c>
      <c r="AZ1867">
        <v>1405.0000000011639</v>
      </c>
      <c r="BA1867">
        <v>1</v>
      </c>
      <c r="BB1867">
        <v>0</v>
      </c>
      <c r="BC1867">
        <v>100</v>
      </c>
      <c r="BD1867">
        <v>0</v>
      </c>
      <c r="BE1867">
        <f t="shared" si="299"/>
        <v>0</v>
      </c>
    </row>
    <row r="1868" spans="1:57" x14ac:dyDescent="0.25">
      <c r="A1868" t="s">
        <v>39</v>
      </c>
      <c r="B1868" t="s">
        <v>6334</v>
      </c>
      <c r="C1868">
        <v>87.9</v>
      </c>
      <c r="D1868">
        <v>73.400000000000006</v>
      </c>
      <c r="G1868">
        <f t="shared" si="290"/>
        <v>1</v>
      </c>
      <c r="H1868">
        <f t="shared" si="291"/>
        <v>1</v>
      </c>
      <c r="I1868">
        <f t="shared" si="292"/>
        <v>0</v>
      </c>
      <c r="J1868">
        <v>82</v>
      </c>
      <c r="K1868">
        <v>92.7</v>
      </c>
      <c r="L1868">
        <v>73.400000000000006</v>
      </c>
      <c r="M1868">
        <v>84.1</v>
      </c>
      <c r="N1868">
        <v>65</v>
      </c>
      <c r="O1868">
        <v>57.8</v>
      </c>
      <c r="S1868">
        <f t="shared" si="293"/>
        <v>1</v>
      </c>
      <c r="T1868">
        <f t="shared" si="294"/>
        <v>0</v>
      </c>
      <c r="U1868">
        <f t="shared" si="295"/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17.399999999999999</v>
      </c>
      <c r="AC1868">
        <v>10.199999999999999</v>
      </c>
      <c r="AG1868">
        <f t="shared" si="296"/>
        <v>1</v>
      </c>
      <c r="AH1868">
        <f t="shared" si="297"/>
        <v>0</v>
      </c>
      <c r="AI1868">
        <f t="shared" si="298"/>
        <v>1</v>
      </c>
      <c r="AJ1868">
        <v>45.5</v>
      </c>
      <c r="AK1868">
        <v>1011.5</v>
      </c>
      <c r="AL1868">
        <v>7.3</v>
      </c>
      <c r="AM1868">
        <v>6.2</v>
      </c>
      <c r="AN1868">
        <v>346.8</v>
      </c>
      <c r="AO1868">
        <v>30</v>
      </c>
      <c r="AP1868">
        <v>10</v>
      </c>
      <c r="AQ1868">
        <v>0</v>
      </c>
      <c r="AR1868" t="s">
        <v>6335</v>
      </c>
      <c r="AS1868" t="s">
        <v>6336</v>
      </c>
      <c r="AT1868">
        <v>0.5</v>
      </c>
      <c r="AU1868" t="s">
        <v>74</v>
      </c>
      <c r="AV1868" t="s">
        <v>2955</v>
      </c>
      <c r="AW1868" t="s">
        <v>75</v>
      </c>
      <c r="AX1868" t="s">
        <v>4269</v>
      </c>
      <c r="AY1868" t="s">
        <v>6337</v>
      </c>
      <c r="AZ1868">
        <v>84.999999994179234</v>
      </c>
      <c r="BA1868">
        <v>0</v>
      </c>
      <c r="BB1868">
        <v>0</v>
      </c>
      <c r="BC1868">
        <v>1.5</v>
      </c>
      <c r="BD1868">
        <v>0</v>
      </c>
      <c r="BE1868">
        <f t="shared" si="299"/>
        <v>1</v>
      </c>
    </row>
    <row r="1869" spans="1:57" x14ac:dyDescent="0.25">
      <c r="A1869" t="s">
        <v>39</v>
      </c>
      <c r="B1869" t="s">
        <v>6338</v>
      </c>
      <c r="C1869">
        <v>77</v>
      </c>
      <c r="D1869">
        <v>69.8</v>
      </c>
      <c r="G1869">
        <f t="shared" si="290"/>
        <v>1</v>
      </c>
      <c r="H1869">
        <f t="shared" si="291"/>
        <v>0</v>
      </c>
      <c r="I1869">
        <f t="shared" si="292"/>
        <v>1</v>
      </c>
      <c r="J1869">
        <v>71.7</v>
      </c>
      <c r="K1869">
        <v>77</v>
      </c>
      <c r="L1869">
        <v>69.8</v>
      </c>
      <c r="M1869">
        <v>71.7</v>
      </c>
      <c r="N1869">
        <v>60.2</v>
      </c>
      <c r="O1869">
        <v>67.400000000000006</v>
      </c>
      <c r="S1869">
        <f t="shared" si="293"/>
        <v>0</v>
      </c>
      <c r="T1869">
        <f t="shared" si="294"/>
        <v>0</v>
      </c>
      <c r="U1869">
        <f t="shared" si="295"/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26.6</v>
      </c>
      <c r="AC1869">
        <v>15</v>
      </c>
      <c r="AG1869">
        <f t="shared" si="296"/>
        <v>1</v>
      </c>
      <c r="AH1869">
        <f t="shared" si="297"/>
        <v>0</v>
      </c>
      <c r="AI1869">
        <f t="shared" si="298"/>
        <v>1</v>
      </c>
      <c r="AJ1869">
        <v>321.39999999999998</v>
      </c>
      <c r="AK1869">
        <v>1022.5</v>
      </c>
      <c r="AL1869">
        <v>41.7</v>
      </c>
      <c r="AM1869">
        <v>6.2</v>
      </c>
      <c r="AN1869">
        <v>222.5</v>
      </c>
      <c r="AO1869">
        <v>19.2</v>
      </c>
      <c r="AP1869">
        <v>8</v>
      </c>
      <c r="AQ1869">
        <v>0</v>
      </c>
      <c r="AR1869" t="s">
        <v>6339</v>
      </c>
      <c r="AS1869" t="s">
        <v>6340</v>
      </c>
      <c r="AT1869">
        <v>0.94</v>
      </c>
      <c r="AU1869" t="s">
        <v>43</v>
      </c>
      <c r="AV1869" t="s">
        <v>44</v>
      </c>
      <c r="AW1869" t="s">
        <v>45</v>
      </c>
      <c r="AX1869" t="s">
        <v>4391</v>
      </c>
      <c r="AY1869" t="s">
        <v>6341</v>
      </c>
      <c r="AZ1869">
        <v>145.00000000116421</v>
      </c>
      <c r="BA1869">
        <v>0</v>
      </c>
      <c r="BB1869">
        <v>0</v>
      </c>
      <c r="BC1869">
        <v>0</v>
      </c>
      <c r="BD1869">
        <v>3</v>
      </c>
      <c r="BE1869">
        <f t="shared" si="299"/>
        <v>0</v>
      </c>
    </row>
    <row r="1870" spans="1:57" x14ac:dyDescent="0.25">
      <c r="A1870" t="s">
        <v>39</v>
      </c>
      <c r="B1870" t="s">
        <v>6342</v>
      </c>
      <c r="C1870">
        <v>79.8</v>
      </c>
      <c r="D1870">
        <v>60.8</v>
      </c>
      <c r="G1870">
        <f t="shared" si="290"/>
        <v>1</v>
      </c>
      <c r="H1870">
        <f t="shared" si="291"/>
        <v>1</v>
      </c>
      <c r="I1870">
        <f t="shared" si="292"/>
        <v>0</v>
      </c>
      <c r="J1870">
        <v>69.599999999999994</v>
      </c>
      <c r="K1870">
        <v>79.8</v>
      </c>
      <c r="L1870">
        <v>60.8</v>
      </c>
      <c r="M1870">
        <v>69.599999999999994</v>
      </c>
      <c r="N1870">
        <v>61.6</v>
      </c>
      <c r="O1870">
        <v>77.3</v>
      </c>
      <c r="S1870">
        <f t="shared" si="293"/>
        <v>1</v>
      </c>
      <c r="T1870">
        <f t="shared" si="294"/>
        <v>1</v>
      </c>
      <c r="U1870">
        <f t="shared" si="295"/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17.2</v>
      </c>
      <c r="AC1870">
        <v>6.9</v>
      </c>
      <c r="AG1870">
        <f t="shared" si="296"/>
        <v>1</v>
      </c>
      <c r="AH1870">
        <f t="shared" si="297"/>
        <v>0</v>
      </c>
      <c r="AI1870">
        <f t="shared" si="298"/>
        <v>1</v>
      </c>
      <c r="AJ1870">
        <v>143.9</v>
      </c>
      <c r="AK1870">
        <v>1016.1</v>
      </c>
      <c r="AL1870">
        <v>30.5</v>
      </c>
      <c r="AM1870">
        <v>6.2</v>
      </c>
      <c r="AN1870">
        <v>218.5</v>
      </c>
      <c r="AO1870">
        <v>19</v>
      </c>
      <c r="AP1870">
        <v>8</v>
      </c>
      <c r="AQ1870">
        <v>0</v>
      </c>
      <c r="AR1870" t="s">
        <v>6343</v>
      </c>
      <c r="AS1870" t="s">
        <v>6344</v>
      </c>
      <c r="AT1870">
        <v>0.05</v>
      </c>
      <c r="AU1870" t="s">
        <v>43</v>
      </c>
      <c r="AV1870" t="s">
        <v>44</v>
      </c>
      <c r="AW1870" t="s">
        <v>45</v>
      </c>
      <c r="AX1870" t="s">
        <v>2567</v>
      </c>
      <c r="AY1870" t="s">
        <v>6345</v>
      </c>
      <c r="AZ1870">
        <v>345.00000000349252</v>
      </c>
      <c r="BA1870">
        <v>0</v>
      </c>
      <c r="BB1870">
        <v>0</v>
      </c>
      <c r="BC1870">
        <v>1</v>
      </c>
      <c r="BD1870">
        <v>0</v>
      </c>
      <c r="BE1870">
        <f t="shared" si="299"/>
        <v>1</v>
      </c>
    </row>
    <row r="1871" spans="1:57" x14ac:dyDescent="0.25">
      <c r="A1871" t="s">
        <v>39</v>
      </c>
      <c r="B1871" t="s">
        <v>6342</v>
      </c>
      <c r="C1871">
        <v>79.8</v>
      </c>
      <c r="D1871">
        <v>60.8</v>
      </c>
      <c r="G1871">
        <f t="shared" si="290"/>
        <v>1</v>
      </c>
      <c r="H1871">
        <f t="shared" si="291"/>
        <v>1</v>
      </c>
      <c r="I1871">
        <f t="shared" si="292"/>
        <v>0</v>
      </c>
      <c r="J1871">
        <v>69.599999999999994</v>
      </c>
      <c r="K1871">
        <v>79.8</v>
      </c>
      <c r="L1871">
        <v>60.8</v>
      </c>
      <c r="M1871">
        <v>69.599999999999994</v>
      </c>
      <c r="N1871">
        <v>61.6</v>
      </c>
      <c r="O1871">
        <v>77.3</v>
      </c>
      <c r="S1871">
        <f t="shared" si="293"/>
        <v>1</v>
      </c>
      <c r="T1871">
        <f t="shared" si="294"/>
        <v>1</v>
      </c>
      <c r="U1871">
        <f t="shared" si="295"/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17.2</v>
      </c>
      <c r="AC1871">
        <v>6.9</v>
      </c>
      <c r="AG1871">
        <f t="shared" si="296"/>
        <v>1</v>
      </c>
      <c r="AH1871">
        <f t="shared" si="297"/>
        <v>0</v>
      </c>
      <c r="AI1871">
        <f t="shared" si="298"/>
        <v>1</v>
      </c>
      <c r="AJ1871">
        <v>143.9</v>
      </c>
      <c r="AK1871">
        <v>1016.1</v>
      </c>
      <c r="AL1871">
        <v>30.5</v>
      </c>
      <c r="AM1871">
        <v>6.2</v>
      </c>
      <c r="AN1871">
        <v>218.5</v>
      </c>
      <c r="AO1871">
        <v>19</v>
      </c>
      <c r="AP1871">
        <v>8</v>
      </c>
      <c r="AQ1871">
        <v>0</v>
      </c>
      <c r="AR1871" t="s">
        <v>6343</v>
      </c>
      <c r="AS1871" t="s">
        <v>6344</v>
      </c>
      <c r="AT1871">
        <v>0.05</v>
      </c>
      <c r="AU1871" t="s">
        <v>43</v>
      </c>
      <c r="AV1871" t="s">
        <v>44</v>
      </c>
      <c r="AW1871" t="s">
        <v>45</v>
      </c>
      <c r="AX1871" t="s">
        <v>4132</v>
      </c>
      <c r="AY1871" t="s">
        <v>6346</v>
      </c>
      <c r="AZ1871">
        <v>270</v>
      </c>
      <c r="BA1871">
        <v>0</v>
      </c>
      <c r="BB1871">
        <v>0</v>
      </c>
      <c r="BC1871">
        <v>1</v>
      </c>
      <c r="BD1871">
        <v>0</v>
      </c>
      <c r="BE1871">
        <f t="shared" si="299"/>
        <v>1</v>
      </c>
    </row>
    <row r="1872" spans="1:57" x14ac:dyDescent="0.25">
      <c r="A1872" t="s">
        <v>39</v>
      </c>
      <c r="B1872" t="s">
        <v>6347</v>
      </c>
      <c r="C1872">
        <v>78.8</v>
      </c>
      <c r="D1872">
        <v>66.2</v>
      </c>
      <c r="G1872">
        <f t="shared" si="290"/>
        <v>1</v>
      </c>
      <c r="H1872">
        <f t="shared" si="291"/>
        <v>1</v>
      </c>
      <c r="I1872">
        <f t="shared" si="292"/>
        <v>0</v>
      </c>
      <c r="J1872">
        <v>73</v>
      </c>
      <c r="K1872">
        <v>78.8</v>
      </c>
      <c r="L1872">
        <v>66.2</v>
      </c>
      <c r="M1872">
        <v>73</v>
      </c>
      <c r="N1872">
        <v>63.3</v>
      </c>
      <c r="O1872">
        <v>72.400000000000006</v>
      </c>
      <c r="S1872">
        <f t="shared" si="293"/>
        <v>1</v>
      </c>
      <c r="T1872">
        <f t="shared" si="294"/>
        <v>1</v>
      </c>
      <c r="U1872">
        <f t="shared" si="295"/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26.2</v>
      </c>
      <c r="AC1872">
        <v>19.7</v>
      </c>
      <c r="AG1872">
        <f t="shared" si="296"/>
        <v>1</v>
      </c>
      <c r="AH1872">
        <f t="shared" si="297"/>
        <v>1</v>
      </c>
      <c r="AI1872">
        <f t="shared" si="298"/>
        <v>0</v>
      </c>
      <c r="AJ1872">
        <v>280.3</v>
      </c>
      <c r="AK1872">
        <v>1011.5</v>
      </c>
      <c r="AL1872">
        <v>26.5</v>
      </c>
      <c r="AM1872">
        <v>6.2</v>
      </c>
      <c r="AN1872">
        <v>213.2</v>
      </c>
      <c r="AO1872">
        <v>18.5</v>
      </c>
      <c r="AP1872">
        <v>7</v>
      </c>
      <c r="AQ1872">
        <v>0</v>
      </c>
      <c r="AR1872" t="s">
        <v>6348</v>
      </c>
      <c r="AS1872" t="s">
        <v>6349</v>
      </c>
      <c r="AT1872">
        <v>0.14000000000000001</v>
      </c>
      <c r="AU1872" t="s">
        <v>43</v>
      </c>
      <c r="AV1872" t="s">
        <v>44</v>
      </c>
      <c r="AW1872" t="s">
        <v>45</v>
      </c>
      <c r="AX1872" t="s">
        <v>4778</v>
      </c>
      <c r="AY1872" t="s">
        <v>6350</v>
      </c>
      <c r="AZ1872">
        <v>460.00000000116421</v>
      </c>
      <c r="BA1872">
        <v>1</v>
      </c>
      <c r="BB1872">
        <v>0</v>
      </c>
      <c r="BC1872">
        <v>1</v>
      </c>
      <c r="BD1872">
        <v>0</v>
      </c>
      <c r="BE1872">
        <f t="shared" si="299"/>
        <v>1</v>
      </c>
    </row>
    <row r="1873" spans="1:57" x14ac:dyDescent="0.25">
      <c r="A1873" t="s">
        <v>39</v>
      </c>
      <c r="B1873" t="s">
        <v>6313</v>
      </c>
      <c r="C1873">
        <v>75.2</v>
      </c>
      <c r="D1873">
        <v>64.400000000000006</v>
      </c>
      <c r="G1873">
        <f t="shared" si="290"/>
        <v>0</v>
      </c>
      <c r="H1873">
        <f t="shared" si="291"/>
        <v>0</v>
      </c>
      <c r="I1873">
        <f t="shared" si="292"/>
        <v>0</v>
      </c>
      <c r="J1873">
        <v>69.3</v>
      </c>
      <c r="K1873">
        <v>75.2</v>
      </c>
      <c r="L1873">
        <v>64.400000000000006</v>
      </c>
      <c r="M1873">
        <v>69.3</v>
      </c>
      <c r="N1873">
        <v>62.1</v>
      </c>
      <c r="O1873">
        <v>78.2</v>
      </c>
      <c r="S1873">
        <f t="shared" si="293"/>
        <v>1</v>
      </c>
      <c r="T1873">
        <f t="shared" si="294"/>
        <v>1</v>
      </c>
      <c r="U1873">
        <f t="shared" si="295"/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22.8</v>
      </c>
      <c r="AC1873">
        <v>18.3</v>
      </c>
      <c r="AG1873">
        <f t="shared" si="296"/>
        <v>1</v>
      </c>
      <c r="AH1873">
        <f t="shared" si="297"/>
        <v>1</v>
      </c>
      <c r="AI1873">
        <f t="shared" si="298"/>
        <v>0</v>
      </c>
      <c r="AJ1873">
        <v>328.5</v>
      </c>
      <c r="AK1873">
        <v>1017.8</v>
      </c>
      <c r="AL1873">
        <v>64.5</v>
      </c>
      <c r="AM1873">
        <v>6.2</v>
      </c>
      <c r="AN1873">
        <v>157.80000000000001</v>
      </c>
      <c r="AO1873">
        <v>13.5</v>
      </c>
      <c r="AP1873">
        <v>6</v>
      </c>
      <c r="AQ1873">
        <v>0</v>
      </c>
      <c r="AR1873" t="s">
        <v>6314</v>
      </c>
      <c r="AS1873" t="s">
        <v>6315</v>
      </c>
      <c r="AT1873">
        <v>0.54</v>
      </c>
      <c r="AU1873" t="s">
        <v>43</v>
      </c>
      <c r="AV1873" t="s">
        <v>44</v>
      </c>
      <c r="AW1873" t="s">
        <v>45</v>
      </c>
      <c r="AX1873" t="s">
        <v>4190</v>
      </c>
      <c r="AY1873" t="s">
        <v>6351</v>
      </c>
      <c r="AZ1873">
        <v>1374.9999999976719</v>
      </c>
      <c r="BA1873">
        <v>1</v>
      </c>
      <c r="BB1873">
        <v>0</v>
      </c>
      <c r="BC1873">
        <v>2</v>
      </c>
      <c r="BD1873">
        <v>0</v>
      </c>
      <c r="BE1873">
        <f t="shared" si="299"/>
        <v>1</v>
      </c>
    </row>
    <row r="1874" spans="1:57" x14ac:dyDescent="0.25">
      <c r="A1874" t="s">
        <v>39</v>
      </c>
      <c r="B1874" t="s">
        <v>6352</v>
      </c>
      <c r="C1874">
        <v>80.599999999999994</v>
      </c>
      <c r="D1874">
        <v>60.8</v>
      </c>
      <c r="G1874">
        <f t="shared" si="290"/>
        <v>1</v>
      </c>
      <c r="H1874">
        <f t="shared" si="291"/>
        <v>1</v>
      </c>
      <c r="I1874">
        <f t="shared" si="292"/>
        <v>0</v>
      </c>
      <c r="J1874">
        <v>71</v>
      </c>
      <c r="K1874">
        <v>81.099999999999994</v>
      </c>
      <c r="L1874">
        <v>60.8</v>
      </c>
      <c r="M1874">
        <v>71</v>
      </c>
      <c r="N1874">
        <v>56.9</v>
      </c>
      <c r="O1874">
        <v>63</v>
      </c>
      <c r="S1874">
        <f t="shared" si="293"/>
        <v>1</v>
      </c>
      <c r="T1874">
        <f t="shared" si="294"/>
        <v>0</v>
      </c>
      <c r="U1874">
        <f t="shared" si="295"/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23.3</v>
      </c>
      <c r="AC1874">
        <v>24.1</v>
      </c>
      <c r="AG1874">
        <f t="shared" si="296"/>
        <v>1</v>
      </c>
      <c r="AH1874">
        <f t="shared" si="297"/>
        <v>1</v>
      </c>
      <c r="AI1874">
        <f t="shared" si="298"/>
        <v>0</v>
      </c>
      <c r="AJ1874">
        <v>171.2</v>
      </c>
      <c r="AK1874">
        <v>1017.4</v>
      </c>
      <c r="AL1874">
        <v>42.2</v>
      </c>
      <c r="AM1874">
        <v>6.2</v>
      </c>
      <c r="AN1874">
        <v>118.2</v>
      </c>
      <c r="AO1874">
        <v>10.1</v>
      </c>
      <c r="AP1874">
        <v>5</v>
      </c>
      <c r="AQ1874">
        <v>0</v>
      </c>
      <c r="AR1874" t="s">
        <v>6353</v>
      </c>
      <c r="AS1874" t="s">
        <v>6354</v>
      </c>
      <c r="AT1874">
        <v>0.25</v>
      </c>
      <c r="AU1874" t="s">
        <v>43</v>
      </c>
      <c r="AV1874" t="s">
        <v>44</v>
      </c>
      <c r="AW1874" t="s">
        <v>45</v>
      </c>
      <c r="AX1874" t="s">
        <v>6355</v>
      </c>
      <c r="AY1874" t="s">
        <v>6356</v>
      </c>
      <c r="AZ1874">
        <v>125.9999999916181</v>
      </c>
      <c r="BA1874">
        <v>0</v>
      </c>
      <c r="BB1874">
        <v>0</v>
      </c>
      <c r="BC1874">
        <v>0.5</v>
      </c>
      <c r="BD1874">
        <v>0</v>
      </c>
      <c r="BE1874">
        <f t="shared" si="299"/>
        <v>1</v>
      </c>
    </row>
    <row r="1875" spans="1:57" x14ac:dyDescent="0.25">
      <c r="A1875" t="s">
        <v>39</v>
      </c>
      <c r="B1875" t="s">
        <v>6357</v>
      </c>
      <c r="C1875">
        <v>62.6</v>
      </c>
      <c r="D1875">
        <v>51.8</v>
      </c>
      <c r="G1875">
        <f t="shared" si="290"/>
        <v>1</v>
      </c>
      <c r="H1875">
        <f t="shared" si="291"/>
        <v>1</v>
      </c>
      <c r="I1875">
        <f t="shared" si="292"/>
        <v>0</v>
      </c>
      <c r="J1875">
        <v>58.1</v>
      </c>
      <c r="K1875">
        <v>62.6</v>
      </c>
      <c r="L1875">
        <v>51.8</v>
      </c>
      <c r="M1875">
        <v>58.1</v>
      </c>
      <c r="N1875">
        <v>51</v>
      </c>
      <c r="O1875">
        <v>77.400000000000006</v>
      </c>
      <c r="S1875">
        <f t="shared" si="293"/>
        <v>1</v>
      </c>
      <c r="T1875">
        <f t="shared" si="294"/>
        <v>1</v>
      </c>
      <c r="U1875">
        <f t="shared" si="295"/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19.5</v>
      </c>
      <c r="AC1875">
        <v>8.1</v>
      </c>
      <c r="AG1875">
        <f t="shared" si="296"/>
        <v>1</v>
      </c>
      <c r="AH1875">
        <f t="shared" si="297"/>
        <v>0</v>
      </c>
      <c r="AI1875">
        <f t="shared" si="298"/>
        <v>1</v>
      </c>
      <c r="AJ1875">
        <v>303.60000000000002</v>
      </c>
      <c r="AK1875">
        <v>1027.5999999999999</v>
      </c>
      <c r="AL1875">
        <v>79.3</v>
      </c>
      <c r="AM1875">
        <v>6.2</v>
      </c>
      <c r="AN1875">
        <v>121.3</v>
      </c>
      <c r="AO1875">
        <v>10.5</v>
      </c>
      <c r="AP1875">
        <v>5</v>
      </c>
      <c r="AQ1875">
        <v>0</v>
      </c>
      <c r="AR1875" t="s">
        <v>6358</v>
      </c>
      <c r="AS1875" t="s">
        <v>6359</v>
      </c>
      <c r="AT1875">
        <v>0.7</v>
      </c>
      <c r="AU1875" t="s">
        <v>43</v>
      </c>
      <c r="AV1875" t="s">
        <v>44</v>
      </c>
      <c r="AW1875" t="s">
        <v>45</v>
      </c>
      <c r="AX1875" t="s">
        <v>5348</v>
      </c>
      <c r="AY1875" t="s">
        <v>6360</v>
      </c>
      <c r="AZ1875">
        <v>315</v>
      </c>
      <c r="BA1875">
        <v>0</v>
      </c>
      <c r="BB1875">
        <v>0</v>
      </c>
      <c r="BC1875">
        <v>7</v>
      </c>
      <c r="BD1875">
        <v>0</v>
      </c>
      <c r="BE1875">
        <f t="shared" si="299"/>
        <v>1</v>
      </c>
    </row>
    <row r="1876" spans="1:57" x14ac:dyDescent="0.25">
      <c r="A1876" t="s">
        <v>39</v>
      </c>
      <c r="B1876" t="s">
        <v>6361</v>
      </c>
      <c r="C1876">
        <v>71.599999999999994</v>
      </c>
      <c r="D1876">
        <v>59</v>
      </c>
      <c r="G1876">
        <f t="shared" si="290"/>
        <v>1</v>
      </c>
      <c r="H1876">
        <f t="shared" si="291"/>
        <v>1</v>
      </c>
      <c r="I1876">
        <f t="shared" si="292"/>
        <v>0</v>
      </c>
      <c r="J1876">
        <v>65.099999999999994</v>
      </c>
      <c r="K1876">
        <v>71.599999999999994</v>
      </c>
      <c r="L1876">
        <v>59</v>
      </c>
      <c r="M1876">
        <v>65.099999999999994</v>
      </c>
      <c r="N1876">
        <v>57.6</v>
      </c>
      <c r="O1876">
        <v>77.400000000000006</v>
      </c>
      <c r="S1876">
        <f t="shared" si="293"/>
        <v>1</v>
      </c>
      <c r="T1876">
        <f t="shared" si="294"/>
        <v>1</v>
      </c>
      <c r="U1876">
        <f t="shared" si="295"/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27.7</v>
      </c>
      <c r="AC1876">
        <v>9.1999999999999993</v>
      </c>
      <c r="AG1876">
        <f t="shared" si="296"/>
        <v>1</v>
      </c>
      <c r="AH1876">
        <f t="shared" si="297"/>
        <v>0</v>
      </c>
      <c r="AI1876">
        <f t="shared" si="298"/>
        <v>1</v>
      </c>
      <c r="AJ1876">
        <v>11.1</v>
      </c>
      <c r="AK1876">
        <v>1006.3</v>
      </c>
      <c r="AL1876">
        <v>32.700000000000003</v>
      </c>
      <c r="AM1876">
        <v>5.8</v>
      </c>
      <c r="AN1876">
        <v>268.5</v>
      </c>
      <c r="AO1876">
        <v>23</v>
      </c>
      <c r="AP1876">
        <v>9</v>
      </c>
      <c r="AQ1876">
        <v>0</v>
      </c>
      <c r="AR1876" t="s">
        <v>6362</v>
      </c>
      <c r="AS1876" t="s">
        <v>6363</v>
      </c>
      <c r="AT1876">
        <v>0.06</v>
      </c>
      <c r="AU1876" t="s">
        <v>43</v>
      </c>
      <c r="AV1876" t="s">
        <v>44</v>
      </c>
      <c r="AW1876" t="s">
        <v>45</v>
      </c>
      <c r="AX1876" t="s">
        <v>4419</v>
      </c>
      <c r="AY1876" t="s">
        <v>6364</v>
      </c>
      <c r="AZ1876">
        <v>184.99999999534339</v>
      </c>
      <c r="BA1876">
        <v>0</v>
      </c>
      <c r="BB1876">
        <v>0.2</v>
      </c>
      <c r="BC1876">
        <v>0</v>
      </c>
      <c r="BD1876">
        <v>0</v>
      </c>
      <c r="BE1876">
        <f t="shared" si="299"/>
        <v>1</v>
      </c>
    </row>
    <row r="1877" spans="1:57" x14ac:dyDescent="0.25">
      <c r="A1877" t="s">
        <v>39</v>
      </c>
      <c r="B1877" t="s">
        <v>6365</v>
      </c>
      <c r="C1877">
        <v>87.8</v>
      </c>
      <c r="D1877">
        <v>77</v>
      </c>
      <c r="G1877">
        <f t="shared" si="290"/>
        <v>1</v>
      </c>
      <c r="H1877">
        <f t="shared" si="291"/>
        <v>1</v>
      </c>
      <c r="I1877">
        <f t="shared" si="292"/>
        <v>0</v>
      </c>
      <c r="J1877">
        <v>81.3</v>
      </c>
      <c r="K1877">
        <v>94.2</v>
      </c>
      <c r="L1877">
        <v>77</v>
      </c>
      <c r="M1877">
        <v>84.3</v>
      </c>
      <c r="N1877">
        <v>70.8</v>
      </c>
      <c r="O1877">
        <v>70.900000000000006</v>
      </c>
      <c r="S1877">
        <f t="shared" si="293"/>
        <v>1</v>
      </c>
      <c r="T1877">
        <f t="shared" si="294"/>
        <v>1</v>
      </c>
      <c r="U1877">
        <f t="shared" si="295"/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33.1</v>
      </c>
      <c r="AC1877">
        <v>20.8</v>
      </c>
      <c r="AG1877">
        <f t="shared" si="296"/>
        <v>1</v>
      </c>
      <c r="AH1877">
        <f t="shared" si="297"/>
        <v>1</v>
      </c>
      <c r="AI1877">
        <f t="shared" si="298"/>
        <v>0</v>
      </c>
      <c r="AJ1877">
        <v>298.5</v>
      </c>
      <c r="AK1877">
        <v>1010.4</v>
      </c>
      <c r="AL1877">
        <v>7.8</v>
      </c>
      <c r="AM1877">
        <v>6.2</v>
      </c>
      <c r="AN1877">
        <v>317.39999999999998</v>
      </c>
      <c r="AO1877">
        <v>27.3</v>
      </c>
      <c r="AP1877">
        <v>9</v>
      </c>
      <c r="AQ1877">
        <v>0</v>
      </c>
      <c r="AR1877" t="s">
        <v>6366</v>
      </c>
      <c r="AS1877" t="s">
        <v>6367</v>
      </c>
      <c r="AT1877">
        <v>0.8</v>
      </c>
      <c r="AU1877" t="s">
        <v>74</v>
      </c>
      <c r="AV1877" t="s">
        <v>2955</v>
      </c>
      <c r="AW1877" t="s">
        <v>75</v>
      </c>
      <c r="AX1877" t="s">
        <v>4339</v>
      </c>
      <c r="AY1877" t="s">
        <v>6368</v>
      </c>
      <c r="AZ1877">
        <v>1059.9999999976719</v>
      </c>
      <c r="BA1877">
        <v>1</v>
      </c>
      <c r="BB1877">
        <v>0</v>
      </c>
      <c r="BC1877">
        <v>2</v>
      </c>
      <c r="BD1877">
        <v>0</v>
      </c>
      <c r="BE1877">
        <f t="shared" si="299"/>
        <v>1</v>
      </c>
    </row>
    <row r="1878" spans="1:57" x14ac:dyDescent="0.25">
      <c r="A1878" t="s">
        <v>39</v>
      </c>
      <c r="B1878" t="s">
        <v>6369</v>
      </c>
      <c r="C1878">
        <v>87.8</v>
      </c>
      <c r="D1878">
        <v>78.8</v>
      </c>
      <c r="G1878">
        <f t="shared" si="290"/>
        <v>1</v>
      </c>
      <c r="H1878">
        <f t="shared" si="291"/>
        <v>1</v>
      </c>
      <c r="I1878">
        <f t="shared" si="292"/>
        <v>0</v>
      </c>
      <c r="J1878">
        <v>83.2</v>
      </c>
      <c r="K1878">
        <v>94.2</v>
      </c>
      <c r="L1878">
        <v>78.8</v>
      </c>
      <c r="M1878">
        <v>86.9</v>
      </c>
      <c r="N1878">
        <v>70.900000000000006</v>
      </c>
      <c r="O1878">
        <v>67</v>
      </c>
      <c r="S1878">
        <f t="shared" si="293"/>
        <v>1</v>
      </c>
      <c r="T1878">
        <f t="shared" si="294"/>
        <v>1</v>
      </c>
      <c r="U1878">
        <f t="shared" si="295"/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37.1</v>
      </c>
      <c r="AC1878">
        <v>21.9</v>
      </c>
      <c r="AG1878">
        <f t="shared" si="296"/>
        <v>1</v>
      </c>
      <c r="AH1878">
        <f t="shared" si="297"/>
        <v>1</v>
      </c>
      <c r="AI1878">
        <f t="shared" si="298"/>
        <v>0</v>
      </c>
      <c r="AJ1878">
        <v>297.8</v>
      </c>
      <c r="AK1878">
        <v>1009.1</v>
      </c>
      <c r="AL1878">
        <v>0.3</v>
      </c>
      <c r="AM1878">
        <v>6.2</v>
      </c>
      <c r="AN1878">
        <v>323.60000000000002</v>
      </c>
      <c r="AO1878">
        <v>28.1</v>
      </c>
      <c r="AP1878">
        <v>10</v>
      </c>
      <c r="AQ1878">
        <v>0</v>
      </c>
      <c r="AR1878" t="s">
        <v>6370</v>
      </c>
      <c r="AS1878" t="s">
        <v>6371</v>
      </c>
      <c r="AT1878">
        <v>0.87</v>
      </c>
      <c r="AU1878" t="s">
        <v>74</v>
      </c>
      <c r="AV1878" t="s">
        <v>2955</v>
      </c>
      <c r="AW1878" t="s">
        <v>75</v>
      </c>
      <c r="AX1878" t="s">
        <v>4778</v>
      </c>
      <c r="AY1878" t="s">
        <v>6372</v>
      </c>
      <c r="AZ1878">
        <v>11200.00000000466</v>
      </c>
      <c r="BA1878">
        <v>1</v>
      </c>
      <c r="BB1878">
        <v>0</v>
      </c>
      <c r="BC1878">
        <v>5000</v>
      </c>
      <c r="BD1878">
        <v>0</v>
      </c>
      <c r="BE1878">
        <f t="shared" si="299"/>
        <v>1</v>
      </c>
    </row>
    <row r="1879" spans="1:57" x14ac:dyDescent="0.25">
      <c r="A1879" t="s">
        <v>39</v>
      </c>
      <c r="B1879" t="s">
        <v>6373</v>
      </c>
      <c r="C1879">
        <v>69.8</v>
      </c>
      <c r="D1879">
        <v>66.2</v>
      </c>
      <c r="G1879">
        <f t="shared" si="290"/>
        <v>1</v>
      </c>
      <c r="H1879">
        <f t="shared" si="291"/>
        <v>0</v>
      </c>
      <c r="I1879">
        <f t="shared" si="292"/>
        <v>1</v>
      </c>
      <c r="J1879">
        <v>67.400000000000006</v>
      </c>
      <c r="K1879">
        <v>69.8</v>
      </c>
      <c r="L1879">
        <v>66.2</v>
      </c>
      <c r="M1879">
        <v>67.400000000000006</v>
      </c>
      <c r="N1879">
        <v>56.5</v>
      </c>
      <c r="O1879">
        <v>68.2</v>
      </c>
      <c r="S1879">
        <f t="shared" si="293"/>
        <v>0</v>
      </c>
      <c r="T1879">
        <f t="shared" si="294"/>
        <v>0</v>
      </c>
      <c r="U1879">
        <f t="shared" si="295"/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33.799999999999997</v>
      </c>
      <c r="AC1879">
        <v>21.9</v>
      </c>
      <c r="AG1879">
        <f t="shared" si="296"/>
        <v>1</v>
      </c>
      <c r="AH1879">
        <f t="shared" si="297"/>
        <v>1</v>
      </c>
      <c r="AI1879">
        <f t="shared" si="298"/>
        <v>0</v>
      </c>
      <c r="AJ1879">
        <v>319.2</v>
      </c>
      <c r="AK1879">
        <v>1017.4</v>
      </c>
      <c r="AL1879">
        <v>65.400000000000006</v>
      </c>
      <c r="AM1879">
        <v>6.2</v>
      </c>
      <c r="AN1879">
        <v>146.69999999999999</v>
      </c>
      <c r="AO1879">
        <v>12.7</v>
      </c>
      <c r="AP1879">
        <v>6</v>
      </c>
      <c r="AQ1879">
        <v>0</v>
      </c>
      <c r="AR1879" t="s">
        <v>6374</v>
      </c>
      <c r="AS1879" t="s">
        <v>6375</v>
      </c>
      <c r="AT1879">
        <v>0.85</v>
      </c>
      <c r="AU1879" t="s">
        <v>43</v>
      </c>
      <c r="AV1879" t="s">
        <v>44</v>
      </c>
      <c r="AW1879" t="s">
        <v>45</v>
      </c>
      <c r="AX1879" t="s">
        <v>2356</v>
      </c>
      <c r="AY1879" t="s">
        <v>6376</v>
      </c>
      <c r="AZ1879">
        <v>120.0000000034925</v>
      </c>
      <c r="BA1879">
        <v>0</v>
      </c>
      <c r="BB1879">
        <v>0</v>
      </c>
      <c r="BC1879">
        <v>1</v>
      </c>
      <c r="BD1879">
        <v>0</v>
      </c>
      <c r="BE1879">
        <f t="shared" si="299"/>
        <v>0</v>
      </c>
    </row>
    <row r="1880" spans="1:57" x14ac:dyDescent="0.25">
      <c r="A1880" t="s">
        <v>39</v>
      </c>
      <c r="B1880" t="s">
        <v>6377</v>
      </c>
      <c r="C1880">
        <v>64.400000000000006</v>
      </c>
      <c r="D1880">
        <v>59</v>
      </c>
      <c r="G1880">
        <f t="shared" si="290"/>
        <v>1</v>
      </c>
      <c r="H1880">
        <f t="shared" si="291"/>
        <v>0</v>
      </c>
      <c r="I1880">
        <f t="shared" si="292"/>
        <v>1</v>
      </c>
      <c r="J1880">
        <v>61.1</v>
      </c>
      <c r="K1880">
        <v>64.400000000000006</v>
      </c>
      <c r="L1880">
        <v>59</v>
      </c>
      <c r="M1880">
        <v>61.1</v>
      </c>
      <c r="N1880">
        <v>46.7</v>
      </c>
      <c r="O1880">
        <v>59.2</v>
      </c>
      <c r="S1880">
        <f t="shared" si="293"/>
        <v>1</v>
      </c>
      <c r="T1880">
        <f t="shared" si="294"/>
        <v>0</v>
      </c>
      <c r="U1880">
        <f t="shared" si="295"/>
        <v>1</v>
      </c>
      <c r="V1880">
        <v>0.74</v>
      </c>
      <c r="W1880">
        <v>100</v>
      </c>
      <c r="X1880">
        <v>4.17</v>
      </c>
      <c r="Y1880" t="s">
        <v>103</v>
      </c>
      <c r="Z1880">
        <v>0</v>
      </c>
      <c r="AA1880">
        <v>0</v>
      </c>
      <c r="AB1880">
        <v>33.799999999999997</v>
      </c>
      <c r="AC1880">
        <v>18.3</v>
      </c>
      <c r="AG1880">
        <f t="shared" si="296"/>
        <v>1</v>
      </c>
      <c r="AH1880">
        <f t="shared" si="297"/>
        <v>1</v>
      </c>
      <c r="AI1880">
        <f t="shared" si="298"/>
        <v>0</v>
      </c>
      <c r="AJ1880">
        <v>348.6</v>
      </c>
      <c r="AK1880">
        <v>1020.1</v>
      </c>
      <c r="AL1880">
        <v>79.3</v>
      </c>
      <c r="AM1880">
        <v>6.2</v>
      </c>
      <c r="AN1880">
        <v>153.1</v>
      </c>
      <c r="AO1880">
        <v>13.1</v>
      </c>
      <c r="AP1880">
        <v>6</v>
      </c>
      <c r="AQ1880">
        <v>0</v>
      </c>
      <c r="AR1880" t="s">
        <v>6378</v>
      </c>
      <c r="AS1880" t="s">
        <v>6379</v>
      </c>
      <c r="AT1880">
        <v>0.06</v>
      </c>
      <c r="AU1880" t="s">
        <v>106</v>
      </c>
      <c r="AV1880" t="s">
        <v>296</v>
      </c>
      <c r="AW1880" t="s">
        <v>103</v>
      </c>
      <c r="AX1880" t="s">
        <v>2486</v>
      </c>
      <c r="AY1880" t="s">
        <v>6380</v>
      </c>
      <c r="AZ1880">
        <v>370.00000000116421</v>
      </c>
      <c r="BA1880">
        <v>1</v>
      </c>
      <c r="BB1880">
        <v>0</v>
      </c>
      <c r="BC1880">
        <v>10</v>
      </c>
      <c r="BD1880">
        <v>0</v>
      </c>
      <c r="BE1880">
        <f t="shared" si="299"/>
        <v>1</v>
      </c>
    </row>
    <row r="1881" spans="1:57" x14ac:dyDescent="0.25">
      <c r="A1881" t="s">
        <v>39</v>
      </c>
      <c r="B1881" t="s">
        <v>6381</v>
      </c>
      <c r="C1881">
        <v>82.4</v>
      </c>
      <c r="D1881">
        <v>73.400000000000006</v>
      </c>
      <c r="G1881">
        <f t="shared" si="290"/>
        <v>1</v>
      </c>
      <c r="H1881">
        <f t="shared" si="291"/>
        <v>1</v>
      </c>
      <c r="I1881">
        <f t="shared" si="292"/>
        <v>0</v>
      </c>
      <c r="J1881">
        <v>78.3</v>
      </c>
      <c r="K1881">
        <v>92.4</v>
      </c>
      <c r="L1881">
        <v>73.400000000000006</v>
      </c>
      <c r="M1881">
        <v>79.400000000000006</v>
      </c>
      <c r="N1881">
        <v>63.1</v>
      </c>
      <c r="O1881">
        <v>62.7</v>
      </c>
      <c r="S1881">
        <f t="shared" si="293"/>
        <v>1</v>
      </c>
      <c r="T1881">
        <f t="shared" si="294"/>
        <v>1</v>
      </c>
      <c r="U1881">
        <f t="shared" si="295"/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43.8</v>
      </c>
      <c r="AC1881">
        <v>32.200000000000003</v>
      </c>
      <c r="AG1881">
        <f t="shared" si="296"/>
        <v>1</v>
      </c>
      <c r="AH1881">
        <f t="shared" si="297"/>
        <v>1</v>
      </c>
      <c r="AI1881">
        <f t="shared" si="298"/>
        <v>0</v>
      </c>
      <c r="AJ1881">
        <v>242.7</v>
      </c>
      <c r="AK1881">
        <v>1002.8</v>
      </c>
      <c r="AL1881">
        <v>50.8</v>
      </c>
      <c r="AM1881">
        <v>6.2</v>
      </c>
      <c r="AN1881">
        <v>323.89999999999998</v>
      </c>
      <c r="AO1881">
        <v>27.9</v>
      </c>
      <c r="AP1881">
        <v>9</v>
      </c>
      <c r="AQ1881">
        <v>0</v>
      </c>
      <c r="AR1881" t="s">
        <v>6382</v>
      </c>
      <c r="AS1881" t="s">
        <v>6383</v>
      </c>
      <c r="AT1881">
        <v>0.3</v>
      </c>
      <c r="AU1881" t="s">
        <v>43</v>
      </c>
      <c r="AV1881" t="s">
        <v>44</v>
      </c>
      <c r="AW1881" t="s">
        <v>419</v>
      </c>
      <c r="AX1881" t="s">
        <v>5171</v>
      </c>
      <c r="AY1881" t="s">
        <v>6384</v>
      </c>
      <c r="AZ1881">
        <v>2890.0000000011642</v>
      </c>
      <c r="BA1881">
        <v>1</v>
      </c>
      <c r="BB1881">
        <v>0</v>
      </c>
      <c r="BC1881">
        <v>28</v>
      </c>
      <c r="BD1881">
        <v>0</v>
      </c>
      <c r="BE1881">
        <f t="shared" si="299"/>
        <v>1</v>
      </c>
    </row>
    <row r="1882" spans="1:57" x14ac:dyDescent="0.25">
      <c r="A1882" t="s">
        <v>39</v>
      </c>
      <c r="B1882" t="s">
        <v>6195</v>
      </c>
      <c r="C1882">
        <v>82.4</v>
      </c>
      <c r="D1882">
        <v>64.3</v>
      </c>
      <c r="G1882">
        <f t="shared" si="290"/>
        <v>1</v>
      </c>
      <c r="H1882">
        <f t="shared" si="291"/>
        <v>1</v>
      </c>
      <c r="I1882">
        <f t="shared" si="292"/>
        <v>0</v>
      </c>
      <c r="J1882">
        <v>72.5</v>
      </c>
      <c r="K1882">
        <v>80.3</v>
      </c>
      <c r="L1882">
        <v>64.3</v>
      </c>
      <c r="M1882">
        <v>72.3</v>
      </c>
      <c r="N1882">
        <v>39.4</v>
      </c>
      <c r="O1882">
        <v>31</v>
      </c>
      <c r="S1882">
        <f t="shared" si="293"/>
        <v>1</v>
      </c>
      <c r="T1882">
        <f t="shared" si="294"/>
        <v>0</v>
      </c>
      <c r="U1882">
        <f t="shared" si="295"/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28.9</v>
      </c>
      <c r="AC1882">
        <v>25.3</v>
      </c>
      <c r="AG1882">
        <f t="shared" si="296"/>
        <v>1</v>
      </c>
      <c r="AH1882">
        <f t="shared" si="297"/>
        <v>1</v>
      </c>
      <c r="AI1882">
        <f t="shared" si="298"/>
        <v>0</v>
      </c>
      <c r="AJ1882">
        <v>170.6</v>
      </c>
      <c r="AK1882">
        <v>1025.4000000000001</v>
      </c>
      <c r="AL1882">
        <v>31.8</v>
      </c>
      <c r="AM1882">
        <v>6.2</v>
      </c>
      <c r="AN1882">
        <v>188.9</v>
      </c>
      <c r="AO1882">
        <v>16.399999999999999</v>
      </c>
      <c r="AP1882">
        <v>7</v>
      </c>
      <c r="AQ1882">
        <v>0</v>
      </c>
      <c r="AR1882" t="s">
        <v>6196</v>
      </c>
      <c r="AS1882" t="s">
        <v>6197</v>
      </c>
      <c r="AT1882">
        <v>0.28000000000000003</v>
      </c>
      <c r="AU1882" t="s">
        <v>43</v>
      </c>
      <c r="AV1882" t="s">
        <v>44</v>
      </c>
      <c r="AW1882" t="s">
        <v>45</v>
      </c>
      <c r="AX1882" t="s">
        <v>2481</v>
      </c>
      <c r="AY1882" t="s">
        <v>6385</v>
      </c>
      <c r="AZ1882">
        <v>1110.000000003492</v>
      </c>
      <c r="BA1882">
        <v>1</v>
      </c>
      <c r="BB1882">
        <v>0</v>
      </c>
      <c r="BC1882">
        <v>5</v>
      </c>
      <c r="BD1882">
        <v>0</v>
      </c>
      <c r="BE1882">
        <f t="shared" si="299"/>
        <v>1</v>
      </c>
    </row>
    <row r="1883" spans="1:57" x14ac:dyDescent="0.25">
      <c r="A1883" t="s">
        <v>39</v>
      </c>
      <c r="B1883" t="s">
        <v>6286</v>
      </c>
      <c r="C1883">
        <v>69.8</v>
      </c>
      <c r="D1883">
        <v>56.6</v>
      </c>
      <c r="G1883">
        <f t="shared" si="290"/>
        <v>1</v>
      </c>
      <c r="H1883">
        <f t="shared" si="291"/>
        <v>1</v>
      </c>
      <c r="I1883">
        <f t="shared" si="292"/>
        <v>0</v>
      </c>
      <c r="J1883">
        <v>66.099999999999994</v>
      </c>
      <c r="K1883">
        <v>69.8</v>
      </c>
      <c r="L1883">
        <v>56.6</v>
      </c>
      <c r="M1883">
        <v>66.099999999999994</v>
      </c>
      <c r="N1883">
        <v>46.1</v>
      </c>
      <c r="O1883">
        <v>49.1</v>
      </c>
      <c r="S1883">
        <f t="shared" si="293"/>
        <v>1</v>
      </c>
      <c r="T1883">
        <f t="shared" si="294"/>
        <v>0</v>
      </c>
      <c r="U1883">
        <f t="shared" si="295"/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16.3</v>
      </c>
      <c r="AC1883">
        <v>13.9</v>
      </c>
      <c r="AG1883">
        <f t="shared" si="296"/>
        <v>1</v>
      </c>
      <c r="AH1883">
        <f t="shared" si="297"/>
        <v>0</v>
      </c>
      <c r="AI1883">
        <f t="shared" si="298"/>
        <v>1</v>
      </c>
      <c r="AJ1883">
        <v>147.69999999999999</v>
      </c>
      <c r="AK1883">
        <v>1024.0999999999999</v>
      </c>
      <c r="AL1883">
        <v>70.3</v>
      </c>
      <c r="AM1883">
        <v>6.2</v>
      </c>
      <c r="AN1883">
        <v>151.9</v>
      </c>
      <c r="AO1883">
        <v>13.2</v>
      </c>
      <c r="AP1883">
        <v>6</v>
      </c>
      <c r="AQ1883">
        <v>0</v>
      </c>
      <c r="AR1883" t="s">
        <v>6287</v>
      </c>
      <c r="AS1883" t="s">
        <v>6288</v>
      </c>
      <c r="AT1883">
        <v>0.31</v>
      </c>
      <c r="AU1883" t="s">
        <v>43</v>
      </c>
      <c r="AV1883" t="s">
        <v>44</v>
      </c>
      <c r="AW1883" t="s">
        <v>45</v>
      </c>
      <c r="AX1883" t="s">
        <v>6386</v>
      </c>
      <c r="AY1883" t="s">
        <v>6387</v>
      </c>
      <c r="AZ1883">
        <v>207.00000000419101</v>
      </c>
      <c r="BA1883">
        <v>0</v>
      </c>
      <c r="BB1883">
        <v>0</v>
      </c>
      <c r="BC1883">
        <v>1</v>
      </c>
      <c r="BD1883">
        <v>0</v>
      </c>
      <c r="BE1883">
        <f t="shared" si="299"/>
        <v>1</v>
      </c>
    </row>
    <row r="1884" spans="1:57" x14ac:dyDescent="0.25">
      <c r="A1884" t="s">
        <v>39</v>
      </c>
      <c r="B1884" t="s">
        <v>6365</v>
      </c>
      <c r="C1884">
        <v>87.8</v>
      </c>
      <c r="D1884">
        <v>77</v>
      </c>
      <c r="G1884">
        <f t="shared" si="290"/>
        <v>1</v>
      </c>
      <c r="H1884">
        <f t="shared" si="291"/>
        <v>1</v>
      </c>
      <c r="I1884">
        <f t="shared" si="292"/>
        <v>0</v>
      </c>
      <c r="J1884">
        <v>81.3</v>
      </c>
      <c r="K1884">
        <v>94.2</v>
      </c>
      <c r="L1884">
        <v>77</v>
      </c>
      <c r="M1884">
        <v>84.3</v>
      </c>
      <c r="N1884">
        <v>70.8</v>
      </c>
      <c r="O1884">
        <v>70.900000000000006</v>
      </c>
      <c r="S1884">
        <f t="shared" si="293"/>
        <v>1</v>
      </c>
      <c r="T1884">
        <f t="shared" si="294"/>
        <v>1</v>
      </c>
      <c r="U1884">
        <f t="shared" si="295"/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33.1</v>
      </c>
      <c r="AC1884">
        <v>20.8</v>
      </c>
      <c r="AG1884">
        <f t="shared" si="296"/>
        <v>1</v>
      </c>
      <c r="AH1884">
        <f t="shared" si="297"/>
        <v>1</v>
      </c>
      <c r="AI1884">
        <f t="shared" si="298"/>
        <v>0</v>
      </c>
      <c r="AJ1884">
        <v>298.5</v>
      </c>
      <c r="AK1884">
        <v>1010.4</v>
      </c>
      <c r="AL1884">
        <v>7.8</v>
      </c>
      <c r="AM1884">
        <v>6.2</v>
      </c>
      <c r="AN1884">
        <v>317.39999999999998</v>
      </c>
      <c r="AO1884">
        <v>27.3</v>
      </c>
      <c r="AP1884">
        <v>9</v>
      </c>
      <c r="AQ1884">
        <v>0</v>
      </c>
      <c r="AR1884" t="s">
        <v>6366</v>
      </c>
      <c r="AS1884" t="s">
        <v>6367</v>
      </c>
      <c r="AT1884">
        <v>0.8</v>
      </c>
      <c r="AU1884" t="s">
        <v>74</v>
      </c>
      <c r="AV1884" t="s">
        <v>2955</v>
      </c>
      <c r="AW1884" t="s">
        <v>75</v>
      </c>
      <c r="AX1884" t="s">
        <v>4157</v>
      </c>
      <c r="AY1884" t="s">
        <v>6388</v>
      </c>
      <c r="AZ1884">
        <v>5265</v>
      </c>
      <c r="BA1884">
        <v>1</v>
      </c>
      <c r="BB1884">
        <v>0</v>
      </c>
      <c r="BC1884">
        <v>100</v>
      </c>
      <c r="BD1884">
        <v>0</v>
      </c>
      <c r="BE1884">
        <f t="shared" si="299"/>
        <v>1</v>
      </c>
    </row>
    <row r="1885" spans="1:57" x14ac:dyDescent="0.25">
      <c r="A1885" t="s">
        <v>39</v>
      </c>
      <c r="B1885" t="s">
        <v>6389</v>
      </c>
      <c r="C1885">
        <v>87.9</v>
      </c>
      <c r="D1885">
        <v>73.400000000000006</v>
      </c>
      <c r="G1885">
        <f t="shared" si="290"/>
        <v>1</v>
      </c>
      <c r="H1885">
        <f t="shared" si="291"/>
        <v>1</v>
      </c>
      <c r="I1885">
        <f t="shared" si="292"/>
        <v>0</v>
      </c>
      <c r="J1885">
        <v>81.400000000000006</v>
      </c>
      <c r="K1885">
        <v>102.1</v>
      </c>
      <c r="L1885">
        <v>73.400000000000006</v>
      </c>
      <c r="M1885">
        <v>87.1</v>
      </c>
      <c r="N1885">
        <v>72.3</v>
      </c>
      <c r="O1885">
        <v>74.8</v>
      </c>
      <c r="S1885">
        <f t="shared" si="293"/>
        <v>1</v>
      </c>
      <c r="T1885">
        <f t="shared" si="294"/>
        <v>1</v>
      </c>
      <c r="U1885">
        <f t="shared" si="295"/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19.7</v>
      </c>
      <c r="AC1885">
        <v>16.100000000000001</v>
      </c>
      <c r="AG1885">
        <f t="shared" si="296"/>
        <v>0</v>
      </c>
      <c r="AH1885">
        <f t="shared" si="297"/>
        <v>0</v>
      </c>
      <c r="AI1885">
        <f t="shared" si="298"/>
        <v>0</v>
      </c>
      <c r="AJ1885">
        <v>299.7</v>
      </c>
      <c r="AK1885">
        <v>1010.5</v>
      </c>
      <c r="AL1885">
        <v>4.8</v>
      </c>
      <c r="AM1885">
        <v>6.2</v>
      </c>
      <c r="AN1885">
        <v>312.2</v>
      </c>
      <c r="AO1885">
        <v>27</v>
      </c>
      <c r="AP1885">
        <v>9</v>
      </c>
      <c r="AQ1885">
        <v>0</v>
      </c>
      <c r="AR1885" t="s">
        <v>6390</v>
      </c>
      <c r="AS1885" t="s">
        <v>6391</v>
      </c>
      <c r="AT1885">
        <v>0.31</v>
      </c>
      <c r="AU1885" t="s">
        <v>74</v>
      </c>
      <c r="AV1885" t="s">
        <v>2955</v>
      </c>
      <c r="AW1885" t="s">
        <v>75</v>
      </c>
      <c r="AX1885" t="s">
        <v>6392</v>
      </c>
      <c r="AY1885" t="s">
        <v>6393</v>
      </c>
      <c r="AZ1885">
        <v>847.99999999813735</v>
      </c>
      <c r="BA1885">
        <v>1</v>
      </c>
      <c r="BB1885">
        <v>0</v>
      </c>
      <c r="BC1885">
        <v>5</v>
      </c>
      <c r="BD1885">
        <v>0</v>
      </c>
      <c r="BE1885">
        <f t="shared" si="299"/>
        <v>1</v>
      </c>
    </row>
    <row r="1886" spans="1:57" x14ac:dyDescent="0.25">
      <c r="A1886" t="s">
        <v>39</v>
      </c>
      <c r="B1886" t="s">
        <v>6394</v>
      </c>
      <c r="C1886">
        <v>84.2</v>
      </c>
      <c r="D1886">
        <v>69.8</v>
      </c>
      <c r="G1886">
        <f t="shared" si="290"/>
        <v>1</v>
      </c>
      <c r="H1886">
        <f t="shared" si="291"/>
        <v>1</v>
      </c>
      <c r="I1886">
        <f t="shared" si="292"/>
        <v>0</v>
      </c>
      <c r="J1886">
        <v>75.3</v>
      </c>
      <c r="K1886">
        <v>83.1</v>
      </c>
      <c r="L1886">
        <v>69.8</v>
      </c>
      <c r="M1886">
        <v>75.2</v>
      </c>
      <c r="N1886">
        <v>59</v>
      </c>
      <c r="O1886">
        <v>58.5</v>
      </c>
      <c r="S1886">
        <f t="shared" si="293"/>
        <v>1</v>
      </c>
      <c r="T1886">
        <f t="shared" si="294"/>
        <v>0</v>
      </c>
      <c r="U1886">
        <f t="shared" si="295"/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45</v>
      </c>
      <c r="AC1886">
        <v>34.4</v>
      </c>
      <c r="AG1886">
        <f t="shared" si="296"/>
        <v>1</v>
      </c>
      <c r="AH1886">
        <f t="shared" si="297"/>
        <v>1</v>
      </c>
      <c r="AI1886">
        <f t="shared" si="298"/>
        <v>0</v>
      </c>
      <c r="AJ1886">
        <v>173.9</v>
      </c>
      <c r="AK1886">
        <v>1015.5</v>
      </c>
      <c r="AL1886">
        <v>28.1</v>
      </c>
      <c r="AM1886">
        <v>6.2</v>
      </c>
      <c r="AN1886">
        <v>153.4</v>
      </c>
      <c r="AO1886">
        <v>13.2</v>
      </c>
      <c r="AP1886">
        <v>6</v>
      </c>
      <c r="AQ1886">
        <v>0</v>
      </c>
      <c r="AR1886" t="s">
        <v>6395</v>
      </c>
      <c r="AS1886" t="s">
        <v>6396</v>
      </c>
      <c r="AT1886">
        <v>0.28999999999999998</v>
      </c>
      <c r="AU1886" t="s">
        <v>43</v>
      </c>
      <c r="AV1886" t="s">
        <v>44</v>
      </c>
      <c r="AW1886" t="s">
        <v>419</v>
      </c>
      <c r="AX1886" t="s">
        <v>2433</v>
      </c>
      <c r="AY1886" t="s">
        <v>6397</v>
      </c>
      <c r="AZ1886">
        <v>1694.9999999930151</v>
      </c>
      <c r="BA1886">
        <v>1</v>
      </c>
      <c r="BB1886">
        <v>0</v>
      </c>
      <c r="BC1886">
        <v>65</v>
      </c>
      <c r="BD1886">
        <v>0</v>
      </c>
      <c r="BE1886">
        <f t="shared" si="299"/>
        <v>1</v>
      </c>
    </row>
    <row r="1887" spans="1:57" x14ac:dyDescent="0.25">
      <c r="A1887" t="s">
        <v>39</v>
      </c>
      <c r="B1887" t="s">
        <v>6398</v>
      </c>
      <c r="C1887">
        <v>66.2</v>
      </c>
      <c r="D1887">
        <v>57.2</v>
      </c>
      <c r="G1887">
        <f t="shared" si="290"/>
        <v>0</v>
      </c>
      <c r="H1887">
        <f t="shared" si="291"/>
        <v>0</v>
      </c>
      <c r="I1887">
        <f t="shared" si="292"/>
        <v>0</v>
      </c>
      <c r="J1887">
        <v>60.4</v>
      </c>
      <c r="K1887">
        <v>66.2</v>
      </c>
      <c r="L1887">
        <v>57.2</v>
      </c>
      <c r="M1887">
        <v>60.4</v>
      </c>
      <c r="N1887">
        <v>54</v>
      </c>
      <c r="O1887">
        <v>79.900000000000006</v>
      </c>
      <c r="S1887">
        <f t="shared" si="293"/>
        <v>1</v>
      </c>
      <c r="T1887">
        <f t="shared" si="294"/>
        <v>1</v>
      </c>
      <c r="U1887">
        <f t="shared" si="295"/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17.2</v>
      </c>
      <c r="AC1887">
        <v>7</v>
      </c>
      <c r="AG1887">
        <f t="shared" si="296"/>
        <v>1</v>
      </c>
      <c r="AH1887">
        <f t="shared" si="297"/>
        <v>0</v>
      </c>
      <c r="AI1887">
        <f t="shared" si="298"/>
        <v>1</v>
      </c>
      <c r="AJ1887">
        <v>49.4</v>
      </c>
      <c r="AK1887">
        <v>1019.5</v>
      </c>
      <c r="AL1887">
        <v>68.099999999999994</v>
      </c>
      <c r="AM1887">
        <v>6.2</v>
      </c>
      <c r="AN1887">
        <v>134.9</v>
      </c>
      <c r="AO1887">
        <v>11.6</v>
      </c>
      <c r="AP1887">
        <v>5</v>
      </c>
      <c r="AQ1887">
        <v>0</v>
      </c>
      <c r="AR1887" t="s">
        <v>6399</v>
      </c>
      <c r="AS1887" t="s">
        <v>6400</v>
      </c>
      <c r="AT1887">
        <v>0.7</v>
      </c>
      <c r="AU1887" t="s">
        <v>43</v>
      </c>
      <c r="AV1887" t="s">
        <v>44</v>
      </c>
      <c r="AW1887" t="s">
        <v>45</v>
      </c>
      <c r="AX1887" t="s">
        <v>4039</v>
      </c>
      <c r="AY1887" t="s">
        <v>6401</v>
      </c>
      <c r="AZ1887">
        <v>419.99999999650748</v>
      </c>
      <c r="BA1887">
        <v>1</v>
      </c>
      <c r="BB1887">
        <v>2</v>
      </c>
      <c r="BC1887">
        <v>0</v>
      </c>
      <c r="BD1887">
        <v>0</v>
      </c>
      <c r="BE1887">
        <f t="shared" si="299"/>
        <v>0</v>
      </c>
    </row>
    <row r="1888" spans="1:57" x14ac:dyDescent="0.25">
      <c r="A1888" t="s">
        <v>39</v>
      </c>
      <c r="B1888" t="s">
        <v>6402</v>
      </c>
      <c r="C1888">
        <v>60.8</v>
      </c>
      <c r="D1888">
        <v>44.6</v>
      </c>
      <c r="G1888">
        <f t="shared" si="290"/>
        <v>0</v>
      </c>
      <c r="H1888">
        <f t="shared" si="291"/>
        <v>0</v>
      </c>
      <c r="I1888">
        <f t="shared" si="292"/>
        <v>0</v>
      </c>
      <c r="J1888">
        <v>51.7</v>
      </c>
      <c r="K1888">
        <v>60.8</v>
      </c>
      <c r="L1888">
        <v>38.799999999999997</v>
      </c>
      <c r="M1888">
        <v>49.9</v>
      </c>
      <c r="N1888">
        <v>45.1</v>
      </c>
      <c r="O1888">
        <v>78.7</v>
      </c>
      <c r="S1888">
        <f t="shared" si="293"/>
        <v>1</v>
      </c>
      <c r="T1888">
        <f t="shared" si="294"/>
        <v>1</v>
      </c>
      <c r="U1888">
        <f t="shared" si="295"/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16.100000000000001</v>
      </c>
      <c r="AC1888">
        <v>11.3</v>
      </c>
      <c r="AG1888">
        <f t="shared" si="296"/>
        <v>1</v>
      </c>
      <c r="AH1888">
        <f t="shared" si="297"/>
        <v>0</v>
      </c>
      <c r="AI1888">
        <f t="shared" si="298"/>
        <v>1</v>
      </c>
      <c r="AJ1888">
        <v>173.9</v>
      </c>
      <c r="AK1888">
        <v>1023.8</v>
      </c>
      <c r="AL1888">
        <v>40.299999999999997</v>
      </c>
      <c r="AM1888">
        <v>6.2</v>
      </c>
      <c r="AN1888">
        <v>123.3</v>
      </c>
      <c r="AO1888">
        <v>10.7</v>
      </c>
      <c r="AP1888">
        <v>5</v>
      </c>
      <c r="AQ1888">
        <v>0</v>
      </c>
      <c r="AR1888" t="s">
        <v>6403</v>
      </c>
      <c r="AS1888" t="s">
        <v>6404</v>
      </c>
      <c r="AT1888">
        <v>0.38</v>
      </c>
      <c r="AU1888" t="s">
        <v>43</v>
      </c>
      <c r="AV1888" t="s">
        <v>44</v>
      </c>
      <c r="AW1888" t="s">
        <v>45</v>
      </c>
      <c r="AX1888" t="s">
        <v>6405</v>
      </c>
      <c r="AY1888" t="s">
        <v>6406</v>
      </c>
      <c r="AZ1888">
        <v>436.99999999953428</v>
      </c>
      <c r="BA1888">
        <v>1</v>
      </c>
      <c r="BB1888">
        <v>2</v>
      </c>
      <c r="BC1888">
        <v>0</v>
      </c>
      <c r="BD1888">
        <v>0</v>
      </c>
      <c r="BE1888">
        <f t="shared" si="299"/>
        <v>0</v>
      </c>
    </row>
    <row r="1889" spans="1:57" x14ac:dyDescent="0.25">
      <c r="A1889" t="s">
        <v>39</v>
      </c>
      <c r="B1889" t="s">
        <v>6407</v>
      </c>
      <c r="C1889">
        <v>60.8</v>
      </c>
      <c r="D1889">
        <v>38.9</v>
      </c>
      <c r="G1889">
        <f t="shared" si="290"/>
        <v>1</v>
      </c>
      <c r="H1889">
        <f t="shared" si="291"/>
        <v>1</v>
      </c>
      <c r="I1889">
        <f t="shared" si="292"/>
        <v>0</v>
      </c>
      <c r="J1889">
        <v>50.6</v>
      </c>
      <c r="K1889">
        <v>60.8</v>
      </c>
      <c r="L1889">
        <v>33.9</v>
      </c>
      <c r="M1889">
        <v>48.4</v>
      </c>
      <c r="N1889">
        <v>43.4</v>
      </c>
      <c r="O1889">
        <v>76.8</v>
      </c>
      <c r="S1889">
        <f t="shared" si="293"/>
        <v>1</v>
      </c>
      <c r="T1889">
        <f t="shared" si="294"/>
        <v>1</v>
      </c>
      <c r="U1889">
        <f t="shared" si="295"/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15.4</v>
      </c>
      <c r="AC1889">
        <v>12.8</v>
      </c>
      <c r="AG1889">
        <f t="shared" si="296"/>
        <v>1</v>
      </c>
      <c r="AH1889">
        <f t="shared" si="297"/>
        <v>0</v>
      </c>
      <c r="AI1889">
        <f t="shared" si="298"/>
        <v>1</v>
      </c>
      <c r="AJ1889">
        <v>154.69999999999999</v>
      </c>
      <c r="AK1889">
        <v>1029.4000000000001</v>
      </c>
      <c r="AL1889">
        <v>27</v>
      </c>
      <c r="AM1889">
        <v>6.2</v>
      </c>
      <c r="AN1889">
        <v>134.1</v>
      </c>
      <c r="AO1889">
        <v>11.8</v>
      </c>
      <c r="AP1889">
        <v>5</v>
      </c>
      <c r="AQ1889">
        <v>0</v>
      </c>
      <c r="AR1889" t="s">
        <v>6408</v>
      </c>
      <c r="AS1889" t="s">
        <v>6409</v>
      </c>
      <c r="AT1889">
        <v>0.64</v>
      </c>
      <c r="AU1889" t="s">
        <v>43</v>
      </c>
      <c r="AV1889" t="s">
        <v>44</v>
      </c>
      <c r="AW1889" t="s">
        <v>45</v>
      </c>
      <c r="AX1889" t="s">
        <v>4634</v>
      </c>
      <c r="AY1889" t="s">
        <v>6410</v>
      </c>
      <c r="AZ1889">
        <v>60.999999999767169</v>
      </c>
      <c r="BA1889">
        <v>0</v>
      </c>
      <c r="BB1889">
        <v>0</v>
      </c>
      <c r="BC1889">
        <v>0.5</v>
      </c>
      <c r="BD1889">
        <v>0</v>
      </c>
      <c r="BE1889">
        <f t="shared" si="299"/>
        <v>1</v>
      </c>
    </row>
    <row r="1890" spans="1:57" x14ac:dyDescent="0.25">
      <c r="A1890" t="s">
        <v>39</v>
      </c>
      <c r="B1890" t="s">
        <v>6411</v>
      </c>
      <c r="C1890">
        <v>66.2</v>
      </c>
      <c r="D1890">
        <v>51.8</v>
      </c>
      <c r="G1890">
        <f t="shared" si="290"/>
        <v>1</v>
      </c>
      <c r="H1890">
        <f t="shared" si="291"/>
        <v>1</v>
      </c>
      <c r="I1890">
        <f t="shared" si="292"/>
        <v>0</v>
      </c>
      <c r="J1890">
        <v>58.9</v>
      </c>
      <c r="K1890">
        <v>66.2</v>
      </c>
      <c r="L1890">
        <v>51.8</v>
      </c>
      <c r="M1890">
        <v>58.9</v>
      </c>
      <c r="N1890">
        <v>51.8</v>
      </c>
      <c r="O1890">
        <v>78.599999999999994</v>
      </c>
      <c r="S1890">
        <f t="shared" si="293"/>
        <v>1</v>
      </c>
      <c r="T1890">
        <f t="shared" si="294"/>
        <v>1</v>
      </c>
      <c r="U1890">
        <f t="shared" si="295"/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31.5</v>
      </c>
      <c r="AC1890">
        <v>16.100000000000001</v>
      </c>
      <c r="AG1890">
        <f t="shared" si="296"/>
        <v>1</v>
      </c>
      <c r="AH1890">
        <f t="shared" si="297"/>
        <v>0</v>
      </c>
      <c r="AI1890">
        <f t="shared" si="298"/>
        <v>1</v>
      </c>
      <c r="AJ1890">
        <v>185.3</v>
      </c>
      <c r="AK1890">
        <v>1012.5</v>
      </c>
      <c r="AL1890">
        <v>52.6</v>
      </c>
      <c r="AM1890">
        <v>6.2</v>
      </c>
      <c r="AN1890">
        <v>163.69999999999999</v>
      </c>
      <c r="AO1890">
        <v>14.2</v>
      </c>
      <c r="AP1890">
        <v>6</v>
      </c>
      <c r="AQ1890">
        <v>0</v>
      </c>
      <c r="AR1890" t="s">
        <v>6412</v>
      </c>
      <c r="AS1890" t="s">
        <v>6413</v>
      </c>
      <c r="AT1890">
        <v>0.55000000000000004</v>
      </c>
      <c r="AU1890" t="s">
        <v>43</v>
      </c>
      <c r="AV1890" t="s">
        <v>44</v>
      </c>
      <c r="AW1890" t="s">
        <v>45</v>
      </c>
      <c r="AX1890" t="s">
        <v>6414</v>
      </c>
      <c r="AY1890" t="s">
        <v>6415</v>
      </c>
      <c r="AZ1890">
        <v>39.000000001396977</v>
      </c>
      <c r="BA1890">
        <v>0</v>
      </c>
      <c r="BB1890">
        <v>0</v>
      </c>
      <c r="BC1890">
        <v>0.02</v>
      </c>
      <c r="BD1890">
        <v>0</v>
      </c>
      <c r="BE1890">
        <f t="shared" si="299"/>
        <v>1</v>
      </c>
    </row>
    <row r="1891" spans="1:57" x14ac:dyDescent="0.25">
      <c r="A1891" t="s">
        <v>39</v>
      </c>
      <c r="B1891" t="s">
        <v>6416</v>
      </c>
      <c r="C1891">
        <v>75.2</v>
      </c>
      <c r="D1891">
        <v>60.8</v>
      </c>
      <c r="G1891">
        <f t="shared" si="290"/>
        <v>1</v>
      </c>
      <c r="H1891">
        <f t="shared" si="291"/>
        <v>1</v>
      </c>
      <c r="I1891">
        <f t="shared" si="292"/>
        <v>0</v>
      </c>
      <c r="J1891">
        <v>68.599999999999994</v>
      </c>
      <c r="K1891">
        <v>75.2</v>
      </c>
      <c r="L1891">
        <v>60.8</v>
      </c>
      <c r="M1891">
        <v>68.599999999999994</v>
      </c>
      <c r="N1891">
        <v>44.8</v>
      </c>
      <c r="O1891">
        <v>50.1</v>
      </c>
      <c r="S1891">
        <f t="shared" si="293"/>
        <v>1</v>
      </c>
      <c r="T1891">
        <f t="shared" si="294"/>
        <v>0</v>
      </c>
      <c r="U1891">
        <f t="shared" si="295"/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34.4</v>
      </c>
      <c r="AC1891">
        <v>27.7</v>
      </c>
      <c r="AG1891">
        <f t="shared" si="296"/>
        <v>1</v>
      </c>
      <c r="AH1891">
        <f t="shared" si="297"/>
        <v>1</v>
      </c>
      <c r="AI1891">
        <f t="shared" si="298"/>
        <v>0</v>
      </c>
      <c r="AJ1891">
        <v>188.1</v>
      </c>
      <c r="AK1891">
        <v>1012.8</v>
      </c>
      <c r="AL1891">
        <v>36.299999999999997</v>
      </c>
      <c r="AM1891">
        <v>5.8</v>
      </c>
      <c r="AN1891">
        <v>208.9</v>
      </c>
      <c r="AO1891">
        <v>18.100000000000001</v>
      </c>
      <c r="AP1891">
        <v>8</v>
      </c>
      <c r="AQ1891">
        <v>0</v>
      </c>
      <c r="AR1891" t="s">
        <v>6417</v>
      </c>
      <c r="AS1891" t="s">
        <v>6418</v>
      </c>
      <c r="AT1891">
        <v>0.75</v>
      </c>
      <c r="AU1891" t="s">
        <v>43</v>
      </c>
      <c r="AV1891" t="s">
        <v>44</v>
      </c>
      <c r="AW1891" t="s">
        <v>45</v>
      </c>
      <c r="AX1891" t="s">
        <v>6419</v>
      </c>
      <c r="AY1891" t="s">
        <v>6420</v>
      </c>
      <c r="AZ1891">
        <v>1016.000000000931</v>
      </c>
      <c r="BA1891">
        <v>1</v>
      </c>
      <c r="BB1891">
        <v>0</v>
      </c>
      <c r="BC1891">
        <v>1</v>
      </c>
      <c r="BD1891">
        <v>0</v>
      </c>
      <c r="BE1891">
        <f t="shared" si="299"/>
        <v>1</v>
      </c>
    </row>
    <row r="1892" spans="1:57" x14ac:dyDescent="0.25">
      <c r="A1892" t="s">
        <v>39</v>
      </c>
      <c r="B1892" t="s">
        <v>6421</v>
      </c>
      <c r="C1892">
        <v>64.400000000000006</v>
      </c>
      <c r="D1892">
        <v>46.4</v>
      </c>
      <c r="G1892">
        <f t="shared" si="290"/>
        <v>1</v>
      </c>
      <c r="H1892">
        <f t="shared" si="291"/>
        <v>1</v>
      </c>
      <c r="I1892">
        <f t="shared" si="292"/>
        <v>0</v>
      </c>
      <c r="J1892">
        <v>56.1</v>
      </c>
      <c r="K1892">
        <v>64.400000000000006</v>
      </c>
      <c r="L1892">
        <v>41.5</v>
      </c>
      <c r="M1892">
        <v>54.9</v>
      </c>
      <c r="N1892">
        <v>47.7</v>
      </c>
      <c r="O1892">
        <v>73.900000000000006</v>
      </c>
      <c r="S1892">
        <f t="shared" si="293"/>
        <v>1</v>
      </c>
      <c r="T1892">
        <f t="shared" si="294"/>
        <v>1</v>
      </c>
      <c r="U1892">
        <f t="shared" si="295"/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22.8</v>
      </c>
      <c r="AC1892">
        <v>14.9</v>
      </c>
      <c r="AG1892">
        <f t="shared" si="296"/>
        <v>1</v>
      </c>
      <c r="AH1892">
        <f t="shared" si="297"/>
        <v>0</v>
      </c>
      <c r="AI1892">
        <f t="shared" si="298"/>
        <v>1</v>
      </c>
      <c r="AJ1892">
        <v>281.8</v>
      </c>
      <c r="AK1892">
        <v>1019.2</v>
      </c>
      <c r="AL1892">
        <v>36.6</v>
      </c>
      <c r="AM1892">
        <v>6.2</v>
      </c>
      <c r="AN1892">
        <v>228.3</v>
      </c>
      <c r="AO1892">
        <v>19.7</v>
      </c>
      <c r="AP1892">
        <v>8</v>
      </c>
      <c r="AQ1892">
        <v>0</v>
      </c>
      <c r="AR1892" t="s">
        <v>6422</v>
      </c>
      <c r="AS1892" t="s">
        <v>6423</v>
      </c>
      <c r="AT1892">
        <v>0.7</v>
      </c>
      <c r="AU1892" t="s">
        <v>43</v>
      </c>
      <c r="AV1892" t="s">
        <v>44</v>
      </c>
      <c r="AW1892" t="s">
        <v>45</v>
      </c>
      <c r="AX1892" t="s">
        <v>5342</v>
      </c>
      <c r="AY1892" t="s">
        <v>6424</v>
      </c>
      <c r="AZ1892">
        <v>24.99999999767169</v>
      </c>
      <c r="BA1892">
        <v>0</v>
      </c>
      <c r="BB1892">
        <v>0</v>
      </c>
      <c r="BC1892">
        <v>0.1</v>
      </c>
      <c r="BD1892">
        <v>0</v>
      </c>
      <c r="BE1892">
        <f t="shared" si="299"/>
        <v>1</v>
      </c>
    </row>
    <row r="1893" spans="1:57" x14ac:dyDescent="0.25">
      <c r="A1893" t="s">
        <v>39</v>
      </c>
      <c r="B1893" t="s">
        <v>6425</v>
      </c>
      <c r="C1893">
        <v>68</v>
      </c>
      <c r="D1893">
        <v>48.2</v>
      </c>
      <c r="G1893">
        <f t="shared" si="290"/>
        <v>0</v>
      </c>
      <c r="H1893">
        <f t="shared" si="291"/>
        <v>0</v>
      </c>
      <c r="I1893">
        <f t="shared" si="292"/>
        <v>0</v>
      </c>
      <c r="J1893">
        <v>58.9</v>
      </c>
      <c r="K1893">
        <v>68</v>
      </c>
      <c r="L1893">
        <v>45.1</v>
      </c>
      <c r="M1893">
        <v>58.7</v>
      </c>
      <c r="N1893">
        <v>51.2</v>
      </c>
      <c r="O1893">
        <v>76.099999999999994</v>
      </c>
      <c r="S1893">
        <f t="shared" si="293"/>
        <v>1</v>
      </c>
      <c r="T1893">
        <f t="shared" si="294"/>
        <v>1</v>
      </c>
      <c r="U1893">
        <f t="shared" si="295"/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21.9</v>
      </c>
      <c r="AC1893">
        <v>9.1999999999999993</v>
      </c>
      <c r="AG1893">
        <f t="shared" si="296"/>
        <v>1</v>
      </c>
      <c r="AH1893">
        <f t="shared" si="297"/>
        <v>0</v>
      </c>
      <c r="AI1893">
        <f t="shared" si="298"/>
        <v>1</v>
      </c>
      <c r="AJ1893">
        <v>139.19999999999999</v>
      </c>
      <c r="AK1893">
        <v>1020.3</v>
      </c>
      <c r="AL1893">
        <v>45.2</v>
      </c>
      <c r="AM1893">
        <v>6.2</v>
      </c>
      <c r="AN1893">
        <v>251.2</v>
      </c>
      <c r="AO1893">
        <v>21.7</v>
      </c>
      <c r="AP1893">
        <v>8</v>
      </c>
      <c r="AQ1893">
        <v>0</v>
      </c>
      <c r="AR1893" t="s">
        <v>6426</v>
      </c>
      <c r="AS1893" t="s">
        <v>6427</v>
      </c>
      <c r="AT1893">
        <v>0.8</v>
      </c>
      <c r="AU1893" t="s">
        <v>43</v>
      </c>
      <c r="AV1893" t="s">
        <v>44</v>
      </c>
      <c r="AW1893" t="s">
        <v>45</v>
      </c>
      <c r="AX1893" t="s">
        <v>6428</v>
      </c>
      <c r="AY1893" t="s">
        <v>6429</v>
      </c>
      <c r="AZ1893">
        <v>1069.0000000060541</v>
      </c>
      <c r="BA1893">
        <v>1</v>
      </c>
      <c r="BB1893">
        <v>0</v>
      </c>
      <c r="BC1893">
        <v>50</v>
      </c>
      <c r="BD1893">
        <v>0</v>
      </c>
      <c r="BE1893">
        <f t="shared" si="299"/>
        <v>0</v>
      </c>
    </row>
    <row r="1894" spans="1:57" x14ac:dyDescent="0.25">
      <c r="A1894" t="s">
        <v>39</v>
      </c>
      <c r="B1894" t="s">
        <v>6430</v>
      </c>
      <c r="C1894">
        <v>71.599999999999994</v>
      </c>
      <c r="D1894">
        <v>57.2</v>
      </c>
      <c r="G1894">
        <f t="shared" si="290"/>
        <v>1</v>
      </c>
      <c r="H1894">
        <f t="shared" si="291"/>
        <v>1</v>
      </c>
      <c r="I1894">
        <f t="shared" si="292"/>
        <v>0</v>
      </c>
      <c r="J1894">
        <v>65.400000000000006</v>
      </c>
      <c r="K1894">
        <v>71.599999999999994</v>
      </c>
      <c r="L1894">
        <v>57.2</v>
      </c>
      <c r="M1894">
        <v>65.400000000000006</v>
      </c>
      <c r="N1894">
        <v>52</v>
      </c>
      <c r="O1894">
        <v>62.8</v>
      </c>
      <c r="S1894">
        <f t="shared" si="293"/>
        <v>0</v>
      </c>
      <c r="T1894">
        <f t="shared" si="294"/>
        <v>0</v>
      </c>
      <c r="U1894">
        <f t="shared" si="295"/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27.7</v>
      </c>
      <c r="AC1894">
        <v>11.4</v>
      </c>
      <c r="AG1894">
        <f t="shared" si="296"/>
        <v>1</v>
      </c>
      <c r="AH1894">
        <f t="shared" si="297"/>
        <v>0</v>
      </c>
      <c r="AI1894">
        <f t="shared" si="298"/>
        <v>1</v>
      </c>
      <c r="AJ1894">
        <v>325.5</v>
      </c>
      <c r="AK1894">
        <v>1014.2</v>
      </c>
      <c r="AL1894">
        <v>1.9</v>
      </c>
      <c r="AM1894">
        <v>6.2</v>
      </c>
      <c r="AN1894">
        <v>292.39999999999998</v>
      </c>
      <c r="AO1894">
        <v>25.3</v>
      </c>
      <c r="AP1894">
        <v>9</v>
      </c>
      <c r="AQ1894">
        <v>0</v>
      </c>
      <c r="AR1894" t="s">
        <v>6431</v>
      </c>
      <c r="AS1894" t="s">
        <v>6432</v>
      </c>
      <c r="AT1894">
        <v>0.2</v>
      </c>
      <c r="AU1894" t="s">
        <v>74</v>
      </c>
      <c r="AV1894" t="s">
        <v>2955</v>
      </c>
      <c r="AW1894" t="s">
        <v>75</v>
      </c>
      <c r="AX1894" t="s">
        <v>6433</v>
      </c>
      <c r="AY1894" t="s">
        <v>6434</v>
      </c>
      <c r="AZ1894">
        <v>71.000000000931323</v>
      </c>
      <c r="BA1894">
        <v>0</v>
      </c>
      <c r="BB1894">
        <v>0</v>
      </c>
      <c r="BC1894">
        <v>0.1</v>
      </c>
      <c r="BD1894">
        <v>0</v>
      </c>
      <c r="BE1894">
        <f t="shared" si="299"/>
        <v>0</v>
      </c>
    </row>
    <row r="1895" spans="1:57" x14ac:dyDescent="0.25">
      <c r="A1895" t="s">
        <v>39</v>
      </c>
      <c r="B1895" t="s">
        <v>6435</v>
      </c>
      <c r="C1895">
        <v>75.2</v>
      </c>
      <c r="D1895">
        <v>53.6</v>
      </c>
      <c r="G1895">
        <f t="shared" si="290"/>
        <v>1</v>
      </c>
      <c r="H1895">
        <f t="shared" si="291"/>
        <v>1</v>
      </c>
      <c r="I1895">
        <f t="shared" si="292"/>
        <v>0</v>
      </c>
      <c r="J1895">
        <v>65.3</v>
      </c>
      <c r="K1895">
        <v>75.2</v>
      </c>
      <c r="L1895">
        <v>53.6</v>
      </c>
      <c r="M1895">
        <v>65.3</v>
      </c>
      <c r="N1895">
        <v>48.4</v>
      </c>
      <c r="O1895">
        <v>55.9</v>
      </c>
      <c r="S1895">
        <f t="shared" si="293"/>
        <v>1</v>
      </c>
      <c r="T1895">
        <f t="shared" si="294"/>
        <v>0</v>
      </c>
      <c r="U1895">
        <f t="shared" si="295"/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15</v>
      </c>
      <c r="AC1895">
        <v>9.1999999999999993</v>
      </c>
      <c r="AG1895">
        <f t="shared" si="296"/>
        <v>1</v>
      </c>
      <c r="AH1895">
        <f t="shared" si="297"/>
        <v>0</v>
      </c>
      <c r="AI1895">
        <f t="shared" si="298"/>
        <v>1</v>
      </c>
      <c r="AJ1895">
        <v>131.4</v>
      </c>
      <c r="AK1895">
        <v>1015.8</v>
      </c>
      <c r="AL1895">
        <v>14.2</v>
      </c>
      <c r="AM1895">
        <v>6.2</v>
      </c>
      <c r="AN1895">
        <v>302.2</v>
      </c>
      <c r="AO1895">
        <v>26.1</v>
      </c>
      <c r="AP1895">
        <v>9</v>
      </c>
      <c r="AQ1895">
        <v>0</v>
      </c>
      <c r="AR1895" t="s">
        <v>6436</v>
      </c>
      <c r="AS1895" t="s">
        <v>6437</v>
      </c>
      <c r="AT1895">
        <v>0.4</v>
      </c>
      <c r="AU1895" t="s">
        <v>74</v>
      </c>
      <c r="AV1895" t="s">
        <v>2955</v>
      </c>
      <c r="AW1895" t="s">
        <v>75</v>
      </c>
      <c r="AX1895" t="s">
        <v>6438</v>
      </c>
      <c r="AY1895" t="s">
        <v>6439</v>
      </c>
      <c r="AZ1895">
        <v>64.000000009546056</v>
      </c>
      <c r="BA1895">
        <v>0</v>
      </c>
      <c r="BB1895">
        <v>0</v>
      </c>
      <c r="BC1895">
        <v>0.5</v>
      </c>
      <c r="BD1895">
        <v>0</v>
      </c>
      <c r="BE1895">
        <f t="shared" si="299"/>
        <v>1</v>
      </c>
    </row>
    <row r="1896" spans="1:57" x14ac:dyDescent="0.25">
      <c r="A1896" t="s">
        <v>39</v>
      </c>
      <c r="B1896" t="s">
        <v>6440</v>
      </c>
      <c r="C1896">
        <v>69</v>
      </c>
      <c r="D1896">
        <v>54.2</v>
      </c>
      <c r="G1896">
        <f t="shared" si="290"/>
        <v>0</v>
      </c>
      <c r="H1896">
        <f t="shared" si="291"/>
        <v>0</v>
      </c>
      <c r="I1896">
        <f t="shared" si="292"/>
        <v>0</v>
      </c>
      <c r="J1896">
        <v>62.6</v>
      </c>
      <c r="K1896">
        <v>69</v>
      </c>
      <c r="L1896">
        <v>54.2</v>
      </c>
      <c r="M1896">
        <v>62.6</v>
      </c>
      <c r="N1896">
        <v>50.5</v>
      </c>
      <c r="O1896">
        <v>65.3</v>
      </c>
      <c r="S1896">
        <f t="shared" si="293"/>
        <v>0</v>
      </c>
      <c r="T1896">
        <f t="shared" si="294"/>
        <v>0</v>
      </c>
      <c r="U1896">
        <f t="shared" si="295"/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18.600000000000001</v>
      </c>
      <c r="AC1896">
        <v>12.7</v>
      </c>
      <c r="AG1896">
        <f t="shared" si="296"/>
        <v>1</v>
      </c>
      <c r="AH1896">
        <f t="shared" si="297"/>
        <v>0</v>
      </c>
      <c r="AI1896">
        <f t="shared" si="298"/>
        <v>1</v>
      </c>
      <c r="AJ1896">
        <v>325.8</v>
      </c>
      <c r="AK1896">
        <v>1018.3</v>
      </c>
      <c r="AL1896">
        <v>43.1</v>
      </c>
      <c r="AM1896">
        <v>6.2</v>
      </c>
      <c r="AN1896">
        <v>298.3</v>
      </c>
      <c r="AO1896">
        <v>25.9</v>
      </c>
      <c r="AP1896">
        <v>9</v>
      </c>
      <c r="AQ1896">
        <v>0</v>
      </c>
      <c r="AR1896" t="s">
        <v>6441</v>
      </c>
      <c r="AS1896" t="s">
        <v>6442</v>
      </c>
      <c r="AT1896">
        <v>0.5</v>
      </c>
      <c r="AU1896" t="s">
        <v>43</v>
      </c>
      <c r="AV1896" t="s">
        <v>44</v>
      </c>
      <c r="AW1896" t="s">
        <v>45</v>
      </c>
      <c r="AX1896" t="s">
        <v>2565</v>
      </c>
      <c r="AY1896" t="s">
        <v>6443</v>
      </c>
      <c r="AZ1896">
        <v>110.00000000232831</v>
      </c>
      <c r="BA1896">
        <v>0</v>
      </c>
      <c r="BB1896">
        <v>0</v>
      </c>
      <c r="BC1896">
        <v>1</v>
      </c>
      <c r="BD1896">
        <v>0</v>
      </c>
      <c r="BE1896">
        <f t="shared" si="299"/>
        <v>0</v>
      </c>
    </row>
    <row r="1897" spans="1:57" x14ac:dyDescent="0.25">
      <c r="A1897" t="s">
        <v>39</v>
      </c>
      <c r="B1897" t="s">
        <v>6440</v>
      </c>
      <c r="C1897">
        <v>69</v>
      </c>
      <c r="D1897">
        <v>54.2</v>
      </c>
      <c r="G1897">
        <f t="shared" si="290"/>
        <v>0</v>
      </c>
      <c r="H1897">
        <f t="shared" si="291"/>
        <v>0</v>
      </c>
      <c r="I1897">
        <f t="shared" si="292"/>
        <v>0</v>
      </c>
      <c r="J1897">
        <v>62.6</v>
      </c>
      <c r="K1897">
        <v>69</v>
      </c>
      <c r="L1897">
        <v>54.2</v>
      </c>
      <c r="M1897">
        <v>62.6</v>
      </c>
      <c r="N1897">
        <v>50.5</v>
      </c>
      <c r="O1897">
        <v>65.3</v>
      </c>
      <c r="S1897">
        <f t="shared" si="293"/>
        <v>0</v>
      </c>
      <c r="T1897">
        <f t="shared" si="294"/>
        <v>0</v>
      </c>
      <c r="U1897">
        <f t="shared" si="295"/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18.600000000000001</v>
      </c>
      <c r="AC1897">
        <v>12.7</v>
      </c>
      <c r="AG1897">
        <f t="shared" si="296"/>
        <v>1</v>
      </c>
      <c r="AH1897">
        <f t="shared" si="297"/>
        <v>0</v>
      </c>
      <c r="AI1897">
        <f t="shared" si="298"/>
        <v>1</v>
      </c>
      <c r="AJ1897">
        <v>325.8</v>
      </c>
      <c r="AK1897">
        <v>1018.3</v>
      </c>
      <c r="AL1897">
        <v>43.1</v>
      </c>
      <c r="AM1897">
        <v>6.2</v>
      </c>
      <c r="AN1897">
        <v>298.3</v>
      </c>
      <c r="AO1897">
        <v>25.9</v>
      </c>
      <c r="AP1897">
        <v>9</v>
      </c>
      <c r="AQ1897">
        <v>0</v>
      </c>
      <c r="AR1897" t="s">
        <v>6441</v>
      </c>
      <c r="AS1897" t="s">
        <v>6442</v>
      </c>
      <c r="AT1897">
        <v>0.5</v>
      </c>
      <c r="AU1897" t="s">
        <v>43</v>
      </c>
      <c r="AV1897" t="s">
        <v>44</v>
      </c>
      <c r="AW1897" t="s">
        <v>45</v>
      </c>
      <c r="AX1897" t="s">
        <v>6444</v>
      </c>
      <c r="AY1897" t="s">
        <v>6445</v>
      </c>
      <c r="AZ1897">
        <v>71.000000000931323</v>
      </c>
      <c r="BA1897">
        <v>0</v>
      </c>
      <c r="BB1897">
        <v>0</v>
      </c>
      <c r="BC1897">
        <v>1</v>
      </c>
      <c r="BD1897">
        <v>0</v>
      </c>
      <c r="BE1897">
        <f t="shared" si="299"/>
        <v>0</v>
      </c>
    </row>
    <row r="1898" spans="1:57" x14ac:dyDescent="0.25">
      <c r="A1898" t="s">
        <v>39</v>
      </c>
      <c r="B1898" t="s">
        <v>6215</v>
      </c>
      <c r="C1898">
        <v>86</v>
      </c>
      <c r="D1898">
        <v>59</v>
      </c>
      <c r="G1898">
        <f t="shared" si="290"/>
        <v>1</v>
      </c>
      <c r="H1898">
        <f t="shared" si="291"/>
        <v>1</v>
      </c>
      <c r="I1898">
        <f t="shared" si="292"/>
        <v>0</v>
      </c>
      <c r="J1898">
        <v>71</v>
      </c>
      <c r="K1898">
        <v>83.2</v>
      </c>
      <c r="L1898">
        <v>59</v>
      </c>
      <c r="M1898">
        <v>70.599999999999994</v>
      </c>
      <c r="N1898">
        <v>43.5</v>
      </c>
      <c r="O1898">
        <v>40.200000000000003</v>
      </c>
      <c r="S1898">
        <f t="shared" si="293"/>
        <v>1</v>
      </c>
      <c r="T1898">
        <f t="shared" si="294"/>
        <v>0</v>
      </c>
      <c r="U1898">
        <f t="shared" si="295"/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36.9</v>
      </c>
      <c r="AC1898">
        <v>21.9</v>
      </c>
      <c r="AG1898">
        <f t="shared" si="296"/>
        <v>1</v>
      </c>
      <c r="AH1898">
        <f t="shared" si="297"/>
        <v>1</v>
      </c>
      <c r="AI1898">
        <f t="shared" si="298"/>
        <v>0</v>
      </c>
      <c r="AJ1898">
        <v>159.9</v>
      </c>
      <c r="AK1898">
        <v>1013.4</v>
      </c>
      <c r="AL1898">
        <v>26</v>
      </c>
      <c r="AM1898">
        <v>6.2</v>
      </c>
      <c r="AN1898">
        <v>304</v>
      </c>
      <c r="AO1898">
        <v>26.2</v>
      </c>
      <c r="AP1898">
        <v>9</v>
      </c>
      <c r="AQ1898">
        <v>0</v>
      </c>
      <c r="AR1898" t="s">
        <v>6216</v>
      </c>
      <c r="AS1898" t="s">
        <v>6217</v>
      </c>
      <c r="AT1898">
        <v>0.75</v>
      </c>
      <c r="AU1898" t="s">
        <v>43</v>
      </c>
      <c r="AV1898" t="s">
        <v>44</v>
      </c>
      <c r="AW1898" t="s">
        <v>45</v>
      </c>
      <c r="AX1898" t="s">
        <v>6446</v>
      </c>
      <c r="AY1898" t="s">
        <v>6447</v>
      </c>
      <c r="AZ1898">
        <v>281.99999999720598</v>
      </c>
      <c r="BA1898">
        <v>0</v>
      </c>
      <c r="BB1898">
        <v>0</v>
      </c>
      <c r="BC1898">
        <v>5</v>
      </c>
      <c r="BD1898">
        <v>0</v>
      </c>
      <c r="BE1898">
        <f t="shared" si="299"/>
        <v>1</v>
      </c>
    </row>
    <row r="1899" spans="1:57" x14ac:dyDescent="0.25">
      <c r="A1899" t="s">
        <v>39</v>
      </c>
      <c r="B1899" t="s">
        <v>6215</v>
      </c>
      <c r="C1899">
        <v>86</v>
      </c>
      <c r="D1899">
        <v>59</v>
      </c>
      <c r="G1899">
        <f t="shared" si="290"/>
        <v>1</v>
      </c>
      <c r="H1899">
        <f t="shared" si="291"/>
        <v>1</v>
      </c>
      <c r="I1899">
        <f t="shared" si="292"/>
        <v>0</v>
      </c>
      <c r="J1899">
        <v>71</v>
      </c>
      <c r="K1899">
        <v>83.2</v>
      </c>
      <c r="L1899">
        <v>59</v>
      </c>
      <c r="M1899">
        <v>70.599999999999994</v>
      </c>
      <c r="N1899">
        <v>43.5</v>
      </c>
      <c r="O1899">
        <v>40.200000000000003</v>
      </c>
      <c r="S1899">
        <f t="shared" si="293"/>
        <v>1</v>
      </c>
      <c r="T1899">
        <f t="shared" si="294"/>
        <v>0</v>
      </c>
      <c r="U1899">
        <f t="shared" si="295"/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36.9</v>
      </c>
      <c r="AC1899">
        <v>21.9</v>
      </c>
      <c r="AG1899">
        <f t="shared" si="296"/>
        <v>1</v>
      </c>
      <c r="AH1899">
        <f t="shared" si="297"/>
        <v>1</v>
      </c>
      <c r="AI1899">
        <f t="shared" si="298"/>
        <v>0</v>
      </c>
      <c r="AJ1899">
        <v>159.9</v>
      </c>
      <c r="AK1899">
        <v>1013.4</v>
      </c>
      <c r="AL1899">
        <v>26</v>
      </c>
      <c r="AM1899">
        <v>6.2</v>
      </c>
      <c r="AN1899">
        <v>304</v>
      </c>
      <c r="AO1899">
        <v>26.2</v>
      </c>
      <c r="AP1899">
        <v>9</v>
      </c>
      <c r="AQ1899">
        <v>0</v>
      </c>
      <c r="AR1899" t="s">
        <v>6216</v>
      </c>
      <c r="AS1899" t="s">
        <v>6217</v>
      </c>
      <c r="AT1899">
        <v>0.75</v>
      </c>
      <c r="AU1899" t="s">
        <v>43</v>
      </c>
      <c r="AV1899" t="s">
        <v>44</v>
      </c>
      <c r="AW1899" t="s">
        <v>45</v>
      </c>
      <c r="AX1899" t="s">
        <v>5536</v>
      </c>
      <c r="AY1899" t="s">
        <v>6448</v>
      </c>
      <c r="AZ1899">
        <v>660.00000000349246</v>
      </c>
      <c r="BA1899">
        <v>1</v>
      </c>
      <c r="BB1899">
        <v>0</v>
      </c>
      <c r="BC1899">
        <v>50</v>
      </c>
      <c r="BD1899">
        <v>0</v>
      </c>
      <c r="BE1899">
        <f t="shared" si="299"/>
        <v>1</v>
      </c>
    </row>
    <row r="1900" spans="1:57" x14ac:dyDescent="0.25">
      <c r="A1900" t="s">
        <v>39</v>
      </c>
      <c r="B1900" t="s">
        <v>6449</v>
      </c>
      <c r="C1900">
        <v>69.8</v>
      </c>
      <c r="D1900">
        <v>57.2</v>
      </c>
      <c r="G1900">
        <f t="shared" si="290"/>
        <v>1</v>
      </c>
      <c r="H1900">
        <f t="shared" si="291"/>
        <v>0</v>
      </c>
      <c r="I1900">
        <f t="shared" si="292"/>
        <v>1</v>
      </c>
      <c r="J1900">
        <v>65.2</v>
      </c>
      <c r="K1900">
        <v>69.8</v>
      </c>
      <c r="L1900">
        <v>57.2</v>
      </c>
      <c r="M1900">
        <v>65.2</v>
      </c>
      <c r="N1900">
        <v>55.6</v>
      </c>
      <c r="O1900">
        <v>71.7</v>
      </c>
      <c r="S1900">
        <f t="shared" si="293"/>
        <v>1</v>
      </c>
      <c r="T1900">
        <f t="shared" si="294"/>
        <v>1</v>
      </c>
      <c r="U1900">
        <f t="shared" si="295"/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24.4</v>
      </c>
      <c r="AC1900">
        <v>15</v>
      </c>
      <c r="AG1900">
        <f t="shared" si="296"/>
        <v>1</v>
      </c>
      <c r="AH1900">
        <f t="shared" si="297"/>
        <v>0</v>
      </c>
      <c r="AI1900">
        <f t="shared" si="298"/>
        <v>1</v>
      </c>
      <c r="AJ1900">
        <v>314</v>
      </c>
      <c r="AK1900">
        <v>1013.6</v>
      </c>
      <c r="AL1900">
        <v>51.6</v>
      </c>
      <c r="AM1900">
        <v>6.2</v>
      </c>
      <c r="AN1900">
        <v>295.8</v>
      </c>
      <c r="AO1900">
        <v>25.7</v>
      </c>
      <c r="AP1900">
        <v>9</v>
      </c>
      <c r="AQ1900">
        <v>0</v>
      </c>
      <c r="AR1900" t="s">
        <v>6450</v>
      </c>
      <c r="AS1900" t="s">
        <v>6451</v>
      </c>
      <c r="AT1900">
        <v>0.81</v>
      </c>
      <c r="AU1900" t="s">
        <v>43</v>
      </c>
      <c r="AV1900" t="s">
        <v>44</v>
      </c>
      <c r="AW1900" t="s">
        <v>45</v>
      </c>
      <c r="AX1900" t="s">
        <v>6452</v>
      </c>
      <c r="AY1900" t="s">
        <v>6453</v>
      </c>
      <c r="AZ1900">
        <v>30.99999999627471</v>
      </c>
      <c r="BA1900">
        <v>0</v>
      </c>
      <c r="BB1900">
        <v>0</v>
      </c>
      <c r="BC1900">
        <v>0.02</v>
      </c>
      <c r="BD1900">
        <v>0</v>
      </c>
      <c r="BE1900">
        <f t="shared" si="299"/>
        <v>0</v>
      </c>
    </row>
    <row r="1901" spans="1:57" x14ac:dyDescent="0.25">
      <c r="A1901" t="s">
        <v>39</v>
      </c>
      <c r="B1901" t="s">
        <v>6454</v>
      </c>
      <c r="C1901">
        <v>95</v>
      </c>
      <c r="D1901">
        <v>68</v>
      </c>
      <c r="G1901">
        <f t="shared" si="290"/>
        <v>1</v>
      </c>
      <c r="H1901">
        <f t="shared" si="291"/>
        <v>1</v>
      </c>
      <c r="I1901">
        <f t="shared" si="292"/>
        <v>0</v>
      </c>
      <c r="J1901">
        <v>79</v>
      </c>
      <c r="K1901">
        <v>93.2</v>
      </c>
      <c r="L1901">
        <v>68</v>
      </c>
      <c r="M1901">
        <v>79</v>
      </c>
      <c r="N1901">
        <v>57.7</v>
      </c>
      <c r="O1901">
        <v>50.5</v>
      </c>
      <c r="S1901">
        <f t="shared" si="293"/>
        <v>1</v>
      </c>
      <c r="T1901">
        <f t="shared" si="294"/>
        <v>0</v>
      </c>
      <c r="U1901">
        <f t="shared" si="295"/>
        <v>1</v>
      </c>
      <c r="V1901">
        <v>7.9000000000000001E-2</v>
      </c>
      <c r="W1901">
        <v>100</v>
      </c>
      <c r="X1901">
        <v>8.33</v>
      </c>
      <c r="Y1901" t="s">
        <v>103</v>
      </c>
      <c r="Z1901">
        <v>0</v>
      </c>
      <c r="AA1901">
        <v>0</v>
      </c>
      <c r="AB1901">
        <v>26.6</v>
      </c>
      <c r="AC1901">
        <v>25.3</v>
      </c>
      <c r="AG1901">
        <f t="shared" si="296"/>
        <v>1</v>
      </c>
      <c r="AH1901">
        <f t="shared" si="297"/>
        <v>1</v>
      </c>
      <c r="AI1901">
        <f t="shared" si="298"/>
        <v>0</v>
      </c>
      <c r="AJ1901">
        <v>167.8</v>
      </c>
      <c r="AK1901">
        <v>1008.8</v>
      </c>
      <c r="AL1901">
        <v>43.4</v>
      </c>
      <c r="AM1901">
        <v>6.2</v>
      </c>
      <c r="AN1901">
        <v>257.7</v>
      </c>
      <c r="AO1901">
        <v>22.4</v>
      </c>
      <c r="AP1901">
        <v>9</v>
      </c>
      <c r="AQ1901">
        <v>0</v>
      </c>
      <c r="AR1901" t="s">
        <v>6455</v>
      </c>
      <c r="AS1901" t="s">
        <v>6456</v>
      </c>
      <c r="AT1901">
        <v>0.18</v>
      </c>
      <c r="AU1901" t="s">
        <v>106</v>
      </c>
      <c r="AV1901" t="s">
        <v>1098</v>
      </c>
      <c r="AW1901" t="s">
        <v>103</v>
      </c>
      <c r="AX1901" t="s">
        <v>4290</v>
      </c>
      <c r="AY1901" t="s">
        <v>6457</v>
      </c>
      <c r="AZ1901">
        <v>129.99999999417921</v>
      </c>
      <c r="BA1901">
        <v>0</v>
      </c>
      <c r="BB1901">
        <v>0</v>
      </c>
      <c r="BC1901">
        <v>1</v>
      </c>
      <c r="BD1901">
        <v>0</v>
      </c>
      <c r="BE1901">
        <f t="shared" si="299"/>
        <v>1</v>
      </c>
    </row>
    <row r="1902" spans="1:57" x14ac:dyDescent="0.25">
      <c r="A1902" t="s">
        <v>39</v>
      </c>
      <c r="B1902" t="s">
        <v>6458</v>
      </c>
      <c r="C1902">
        <v>77</v>
      </c>
      <c r="D1902">
        <v>64.400000000000006</v>
      </c>
      <c r="G1902">
        <f t="shared" si="290"/>
        <v>1</v>
      </c>
      <c r="H1902">
        <f t="shared" si="291"/>
        <v>0</v>
      </c>
      <c r="I1902">
        <f t="shared" si="292"/>
        <v>1</v>
      </c>
      <c r="J1902">
        <v>72.2</v>
      </c>
      <c r="K1902">
        <v>77</v>
      </c>
      <c r="L1902">
        <v>64.400000000000006</v>
      </c>
      <c r="M1902">
        <v>72.2</v>
      </c>
      <c r="N1902">
        <v>65.3</v>
      </c>
      <c r="O1902">
        <v>79</v>
      </c>
      <c r="S1902">
        <f t="shared" si="293"/>
        <v>1</v>
      </c>
      <c r="T1902">
        <f t="shared" si="294"/>
        <v>1</v>
      </c>
      <c r="U1902">
        <f t="shared" si="295"/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20.399999999999999</v>
      </c>
      <c r="AC1902">
        <v>12.8</v>
      </c>
      <c r="AG1902">
        <f t="shared" si="296"/>
        <v>1</v>
      </c>
      <c r="AH1902">
        <f t="shared" si="297"/>
        <v>0</v>
      </c>
      <c r="AI1902">
        <f t="shared" si="298"/>
        <v>1</v>
      </c>
      <c r="AJ1902">
        <v>325.10000000000002</v>
      </c>
      <c r="AK1902">
        <v>1012.4</v>
      </c>
      <c r="AL1902">
        <v>16.5</v>
      </c>
      <c r="AM1902">
        <v>6.2</v>
      </c>
      <c r="AN1902">
        <v>338.5</v>
      </c>
      <c r="AO1902">
        <v>29.4</v>
      </c>
      <c r="AP1902">
        <v>10</v>
      </c>
      <c r="AQ1902">
        <v>0</v>
      </c>
      <c r="AR1902" t="s">
        <v>6459</v>
      </c>
      <c r="AS1902" t="s">
        <v>6460</v>
      </c>
      <c r="AT1902">
        <v>0</v>
      </c>
      <c r="AU1902" t="s">
        <v>74</v>
      </c>
      <c r="AV1902" t="s">
        <v>2955</v>
      </c>
      <c r="AW1902" t="s">
        <v>75</v>
      </c>
      <c r="AX1902" t="s">
        <v>2701</v>
      </c>
      <c r="AY1902" t="s">
        <v>6461</v>
      </c>
      <c r="AZ1902">
        <v>519.99999999767169</v>
      </c>
      <c r="BA1902">
        <v>1</v>
      </c>
      <c r="BB1902">
        <v>0</v>
      </c>
      <c r="BC1902">
        <v>5</v>
      </c>
      <c r="BD1902">
        <v>0</v>
      </c>
      <c r="BE1902">
        <f t="shared" si="299"/>
        <v>1</v>
      </c>
    </row>
    <row r="1903" spans="1:57" x14ac:dyDescent="0.25">
      <c r="A1903" t="s">
        <v>39</v>
      </c>
      <c r="B1903" t="s">
        <v>6462</v>
      </c>
      <c r="C1903">
        <v>84.2</v>
      </c>
      <c r="D1903">
        <v>75.2</v>
      </c>
      <c r="G1903">
        <f t="shared" si="290"/>
        <v>1</v>
      </c>
      <c r="H1903">
        <f t="shared" si="291"/>
        <v>1</v>
      </c>
      <c r="I1903">
        <f t="shared" si="292"/>
        <v>0</v>
      </c>
      <c r="J1903">
        <v>79.599999999999994</v>
      </c>
      <c r="K1903">
        <v>92.5</v>
      </c>
      <c r="L1903">
        <v>75.2</v>
      </c>
      <c r="M1903">
        <v>82.5</v>
      </c>
      <c r="N1903">
        <v>72.400000000000006</v>
      </c>
      <c r="O1903">
        <v>78.8</v>
      </c>
      <c r="S1903">
        <f t="shared" si="293"/>
        <v>1</v>
      </c>
      <c r="T1903">
        <f t="shared" si="294"/>
        <v>1</v>
      </c>
      <c r="U1903">
        <f t="shared" si="295"/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30.9</v>
      </c>
      <c r="AC1903">
        <v>17.2</v>
      </c>
      <c r="AG1903">
        <f t="shared" si="296"/>
        <v>0</v>
      </c>
      <c r="AH1903">
        <f t="shared" si="297"/>
        <v>0</v>
      </c>
      <c r="AI1903">
        <f t="shared" si="298"/>
        <v>0</v>
      </c>
      <c r="AJ1903">
        <v>309.60000000000002</v>
      </c>
      <c r="AK1903">
        <v>1010.5</v>
      </c>
      <c r="AL1903">
        <v>32.4</v>
      </c>
      <c r="AM1903">
        <v>6.2</v>
      </c>
      <c r="AN1903">
        <v>313.10000000000002</v>
      </c>
      <c r="AO1903">
        <v>27.1</v>
      </c>
      <c r="AP1903">
        <v>9</v>
      </c>
      <c r="AQ1903">
        <v>0</v>
      </c>
      <c r="AR1903" t="s">
        <v>6463</v>
      </c>
      <c r="AS1903" t="s">
        <v>6464</v>
      </c>
      <c r="AT1903">
        <v>0.75</v>
      </c>
      <c r="AU1903" t="s">
        <v>43</v>
      </c>
      <c r="AV1903" t="s">
        <v>44</v>
      </c>
      <c r="AW1903" t="s">
        <v>45</v>
      </c>
      <c r="AX1903" t="s">
        <v>4301</v>
      </c>
      <c r="AY1903" t="s">
        <v>6465</v>
      </c>
      <c r="AZ1903">
        <v>150.00000000698489</v>
      </c>
      <c r="BA1903">
        <v>0</v>
      </c>
      <c r="BB1903">
        <v>0</v>
      </c>
      <c r="BC1903">
        <v>1</v>
      </c>
      <c r="BD1903">
        <v>0</v>
      </c>
      <c r="BE1903">
        <f t="shared" si="299"/>
        <v>0</v>
      </c>
    </row>
    <row r="1904" spans="1:57" x14ac:dyDescent="0.25">
      <c r="A1904" t="s">
        <v>39</v>
      </c>
      <c r="B1904" t="s">
        <v>6466</v>
      </c>
      <c r="C1904">
        <v>86</v>
      </c>
      <c r="D1904">
        <v>73.400000000000006</v>
      </c>
      <c r="G1904">
        <f t="shared" si="290"/>
        <v>1</v>
      </c>
      <c r="H1904">
        <f t="shared" si="291"/>
        <v>1</v>
      </c>
      <c r="I1904">
        <f t="shared" si="292"/>
        <v>0</v>
      </c>
      <c r="J1904">
        <v>80</v>
      </c>
      <c r="K1904">
        <v>93.5</v>
      </c>
      <c r="L1904">
        <v>73.400000000000006</v>
      </c>
      <c r="M1904">
        <v>83.6</v>
      </c>
      <c r="N1904">
        <v>70.2</v>
      </c>
      <c r="O1904">
        <v>72.2</v>
      </c>
      <c r="S1904">
        <f t="shared" si="293"/>
        <v>1</v>
      </c>
      <c r="T1904">
        <f t="shared" si="294"/>
        <v>1</v>
      </c>
      <c r="U1904">
        <f t="shared" si="295"/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28</v>
      </c>
      <c r="AC1904">
        <v>20.8</v>
      </c>
      <c r="AG1904">
        <f t="shared" si="296"/>
        <v>1</v>
      </c>
      <c r="AH1904">
        <f t="shared" si="297"/>
        <v>1</v>
      </c>
      <c r="AI1904">
        <f t="shared" si="298"/>
        <v>0</v>
      </c>
      <c r="AJ1904">
        <v>300.60000000000002</v>
      </c>
      <c r="AK1904">
        <v>1008.4</v>
      </c>
      <c r="AL1904">
        <v>11.8</v>
      </c>
      <c r="AM1904">
        <v>6.2</v>
      </c>
      <c r="AN1904">
        <v>334.9</v>
      </c>
      <c r="AO1904">
        <v>28.9</v>
      </c>
      <c r="AP1904">
        <v>10</v>
      </c>
      <c r="AQ1904">
        <v>0</v>
      </c>
      <c r="AR1904" t="s">
        <v>6467</v>
      </c>
      <c r="AS1904" t="s">
        <v>6468</v>
      </c>
      <c r="AT1904">
        <v>0.78</v>
      </c>
      <c r="AU1904" t="s">
        <v>74</v>
      </c>
      <c r="AV1904" t="s">
        <v>2955</v>
      </c>
      <c r="AW1904" t="s">
        <v>75</v>
      </c>
      <c r="AX1904" t="s">
        <v>6469</v>
      </c>
      <c r="AY1904" t="s">
        <v>6470</v>
      </c>
      <c r="AZ1904">
        <v>865.9999999939464</v>
      </c>
      <c r="BA1904">
        <v>1</v>
      </c>
      <c r="BB1904">
        <v>0</v>
      </c>
      <c r="BC1904">
        <v>7</v>
      </c>
      <c r="BD1904">
        <v>0</v>
      </c>
      <c r="BE1904">
        <f t="shared" si="299"/>
        <v>1</v>
      </c>
    </row>
    <row r="1905" spans="1:57" x14ac:dyDescent="0.25">
      <c r="A1905" t="s">
        <v>39</v>
      </c>
      <c r="B1905" t="s">
        <v>6471</v>
      </c>
      <c r="C1905">
        <v>86</v>
      </c>
      <c r="D1905">
        <v>68</v>
      </c>
      <c r="G1905">
        <f t="shared" si="290"/>
        <v>1</v>
      </c>
      <c r="H1905">
        <f t="shared" si="291"/>
        <v>1</v>
      </c>
      <c r="I1905">
        <f t="shared" si="292"/>
        <v>0</v>
      </c>
      <c r="J1905">
        <v>78.3</v>
      </c>
      <c r="K1905">
        <v>89.4</v>
      </c>
      <c r="L1905">
        <v>68</v>
      </c>
      <c r="M1905">
        <v>79.5</v>
      </c>
      <c r="N1905">
        <v>64.5</v>
      </c>
      <c r="O1905">
        <v>63.9</v>
      </c>
      <c r="S1905">
        <f t="shared" si="293"/>
        <v>1</v>
      </c>
      <c r="T1905">
        <f t="shared" si="294"/>
        <v>1</v>
      </c>
      <c r="U1905">
        <f t="shared" si="295"/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20.6</v>
      </c>
      <c r="AC1905">
        <v>10.3</v>
      </c>
      <c r="AG1905">
        <f t="shared" si="296"/>
        <v>1</v>
      </c>
      <c r="AH1905">
        <f t="shared" si="297"/>
        <v>0</v>
      </c>
      <c r="AI1905">
        <f t="shared" si="298"/>
        <v>1</v>
      </c>
      <c r="AJ1905">
        <v>123.3</v>
      </c>
      <c r="AK1905">
        <v>1008.8</v>
      </c>
      <c r="AL1905">
        <v>0.3</v>
      </c>
      <c r="AM1905">
        <v>6.2</v>
      </c>
      <c r="AN1905">
        <v>339.2</v>
      </c>
      <c r="AO1905">
        <v>29.4</v>
      </c>
      <c r="AP1905">
        <v>10</v>
      </c>
      <c r="AQ1905">
        <v>0</v>
      </c>
      <c r="AR1905" t="s">
        <v>6472</v>
      </c>
      <c r="AS1905" t="s">
        <v>6473</v>
      </c>
      <c r="AT1905">
        <v>0.32</v>
      </c>
      <c r="AU1905" t="s">
        <v>74</v>
      </c>
      <c r="AV1905" t="s">
        <v>2955</v>
      </c>
      <c r="AW1905" t="s">
        <v>75</v>
      </c>
      <c r="AX1905" t="s">
        <v>6474</v>
      </c>
      <c r="AY1905" t="s">
        <v>6475</v>
      </c>
      <c r="AZ1905">
        <v>437.99999999231659</v>
      </c>
      <c r="BA1905">
        <v>1</v>
      </c>
      <c r="BB1905">
        <v>0</v>
      </c>
      <c r="BC1905">
        <v>5</v>
      </c>
      <c r="BD1905">
        <v>0</v>
      </c>
      <c r="BE1905">
        <f t="shared" si="299"/>
        <v>1</v>
      </c>
    </row>
    <row r="1906" spans="1:57" x14ac:dyDescent="0.25">
      <c r="A1906" t="s">
        <v>39</v>
      </c>
      <c r="B1906" t="s">
        <v>6476</v>
      </c>
      <c r="C1906">
        <v>91.4</v>
      </c>
      <c r="D1906">
        <v>69.8</v>
      </c>
      <c r="G1906">
        <f t="shared" si="290"/>
        <v>1</v>
      </c>
      <c r="H1906">
        <f t="shared" si="291"/>
        <v>1</v>
      </c>
      <c r="I1906">
        <f t="shared" si="292"/>
        <v>0</v>
      </c>
      <c r="J1906">
        <v>81.599999999999994</v>
      </c>
      <c r="K1906">
        <v>96.9</v>
      </c>
      <c r="L1906">
        <v>69.8</v>
      </c>
      <c r="M1906">
        <v>84.1</v>
      </c>
      <c r="N1906">
        <v>65.2</v>
      </c>
      <c r="O1906">
        <v>58.8</v>
      </c>
      <c r="S1906">
        <f t="shared" si="293"/>
        <v>0</v>
      </c>
      <c r="T1906">
        <f t="shared" si="294"/>
        <v>0</v>
      </c>
      <c r="U1906">
        <f t="shared" si="295"/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18.100000000000001</v>
      </c>
      <c r="AC1906">
        <v>9.1999999999999993</v>
      </c>
      <c r="AG1906">
        <f t="shared" si="296"/>
        <v>1</v>
      </c>
      <c r="AH1906">
        <f t="shared" si="297"/>
        <v>0</v>
      </c>
      <c r="AI1906">
        <f t="shared" si="298"/>
        <v>1</v>
      </c>
      <c r="AJ1906">
        <v>151</v>
      </c>
      <c r="AK1906">
        <v>1007.2</v>
      </c>
      <c r="AL1906">
        <v>0.3</v>
      </c>
      <c r="AM1906">
        <v>6.2</v>
      </c>
      <c r="AN1906">
        <v>339.7</v>
      </c>
      <c r="AO1906">
        <v>29.5</v>
      </c>
      <c r="AP1906">
        <v>10</v>
      </c>
      <c r="AQ1906">
        <v>0</v>
      </c>
      <c r="AR1906" t="s">
        <v>6477</v>
      </c>
      <c r="AS1906" t="s">
        <v>6478</v>
      </c>
      <c r="AT1906">
        <v>0.35</v>
      </c>
      <c r="AU1906" t="s">
        <v>74</v>
      </c>
      <c r="AV1906" t="s">
        <v>2955</v>
      </c>
      <c r="AW1906" t="s">
        <v>75</v>
      </c>
      <c r="AX1906" t="s">
        <v>2790</v>
      </c>
      <c r="AY1906" t="s">
        <v>6479</v>
      </c>
      <c r="AZ1906">
        <v>1339.9999999988361</v>
      </c>
      <c r="BA1906">
        <v>1</v>
      </c>
      <c r="BB1906">
        <v>0</v>
      </c>
      <c r="BC1906">
        <v>15</v>
      </c>
      <c r="BD1906">
        <v>0</v>
      </c>
      <c r="BE1906">
        <f t="shared" si="299"/>
        <v>1</v>
      </c>
    </row>
    <row r="1907" spans="1:57" x14ac:dyDescent="0.25">
      <c r="A1907" t="s">
        <v>39</v>
      </c>
      <c r="B1907" t="s">
        <v>6480</v>
      </c>
      <c r="C1907">
        <v>82.4</v>
      </c>
      <c r="D1907">
        <v>75.2</v>
      </c>
      <c r="G1907">
        <f t="shared" si="290"/>
        <v>0</v>
      </c>
      <c r="H1907">
        <f t="shared" si="291"/>
        <v>0</v>
      </c>
      <c r="I1907">
        <f t="shared" si="292"/>
        <v>0</v>
      </c>
      <c r="J1907">
        <v>78.900000000000006</v>
      </c>
      <c r="K1907">
        <v>90.9</v>
      </c>
      <c r="L1907">
        <v>75.2</v>
      </c>
      <c r="M1907">
        <v>82.1</v>
      </c>
      <c r="N1907">
        <v>70.3</v>
      </c>
      <c r="O1907">
        <v>75.8</v>
      </c>
      <c r="S1907">
        <f t="shared" si="293"/>
        <v>1</v>
      </c>
      <c r="T1907">
        <f t="shared" si="294"/>
        <v>1</v>
      </c>
      <c r="U1907">
        <f t="shared" si="295"/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26.8</v>
      </c>
      <c r="AC1907">
        <v>25.3</v>
      </c>
      <c r="AG1907">
        <f t="shared" si="296"/>
        <v>1</v>
      </c>
      <c r="AH1907">
        <f t="shared" si="297"/>
        <v>1</v>
      </c>
      <c r="AI1907">
        <f t="shared" si="298"/>
        <v>0</v>
      </c>
      <c r="AJ1907">
        <v>294.89999999999998</v>
      </c>
      <c r="AK1907">
        <v>1009.9</v>
      </c>
      <c r="AL1907">
        <v>10.5</v>
      </c>
      <c r="AM1907">
        <v>6.2</v>
      </c>
      <c r="AN1907">
        <v>336.6</v>
      </c>
      <c r="AO1907">
        <v>29.1</v>
      </c>
      <c r="AP1907">
        <v>10</v>
      </c>
      <c r="AQ1907">
        <v>0</v>
      </c>
      <c r="AR1907" t="s">
        <v>6481</v>
      </c>
      <c r="AS1907" t="s">
        <v>6482</v>
      </c>
      <c r="AT1907">
        <v>0.42</v>
      </c>
      <c r="AU1907" t="s">
        <v>74</v>
      </c>
      <c r="AV1907" t="s">
        <v>2955</v>
      </c>
      <c r="AW1907" t="s">
        <v>75</v>
      </c>
      <c r="AX1907" t="s">
        <v>6483</v>
      </c>
      <c r="AY1907" t="s">
        <v>6484</v>
      </c>
      <c r="AZ1907">
        <v>486.00000000209548</v>
      </c>
      <c r="BA1907">
        <v>1</v>
      </c>
      <c r="BB1907">
        <v>0</v>
      </c>
      <c r="BC1907">
        <v>7</v>
      </c>
      <c r="BD1907">
        <v>0</v>
      </c>
      <c r="BE1907">
        <f t="shared" si="299"/>
        <v>1</v>
      </c>
    </row>
    <row r="1908" spans="1:57" x14ac:dyDescent="0.25">
      <c r="A1908" t="s">
        <v>39</v>
      </c>
      <c r="B1908" t="s">
        <v>6485</v>
      </c>
      <c r="C1908">
        <v>86</v>
      </c>
      <c r="D1908">
        <v>78.8</v>
      </c>
      <c r="G1908">
        <f t="shared" si="290"/>
        <v>1</v>
      </c>
      <c r="H1908">
        <f t="shared" si="291"/>
        <v>1</v>
      </c>
      <c r="I1908">
        <f t="shared" si="292"/>
        <v>0</v>
      </c>
      <c r="J1908">
        <v>82.2</v>
      </c>
      <c r="K1908">
        <v>93.3</v>
      </c>
      <c r="L1908">
        <v>78.8</v>
      </c>
      <c r="M1908">
        <v>86</v>
      </c>
      <c r="N1908">
        <v>70.3</v>
      </c>
      <c r="O1908">
        <v>67.5</v>
      </c>
      <c r="S1908">
        <f t="shared" si="293"/>
        <v>1</v>
      </c>
      <c r="T1908">
        <f t="shared" si="294"/>
        <v>1</v>
      </c>
      <c r="U1908">
        <f t="shared" si="295"/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34</v>
      </c>
      <c r="AC1908">
        <v>23</v>
      </c>
      <c r="AG1908">
        <f t="shared" si="296"/>
        <v>1</v>
      </c>
      <c r="AH1908">
        <f t="shared" si="297"/>
        <v>1</v>
      </c>
      <c r="AI1908">
        <f t="shared" si="298"/>
        <v>0</v>
      </c>
      <c r="AJ1908">
        <v>299.39999999999998</v>
      </c>
      <c r="AK1908">
        <v>1008.3</v>
      </c>
      <c r="AL1908">
        <v>0.1</v>
      </c>
      <c r="AM1908">
        <v>6.2</v>
      </c>
      <c r="AN1908">
        <v>326.5</v>
      </c>
      <c r="AO1908">
        <v>28.2</v>
      </c>
      <c r="AP1908">
        <v>10</v>
      </c>
      <c r="AQ1908">
        <v>0</v>
      </c>
      <c r="AR1908" t="s">
        <v>6486</v>
      </c>
      <c r="AS1908" t="s">
        <v>6487</v>
      </c>
      <c r="AT1908">
        <v>0.69</v>
      </c>
      <c r="AU1908" t="s">
        <v>74</v>
      </c>
      <c r="AV1908" t="s">
        <v>2955</v>
      </c>
      <c r="AW1908" t="s">
        <v>75</v>
      </c>
      <c r="AX1908" t="s">
        <v>6488</v>
      </c>
      <c r="AY1908" t="s">
        <v>6489</v>
      </c>
      <c r="AZ1908">
        <v>1961.0000000009311</v>
      </c>
      <c r="BA1908">
        <v>1</v>
      </c>
      <c r="BB1908">
        <v>0</v>
      </c>
      <c r="BC1908">
        <v>150</v>
      </c>
      <c r="BD1908">
        <v>0</v>
      </c>
      <c r="BE1908">
        <f t="shared" si="299"/>
        <v>1</v>
      </c>
    </row>
    <row r="1909" spans="1:57" x14ac:dyDescent="0.25">
      <c r="A1909" t="s">
        <v>39</v>
      </c>
      <c r="B1909" t="s">
        <v>6389</v>
      </c>
      <c r="C1909">
        <v>87.9</v>
      </c>
      <c r="D1909">
        <v>73.400000000000006</v>
      </c>
      <c r="G1909">
        <f t="shared" si="290"/>
        <v>1</v>
      </c>
      <c r="H1909">
        <f t="shared" si="291"/>
        <v>1</v>
      </c>
      <c r="I1909">
        <f t="shared" si="292"/>
        <v>0</v>
      </c>
      <c r="J1909">
        <v>81.400000000000006</v>
      </c>
      <c r="K1909">
        <v>102.1</v>
      </c>
      <c r="L1909">
        <v>73.400000000000006</v>
      </c>
      <c r="M1909">
        <v>87.1</v>
      </c>
      <c r="N1909">
        <v>72.3</v>
      </c>
      <c r="O1909">
        <v>74.8</v>
      </c>
      <c r="S1909">
        <f t="shared" si="293"/>
        <v>1</v>
      </c>
      <c r="T1909">
        <f t="shared" si="294"/>
        <v>1</v>
      </c>
      <c r="U1909">
        <f t="shared" si="295"/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19.7</v>
      </c>
      <c r="AC1909">
        <v>16.100000000000001</v>
      </c>
      <c r="AG1909">
        <f t="shared" si="296"/>
        <v>0</v>
      </c>
      <c r="AH1909">
        <f t="shared" si="297"/>
        <v>0</v>
      </c>
      <c r="AI1909">
        <f t="shared" si="298"/>
        <v>0</v>
      </c>
      <c r="AJ1909">
        <v>299.7</v>
      </c>
      <c r="AK1909">
        <v>1010.5</v>
      </c>
      <c r="AL1909">
        <v>4.8</v>
      </c>
      <c r="AM1909">
        <v>6.2</v>
      </c>
      <c r="AN1909">
        <v>312.2</v>
      </c>
      <c r="AO1909">
        <v>27</v>
      </c>
      <c r="AP1909">
        <v>9</v>
      </c>
      <c r="AQ1909">
        <v>0</v>
      </c>
      <c r="AR1909" t="s">
        <v>6390</v>
      </c>
      <c r="AS1909" t="s">
        <v>6391</v>
      </c>
      <c r="AT1909">
        <v>0.31</v>
      </c>
      <c r="AU1909" t="s">
        <v>74</v>
      </c>
      <c r="AV1909" t="s">
        <v>2955</v>
      </c>
      <c r="AW1909" t="s">
        <v>75</v>
      </c>
      <c r="AX1909" t="s">
        <v>6490</v>
      </c>
      <c r="AY1909" t="s">
        <v>6491</v>
      </c>
      <c r="AZ1909">
        <v>145.00000000116421</v>
      </c>
      <c r="BA1909">
        <v>0</v>
      </c>
      <c r="BB1909">
        <v>0</v>
      </c>
      <c r="BC1909">
        <v>0.1</v>
      </c>
      <c r="BD1909">
        <v>0</v>
      </c>
      <c r="BE1909">
        <f t="shared" si="299"/>
        <v>0</v>
      </c>
    </row>
    <row r="1910" spans="1:57" x14ac:dyDescent="0.25">
      <c r="A1910" t="s">
        <v>39</v>
      </c>
      <c r="B1910" t="s">
        <v>6492</v>
      </c>
      <c r="C1910">
        <v>80.599999999999994</v>
      </c>
      <c r="D1910">
        <v>73.400000000000006</v>
      </c>
      <c r="G1910">
        <f t="shared" si="290"/>
        <v>1</v>
      </c>
      <c r="H1910">
        <f t="shared" si="291"/>
        <v>0</v>
      </c>
      <c r="I1910">
        <f t="shared" si="292"/>
        <v>1</v>
      </c>
      <c r="J1910">
        <v>77.2</v>
      </c>
      <c r="K1910">
        <v>83.9</v>
      </c>
      <c r="L1910">
        <v>73.400000000000006</v>
      </c>
      <c r="M1910">
        <v>77.900000000000006</v>
      </c>
      <c r="N1910">
        <v>67</v>
      </c>
      <c r="O1910">
        <v>70.900000000000006</v>
      </c>
      <c r="S1910">
        <f t="shared" si="293"/>
        <v>1</v>
      </c>
      <c r="T1910">
        <f t="shared" si="294"/>
        <v>1</v>
      </c>
      <c r="U1910">
        <f t="shared" si="295"/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32.9</v>
      </c>
      <c r="AC1910">
        <v>20.8</v>
      </c>
      <c r="AG1910">
        <f t="shared" si="296"/>
        <v>1</v>
      </c>
      <c r="AH1910">
        <f t="shared" si="297"/>
        <v>1</v>
      </c>
      <c r="AI1910">
        <f t="shared" si="298"/>
        <v>0</v>
      </c>
      <c r="AJ1910">
        <v>306.5</v>
      </c>
      <c r="AK1910">
        <v>1013.4</v>
      </c>
      <c r="AL1910">
        <v>28.9</v>
      </c>
      <c r="AM1910">
        <v>6.2</v>
      </c>
      <c r="AN1910">
        <v>283.10000000000002</v>
      </c>
      <c r="AO1910">
        <v>24.4</v>
      </c>
      <c r="AP1910">
        <v>9</v>
      </c>
      <c r="AQ1910">
        <v>0</v>
      </c>
      <c r="AR1910" t="s">
        <v>6493</v>
      </c>
      <c r="AS1910" t="s">
        <v>6494</v>
      </c>
      <c r="AT1910">
        <v>0.4</v>
      </c>
      <c r="AU1910" t="s">
        <v>43</v>
      </c>
      <c r="AV1910" t="s">
        <v>44</v>
      </c>
      <c r="AW1910" t="s">
        <v>45</v>
      </c>
      <c r="AX1910" t="s">
        <v>6495</v>
      </c>
      <c r="AY1910" t="s">
        <v>6496</v>
      </c>
      <c r="AZ1910">
        <v>74.999999993015081</v>
      </c>
      <c r="BA1910">
        <v>0</v>
      </c>
      <c r="BB1910">
        <v>0</v>
      </c>
      <c r="BC1910">
        <v>1</v>
      </c>
      <c r="BD1910">
        <v>0</v>
      </c>
      <c r="BE1910">
        <f t="shared" si="299"/>
        <v>1</v>
      </c>
    </row>
    <row r="1911" spans="1:57" x14ac:dyDescent="0.25">
      <c r="A1911" t="s">
        <v>39</v>
      </c>
      <c r="B1911" t="s">
        <v>6497</v>
      </c>
      <c r="C1911">
        <v>82.4</v>
      </c>
      <c r="D1911">
        <v>75.2</v>
      </c>
      <c r="G1911">
        <f t="shared" si="290"/>
        <v>0</v>
      </c>
      <c r="H1911">
        <f t="shared" si="291"/>
        <v>0</v>
      </c>
      <c r="I1911">
        <f t="shared" si="292"/>
        <v>0</v>
      </c>
      <c r="J1911">
        <v>77.8</v>
      </c>
      <c r="K1911">
        <v>87.2</v>
      </c>
      <c r="L1911">
        <v>75.2</v>
      </c>
      <c r="M1911">
        <v>79.099999999999994</v>
      </c>
      <c r="N1911">
        <v>68.900000000000006</v>
      </c>
      <c r="O1911">
        <v>74.099999999999994</v>
      </c>
      <c r="S1911">
        <f t="shared" si="293"/>
        <v>1</v>
      </c>
      <c r="T1911">
        <f t="shared" si="294"/>
        <v>1</v>
      </c>
      <c r="U1911">
        <f t="shared" si="295"/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28.9</v>
      </c>
      <c r="AC1911">
        <v>25.3</v>
      </c>
      <c r="AG1911">
        <f t="shared" si="296"/>
        <v>1</v>
      </c>
      <c r="AH1911">
        <f t="shared" si="297"/>
        <v>1</v>
      </c>
      <c r="AI1911">
        <f t="shared" si="298"/>
        <v>0</v>
      </c>
      <c r="AJ1911">
        <v>299.7</v>
      </c>
      <c r="AK1911">
        <v>1011.2</v>
      </c>
      <c r="AL1911">
        <v>23.2</v>
      </c>
      <c r="AM1911">
        <v>6.2</v>
      </c>
      <c r="AN1911">
        <v>287.39999999999998</v>
      </c>
      <c r="AO1911">
        <v>24.9</v>
      </c>
      <c r="AP1911">
        <v>9</v>
      </c>
      <c r="AQ1911">
        <v>0</v>
      </c>
      <c r="AR1911" t="s">
        <v>6498</v>
      </c>
      <c r="AS1911" t="s">
        <v>6499</v>
      </c>
      <c r="AT1911">
        <v>0.44</v>
      </c>
      <c r="AU1911" t="s">
        <v>43</v>
      </c>
      <c r="AV1911" t="s">
        <v>44</v>
      </c>
      <c r="AW1911" t="s">
        <v>45</v>
      </c>
      <c r="AX1911" t="s">
        <v>6500</v>
      </c>
      <c r="AY1911" t="s">
        <v>6501</v>
      </c>
      <c r="AZ1911">
        <v>106.99999999254941</v>
      </c>
      <c r="BA1911">
        <v>0</v>
      </c>
      <c r="BB1911">
        <v>0</v>
      </c>
      <c r="BC1911">
        <v>0.5</v>
      </c>
      <c r="BD1911">
        <v>0</v>
      </c>
      <c r="BE1911">
        <f t="shared" si="299"/>
        <v>0</v>
      </c>
    </row>
    <row r="1912" spans="1:57" x14ac:dyDescent="0.25">
      <c r="A1912" t="s">
        <v>39</v>
      </c>
      <c r="B1912" t="s">
        <v>6502</v>
      </c>
      <c r="C1912">
        <v>86</v>
      </c>
      <c r="D1912">
        <v>73.400000000000006</v>
      </c>
      <c r="G1912">
        <f t="shared" si="290"/>
        <v>1</v>
      </c>
      <c r="H1912">
        <f t="shared" si="291"/>
        <v>1</v>
      </c>
      <c r="I1912">
        <f t="shared" si="292"/>
        <v>0</v>
      </c>
      <c r="J1912">
        <v>79.3</v>
      </c>
      <c r="K1912">
        <v>93.4</v>
      </c>
      <c r="L1912">
        <v>73.400000000000006</v>
      </c>
      <c r="M1912">
        <v>81.8</v>
      </c>
      <c r="N1912">
        <v>71.5</v>
      </c>
      <c r="O1912">
        <v>77.599999999999994</v>
      </c>
      <c r="S1912">
        <f t="shared" si="293"/>
        <v>1</v>
      </c>
      <c r="T1912">
        <f t="shared" si="294"/>
        <v>1</v>
      </c>
      <c r="U1912">
        <f t="shared" si="295"/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23.7</v>
      </c>
      <c r="AC1912">
        <v>18.3</v>
      </c>
      <c r="AG1912">
        <f t="shared" si="296"/>
        <v>0</v>
      </c>
      <c r="AH1912">
        <f t="shared" si="297"/>
        <v>0</v>
      </c>
      <c r="AI1912">
        <f t="shared" si="298"/>
        <v>0</v>
      </c>
      <c r="AJ1912">
        <v>308.8</v>
      </c>
      <c r="AK1912">
        <v>1010.2</v>
      </c>
      <c r="AL1912">
        <v>27.8</v>
      </c>
      <c r="AM1912">
        <v>6.2</v>
      </c>
      <c r="AN1912">
        <v>271.2</v>
      </c>
      <c r="AO1912">
        <v>23.5</v>
      </c>
      <c r="AP1912">
        <v>8</v>
      </c>
      <c r="AQ1912">
        <v>0</v>
      </c>
      <c r="AR1912" t="s">
        <v>6503</v>
      </c>
      <c r="AS1912" t="s">
        <v>6504</v>
      </c>
      <c r="AT1912">
        <v>0.71</v>
      </c>
      <c r="AU1912" t="s">
        <v>43</v>
      </c>
      <c r="AV1912" t="s">
        <v>44</v>
      </c>
      <c r="AW1912" t="s">
        <v>45</v>
      </c>
      <c r="AX1912" t="s">
        <v>4063</v>
      </c>
      <c r="AY1912" t="s">
        <v>6505</v>
      </c>
      <c r="AZ1912">
        <v>85.000000004656613</v>
      </c>
      <c r="BA1912">
        <v>0</v>
      </c>
      <c r="BB1912">
        <v>0</v>
      </c>
      <c r="BC1912">
        <v>0.2</v>
      </c>
      <c r="BD1912">
        <v>0</v>
      </c>
      <c r="BE1912">
        <f t="shared" si="299"/>
        <v>0</v>
      </c>
    </row>
    <row r="1913" spans="1:57" x14ac:dyDescent="0.25">
      <c r="A1913" t="s">
        <v>39</v>
      </c>
      <c r="B1913" t="s">
        <v>6506</v>
      </c>
      <c r="C1913">
        <v>84.2</v>
      </c>
      <c r="D1913">
        <v>71.599999999999994</v>
      </c>
      <c r="G1913">
        <f t="shared" si="290"/>
        <v>0</v>
      </c>
      <c r="H1913">
        <f t="shared" si="291"/>
        <v>0</v>
      </c>
      <c r="I1913">
        <f t="shared" si="292"/>
        <v>0</v>
      </c>
      <c r="J1913">
        <v>78.5</v>
      </c>
      <c r="K1913">
        <v>90.9</v>
      </c>
      <c r="L1913">
        <v>71.599999999999994</v>
      </c>
      <c r="M1913">
        <v>80.7</v>
      </c>
      <c r="N1913">
        <v>71.7</v>
      </c>
      <c r="O1913">
        <v>79.900000000000006</v>
      </c>
      <c r="S1913">
        <f t="shared" si="293"/>
        <v>1</v>
      </c>
      <c r="T1913">
        <f t="shared" si="294"/>
        <v>1</v>
      </c>
      <c r="U1913">
        <f t="shared" si="295"/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19</v>
      </c>
      <c r="AC1913">
        <v>16.100000000000001</v>
      </c>
      <c r="AG1913">
        <f t="shared" si="296"/>
        <v>0</v>
      </c>
      <c r="AH1913">
        <f t="shared" si="297"/>
        <v>0</v>
      </c>
      <c r="AI1913">
        <f t="shared" si="298"/>
        <v>0</v>
      </c>
      <c r="AJ1913">
        <v>315.10000000000002</v>
      </c>
      <c r="AK1913">
        <v>1009.2</v>
      </c>
      <c r="AL1913">
        <v>23.1</v>
      </c>
      <c r="AM1913">
        <v>6.2</v>
      </c>
      <c r="AN1913">
        <v>268.89999999999998</v>
      </c>
      <c r="AO1913">
        <v>23.3</v>
      </c>
      <c r="AP1913">
        <v>9</v>
      </c>
      <c r="AQ1913">
        <v>0</v>
      </c>
      <c r="AR1913" t="s">
        <v>6507</v>
      </c>
      <c r="AS1913" t="s">
        <v>6508</v>
      </c>
      <c r="AT1913">
        <v>0.75</v>
      </c>
      <c r="AU1913" t="s">
        <v>43</v>
      </c>
      <c r="AV1913" t="s">
        <v>44</v>
      </c>
      <c r="AW1913" t="s">
        <v>45</v>
      </c>
      <c r="AX1913" t="s">
        <v>6509</v>
      </c>
      <c r="AY1913" t="s">
        <v>6510</v>
      </c>
      <c r="AZ1913">
        <v>2197.9999999981369</v>
      </c>
      <c r="BA1913">
        <v>1</v>
      </c>
      <c r="BB1913">
        <v>0</v>
      </c>
      <c r="BC1913">
        <v>600</v>
      </c>
      <c r="BD1913">
        <v>0</v>
      </c>
      <c r="BE1913">
        <f t="shared" si="299"/>
        <v>0</v>
      </c>
    </row>
    <row r="1914" spans="1:57" x14ac:dyDescent="0.25">
      <c r="A1914" t="s">
        <v>39</v>
      </c>
      <c r="B1914" t="s">
        <v>6506</v>
      </c>
      <c r="C1914">
        <v>84.2</v>
      </c>
      <c r="D1914">
        <v>71.599999999999994</v>
      </c>
      <c r="G1914">
        <f t="shared" si="290"/>
        <v>0</v>
      </c>
      <c r="H1914">
        <f t="shared" si="291"/>
        <v>0</v>
      </c>
      <c r="I1914">
        <f t="shared" si="292"/>
        <v>0</v>
      </c>
      <c r="J1914">
        <v>78.5</v>
      </c>
      <c r="K1914">
        <v>90.9</v>
      </c>
      <c r="L1914">
        <v>71.599999999999994</v>
      </c>
      <c r="M1914">
        <v>80.7</v>
      </c>
      <c r="N1914">
        <v>71.7</v>
      </c>
      <c r="O1914">
        <v>79.900000000000006</v>
      </c>
      <c r="S1914">
        <f t="shared" si="293"/>
        <v>1</v>
      </c>
      <c r="T1914">
        <f t="shared" si="294"/>
        <v>1</v>
      </c>
      <c r="U1914">
        <f t="shared" si="295"/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19</v>
      </c>
      <c r="AC1914">
        <v>16.100000000000001</v>
      </c>
      <c r="AG1914">
        <f t="shared" si="296"/>
        <v>0</v>
      </c>
      <c r="AH1914">
        <f t="shared" si="297"/>
        <v>0</v>
      </c>
      <c r="AI1914">
        <f t="shared" si="298"/>
        <v>0</v>
      </c>
      <c r="AJ1914">
        <v>315.10000000000002</v>
      </c>
      <c r="AK1914">
        <v>1009.2</v>
      </c>
      <c r="AL1914">
        <v>23.1</v>
      </c>
      <c r="AM1914">
        <v>6.2</v>
      </c>
      <c r="AN1914">
        <v>268.89999999999998</v>
      </c>
      <c r="AO1914">
        <v>23.3</v>
      </c>
      <c r="AP1914">
        <v>9</v>
      </c>
      <c r="AQ1914">
        <v>0</v>
      </c>
      <c r="AR1914" t="s">
        <v>6507</v>
      </c>
      <c r="AS1914" t="s">
        <v>6508</v>
      </c>
      <c r="AT1914">
        <v>0.75</v>
      </c>
      <c r="AU1914" t="s">
        <v>43</v>
      </c>
      <c r="AV1914" t="s">
        <v>44</v>
      </c>
      <c r="AW1914" t="s">
        <v>45</v>
      </c>
      <c r="AX1914" t="s">
        <v>4990</v>
      </c>
      <c r="AY1914" t="s">
        <v>6511</v>
      </c>
      <c r="AZ1914">
        <v>1758.999999992084</v>
      </c>
      <c r="BA1914">
        <v>1</v>
      </c>
      <c r="BB1914">
        <v>0</v>
      </c>
      <c r="BC1914">
        <v>500</v>
      </c>
      <c r="BD1914">
        <v>0</v>
      </c>
      <c r="BE1914">
        <f t="shared" si="299"/>
        <v>0</v>
      </c>
    </row>
    <row r="1915" spans="1:57" x14ac:dyDescent="0.25">
      <c r="A1915" t="s">
        <v>39</v>
      </c>
      <c r="B1915" t="s">
        <v>6506</v>
      </c>
      <c r="C1915">
        <v>84.2</v>
      </c>
      <c r="D1915">
        <v>71.599999999999994</v>
      </c>
      <c r="G1915">
        <f t="shared" si="290"/>
        <v>0</v>
      </c>
      <c r="H1915">
        <f t="shared" si="291"/>
        <v>0</v>
      </c>
      <c r="I1915">
        <f t="shared" si="292"/>
        <v>0</v>
      </c>
      <c r="J1915">
        <v>78.5</v>
      </c>
      <c r="K1915">
        <v>90.9</v>
      </c>
      <c r="L1915">
        <v>71.599999999999994</v>
      </c>
      <c r="M1915">
        <v>80.7</v>
      </c>
      <c r="N1915">
        <v>71.7</v>
      </c>
      <c r="O1915">
        <v>79.900000000000006</v>
      </c>
      <c r="S1915">
        <f t="shared" si="293"/>
        <v>1</v>
      </c>
      <c r="T1915">
        <f t="shared" si="294"/>
        <v>1</v>
      </c>
      <c r="U1915">
        <f t="shared" si="295"/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19</v>
      </c>
      <c r="AC1915">
        <v>16.100000000000001</v>
      </c>
      <c r="AG1915">
        <f t="shared" si="296"/>
        <v>0</v>
      </c>
      <c r="AH1915">
        <f t="shared" si="297"/>
        <v>0</v>
      </c>
      <c r="AI1915">
        <f t="shared" si="298"/>
        <v>0</v>
      </c>
      <c r="AJ1915">
        <v>315.10000000000002</v>
      </c>
      <c r="AK1915">
        <v>1009.2</v>
      </c>
      <c r="AL1915">
        <v>23.1</v>
      </c>
      <c r="AM1915">
        <v>6.2</v>
      </c>
      <c r="AN1915">
        <v>268.89999999999998</v>
      </c>
      <c r="AO1915">
        <v>23.3</v>
      </c>
      <c r="AP1915">
        <v>9</v>
      </c>
      <c r="AQ1915">
        <v>0</v>
      </c>
      <c r="AR1915" t="s">
        <v>6507</v>
      </c>
      <c r="AS1915" t="s">
        <v>6508</v>
      </c>
      <c r="AT1915">
        <v>0.75</v>
      </c>
      <c r="AU1915" t="s">
        <v>43</v>
      </c>
      <c r="AV1915" t="s">
        <v>44</v>
      </c>
      <c r="AW1915" t="s">
        <v>45</v>
      </c>
      <c r="AX1915" t="s">
        <v>6184</v>
      </c>
      <c r="AY1915" t="s">
        <v>6512</v>
      </c>
      <c r="AZ1915">
        <v>2067.000000000698</v>
      </c>
      <c r="BA1915">
        <v>1</v>
      </c>
      <c r="BB1915">
        <v>0</v>
      </c>
      <c r="BC1915">
        <v>100</v>
      </c>
      <c r="BD1915">
        <v>0</v>
      </c>
      <c r="BE1915">
        <f t="shared" si="299"/>
        <v>0</v>
      </c>
    </row>
    <row r="1916" spans="1:57" x14ac:dyDescent="0.25">
      <c r="A1916" t="s">
        <v>39</v>
      </c>
      <c r="B1916" t="s">
        <v>6506</v>
      </c>
      <c r="C1916">
        <v>84.2</v>
      </c>
      <c r="D1916">
        <v>71.599999999999994</v>
      </c>
      <c r="G1916">
        <f t="shared" si="290"/>
        <v>0</v>
      </c>
      <c r="H1916">
        <f t="shared" si="291"/>
        <v>0</v>
      </c>
      <c r="I1916">
        <f t="shared" si="292"/>
        <v>0</v>
      </c>
      <c r="J1916">
        <v>78.5</v>
      </c>
      <c r="K1916">
        <v>90.9</v>
      </c>
      <c r="L1916">
        <v>71.599999999999994</v>
      </c>
      <c r="M1916">
        <v>80.7</v>
      </c>
      <c r="N1916">
        <v>71.7</v>
      </c>
      <c r="O1916">
        <v>79.900000000000006</v>
      </c>
      <c r="S1916">
        <f t="shared" si="293"/>
        <v>1</v>
      </c>
      <c r="T1916">
        <f t="shared" si="294"/>
        <v>1</v>
      </c>
      <c r="U1916">
        <f t="shared" si="295"/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19</v>
      </c>
      <c r="AC1916">
        <v>16.100000000000001</v>
      </c>
      <c r="AG1916">
        <f t="shared" si="296"/>
        <v>0</v>
      </c>
      <c r="AH1916">
        <f t="shared" si="297"/>
        <v>0</v>
      </c>
      <c r="AI1916">
        <f t="shared" si="298"/>
        <v>0</v>
      </c>
      <c r="AJ1916">
        <v>315.10000000000002</v>
      </c>
      <c r="AK1916">
        <v>1009.2</v>
      </c>
      <c r="AL1916">
        <v>23.1</v>
      </c>
      <c r="AM1916">
        <v>6.2</v>
      </c>
      <c r="AN1916">
        <v>268.89999999999998</v>
      </c>
      <c r="AO1916">
        <v>23.3</v>
      </c>
      <c r="AP1916">
        <v>9</v>
      </c>
      <c r="AQ1916">
        <v>0</v>
      </c>
      <c r="AR1916" t="s">
        <v>6507</v>
      </c>
      <c r="AS1916" t="s">
        <v>6508</v>
      </c>
      <c r="AT1916">
        <v>0.75</v>
      </c>
      <c r="AU1916" t="s">
        <v>43</v>
      </c>
      <c r="AV1916" t="s">
        <v>44</v>
      </c>
      <c r="AW1916" t="s">
        <v>45</v>
      </c>
      <c r="AX1916" t="s">
        <v>6513</v>
      </c>
      <c r="AY1916" t="s">
        <v>6514</v>
      </c>
      <c r="AZ1916">
        <v>1170</v>
      </c>
      <c r="BA1916">
        <v>1</v>
      </c>
      <c r="BB1916">
        <v>0</v>
      </c>
      <c r="BC1916">
        <v>5</v>
      </c>
      <c r="BD1916">
        <v>0</v>
      </c>
      <c r="BE1916">
        <f t="shared" si="299"/>
        <v>0</v>
      </c>
    </row>
    <row r="1917" spans="1:57" x14ac:dyDescent="0.25">
      <c r="A1917" t="s">
        <v>39</v>
      </c>
      <c r="B1917" t="s">
        <v>6515</v>
      </c>
      <c r="C1917">
        <v>82.4</v>
      </c>
      <c r="D1917">
        <v>73.400000000000006</v>
      </c>
      <c r="G1917">
        <f t="shared" si="290"/>
        <v>0</v>
      </c>
      <c r="H1917">
        <f t="shared" si="291"/>
        <v>0</v>
      </c>
      <c r="I1917">
        <f t="shared" si="292"/>
        <v>0</v>
      </c>
      <c r="J1917">
        <v>78</v>
      </c>
      <c r="K1917">
        <v>86.2</v>
      </c>
      <c r="L1917">
        <v>73.400000000000006</v>
      </c>
      <c r="M1917">
        <v>79</v>
      </c>
      <c r="N1917">
        <v>70.5</v>
      </c>
      <c r="O1917">
        <v>78</v>
      </c>
      <c r="S1917">
        <f t="shared" si="293"/>
        <v>1</v>
      </c>
      <c r="T1917">
        <f t="shared" si="294"/>
        <v>1</v>
      </c>
      <c r="U1917">
        <f t="shared" si="295"/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23.9</v>
      </c>
      <c r="AC1917">
        <v>17.2</v>
      </c>
      <c r="AG1917">
        <f t="shared" si="296"/>
        <v>0</v>
      </c>
      <c r="AH1917">
        <f t="shared" si="297"/>
        <v>0</v>
      </c>
      <c r="AI1917">
        <f t="shared" si="298"/>
        <v>0</v>
      </c>
      <c r="AJ1917">
        <v>301.5</v>
      </c>
      <c r="AK1917">
        <v>1011.8</v>
      </c>
      <c r="AL1917">
        <v>47.1</v>
      </c>
      <c r="AM1917">
        <v>6.2</v>
      </c>
      <c r="AN1917">
        <v>227.1</v>
      </c>
      <c r="AO1917">
        <v>19.7</v>
      </c>
      <c r="AP1917">
        <v>8</v>
      </c>
      <c r="AQ1917">
        <v>0</v>
      </c>
      <c r="AR1917" t="s">
        <v>6516</v>
      </c>
      <c r="AS1917" t="s">
        <v>6517</v>
      </c>
      <c r="AT1917">
        <v>0.79</v>
      </c>
      <c r="AU1917" t="s">
        <v>43</v>
      </c>
      <c r="AV1917" t="s">
        <v>44</v>
      </c>
      <c r="AW1917" t="s">
        <v>45</v>
      </c>
      <c r="AX1917" t="s">
        <v>6518</v>
      </c>
      <c r="AY1917" t="s">
        <v>6519</v>
      </c>
      <c r="AZ1917">
        <v>882.00000000419095</v>
      </c>
      <c r="BA1917">
        <v>1</v>
      </c>
      <c r="BB1917">
        <v>0</v>
      </c>
      <c r="BC1917">
        <v>20</v>
      </c>
      <c r="BD1917">
        <v>0</v>
      </c>
      <c r="BE1917">
        <f t="shared" si="299"/>
        <v>0</v>
      </c>
    </row>
    <row r="1918" spans="1:57" x14ac:dyDescent="0.25">
      <c r="A1918" t="s">
        <v>39</v>
      </c>
      <c r="B1918" t="s">
        <v>6515</v>
      </c>
      <c r="C1918">
        <v>82.4</v>
      </c>
      <c r="D1918">
        <v>73.400000000000006</v>
      </c>
      <c r="G1918">
        <f t="shared" si="290"/>
        <v>0</v>
      </c>
      <c r="H1918">
        <f t="shared" si="291"/>
        <v>0</v>
      </c>
      <c r="I1918">
        <f t="shared" si="292"/>
        <v>0</v>
      </c>
      <c r="J1918">
        <v>78</v>
      </c>
      <c r="K1918">
        <v>86.2</v>
      </c>
      <c r="L1918">
        <v>73.400000000000006</v>
      </c>
      <c r="M1918">
        <v>79</v>
      </c>
      <c r="N1918">
        <v>70.5</v>
      </c>
      <c r="O1918">
        <v>78</v>
      </c>
      <c r="S1918">
        <f t="shared" si="293"/>
        <v>1</v>
      </c>
      <c r="T1918">
        <f t="shared" si="294"/>
        <v>1</v>
      </c>
      <c r="U1918">
        <f t="shared" si="295"/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23.9</v>
      </c>
      <c r="AC1918">
        <v>17.2</v>
      </c>
      <c r="AG1918">
        <f t="shared" si="296"/>
        <v>0</v>
      </c>
      <c r="AH1918">
        <f t="shared" si="297"/>
        <v>0</v>
      </c>
      <c r="AI1918">
        <f t="shared" si="298"/>
        <v>0</v>
      </c>
      <c r="AJ1918">
        <v>301.5</v>
      </c>
      <c r="AK1918">
        <v>1011.8</v>
      </c>
      <c r="AL1918">
        <v>47.1</v>
      </c>
      <c r="AM1918">
        <v>6.2</v>
      </c>
      <c r="AN1918">
        <v>227.1</v>
      </c>
      <c r="AO1918">
        <v>19.7</v>
      </c>
      <c r="AP1918">
        <v>8</v>
      </c>
      <c r="AQ1918">
        <v>0</v>
      </c>
      <c r="AR1918" t="s">
        <v>6516</v>
      </c>
      <c r="AS1918" t="s">
        <v>6517</v>
      </c>
      <c r="AT1918">
        <v>0.79</v>
      </c>
      <c r="AU1918" t="s">
        <v>43</v>
      </c>
      <c r="AV1918" t="s">
        <v>44</v>
      </c>
      <c r="AW1918" t="s">
        <v>45</v>
      </c>
      <c r="AX1918" t="s">
        <v>6520</v>
      </c>
      <c r="AY1918" t="s">
        <v>6521</v>
      </c>
      <c r="AZ1918">
        <v>508.00000000046572</v>
      </c>
      <c r="BA1918">
        <v>1</v>
      </c>
      <c r="BB1918">
        <v>1</v>
      </c>
      <c r="BC1918">
        <v>0</v>
      </c>
      <c r="BD1918">
        <v>0</v>
      </c>
      <c r="BE1918">
        <f t="shared" si="299"/>
        <v>0</v>
      </c>
    </row>
    <row r="1919" spans="1:57" x14ac:dyDescent="0.25">
      <c r="A1919" t="s">
        <v>39</v>
      </c>
      <c r="B1919" t="s">
        <v>6330</v>
      </c>
      <c r="C1919">
        <v>82.4</v>
      </c>
      <c r="D1919">
        <v>69.900000000000006</v>
      </c>
      <c r="G1919">
        <f t="shared" si="290"/>
        <v>1</v>
      </c>
      <c r="H1919">
        <f t="shared" si="291"/>
        <v>1</v>
      </c>
      <c r="I1919">
        <f t="shared" si="292"/>
        <v>0</v>
      </c>
      <c r="J1919">
        <v>78.3</v>
      </c>
      <c r="K1919">
        <v>85.4</v>
      </c>
      <c r="L1919">
        <v>69.900000000000006</v>
      </c>
      <c r="M1919">
        <v>79.2</v>
      </c>
      <c r="N1919">
        <v>66.099999999999994</v>
      </c>
      <c r="O1919">
        <v>67</v>
      </c>
      <c r="S1919">
        <f t="shared" si="293"/>
        <v>0</v>
      </c>
      <c r="T1919">
        <f t="shared" si="294"/>
        <v>0</v>
      </c>
      <c r="U1919">
        <f t="shared" si="295"/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27.7</v>
      </c>
      <c r="AC1919">
        <v>16.100000000000001</v>
      </c>
      <c r="AG1919">
        <f t="shared" si="296"/>
        <v>0</v>
      </c>
      <c r="AH1919">
        <f t="shared" si="297"/>
        <v>0</v>
      </c>
      <c r="AI1919">
        <f t="shared" si="298"/>
        <v>0</v>
      </c>
      <c r="AJ1919">
        <v>308.2</v>
      </c>
      <c r="AK1919">
        <v>1015.6</v>
      </c>
      <c r="AL1919">
        <v>13.4</v>
      </c>
      <c r="AM1919">
        <v>6.2</v>
      </c>
      <c r="AN1919">
        <v>252.3</v>
      </c>
      <c r="AO1919">
        <v>21.9</v>
      </c>
      <c r="AP1919">
        <v>8</v>
      </c>
      <c r="AQ1919">
        <v>0</v>
      </c>
      <c r="AR1919" t="s">
        <v>6331</v>
      </c>
      <c r="AS1919" t="s">
        <v>6332</v>
      </c>
      <c r="AT1919">
        <v>0.52</v>
      </c>
      <c r="AU1919" t="s">
        <v>74</v>
      </c>
      <c r="AV1919" t="s">
        <v>2955</v>
      </c>
      <c r="AW1919" t="s">
        <v>75</v>
      </c>
      <c r="AX1919" t="s">
        <v>6522</v>
      </c>
      <c r="AY1919" t="s">
        <v>6523</v>
      </c>
      <c r="AZ1919">
        <v>467.0000000030268</v>
      </c>
      <c r="BA1919">
        <v>1</v>
      </c>
      <c r="BB1919">
        <v>0</v>
      </c>
      <c r="BC1919">
        <v>5</v>
      </c>
      <c r="BD1919">
        <v>0</v>
      </c>
      <c r="BE1919">
        <f t="shared" si="299"/>
        <v>0</v>
      </c>
    </row>
    <row r="1920" spans="1:57" x14ac:dyDescent="0.25">
      <c r="A1920" t="s">
        <v>39</v>
      </c>
      <c r="B1920" t="s">
        <v>6330</v>
      </c>
      <c r="C1920">
        <v>82.4</v>
      </c>
      <c r="D1920">
        <v>69.900000000000006</v>
      </c>
      <c r="G1920">
        <f t="shared" si="290"/>
        <v>1</v>
      </c>
      <c r="H1920">
        <f t="shared" si="291"/>
        <v>1</v>
      </c>
      <c r="I1920">
        <f t="shared" si="292"/>
        <v>0</v>
      </c>
      <c r="J1920">
        <v>78.3</v>
      </c>
      <c r="K1920">
        <v>85.4</v>
      </c>
      <c r="L1920">
        <v>69.900000000000006</v>
      </c>
      <c r="M1920">
        <v>79.2</v>
      </c>
      <c r="N1920">
        <v>66.099999999999994</v>
      </c>
      <c r="O1920">
        <v>67</v>
      </c>
      <c r="S1920">
        <f t="shared" si="293"/>
        <v>0</v>
      </c>
      <c r="T1920">
        <f t="shared" si="294"/>
        <v>0</v>
      </c>
      <c r="U1920">
        <f t="shared" si="295"/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27.7</v>
      </c>
      <c r="AC1920">
        <v>16.100000000000001</v>
      </c>
      <c r="AG1920">
        <f t="shared" si="296"/>
        <v>0</v>
      </c>
      <c r="AH1920">
        <f t="shared" si="297"/>
        <v>0</v>
      </c>
      <c r="AI1920">
        <f t="shared" si="298"/>
        <v>0</v>
      </c>
      <c r="AJ1920">
        <v>308.2</v>
      </c>
      <c r="AK1920">
        <v>1015.6</v>
      </c>
      <c r="AL1920">
        <v>13.4</v>
      </c>
      <c r="AM1920">
        <v>6.2</v>
      </c>
      <c r="AN1920">
        <v>252.3</v>
      </c>
      <c r="AO1920">
        <v>21.9</v>
      </c>
      <c r="AP1920">
        <v>8</v>
      </c>
      <c r="AQ1920">
        <v>0</v>
      </c>
      <c r="AR1920" t="s">
        <v>6331</v>
      </c>
      <c r="AS1920" t="s">
        <v>6332</v>
      </c>
      <c r="AT1920">
        <v>0.52</v>
      </c>
      <c r="AU1920" t="s">
        <v>74</v>
      </c>
      <c r="AV1920" t="s">
        <v>2955</v>
      </c>
      <c r="AW1920" t="s">
        <v>75</v>
      </c>
      <c r="AX1920" t="s">
        <v>6524</v>
      </c>
      <c r="AY1920" t="s">
        <v>6525</v>
      </c>
      <c r="AZ1920">
        <v>676.00000000325963</v>
      </c>
      <c r="BA1920">
        <v>1</v>
      </c>
      <c r="BB1920">
        <v>0</v>
      </c>
      <c r="BC1920">
        <v>70</v>
      </c>
      <c r="BD1920">
        <v>0</v>
      </c>
      <c r="BE1920">
        <f t="shared" si="299"/>
        <v>0</v>
      </c>
    </row>
    <row r="1921" spans="1:57" x14ac:dyDescent="0.25">
      <c r="A1921" t="s">
        <v>39</v>
      </c>
      <c r="B1921" t="s">
        <v>6330</v>
      </c>
      <c r="C1921">
        <v>82.4</v>
      </c>
      <c r="D1921">
        <v>69.900000000000006</v>
      </c>
      <c r="G1921">
        <f t="shared" si="290"/>
        <v>1</v>
      </c>
      <c r="H1921">
        <f t="shared" si="291"/>
        <v>1</v>
      </c>
      <c r="I1921">
        <f t="shared" si="292"/>
        <v>0</v>
      </c>
      <c r="J1921">
        <v>78.3</v>
      </c>
      <c r="K1921">
        <v>85.4</v>
      </c>
      <c r="L1921">
        <v>69.900000000000006</v>
      </c>
      <c r="M1921">
        <v>79.2</v>
      </c>
      <c r="N1921">
        <v>66.099999999999994</v>
      </c>
      <c r="O1921">
        <v>67</v>
      </c>
      <c r="S1921">
        <f t="shared" si="293"/>
        <v>0</v>
      </c>
      <c r="T1921">
        <f t="shared" si="294"/>
        <v>0</v>
      </c>
      <c r="U1921">
        <f t="shared" si="295"/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27.7</v>
      </c>
      <c r="AC1921">
        <v>16.100000000000001</v>
      </c>
      <c r="AG1921">
        <f t="shared" si="296"/>
        <v>0</v>
      </c>
      <c r="AH1921">
        <f t="shared" si="297"/>
        <v>0</v>
      </c>
      <c r="AI1921">
        <f t="shared" si="298"/>
        <v>0</v>
      </c>
      <c r="AJ1921">
        <v>308.2</v>
      </c>
      <c r="AK1921">
        <v>1015.6</v>
      </c>
      <c r="AL1921">
        <v>13.4</v>
      </c>
      <c r="AM1921">
        <v>6.2</v>
      </c>
      <c r="AN1921">
        <v>252.3</v>
      </c>
      <c r="AO1921">
        <v>21.9</v>
      </c>
      <c r="AP1921">
        <v>8</v>
      </c>
      <c r="AQ1921">
        <v>0</v>
      </c>
      <c r="AR1921" t="s">
        <v>6331</v>
      </c>
      <c r="AS1921" t="s">
        <v>6332</v>
      </c>
      <c r="AT1921">
        <v>0.52</v>
      </c>
      <c r="AU1921" t="s">
        <v>74</v>
      </c>
      <c r="AV1921" t="s">
        <v>2955</v>
      </c>
      <c r="AW1921" t="s">
        <v>75</v>
      </c>
      <c r="AX1921" t="s">
        <v>4897</v>
      </c>
      <c r="AY1921" t="s">
        <v>6526</v>
      </c>
      <c r="AZ1921">
        <v>1285.0000000081491</v>
      </c>
      <c r="BA1921">
        <v>1</v>
      </c>
      <c r="BB1921">
        <v>0</v>
      </c>
      <c r="BC1921">
        <v>30</v>
      </c>
      <c r="BD1921">
        <v>0</v>
      </c>
      <c r="BE1921">
        <f t="shared" si="299"/>
        <v>0</v>
      </c>
    </row>
    <row r="1922" spans="1:57" x14ac:dyDescent="0.25">
      <c r="A1922" t="s">
        <v>39</v>
      </c>
      <c r="B1922" t="s">
        <v>6527</v>
      </c>
      <c r="C1922">
        <v>80.599999999999994</v>
      </c>
      <c r="D1922">
        <v>66.2</v>
      </c>
      <c r="G1922">
        <f t="shared" si="290"/>
        <v>0</v>
      </c>
      <c r="H1922">
        <f t="shared" si="291"/>
        <v>0</v>
      </c>
      <c r="I1922">
        <f t="shared" si="292"/>
        <v>0</v>
      </c>
      <c r="J1922">
        <v>74.7</v>
      </c>
      <c r="K1922">
        <v>83.3</v>
      </c>
      <c r="L1922">
        <v>66.2</v>
      </c>
      <c r="M1922">
        <v>75</v>
      </c>
      <c r="N1922">
        <v>65.400000000000006</v>
      </c>
      <c r="O1922">
        <v>73.5</v>
      </c>
      <c r="S1922">
        <f t="shared" si="293"/>
        <v>1</v>
      </c>
      <c r="T1922">
        <f t="shared" si="294"/>
        <v>1</v>
      </c>
      <c r="U1922">
        <f t="shared" si="295"/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21.7</v>
      </c>
      <c r="AC1922">
        <v>18.3</v>
      </c>
      <c r="AG1922">
        <f t="shared" si="296"/>
        <v>1</v>
      </c>
      <c r="AH1922">
        <f t="shared" si="297"/>
        <v>1</v>
      </c>
      <c r="AI1922">
        <f t="shared" si="298"/>
        <v>0</v>
      </c>
      <c r="AJ1922">
        <v>293.2</v>
      </c>
      <c r="AK1922">
        <v>1013.6</v>
      </c>
      <c r="AL1922">
        <v>39.799999999999997</v>
      </c>
      <c r="AM1922">
        <v>6.2</v>
      </c>
      <c r="AN1922">
        <v>192.7</v>
      </c>
      <c r="AO1922">
        <v>16.600000000000001</v>
      </c>
      <c r="AP1922">
        <v>7</v>
      </c>
      <c r="AQ1922">
        <v>0</v>
      </c>
      <c r="AR1922" t="s">
        <v>6528</v>
      </c>
      <c r="AS1922" t="s">
        <v>6529</v>
      </c>
      <c r="AT1922">
        <v>0.7</v>
      </c>
      <c r="AU1922" t="s">
        <v>43</v>
      </c>
      <c r="AV1922" t="s">
        <v>44</v>
      </c>
      <c r="AW1922" t="s">
        <v>45</v>
      </c>
      <c r="AX1922" t="s">
        <v>4039</v>
      </c>
      <c r="AY1922" t="s">
        <v>6530</v>
      </c>
      <c r="AZ1922">
        <v>209.99999999301511</v>
      </c>
      <c r="BA1922">
        <v>0</v>
      </c>
      <c r="BB1922">
        <v>0</v>
      </c>
      <c r="BC1922">
        <v>5</v>
      </c>
      <c r="BD1922">
        <v>0</v>
      </c>
      <c r="BE1922">
        <f t="shared" si="299"/>
        <v>0</v>
      </c>
    </row>
    <row r="1923" spans="1:57" x14ac:dyDescent="0.25">
      <c r="A1923" t="s">
        <v>39</v>
      </c>
      <c r="B1923" t="s">
        <v>6338</v>
      </c>
      <c r="C1923">
        <v>77</v>
      </c>
      <c r="D1923">
        <v>69.8</v>
      </c>
      <c r="G1923">
        <f t="shared" ref="G1923:G1986" si="300">IF(ABS(C1923-INDEX($F$2:$F$13,MONTH(B1923)))&gt;1.8,1,0)</f>
        <v>1</v>
      </c>
      <c r="H1923">
        <f t="shared" ref="H1923:H1986" si="301">IF(C1923&gt;=INDEX($F$2:$F$13,MONTH(B1923))+1.8,1,0)</f>
        <v>0</v>
      </c>
      <c r="I1923">
        <f t="shared" ref="I1923:I1986" si="302">IF(C1923&lt;=INDEX($F$2:$F$13,MONTH(B1923))-1.8,1,0)</f>
        <v>1</v>
      </c>
      <c r="J1923">
        <v>71.7</v>
      </c>
      <c r="K1923">
        <v>77</v>
      </c>
      <c r="L1923">
        <v>69.8</v>
      </c>
      <c r="M1923">
        <v>71.7</v>
      </c>
      <c r="N1923">
        <v>60.2</v>
      </c>
      <c r="O1923">
        <v>67.400000000000006</v>
      </c>
      <c r="S1923">
        <f t="shared" ref="S1923:S1986" si="303">IF(OR(O1923&lt;INDEX($Q$2:$Q$13,MONTH(B1923)),O1923&gt;INDEX($R$2:$R$13,MONTH(B1923))),1,0)</f>
        <v>0</v>
      </c>
      <c r="T1923">
        <f t="shared" ref="T1923:T1986" si="304">IF(O1923&gt;INDEX($R$2:$R$13,MONTH(B1923)),1,0)</f>
        <v>0</v>
      </c>
      <c r="U1923">
        <f t="shared" ref="U1923:U1986" si="305">IF(O1923&lt;INDEX($Q$2:$Q$13,MONTH(B1923)),1,0)</f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26.6</v>
      </c>
      <c r="AC1923">
        <v>15</v>
      </c>
      <c r="AG1923">
        <f t="shared" ref="AG1923:AG1986" si="306">IF(OR(AC1923&lt;INDEX($AE$2:$AE$13,MONTH(B1923)),AC1923&gt;INDEX($AF$2:$AF$13,MONTH(B1923))),1,0)</f>
        <v>1</v>
      </c>
      <c r="AH1923">
        <f t="shared" ref="AH1923:AH1986" si="307">IF(AC1923&gt;INDEX($AF$2:$AF$13,MONTH(B1923)),1,0)</f>
        <v>0</v>
      </c>
      <c r="AI1923">
        <f t="shared" ref="AI1923:AI1986" si="308">IF(AC1923&lt;INDEX($AE$2:$AE$13,MONTH(B1923)),1,0)</f>
        <v>1</v>
      </c>
      <c r="AJ1923">
        <v>321.39999999999998</v>
      </c>
      <c r="AK1923">
        <v>1022.5</v>
      </c>
      <c r="AL1923">
        <v>41.7</v>
      </c>
      <c r="AM1923">
        <v>6.2</v>
      </c>
      <c r="AN1923">
        <v>222.5</v>
      </c>
      <c r="AO1923">
        <v>19.2</v>
      </c>
      <c r="AP1923">
        <v>8</v>
      </c>
      <c r="AQ1923">
        <v>0</v>
      </c>
      <c r="AR1923" t="s">
        <v>6339</v>
      </c>
      <c r="AS1923" t="s">
        <v>6340</v>
      </c>
      <c r="AT1923">
        <v>0.94</v>
      </c>
      <c r="AU1923" t="s">
        <v>43</v>
      </c>
      <c r="AV1923" t="s">
        <v>44</v>
      </c>
      <c r="AW1923" t="s">
        <v>45</v>
      </c>
      <c r="AX1923" t="s">
        <v>5337</v>
      </c>
      <c r="AY1923" t="s">
        <v>6531</v>
      </c>
      <c r="AZ1923">
        <v>145.00000000116421</v>
      </c>
      <c r="BA1923">
        <v>0</v>
      </c>
      <c r="BB1923">
        <v>0</v>
      </c>
      <c r="BC1923">
        <v>1.5</v>
      </c>
      <c r="BD1923">
        <v>0</v>
      </c>
      <c r="BE1923">
        <f t="shared" ref="BE1923:BE1986" si="309">IF((3*AH1923+3*H1923+2*U1923+2*BA1923-(2*(1-T1923)+2*(1-I1923)+2*(1-AI1923)))&gt;=1,1,0)</f>
        <v>0</v>
      </c>
    </row>
    <row r="1924" spans="1:57" x14ac:dyDescent="0.25">
      <c r="A1924" t="s">
        <v>39</v>
      </c>
      <c r="B1924" t="s">
        <v>6313</v>
      </c>
      <c r="C1924">
        <v>75.2</v>
      </c>
      <c r="D1924">
        <v>64.400000000000006</v>
      </c>
      <c r="G1924">
        <f t="shared" si="300"/>
        <v>0</v>
      </c>
      <c r="H1924">
        <f t="shared" si="301"/>
        <v>0</v>
      </c>
      <c r="I1924">
        <f t="shared" si="302"/>
        <v>0</v>
      </c>
      <c r="J1924">
        <v>69.3</v>
      </c>
      <c r="K1924">
        <v>75.2</v>
      </c>
      <c r="L1924">
        <v>64.400000000000006</v>
      </c>
      <c r="M1924">
        <v>69.3</v>
      </c>
      <c r="N1924">
        <v>62.1</v>
      </c>
      <c r="O1924">
        <v>78.2</v>
      </c>
      <c r="S1924">
        <f t="shared" si="303"/>
        <v>1</v>
      </c>
      <c r="T1924">
        <f t="shared" si="304"/>
        <v>1</v>
      </c>
      <c r="U1924">
        <f t="shared" si="305"/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22.8</v>
      </c>
      <c r="AC1924">
        <v>18.3</v>
      </c>
      <c r="AG1924">
        <f t="shared" si="306"/>
        <v>1</v>
      </c>
      <c r="AH1924">
        <f t="shared" si="307"/>
        <v>1</v>
      </c>
      <c r="AI1924">
        <f t="shared" si="308"/>
        <v>0</v>
      </c>
      <c r="AJ1924">
        <v>328.5</v>
      </c>
      <c r="AK1924">
        <v>1017.8</v>
      </c>
      <c r="AL1924">
        <v>64.5</v>
      </c>
      <c r="AM1924">
        <v>6.2</v>
      </c>
      <c r="AN1924">
        <v>157.80000000000001</v>
      </c>
      <c r="AO1924">
        <v>13.5</v>
      </c>
      <c r="AP1924">
        <v>6</v>
      </c>
      <c r="AQ1924">
        <v>0</v>
      </c>
      <c r="AR1924" t="s">
        <v>6314</v>
      </c>
      <c r="AS1924" t="s">
        <v>6315</v>
      </c>
      <c r="AT1924">
        <v>0.54</v>
      </c>
      <c r="AU1924" t="s">
        <v>43</v>
      </c>
      <c r="AV1924" t="s">
        <v>44</v>
      </c>
      <c r="AW1924" t="s">
        <v>45</v>
      </c>
      <c r="AX1924" t="s">
        <v>6532</v>
      </c>
      <c r="AY1924" t="s">
        <v>6533</v>
      </c>
      <c r="AZ1924">
        <v>75.99999999627471</v>
      </c>
      <c r="BA1924">
        <v>0</v>
      </c>
      <c r="BB1924">
        <v>0</v>
      </c>
      <c r="BC1924">
        <v>0.1</v>
      </c>
      <c r="BD1924">
        <v>0</v>
      </c>
      <c r="BE1924">
        <f t="shared" si="309"/>
        <v>0</v>
      </c>
    </row>
    <row r="1925" spans="1:57" x14ac:dyDescent="0.25">
      <c r="A1925" t="s">
        <v>39</v>
      </c>
      <c r="B1925" t="s">
        <v>6534</v>
      </c>
      <c r="C1925">
        <v>77</v>
      </c>
      <c r="D1925">
        <v>64.400000000000006</v>
      </c>
      <c r="G1925">
        <f t="shared" si="300"/>
        <v>1</v>
      </c>
      <c r="H1925">
        <f t="shared" si="301"/>
        <v>1</v>
      </c>
      <c r="I1925">
        <f t="shared" si="302"/>
        <v>0</v>
      </c>
      <c r="J1925">
        <v>70</v>
      </c>
      <c r="K1925">
        <v>77</v>
      </c>
      <c r="L1925">
        <v>64.400000000000006</v>
      </c>
      <c r="M1925">
        <v>70</v>
      </c>
      <c r="N1925">
        <v>62.7</v>
      </c>
      <c r="O1925">
        <v>77.8</v>
      </c>
      <c r="S1925">
        <f t="shared" si="303"/>
        <v>1</v>
      </c>
      <c r="T1925">
        <f t="shared" si="304"/>
        <v>1</v>
      </c>
      <c r="U1925">
        <f t="shared" si="305"/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15.9</v>
      </c>
      <c r="AC1925">
        <v>11.4</v>
      </c>
      <c r="AG1925">
        <f t="shared" si="306"/>
        <v>1</v>
      </c>
      <c r="AH1925">
        <f t="shared" si="307"/>
        <v>0</v>
      </c>
      <c r="AI1925">
        <f t="shared" si="308"/>
        <v>1</v>
      </c>
      <c r="AJ1925">
        <v>113</v>
      </c>
      <c r="AK1925">
        <v>1017.1</v>
      </c>
      <c r="AL1925">
        <v>29.7</v>
      </c>
      <c r="AM1925">
        <v>6.2</v>
      </c>
      <c r="AN1925">
        <v>176.6</v>
      </c>
      <c r="AO1925">
        <v>15.1</v>
      </c>
      <c r="AP1925">
        <v>6</v>
      </c>
      <c r="AQ1925">
        <v>0</v>
      </c>
      <c r="AR1925" t="s">
        <v>6535</v>
      </c>
      <c r="AS1925" t="s">
        <v>6536</v>
      </c>
      <c r="AT1925">
        <v>0.75</v>
      </c>
      <c r="AU1925" t="s">
        <v>43</v>
      </c>
      <c r="AV1925" t="s">
        <v>80</v>
      </c>
      <c r="AW1925" t="s">
        <v>45</v>
      </c>
      <c r="AX1925" t="s">
        <v>4428</v>
      </c>
      <c r="AY1925" t="s">
        <v>6537</v>
      </c>
      <c r="AZ1925">
        <v>40.000000004656613</v>
      </c>
      <c r="BA1925">
        <v>0</v>
      </c>
      <c r="BB1925">
        <v>0</v>
      </c>
      <c r="BC1925">
        <v>0.2</v>
      </c>
      <c r="BD1925">
        <v>0</v>
      </c>
      <c r="BE1925">
        <f t="shared" si="309"/>
        <v>1</v>
      </c>
    </row>
    <row r="1926" spans="1:57" x14ac:dyDescent="0.25">
      <c r="A1926" t="s">
        <v>39</v>
      </c>
      <c r="B1926" t="s">
        <v>6538</v>
      </c>
      <c r="C1926">
        <v>71.599999999999994</v>
      </c>
      <c r="D1926">
        <v>57.2</v>
      </c>
      <c r="G1926">
        <f t="shared" si="300"/>
        <v>1</v>
      </c>
      <c r="H1926">
        <f t="shared" si="301"/>
        <v>1</v>
      </c>
      <c r="I1926">
        <f t="shared" si="302"/>
        <v>0</v>
      </c>
      <c r="J1926">
        <v>64.3</v>
      </c>
      <c r="K1926">
        <v>71.599999999999994</v>
      </c>
      <c r="L1926">
        <v>57.2</v>
      </c>
      <c r="M1926">
        <v>64.3</v>
      </c>
      <c r="N1926">
        <v>58.1</v>
      </c>
      <c r="O1926">
        <v>81</v>
      </c>
      <c r="S1926">
        <f t="shared" si="303"/>
        <v>1</v>
      </c>
      <c r="T1926">
        <f t="shared" si="304"/>
        <v>1</v>
      </c>
      <c r="U1926">
        <f t="shared" si="305"/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19.7</v>
      </c>
      <c r="AC1926">
        <v>10.3</v>
      </c>
      <c r="AG1926">
        <f t="shared" si="306"/>
        <v>1</v>
      </c>
      <c r="AH1926">
        <f t="shared" si="307"/>
        <v>0</v>
      </c>
      <c r="AI1926">
        <f t="shared" si="308"/>
        <v>1</v>
      </c>
      <c r="AJ1926">
        <v>144.1</v>
      </c>
      <c r="AK1926">
        <v>1019.3</v>
      </c>
      <c r="AL1926">
        <v>53.6</v>
      </c>
      <c r="AM1926">
        <v>6.2</v>
      </c>
      <c r="AN1926">
        <v>141.69999999999999</v>
      </c>
      <c r="AO1926">
        <v>12.2</v>
      </c>
      <c r="AP1926">
        <v>6</v>
      </c>
      <c r="AQ1926">
        <v>0</v>
      </c>
      <c r="AR1926" t="s">
        <v>6539</v>
      </c>
      <c r="AS1926" t="s">
        <v>6540</v>
      </c>
      <c r="AT1926">
        <v>0.23</v>
      </c>
      <c r="AU1926" t="s">
        <v>43</v>
      </c>
      <c r="AV1926" t="s">
        <v>44</v>
      </c>
      <c r="AW1926" t="s">
        <v>45</v>
      </c>
      <c r="AX1926" t="s">
        <v>2491</v>
      </c>
      <c r="AY1926" t="s">
        <v>6541</v>
      </c>
      <c r="AZ1926">
        <v>30.00000000349246</v>
      </c>
      <c r="BA1926">
        <v>0</v>
      </c>
      <c r="BB1926">
        <v>0</v>
      </c>
      <c r="BC1926">
        <v>0.1</v>
      </c>
      <c r="BD1926">
        <v>0</v>
      </c>
      <c r="BE1926">
        <f t="shared" si="309"/>
        <v>1</v>
      </c>
    </row>
    <row r="1927" spans="1:57" x14ac:dyDescent="0.25">
      <c r="A1927" t="s">
        <v>39</v>
      </c>
      <c r="B1927" t="s">
        <v>6542</v>
      </c>
      <c r="C1927">
        <v>59</v>
      </c>
      <c r="D1927">
        <v>51.8</v>
      </c>
      <c r="G1927">
        <f t="shared" si="300"/>
        <v>1</v>
      </c>
      <c r="H1927">
        <f t="shared" si="301"/>
        <v>0</v>
      </c>
      <c r="I1927">
        <f t="shared" si="302"/>
        <v>1</v>
      </c>
      <c r="J1927">
        <v>55.9</v>
      </c>
      <c r="K1927">
        <v>59</v>
      </c>
      <c r="L1927">
        <v>51.8</v>
      </c>
      <c r="M1927">
        <v>55.9</v>
      </c>
      <c r="N1927">
        <v>48.1</v>
      </c>
      <c r="O1927">
        <v>75.5</v>
      </c>
      <c r="S1927">
        <f t="shared" si="303"/>
        <v>1</v>
      </c>
      <c r="T1927">
        <f t="shared" si="304"/>
        <v>1</v>
      </c>
      <c r="U1927">
        <f t="shared" si="305"/>
        <v>0</v>
      </c>
      <c r="V1927">
        <v>0.41499999999999998</v>
      </c>
      <c r="W1927">
        <v>100</v>
      </c>
      <c r="X1927">
        <v>12.5</v>
      </c>
      <c r="Y1927" t="s">
        <v>103</v>
      </c>
      <c r="Z1927">
        <v>0</v>
      </c>
      <c r="AA1927">
        <v>0</v>
      </c>
      <c r="AB1927">
        <v>38.700000000000003</v>
      </c>
      <c r="AC1927">
        <v>28.9</v>
      </c>
      <c r="AG1927">
        <f t="shared" si="306"/>
        <v>1</v>
      </c>
      <c r="AH1927">
        <f t="shared" si="307"/>
        <v>1</v>
      </c>
      <c r="AI1927">
        <f t="shared" si="308"/>
        <v>0</v>
      </c>
      <c r="AJ1927">
        <v>338</v>
      </c>
      <c r="AK1927">
        <v>1014.2</v>
      </c>
      <c r="AL1927">
        <v>81</v>
      </c>
      <c r="AM1927">
        <v>6.1</v>
      </c>
      <c r="AN1927">
        <v>64.2</v>
      </c>
      <c r="AO1927">
        <v>5.6</v>
      </c>
      <c r="AP1927">
        <v>2</v>
      </c>
      <c r="AQ1927">
        <v>0</v>
      </c>
      <c r="AR1927" t="s">
        <v>6543</v>
      </c>
      <c r="AS1927" t="s">
        <v>6544</v>
      </c>
      <c r="AT1927">
        <v>0.48</v>
      </c>
      <c r="AU1927" t="s">
        <v>106</v>
      </c>
      <c r="AV1927" t="s">
        <v>257</v>
      </c>
      <c r="AW1927" t="s">
        <v>103</v>
      </c>
      <c r="AX1927" t="s">
        <v>2675</v>
      </c>
      <c r="AY1927" t="s">
        <v>6545</v>
      </c>
      <c r="AZ1927">
        <v>180</v>
      </c>
      <c r="BA1927">
        <v>0</v>
      </c>
      <c r="BB1927">
        <v>0</v>
      </c>
      <c r="BC1927">
        <v>5</v>
      </c>
      <c r="BD1927">
        <v>0</v>
      </c>
      <c r="BE1927">
        <f t="shared" si="309"/>
        <v>1</v>
      </c>
    </row>
    <row r="1928" spans="1:57" x14ac:dyDescent="0.25">
      <c r="A1928" t="s">
        <v>39</v>
      </c>
      <c r="B1928" t="s">
        <v>6546</v>
      </c>
      <c r="C1928">
        <v>50</v>
      </c>
      <c r="D1928">
        <v>46.1</v>
      </c>
      <c r="G1928">
        <f t="shared" si="300"/>
        <v>1</v>
      </c>
      <c r="H1928">
        <f t="shared" si="301"/>
        <v>0</v>
      </c>
      <c r="I1928">
        <f t="shared" si="302"/>
        <v>1</v>
      </c>
      <c r="J1928">
        <v>48.7</v>
      </c>
      <c r="K1928">
        <v>50</v>
      </c>
      <c r="L1928">
        <v>36.799999999999997</v>
      </c>
      <c r="M1928">
        <v>43.3</v>
      </c>
      <c r="N1928">
        <v>40.1</v>
      </c>
      <c r="O1928">
        <v>72.099999999999994</v>
      </c>
      <c r="S1928">
        <f t="shared" si="303"/>
        <v>1</v>
      </c>
      <c r="T1928">
        <f t="shared" si="304"/>
        <v>1</v>
      </c>
      <c r="U1928">
        <f t="shared" si="305"/>
        <v>0</v>
      </c>
      <c r="V1928">
        <v>0.183</v>
      </c>
      <c r="W1928">
        <v>100</v>
      </c>
      <c r="X1928">
        <v>16.670000000000002</v>
      </c>
      <c r="Y1928" t="s">
        <v>103</v>
      </c>
      <c r="Z1928">
        <v>0</v>
      </c>
      <c r="AA1928">
        <v>0</v>
      </c>
      <c r="AB1928">
        <v>43.8</v>
      </c>
      <c r="AC1928">
        <v>33.299999999999997</v>
      </c>
      <c r="AG1928">
        <f t="shared" si="306"/>
        <v>1</v>
      </c>
      <c r="AH1928">
        <f t="shared" si="307"/>
        <v>1</v>
      </c>
      <c r="AI1928">
        <f t="shared" si="308"/>
        <v>0</v>
      </c>
      <c r="AJ1928">
        <v>341.2</v>
      </c>
      <c r="AK1928">
        <v>1018.8</v>
      </c>
      <c r="AL1928">
        <v>89.4</v>
      </c>
      <c r="AM1928">
        <v>6.2</v>
      </c>
      <c r="AN1928">
        <v>81.900000000000006</v>
      </c>
      <c r="AO1928">
        <v>7</v>
      </c>
      <c r="AP1928">
        <v>4</v>
      </c>
      <c r="AQ1928">
        <v>0</v>
      </c>
      <c r="AR1928" t="s">
        <v>6547</v>
      </c>
      <c r="AS1928" t="s">
        <v>6548</v>
      </c>
      <c r="AT1928">
        <v>0.78</v>
      </c>
      <c r="AU1928" t="s">
        <v>106</v>
      </c>
      <c r="AV1928" t="s">
        <v>1783</v>
      </c>
      <c r="AW1928" t="s">
        <v>103</v>
      </c>
      <c r="AX1928" t="s">
        <v>5716</v>
      </c>
      <c r="AY1928" t="s">
        <v>6549</v>
      </c>
      <c r="AZ1928">
        <v>43.000000003958121</v>
      </c>
      <c r="BA1928">
        <v>0</v>
      </c>
      <c r="BB1928">
        <v>0</v>
      </c>
      <c r="BC1928">
        <v>0.5</v>
      </c>
      <c r="BD1928">
        <v>0</v>
      </c>
      <c r="BE1928">
        <f t="shared" si="309"/>
        <v>1</v>
      </c>
    </row>
    <row r="1929" spans="1:57" x14ac:dyDescent="0.25">
      <c r="A1929" t="s">
        <v>39</v>
      </c>
      <c r="B1929" t="s">
        <v>6550</v>
      </c>
      <c r="C1929">
        <v>48.2</v>
      </c>
      <c r="D1929">
        <v>44.5</v>
      </c>
      <c r="G1929">
        <f t="shared" si="300"/>
        <v>1</v>
      </c>
      <c r="H1929">
        <f t="shared" si="301"/>
        <v>0</v>
      </c>
      <c r="I1929">
        <f t="shared" si="302"/>
        <v>1</v>
      </c>
      <c r="J1929">
        <v>45.6</v>
      </c>
      <c r="K1929">
        <v>41.5</v>
      </c>
      <c r="L1929">
        <v>35.299999999999997</v>
      </c>
      <c r="M1929">
        <v>37.4</v>
      </c>
      <c r="N1929">
        <v>37.700000000000003</v>
      </c>
      <c r="O1929">
        <v>74</v>
      </c>
      <c r="S1929">
        <f t="shared" si="303"/>
        <v>1</v>
      </c>
      <c r="T1929">
        <f t="shared" si="304"/>
        <v>1</v>
      </c>
      <c r="U1929">
        <f t="shared" si="305"/>
        <v>0</v>
      </c>
      <c r="V1929">
        <v>1.101</v>
      </c>
      <c r="W1929">
        <v>100</v>
      </c>
      <c r="X1929">
        <v>12.5</v>
      </c>
      <c r="Y1929" t="s">
        <v>103</v>
      </c>
      <c r="Z1929">
        <v>0</v>
      </c>
      <c r="AA1929">
        <v>0</v>
      </c>
      <c r="AB1929">
        <v>42.5</v>
      </c>
      <c r="AC1929">
        <v>28.9</v>
      </c>
      <c r="AG1929">
        <f t="shared" si="306"/>
        <v>1</v>
      </c>
      <c r="AH1929">
        <f t="shared" si="307"/>
        <v>1</v>
      </c>
      <c r="AI1929">
        <f t="shared" si="308"/>
        <v>0</v>
      </c>
      <c r="AJ1929">
        <v>348.9</v>
      </c>
      <c r="AK1929">
        <v>1018.7</v>
      </c>
      <c r="AL1929">
        <v>89.1</v>
      </c>
      <c r="AM1929">
        <v>6</v>
      </c>
      <c r="AN1929">
        <v>92.9</v>
      </c>
      <c r="AO1929">
        <v>8</v>
      </c>
      <c r="AP1929">
        <v>4</v>
      </c>
      <c r="AQ1929">
        <v>0</v>
      </c>
      <c r="AR1929" t="s">
        <v>6551</v>
      </c>
      <c r="AS1929" t="s">
        <v>6552</v>
      </c>
      <c r="AT1929">
        <v>0.04</v>
      </c>
      <c r="AU1929" t="s">
        <v>106</v>
      </c>
      <c r="AV1929" t="s">
        <v>257</v>
      </c>
      <c r="AW1929" t="s">
        <v>103</v>
      </c>
      <c r="AX1929" t="s">
        <v>6553</v>
      </c>
      <c r="AY1929" t="s">
        <v>6554</v>
      </c>
      <c r="AZ1929">
        <v>40.000000004656613</v>
      </c>
      <c r="BA1929">
        <v>0</v>
      </c>
      <c r="BB1929">
        <v>0</v>
      </c>
      <c r="BC1929">
        <v>2</v>
      </c>
      <c r="BD1929">
        <v>0</v>
      </c>
      <c r="BE1929">
        <f t="shared" si="309"/>
        <v>1</v>
      </c>
    </row>
    <row r="1930" spans="1:57" x14ac:dyDescent="0.25">
      <c r="A1930" t="s">
        <v>39</v>
      </c>
      <c r="B1930" t="s">
        <v>6555</v>
      </c>
      <c r="C1930">
        <v>64.5</v>
      </c>
      <c r="D1930">
        <v>51.2</v>
      </c>
      <c r="G1930">
        <f t="shared" si="300"/>
        <v>1</v>
      </c>
      <c r="H1930">
        <f t="shared" si="301"/>
        <v>1</v>
      </c>
      <c r="I1930">
        <f t="shared" si="302"/>
        <v>0</v>
      </c>
      <c r="J1930">
        <v>57.6</v>
      </c>
      <c r="K1930">
        <v>64.5</v>
      </c>
      <c r="L1930">
        <v>51.2</v>
      </c>
      <c r="M1930">
        <v>57.6</v>
      </c>
      <c r="N1930">
        <v>50.3</v>
      </c>
      <c r="O1930">
        <v>77.900000000000006</v>
      </c>
      <c r="S1930">
        <f t="shared" si="303"/>
        <v>1</v>
      </c>
      <c r="T1930">
        <f t="shared" si="304"/>
        <v>1</v>
      </c>
      <c r="U1930">
        <f t="shared" si="305"/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14.1</v>
      </c>
      <c r="AC1930">
        <v>9.1999999999999993</v>
      </c>
      <c r="AG1930">
        <f t="shared" si="306"/>
        <v>1</v>
      </c>
      <c r="AH1930">
        <f t="shared" si="307"/>
        <v>0</v>
      </c>
      <c r="AI1930">
        <f t="shared" si="308"/>
        <v>1</v>
      </c>
      <c r="AJ1930">
        <v>148.80000000000001</v>
      </c>
      <c r="AK1930">
        <v>1016.8</v>
      </c>
      <c r="AL1930">
        <v>24.9</v>
      </c>
      <c r="AM1930">
        <v>6.2</v>
      </c>
      <c r="AN1930">
        <v>200.4</v>
      </c>
      <c r="AO1930">
        <v>17.3</v>
      </c>
      <c r="AP1930">
        <v>7</v>
      </c>
      <c r="AQ1930">
        <v>0</v>
      </c>
      <c r="AR1930" t="s">
        <v>6556</v>
      </c>
      <c r="AS1930" t="s">
        <v>6557</v>
      </c>
      <c r="AT1930">
        <v>0.52</v>
      </c>
      <c r="AU1930" t="s">
        <v>43</v>
      </c>
      <c r="AV1930" t="s">
        <v>44</v>
      </c>
      <c r="AW1930" t="s">
        <v>45</v>
      </c>
      <c r="AX1930" t="s">
        <v>4917</v>
      </c>
      <c r="AY1930" t="s">
        <v>6558</v>
      </c>
      <c r="AZ1930">
        <v>91.000000003259629</v>
      </c>
      <c r="BA1930">
        <v>0</v>
      </c>
      <c r="BB1930">
        <v>0</v>
      </c>
      <c r="BC1930">
        <v>1</v>
      </c>
      <c r="BD1930">
        <v>0</v>
      </c>
      <c r="BE1930">
        <f t="shared" si="309"/>
        <v>1</v>
      </c>
    </row>
    <row r="1931" spans="1:57" x14ac:dyDescent="0.25">
      <c r="A1931" t="s">
        <v>39</v>
      </c>
      <c r="B1931" t="s">
        <v>6559</v>
      </c>
      <c r="C1931">
        <v>64.400000000000006</v>
      </c>
      <c r="D1931">
        <v>49</v>
      </c>
      <c r="G1931">
        <f t="shared" si="300"/>
        <v>1</v>
      </c>
      <c r="H1931">
        <f t="shared" si="301"/>
        <v>1</v>
      </c>
      <c r="I1931">
        <f t="shared" si="302"/>
        <v>0</v>
      </c>
      <c r="J1931">
        <v>58</v>
      </c>
      <c r="K1931">
        <v>64.400000000000006</v>
      </c>
      <c r="L1931">
        <v>48.1</v>
      </c>
      <c r="M1931">
        <v>57.9</v>
      </c>
      <c r="N1931">
        <v>46.6</v>
      </c>
      <c r="O1931">
        <v>66.400000000000006</v>
      </c>
      <c r="S1931">
        <f t="shared" si="303"/>
        <v>1</v>
      </c>
      <c r="T1931">
        <f t="shared" si="304"/>
        <v>1</v>
      </c>
      <c r="U1931">
        <f t="shared" si="305"/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25.3</v>
      </c>
      <c r="AC1931">
        <v>20.7</v>
      </c>
      <c r="AG1931">
        <f t="shared" si="306"/>
        <v>1</v>
      </c>
      <c r="AH1931">
        <f t="shared" si="307"/>
        <v>1</v>
      </c>
      <c r="AI1931">
        <f t="shared" si="308"/>
        <v>0</v>
      </c>
      <c r="AJ1931">
        <v>247.6</v>
      </c>
      <c r="AK1931">
        <v>1005.3</v>
      </c>
      <c r="AL1931">
        <v>42.3</v>
      </c>
      <c r="AM1931">
        <v>6.2</v>
      </c>
      <c r="AN1931">
        <v>190.3</v>
      </c>
      <c r="AO1931">
        <v>16.399999999999999</v>
      </c>
      <c r="AP1931">
        <v>7</v>
      </c>
      <c r="AQ1931">
        <v>0</v>
      </c>
      <c r="AR1931" t="s">
        <v>6560</v>
      </c>
      <c r="AS1931" t="s">
        <v>6561</v>
      </c>
      <c r="AT1931">
        <v>0.82</v>
      </c>
      <c r="AU1931" t="s">
        <v>43</v>
      </c>
      <c r="AV1931" t="s">
        <v>44</v>
      </c>
      <c r="AW1931" t="s">
        <v>45</v>
      </c>
      <c r="AX1931" t="s">
        <v>6562</v>
      </c>
      <c r="AY1931" t="s">
        <v>6563</v>
      </c>
      <c r="AZ1931">
        <v>350.9999999916181</v>
      </c>
      <c r="BA1931">
        <v>0</v>
      </c>
      <c r="BB1931">
        <v>0</v>
      </c>
      <c r="BC1931">
        <v>3</v>
      </c>
      <c r="BD1931">
        <v>0</v>
      </c>
      <c r="BE1931">
        <f t="shared" si="309"/>
        <v>1</v>
      </c>
    </row>
    <row r="1932" spans="1:57" x14ac:dyDescent="0.25">
      <c r="A1932" t="s">
        <v>39</v>
      </c>
      <c r="B1932" t="s">
        <v>6421</v>
      </c>
      <c r="C1932">
        <v>64.400000000000006</v>
      </c>
      <c r="D1932">
        <v>46.4</v>
      </c>
      <c r="G1932">
        <f t="shared" si="300"/>
        <v>1</v>
      </c>
      <c r="H1932">
        <f t="shared" si="301"/>
        <v>1</v>
      </c>
      <c r="I1932">
        <f t="shared" si="302"/>
        <v>0</v>
      </c>
      <c r="J1932">
        <v>56.1</v>
      </c>
      <c r="K1932">
        <v>64.400000000000006</v>
      </c>
      <c r="L1932">
        <v>41.5</v>
      </c>
      <c r="M1932">
        <v>54.9</v>
      </c>
      <c r="N1932">
        <v>47.7</v>
      </c>
      <c r="O1932">
        <v>73.900000000000006</v>
      </c>
      <c r="S1932">
        <f t="shared" si="303"/>
        <v>1</v>
      </c>
      <c r="T1932">
        <f t="shared" si="304"/>
        <v>1</v>
      </c>
      <c r="U1932">
        <f t="shared" si="305"/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22.8</v>
      </c>
      <c r="AC1932">
        <v>14.9</v>
      </c>
      <c r="AG1932">
        <f t="shared" si="306"/>
        <v>1</v>
      </c>
      <c r="AH1932">
        <f t="shared" si="307"/>
        <v>0</v>
      </c>
      <c r="AI1932">
        <f t="shared" si="308"/>
        <v>1</v>
      </c>
      <c r="AJ1932">
        <v>281.8</v>
      </c>
      <c r="AK1932">
        <v>1019.2</v>
      </c>
      <c r="AL1932">
        <v>36.6</v>
      </c>
      <c r="AM1932">
        <v>6.2</v>
      </c>
      <c r="AN1932">
        <v>228.3</v>
      </c>
      <c r="AO1932">
        <v>19.7</v>
      </c>
      <c r="AP1932">
        <v>8</v>
      </c>
      <c r="AQ1932">
        <v>0</v>
      </c>
      <c r="AR1932" t="s">
        <v>6422</v>
      </c>
      <c r="AS1932" t="s">
        <v>6423</v>
      </c>
      <c r="AT1932">
        <v>0.7</v>
      </c>
      <c r="AU1932" t="s">
        <v>43</v>
      </c>
      <c r="AV1932" t="s">
        <v>44</v>
      </c>
      <c r="AW1932" t="s">
        <v>45</v>
      </c>
      <c r="AX1932" t="s">
        <v>6564</v>
      </c>
      <c r="AY1932" t="s">
        <v>6565</v>
      </c>
      <c r="AZ1932">
        <v>164.99999999301511</v>
      </c>
      <c r="BA1932">
        <v>0</v>
      </c>
      <c r="BB1932">
        <v>0</v>
      </c>
      <c r="BC1932">
        <v>1</v>
      </c>
      <c r="BD1932">
        <v>0</v>
      </c>
      <c r="BE1932">
        <f t="shared" si="309"/>
        <v>1</v>
      </c>
    </row>
    <row r="1933" spans="1:57" x14ac:dyDescent="0.25">
      <c r="A1933" t="s">
        <v>39</v>
      </c>
      <c r="B1933" t="s">
        <v>6263</v>
      </c>
      <c r="C1933">
        <v>71.599999999999994</v>
      </c>
      <c r="D1933">
        <v>51.8</v>
      </c>
      <c r="G1933">
        <f t="shared" si="300"/>
        <v>1</v>
      </c>
      <c r="H1933">
        <f t="shared" si="301"/>
        <v>1</v>
      </c>
      <c r="I1933">
        <f t="shared" si="302"/>
        <v>0</v>
      </c>
      <c r="J1933">
        <v>62.3</v>
      </c>
      <c r="K1933">
        <v>71.599999999999994</v>
      </c>
      <c r="L1933">
        <v>51.8</v>
      </c>
      <c r="M1933">
        <v>62.3</v>
      </c>
      <c r="N1933">
        <v>50.8</v>
      </c>
      <c r="O1933">
        <v>67</v>
      </c>
      <c r="S1933">
        <f t="shared" si="303"/>
        <v>1</v>
      </c>
      <c r="T1933">
        <f t="shared" si="304"/>
        <v>1</v>
      </c>
      <c r="U1933">
        <f t="shared" si="305"/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15</v>
      </c>
      <c r="AC1933">
        <v>8.1</v>
      </c>
      <c r="AG1933">
        <f t="shared" si="306"/>
        <v>1</v>
      </c>
      <c r="AH1933">
        <f t="shared" si="307"/>
        <v>0</v>
      </c>
      <c r="AI1933">
        <f t="shared" si="308"/>
        <v>1</v>
      </c>
      <c r="AJ1933">
        <v>134</v>
      </c>
      <c r="AK1933">
        <v>1011</v>
      </c>
      <c r="AL1933">
        <v>17.600000000000001</v>
      </c>
      <c r="AM1933">
        <v>6.2</v>
      </c>
      <c r="AN1933">
        <v>283.2</v>
      </c>
      <c r="AO1933">
        <v>24.5</v>
      </c>
      <c r="AP1933">
        <v>9</v>
      </c>
      <c r="AQ1933">
        <v>0</v>
      </c>
      <c r="AR1933" t="s">
        <v>6264</v>
      </c>
      <c r="AS1933" t="s">
        <v>6265</v>
      </c>
      <c r="AT1933">
        <v>0.96</v>
      </c>
      <c r="AU1933" t="s">
        <v>74</v>
      </c>
      <c r="AV1933" t="s">
        <v>2955</v>
      </c>
      <c r="AW1933" t="s">
        <v>75</v>
      </c>
      <c r="AX1933" t="s">
        <v>2491</v>
      </c>
      <c r="AY1933" t="s">
        <v>6566</v>
      </c>
      <c r="AZ1933">
        <v>360</v>
      </c>
      <c r="BA1933">
        <v>0</v>
      </c>
      <c r="BB1933">
        <v>0</v>
      </c>
      <c r="BC1933">
        <v>10</v>
      </c>
      <c r="BD1933">
        <v>0</v>
      </c>
      <c r="BE1933">
        <f t="shared" si="309"/>
        <v>1</v>
      </c>
    </row>
    <row r="1934" spans="1:57" x14ac:dyDescent="0.25">
      <c r="A1934" t="s">
        <v>39</v>
      </c>
      <c r="B1934" t="s">
        <v>6567</v>
      </c>
      <c r="C1934">
        <v>73.400000000000006</v>
      </c>
      <c r="D1934">
        <v>55.4</v>
      </c>
      <c r="G1934">
        <f t="shared" si="300"/>
        <v>1</v>
      </c>
      <c r="H1934">
        <f t="shared" si="301"/>
        <v>1</v>
      </c>
      <c r="I1934">
        <f t="shared" si="302"/>
        <v>0</v>
      </c>
      <c r="J1934">
        <v>64.900000000000006</v>
      </c>
      <c r="K1934">
        <v>73.400000000000006</v>
      </c>
      <c r="L1934">
        <v>55.4</v>
      </c>
      <c r="M1934">
        <v>64.900000000000006</v>
      </c>
      <c r="N1934">
        <v>56</v>
      </c>
      <c r="O1934">
        <v>73.599999999999994</v>
      </c>
      <c r="S1934">
        <f t="shared" si="303"/>
        <v>1</v>
      </c>
      <c r="T1934">
        <f t="shared" si="304"/>
        <v>1</v>
      </c>
      <c r="U1934">
        <f t="shared" si="305"/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15.7</v>
      </c>
      <c r="AC1934">
        <v>10.3</v>
      </c>
      <c r="AG1934">
        <f t="shared" si="306"/>
        <v>1</v>
      </c>
      <c r="AH1934">
        <f t="shared" si="307"/>
        <v>0</v>
      </c>
      <c r="AI1934">
        <f t="shared" si="308"/>
        <v>1</v>
      </c>
      <c r="AJ1934">
        <v>122.4</v>
      </c>
      <c r="AK1934">
        <v>1018.6</v>
      </c>
      <c r="AL1934">
        <v>6.9</v>
      </c>
      <c r="AM1934">
        <v>6.2</v>
      </c>
      <c r="AN1934">
        <v>298.10000000000002</v>
      </c>
      <c r="AO1934">
        <v>25.7</v>
      </c>
      <c r="AP1934">
        <v>9</v>
      </c>
      <c r="AQ1934">
        <v>0</v>
      </c>
      <c r="AR1934" t="s">
        <v>6568</v>
      </c>
      <c r="AS1934" t="s">
        <v>6569</v>
      </c>
      <c r="AT1934">
        <v>0.34</v>
      </c>
      <c r="AU1934" t="s">
        <v>74</v>
      </c>
      <c r="AV1934" t="s">
        <v>2955</v>
      </c>
      <c r="AW1934" t="s">
        <v>75</v>
      </c>
      <c r="AX1934" t="s">
        <v>4897</v>
      </c>
      <c r="AY1934" t="s">
        <v>6570</v>
      </c>
      <c r="AZ1934">
        <v>115.0000000081491</v>
      </c>
      <c r="BA1934">
        <v>0</v>
      </c>
      <c r="BB1934">
        <v>0</v>
      </c>
      <c r="BC1934">
        <v>0.3</v>
      </c>
      <c r="BD1934">
        <v>0</v>
      </c>
      <c r="BE1934">
        <f t="shared" si="309"/>
        <v>1</v>
      </c>
    </row>
    <row r="1935" spans="1:57" x14ac:dyDescent="0.25">
      <c r="A1935" t="s">
        <v>39</v>
      </c>
      <c r="B1935" t="s">
        <v>6435</v>
      </c>
      <c r="C1935">
        <v>75.2</v>
      </c>
      <c r="D1935">
        <v>53.6</v>
      </c>
      <c r="G1935">
        <f t="shared" si="300"/>
        <v>1</v>
      </c>
      <c r="H1935">
        <f t="shared" si="301"/>
        <v>1</v>
      </c>
      <c r="I1935">
        <f t="shared" si="302"/>
        <v>0</v>
      </c>
      <c r="J1935">
        <v>65.3</v>
      </c>
      <c r="K1935">
        <v>75.2</v>
      </c>
      <c r="L1935">
        <v>53.6</v>
      </c>
      <c r="M1935">
        <v>65.3</v>
      </c>
      <c r="N1935">
        <v>48.4</v>
      </c>
      <c r="O1935">
        <v>55.9</v>
      </c>
      <c r="S1935">
        <f t="shared" si="303"/>
        <v>1</v>
      </c>
      <c r="T1935">
        <f t="shared" si="304"/>
        <v>0</v>
      </c>
      <c r="U1935">
        <f t="shared" si="305"/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15</v>
      </c>
      <c r="AC1935">
        <v>9.1999999999999993</v>
      </c>
      <c r="AG1935">
        <f t="shared" si="306"/>
        <v>1</v>
      </c>
      <c r="AH1935">
        <f t="shared" si="307"/>
        <v>0</v>
      </c>
      <c r="AI1935">
        <f t="shared" si="308"/>
        <v>1</v>
      </c>
      <c r="AJ1935">
        <v>131.4</v>
      </c>
      <c r="AK1935">
        <v>1015.8</v>
      </c>
      <c r="AL1935">
        <v>14.2</v>
      </c>
      <c r="AM1935">
        <v>6.2</v>
      </c>
      <c r="AN1935">
        <v>302.2</v>
      </c>
      <c r="AO1935">
        <v>26.1</v>
      </c>
      <c r="AP1935">
        <v>9</v>
      </c>
      <c r="AQ1935">
        <v>0</v>
      </c>
      <c r="AR1935" t="s">
        <v>6436</v>
      </c>
      <c r="AS1935" t="s">
        <v>6437</v>
      </c>
      <c r="AT1935">
        <v>0.4</v>
      </c>
      <c r="AU1935" t="s">
        <v>74</v>
      </c>
      <c r="AV1935" t="s">
        <v>2955</v>
      </c>
      <c r="AW1935" t="s">
        <v>75</v>
      </c>
      <c r="AX1935" t="s">
        <v>5063</v>
      </c>
      <c r="AY1935" t="s">
        <v>6571</v>
      </c>
      <c r="AZ1935">
        <v>1306.0000000032601</v>
      </c>
      <c r="BA1935">
        <v>1</v>
      </c>
      <c r="BB1935">
        <v>0</v>
      </c>
      <c r="BC1935">
        <v>7</v>
      </c>
      <c r="BD1935">
        <v>0</v>
      </c>
      <c r="BE1935">
        <f t="shared" si="309"/>
        <v>1</v>
      </c>
    </row>
    <row r="1936" spans="1:57" x14ac:dyDescent="0.25">
      <c r="A1936" t="s">
        <v>39</v>
      </c>
      <c r="B1936" t="s">
        <v>6572</v>
      </c>
      <c r="C1936">
        <v>71.599999999999994</v>
      </c>
      <c r="D1936">
        <v>55.1</v>
      </c>
      <c r="G1936">
        <f t="shared" si="300"/>
        <v>1</v>
      </c>
      <c r="H1936">
        <f t="shared" si="301"/>
        <v>1</v>
      </c>
      <c r="I1936">
        <f t="shared" si="302"/>
        <v>0</v>
      </c>
      <c r="J1936">
        <v>63.2</v>
      </c>
      <c r="K1936">
        <v>71.599999999999994</v>
      </c>
      <c r="L1936">
        <v>55.1</v>
      </c>
      <c r="M1936">
        <v>63.2</v>
      </c>
      <c r="N1936">
        <v>53.6</v>
      </c>
      <c r="O1936">
        <v>71.8</v>
      </c>
      <c r="S1936">
        <f t="shared" si="303"/>
        <v>1</v>
      </c>
      <c r="T1936">
        <f t="shared" si="304"/>
        <v>1</v>
      </c>
      <c r="U1936">
        <f t="shared" si="305"/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25.3</v>
      </c>
      <c r="AC1936">
        <v>12.7</v>
      </c>
      <c r="AG1936">
        <f t="shared" si="306"/>
        <v>1</v>
      </c>
      <c r="AH1936">
        <f t="shared" si="307"/>
        <v>0</v>
      </c>
      <c r="AI1936">
        <f t="shared" si="308"/>
        <v>1</v>
      </c>
      <c r="AJ1936">
        <v>73.7</v>
      </c>
      <c r="AK1936">
        <v>1011.5</v>
      </c>
      <c r="AL1936">
        <v>65.8</v>
      </c>
      <c r="AM1936">
        <v>6.2</v>
      </c>
      <c r="AN1936">
        <v>268.2</v>
      </c>
      <c r="AO1936">
        <v>23.2</v>
      </c>
      <c r="AP1936">
        <v>9</v>
      </c>
      <c r="AQ1936">
        <v>0</v>
      </c>
      <c r="AR1936" t="s">
        <v>6573</v>
      </c>
      <c r="AS1936" t="s">
        <v>6574</v>
      </c>
      <c r="AT1936">
        <v>0.54</v>
      </c>
      <c r="AU1936" t="s">
        <v>43</v>
      </c>
      <c r="AV1936" t="s">
        <v>44</v>
      </c>
      <c r="AW1936" t="s">
        <v>45</v>
      </c>
      <c r="AX1936" t="s">
        <v>4223</v>
      </c>
      <c r="AY1936" t="s">
        <v>6575</v>
      </c>
      <c r="AZ1936">
        <v>1405.0000000011639</v>
      </c>
      <c r="BA1936">
        <v>1</v>
      </c>
      <c r="BB1936">
        <v>0</v>
      </c>
      <c r="BC1936">
        <v>15</v>
      </c>
      <c r="BD1936">
        <v>0</v>
      </c>
      <c r="BE1936">
        <f t="shared" si="309"/>
        <v>1</v>
      </c>
    </row>
    <row r="1937" spans="1:57" x14ac:dyDescent="0.25">
      <c r="A1937" t="s">
        <v>39</v>
      </c>
      <c r="B1937" t="s">
        <v>6576</v>
      </c>
      <c r="C1937">
        <v>86</v>
      </c>
      <c r="D1937">
        <v>77</v>
      </c>
      <c r="G1937">
        <f t="shared" si="300"/>
        <v>1</v>
      </c>
      <c r="H1937">
        <f t="shared" si="301"/>
        <v>1</v>
      </c>
      <c r="I1937">
        <f t="shared" si="302"/>
        <v>0</v>
      </c>
      <c r="J1937">
        <v>80.7</v>
      </c>
      <c r="K1937">
        <v>92</v>
      </c>
      <c r="L1937">
        <v>77</v>
      </c>
      <c r="M1937">
        <v>83.2</v>
      </c>
      <c r="N1937">
        <v>70.900000000000006</v>
      </c>
      <c r="O1937">
        <v>72.599999999999994</v>
      </c>
      <c r="S1937">
        <f t="shared" si="303"/>
        <v>1</v>
      </c>
      <c r="T1937">
        <f t="shared" si="304"/>
        <v>1</v>
      </c>
      <c r="U1937">
        <f t="shared" si="305"/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28.2</v>
      </c>
      <c r="AC1937">
        <v>15</v>
      </c>
      <c r="AG1937">
        <f t="shared" si="306"/>
        <v>1</v>
      </c>
      <c r="AH1937">
        <f t="shared" si="307"/>
        <v>0</v>
      </c>
      <c r="AI1937">
        <f t="shared" si="308"/>
        <v>1</v>
      </c>
      <c r="AJ1937">
        <v>309</v>
      </c>
      <c r="AK1937">
        <v>1013.7</v>
      </c>
      <c r="AL1937">
        <v>9.4</v>
      </c>
      <c r="AM1937">
        <v>6.2</v>
      </c>
      <c r="AN1937">
        <v>337</v>
      </c>
      <c r="AO1937">
        <v>28.9</v>
      </c>
      <c r="AP1937">
        <v>10</v>
      </c>
      <c r="AQ1937">
        <v>0</v>
      </c>
      <c r="AR1937" t="s">
        <v>6577</v>
      </c>
      <c r="AS1937" t="s">
        <v>6578</v>
      </c>
      <c r="AT1937">
        <v>0.89</v>
      </c>
      <c r="AU1937" t="s">
        <v>74</v>
      </c>
      <c r="AV1937" t="s">
        <v>2955</v>
      </c>
      <c r="AW1937" t="s">
        <v>75</v>
      </c>
      <c r="AX1937" t="s">
        <v>4778</v>
      </c>
      <c r="AY1937" t="s">
        <v>6579</v>
      </c>
      <c r="AZ1937">
        <v>1660.0000000046571</v>
      </c>
      <c r="BA1937">
        <v>1</v>
      </c>
      <c r="BB1937">
        <v>0</v>
      </c>
      <c r="BC1937">
        <v>13</v>
      </c>
      <c r="BD1937">
        <v>0</v>
      </c>
      <c r="BE1937">
        <f t="shared" si="309"/>
        <v>1</v>
      </c>
    </row>
    <row r="1938" spans="1:57" x14ac:dyDescent="0.25">
      <c r="A1938" t="s">
        <v>39</v>
      </c>
      <c r="B1938" t="s">
        <v>6580</v>
      </c>
      <c r="C1938">
        <v>84.2</v>
      </c>
      <c r="D1938">
        <v>77</v>
      </c>
      <c r="G1938">
        <f t="shared" si="300"/>
        <v>0</v>
      </c>
      <c r="H1938">
        <f t="shared" si="301"/>
        <v>0</v>
      </c>
      <c r="I1938">
        <f t="shared" si="302"/>
        <v>0</v>
      </c>
      <c r="J1938">
        <v>80.2</v>
      </c>
      <c r="K1938">
        <v>91</v>
      </c>
      <c r="L1938">
        <v>77</v>
      </c>
      <c r="M1938">
        <v>83</v>
      </c>
      <c r="N1938">
        <v>71.099999999999994</v>
      </c>
      <c r="O1938">
        <v>74.099999999999994</v>
      </c>
      <c r="S1938">
        <f t="shared" si="303"/>
        <v>1</v>
      </c>
      <c r="T1938">
        <f t="shared" si="304"/>
        <v>1</v>
      </c>
      <c r="U1938">
        <f t="shared" si="305"/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32.4</v>
      </c>
      <c r="AC1938">
        <v>19.600000000000001</v>
      </c>
      <c r="AG1938">
        <f t="shared" si="306"/>
        <v>1</v>
      </c>
      <c r="AH1938">
        <f t="shared" si="307"/>
        <v>1</v>
      </c>
      <c r="AI1938">
        <f t="shared" si="308"/>
        <v>0</v>
      </c>
      <c r="AJ1938">
        <v>306.39999999999998</v>
      </c>
      <c r="AK1938">
        <v>1009.1</v>
      </c>
      <c r="AL1938">
        <v>3.8</v>
      </c>
      <c r="AM1938">
        <v>6.2</v>
      </c>
      <c r="AN1938">
        <v>320.7</v>
      </c>
      <c r="AO1938">
        <v>27.8</v>
      </c>
      <c r="AP1938">
        <v>9</v>
      </c>
      <c r="AQ1938">
        <v>0</v>
      </c>
      <c r="AR1938" t="s">
        <v>6581</v>
      </c>
      <c r="AS1938" t="s">
        <v>6582</v>
      </c>
      <c r="AT1938">
        <v>0.73</v>
      </c>
      <c r="AU1938" t="s">
        <v>74</v>
      </c>
      <c r="AV1938" t="s">
        <v>2955</v>
      </c>
      <c r="AW1938" t="s">
        <v>75</v>
      </c>
      <c r="AX1938" t="s">
        <v>4643</v>
      </c>
      <c r="AY1938" t="s">
        <v>6583</v>
      </c>
      <c r="AZ1938">
        <v>3196.0000000032601</v>
      </c>
      <c r="BA1938">
        <v>1</v>
      </c>
      <c r="BB1938">
        <v>0</v>
      </c>
      <c r="BC1938">
        <v>70</v>
      </c>
      <c r="BD1938">
        <v>0</v>
      </c>
      <c r="BE1938">
        <f t="shared" si="309"/>
        <v>1</v>
      </c>
    </row>
    <row r="1939" spans="1:57" x14ac:dyDescent="0.25">
      <c r="A1939" t="s">
        <v>39</v>
      </c>
      <c r="B1939" t="s">
        <v>6580</v>
      </c>
      <c r="C1939">
        <v>84.2</v>
      </c>
      <c r="D1939">
        <v>77</v>
      </c>
      <c r="G1939">
        <f t="shared" si="300"/>
        <v>0</v>
      </c>
      <c r="H1939">
        <f t="shared" si="301"/>
        <v>0</v>
      </c>
      <c r="I1939">
        <f t="shared" si="302"/>
        <v>0</v>
      </c>
      <c r="J1939">
        <v>80.2</v>
      </c>
      <c r="K1939">
        <v>91</v>
      </c>
      <c r="L1939">
        <v>77</v>
      </c>
      <c r="M1939">
        <v>83</v>
      </c>
      <c r="N1939">
        <v>71.099999999999994</v>
      </c>
      <c r="O1939">
        <v>74.099999999999994</v>
      </c>
      <c r="S1939">
        <f t="shared" si="303"/>
        <v>1</v>
      </c>
      <c r="T1939">
        <f t="shared" si="304"/>
        <v>1</v>
      </c>
      <c r="U1939">
        <f t="shared" si="305"/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32.4</v>
      </c>
      <c r="AC1939">
        <v>19.600000000000001</v>
      </c>
      <c r="AG1939">
        <f t="shared" si="306"/>
        <v>1</v>
      </c>
      <c r="AH1939">
        <f t="shared" si="307"/>
        <v>1</v>
      </c>
      <c r="AI1939">
        <f t="shared" si="308"/>
        <v>0</v>
      </c>
      <c r="AJ1939">
        <v>306.39999999999998</v>
      </c>
      <c r="AK1939">
        <v>1009.1</v>
      </c>
      <c r="AL1939">
        <v>3.8</v>
      </c>
      <c r="AM1939">
        <v>6.2</v>
      </c>
      <c r="AN1939">
        <v>320.7</v>
      </c>
      <c r="AO1939">
        <v>27.8</v>
      </c>
      <c r="AP1939">
        <v>9</v>
      </c>
      <c r="AQ1939">
        <v>0</v>
      </c>
      <c r="AR1939" t="s">
        <v>6581</v>
      </c>
      <c r="AS1939" t="s">
        <v>6582</v>
      </c>
      <c r="AT1939">
        <v>0.73</v>
      </c>
      <c r="AU1939" t="s">
        <v>74</v>
      </c>
      <c r="AV1939" t="s">
        <v>2955</v>
      </c>
      <c r="AW1939" t="s">
        <v>75</v>
      </c>
      <c r="AX1939" t="s">
        <v>6584</v>
      </c>
      <c r="AY1939" t="s">
        <v>6585</v>
      </c>
      <c r="AZ1939">
        <v>145.9999999939464</v>
      </c>
      <c r="BA1939">
        <v>0</v>
      </c>
      <c r="BB1939">
        <v>0</v>
      </c>
      <c r="BC1939">
        <v>2</v>
      </c>
      <c r="BD1939">
        <v>0</v>
      </c>
      <c r="BE1939">
        <f t="shared" si="309"/>
        <v>0</v>
      </c>
    </row>
    <row r="1940" spans="1:57" x14ac:dyDescent="0.25">
      <c r="A1940" t="s">
        <v>39</v>
      </c>
      <c r="B1940" t="s">
        <v>6586</v>
      </c>
      <c r="C1940">
        <v>84.2</v>
      </c>
      <c r="D1940">
        <v>75.2</v>
      </c>
      <c r="G1940">
        <f t="shared" si="300"/>
        <v>0</v>
      </c>
      <c r="H1940">
        <f t="shared" si="301"/>
        <v>0</v>
      </c>
      <c r="I1940">
        <f t="shared" si="302"/>
        <v>0</v>
      </c>
      <c r="J1940">
        <v>80.2</v>
      </c>
      <c r="K1940">
        <v>92.5</v>
      </c>
      <c r="L1940">
        <v>75.2</v>
      </c>
      <c r="M1940">
        <v>83.6</v>
      </c>
      <c r="N1940">
        <v>72.5</v>
      </c>
      <c r="O1940">
        <v>77.8</v>
      </c>
      <c r="S1940">
        <f t="shared" si="303"/>
        <v>1</v>
      </c>
      <c r="T1940">
        <f t="shared" si="304"/>
        <v>1</v>
      </c>
      <c r="U1940">
        <f t="shared" si="305"/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31.5</v>
      </c>
      <c r="AC1940">
        <v>19.7</v>
      </c>
      <c r="AG1940">
        <f t="shared" si="306"/>
        <v>1</v>
      </c>
      <c r="AH1940">
        <f t="shared" si="307"/>
        <v>1</v>
      </c>
      <c r="AI1940">
        <f t="shared" si="308"/>
        <v>0</v>
      </c>
      <c r="AJ1940">
        <v>305.2</v>
      </c>
      <c r="AK1940">
        <v>1010.2</v>
      </c>
      <c r="AL1940">
        <v>10.7</v>
      </c>
      <c r="AM1940">
        <v>6.2</v>
      </c>
      <c r="AN1940">
        <v>317</v>
      </c>
      <c r="AO1940">
        <v>27.2</v>
      </c>
      <c r="AP1940">
        <v>9</v>
      </c>
      <c r="AQ1940">
        <v>0</v>
      </c>
      <c r="AR1940" t="s">
        <v>6587</v>
      </c>
      <c r="AS1940" t="s">
        <v>6588</v>
      </c>
      <c r="AT1940">
        <v>0.75</v>
      </c>
      <c r="AU1940" t="s">
        <v>74</v>
      </c>
      <c r="AV1940" t="s">
        <v>2955</v>
      </c>
      <c r="AW1940" t="s">
        <v>75</v>
      </c>
      <c r="AX1940" t="s">
        <v>4039</v>
      </c>
      <c r="AY1940" t="s">
        <v>6589</v>
      </c>
      <c r="AZ1940">
        <v>1699.9999999988361</v>
      </c>
      <c r="BA1940">
        <v>1</v>
      </c>
      <c r="BB1940">
        <v>0</v>
      </c>
      <c r="BC1940">
        <v>2</v>
      </c>
      <c r="BD1940">
        <v>0</v>
      </c>
      <c r="BE1940">
        <f t="shared" si="309"/>
        <v>1</v>
      </c>
    </row>
    <row r="1941" spans="1:57" x14ac:dyDescent="0.25">
      <c r="A1941" t="s">
        <v>39</v>
      </c>
      <c r="B1941" t="s">
        <v>6590</v>
      </c>
      <c r="C1941">
        <v>86</v>
      </c>
      <c r="D1941">
        <v>71.599999999999994</v>
      </c>
      <c r="G1941">
        <f t="shared" si="300"/>
        <v>1</v>
      </c>
      <c r="H1941">
        <f t="shared" si="301"/>
        <v>1</v>
      </c>
      <c r="I1941">
        <f t="shared" si="302"/>
        <v>0</v>
      </c>
      <c r="J1941">
        <v>80.599999999999994</v>
      </c>
      <c r="K1941">
        <v>93.5</v>
      </c>
      <c r="L1941">
        <v>71.599999999999994</v>
      </c>
      <c r="M1941">
        <v>83.4</v>
      </c>
      <c r="N1941">
        <v>70.400000000000006</v>
      </c>
      <c r="O1941">
        <v>71.7</v>
      </c>
      <c r="S1941">
        <f t="shared" si="303"/>
        <v>1</v>
      </c>
      <c r="T1941">
        <f t="shared" si="304"/>
        <v>1</v>
      </c>
      <c r="U1941">
        <f t="shared" si="305"/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33.799999999999997</v>
      </c>
      <c r="AC1941">
        <v>19.7</v>
      </c>
      <c r="AG1941">
        <f t="shared" si="306"/>
        <v>1</v>
      </c>
      <c r="AH1941">
        <f t="shared" si="307"/>
        <v>1</v>
      </c>
      <c r="AI1941">
        <f t="shared" si="308"/>
        <v>0</v>
      </c>
      <c r="AJ1941">
        <v>298.2</v>
      </c>
      <c r="AK1941">
        <v>1009.2</v>
      </c>
      <c r="AL1941">
        <v>0.7</v>
      </c>
      <c r="AM1941">
        <v>6.2</v>
      </c>
      <c r="AN1941">
        <v>318.60000000000002</v>
      </c>
      <c r="AO1941">
        <v>27.4</v>
      </c>
      <c r="AP1941">
        <v>10</v>
      </c>
      <c r="AQ1941">
        <v>0</v>
      </c>
      <c r="AR1941" t="s">
        <v>6591</v>
      </c>
      <c r="AS1941" t="s">
        <v>6592</v>
      </c>
      <c r="AT1941">
        <v>0.84</v>
      </c>
      <c r="AU1941" t="s">
        <v>74</v>
      </c>
      <c r="AV1941" t="s">
        <v>2955</v>
      </c>
      <c r="AW1941" t="s">
        <v>75</v>
      </c>
      <c r="AX1941" t="s">
        <v>4132</v>
      </c>
      <c r="AY1941" t="s">
        <v>6593</v>
      </c>
      <c r="AZ1941">
        <v>239.99999999650751</v>
      </c>
      <c r="BA1941">
        <v>0</v>
      </c>
      <c r="BB1941">
        <v>0</v>
      </c>
      <c r="BC1941">
        <v>0.1</v>
      </c>
      <c r="BD1941">
        <v>0</v>
      </c>
      <c r="BE1941">
        <f t="shared" si="309"/>
        <v>1</v>
      </c>
    </row>
    <row r="1942" spans="1:57" x14ac:dyDescent="0.25">
      <c r="A1942" t="s">
        <v>39</v>
      </c>
      <c r="B1942" t="s">
        <v>6369</v>
      </c>
      <c r="C1942">
        <v>87.8</v>
      </c>
      <c r="D1942">
        <v>78.8</v>
      </c>
      <c r="G1942">
        <f t="shared" si="300"/>
        <v>1</v>
      </c>
      <c r="H1942">
        <f t="shared" si="301"/>
        <v>1</v>
      </c>
      <c r="I1942">
        <f t="shared" si="302"/>
        <v>0</v>
      </c>
      <c r="J1942">
        <v>83.2</v>
      </c>
      <c r="K1942">
        <v>94.2</v>
      </c>
      <c r="L1942">
        <v>78.8</v>
      </c>
      <c r="M1942">
        <v>86.9</v>
      </c>
      <c r="N1942">
        <v>70.900000000000006</v>
      </c>
      <c r="O1942">
        <v>67</v>
      </c>
      <c r="S1942">
        <f t="shared" si="303"/>
        <v>1</v>
      </c>
      <c r="T1942">
        <f t="shared" si="304"/>
        <v>1</v>
      </c>
      <c r="U1942">
        <f t="shared" si="305"/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37.1</v>
      </c>
      <c r="AC1942">
        <v>21.9</v>
      </c>
      <c r="AG1942">
        <f t="shared" si="306"/>
        <v>1</v>
      </c>
      <c r="AH1942">
        <f t="shared" si="307"/>
        <v>1</v>
      </c>
      <c r="AI1942">
        <f t="shared" si="308"/>
        <v>0</v>
      </c>
      <c r="AJ1942">
        <v>297.8</v>
      </c>
      <c r="AK1942">
        <v>1009.1</v>
      </c>
      <c r="AL1942">
        <v>0.3</v>
      </c>
      <c r="AM1942">
        <v>6.2</v>
      </c>
      <c r="AN1942">
        <v>323.60000000000002</v>
      </c>
      <c r="AO1942">
        <v>28.1</v>
      </c>
      <c r="AP1942">
        <v>10</v>
      </c>
      <c r="AQ1942">
        <v>0</v>
      </c>
      <c r="AR1942" t="s">
        <v>6370</v>
      </c>
      <c r="AS1942" t="s">
        <v>6371</v>
      </c>
      <c r="AT1942">
        <v>0.87</v>
      </c>
      <c r="AU1942" t="s">
        <v>74</v>
      </c>
      <c r="AV1942" t="s">
        <v>2955</v>
      </c>
      <c r="AW1942" t="s">
        <v>75</v>
      </c>
      <c r="AX1942" t="s">
        <v>2373</v>
      </c>
      <c r="AY1942" t="s">
        <v>6594</v>
      </c>
      <c r="AZ1942">
        <v>3389.999999996508</v>
      </c>
      <c r="BA1942">
        <v>1</v>
      </c>
      <c r="BB1942">
        <v>0</v>
      </c>
      <c r="BC1942">
        <v>20</v>
      </c>
      <c r="BD1942">
        <v>0</v>
      </c>
      <c r="BE1942">
        <f t="shared" si="309"/>
        <v>1</v>
      </c>
    </row>
    <row r="1943" spans="1:57" x14ac:dyDescent="0.25">
      <c r="A1943" t="s">
        <v>39</v>
      </c>
      <c r="B1943" t="s">
        <v>6389</v>
      </c>
      <c r="C1943">
        <v>87.9</v>
      </c>
      <c r="D1943">
        <v>73.400000000000006</v>
      </c>
      <c r="G1943">
        <f t="shared" si="300"/>
        <v>1</v>
      </c>
      <c r="H1943">
        <f t="shared" si="301"/>
        <v>1</v>
      </c>
      <c r="I1943">
        <f t="shared" si="302"/>
        <v>0</v>
      </c>
      <c r="J1943">
        <v>81.400000000000006</v>
      </c>
      <c r="K1943">
        <v>102.1</v>
      </c>
      <c r="L1943">
        <v>73.400000000000006</v>
      </c>
      <c r="M1943">
        <v>87.1</v>
      </c>
      <c r="N1943">
        <v>72.3</v>
      </c>
      <c r="O1943">
        <v>74.8</v>
      </c>
      <c r="S1943">
        <f t="shared" si="303"/>
        <v>1</v>
      </c>
      <c r="T1943">
        <f t="shared" si="304"/>
        <v>1</v>
      </c>
      <c r="U1943">
        <f t="shared" si="305"/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19.7</v>
      </c>
      <c r="AC1943">
        <v>16.100000000000001</v>
      </c>
      <c r="AG1943">
        <f t="shared" si="306"/>
        <v>0</v>
      </c>
      <c r="AH1943">
        <f t="shared" si="307"/>
        <v>0</v>
      </c>
      <c r="AI1943">
        <f t="shared" si="308"/>
        <v>0</v>
      </c>
      <c r="AJ1943">
        <v>299.7</v>
      </c>
      <c r="AK1943">
        <v>1010.5</v>
      </c>
      <c r="AL1943">
        <v>4.8</v>
      </c>
      <c r="AM1943">
        <v>6.2</v>
      </c>
      <c r="AN1943">
        <v>312.2</v>
      </c>
      <c r="AO1943">
        <v>27</v>
      </c>
      <c r="AP1943">
        <v>9</v>
      </c>
      <c r="AQ1943">
        <v>0</v>
      </c>
      <c r="AR1943" t="s">
        <v>6390</v>
      </c>
      <c r="AS1943" t="s">
        <v>6391</v>
      </c>
      <c r="AT1943">
        <v>0.31</v>
      </c>
      <c r="AU1943" t="s">
        <v>74</v>
      </c>
      <c r="AV1943" t="s">
        <v>2955</v>
      </c>
      <c r="AW1943" t="s">
        <v>75</v>
      </c>
      <c r="AX1943" t="s">
        <v>2452</v>
      </c>
      <c r="AY1943" t="s">
        <v>6595</v>
      </c>
      <c r="AZ1943">
        <v>1969.9999999988361</v>
      </c>
      <c r="BA1943">
        <v>1</v>
      </c>
      <c r="BB1943">
        <v>0</v>
      </c>
      <c r="BC1943">
        <v>100</v>
      </c>
      <c r="BD1943">
        <v>0</v>
      </c>
      <c r="BE1943">
        <f t="shared" si="309"/>
        <v>1</v>
      </c>
    </row>
    <row r="1944" spans="1:57" x14ac:dyDescent="0.25">
      <c r="A1944" t="s">
        <v>39</v>
      </c>
      <c r="B1944" t="s">
        <v>6596</v>
      </c>
      <c r="C1944">
        <v>84.2</v>
      </c>
      <c r="D1944">
        <v>71.599999999999994</v>
      </c>
      <c r="G1944">
        <f t="shared" si="300"/>
        <v>0</v>
      </c>
      <c r="H1944">
        <f t="shared" si="301"/>
        <v>0</v>
      </c>
      <c r="I1944">
        <f t="shared" si="302"/>
        <v>0</v>
      </c>
      <c r="J1944">
        <v>79.400000000000006</v>
      </c>
      <c r="K1944">
        <v>91</v>
      </c>
      <c r="L1944">
        <v>71.599999999999994</v>
      </c>
      <c r="M1944">
        <v>82.1</v>
      </c>
      <c r="N1944">
        <v>71.099999999999994</v>
      </c>
      <c r="O1944">
        <v>76</v>
      </c>
      <c r="S1944">
        <f t="shared" si="303"/>
        <v>1</v>
      </c>
      <c r="T1944">
        <f t="shared" si="304"/>
        <v>1</v>
      </c>
      <c r="U1944">
        <f t="shared" si="305"/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23</v>
      </c>
      <c r="AC1944">
        <v>13.9</v>
      </c>
      <c r="AG1944">
        <f t="shared" si="306"/>
        <v>1</v>
      </c>
      <c r="AH1944">
        <f t="shared" si="307"/>
        <v>0</v>
      </c>
      <c r="AI1944">
        <f t="shared" si="308"/>
        <v>1</v>
      </c>
      <c r="AJ1944">
        <v>308.39999999999998</v>
      </c>
      <c r="AK1944">
        <v>1011.9</v>
      </c>
      <c r="AL1944">
        <v>12</v>
      </c>
      <c r="AM1944">
        <v>6.2</v>
      </c>
      <c r="AN1944">
        <v>290</v>
      </c>
      <c r="AO1944">
        <v>25.2</v>
      </c>
      <c r="AP1944">
        <v>9</v>
      </c>
      <c r="AQ1944">
        <v>0</v>
      </c>
      <c r="AR1944" t="s">
        <v>6597</v>
      </c>
      <c r="AS1944" t="s">
        <v>6598</v>
      </c>
      <c r="AT1944">
        <v>0.64</v>
      </c>
      <c r="AU1944" t="s">
        <v>74</v>
      </c>
      <c r="AV1944" t="s">
        <v>2955</v>
      </c>
      <c r="AW1944" t="s">
        <v>75</v>
      </c>
      <c r="AX1944" t="s">
        <v>4357</v>
      </c>
      <c r="AY1944" t="s">
        <v>6599</v>
      </c>
      <c r="AZ1944">
        <v>14835.000000003491</v>
      </c>
      <c r="BA1944">
        <v>1</v>
      </c>
      <c r="BB1944">
        <v>0</v>
      </c>
      <c r="BC1944">
        <v>100</v>
      </c>
      <c r="BD1944">
        <v>0</v>
      </c>
      <c r="BE1944">
        <f t="shared" si="309"/>
        <v>0</v>
      </c>
    </row>
    <row r="1945" spans="1:57" x14ac:dyDescent="0.25">
      <c r="A1945" t="s">
        <v>39</v>
      </c>
      <c r="B1945" t="s">
        <v>6600</v>
      </c>
      <c r="C1945">
        <v>78.8</v>
      </c>
      <c r="D1945">
        <v>66.2</v>
      </c>
      <c r="G1945">
        <f t="shared" si="300"/>
        <v>1</v>
      </c>
      <c r="H1945">
        <f t="shared" si="301"/>
        <v>1</v>
      </c>
      <c r="I1945">
        <f t="shared" si="302"/>
        <v>0</v>
      </c>
      <c r="J1945">
        <v>71.8</v>
      </c>
      <c r="K1945">
        <v>78.8</v>
      </c>
      <c r="L1945">
        <v>66.2</v>
      </c>
      <c r="M1945">
        <v>71.8</v>
      </c>
      <c r="N1945">
        <v>63.3</v>
      </c>
      <c r="O1945">
        <v>75.2</v>
      </c>
      <c r="S1945">
        <f t="shared" si="303"/>
        <v>1</v>
      </c>
      <c r="T1945">
        <f t="shared" si="304"/>
        <v>1</v>
      </c>
      <c r="U1945">
        <f t="shared" si="305"/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19.7</v>
      </c>
      <c r="AC1945">
        <v>12.8</v>
      </c>
      <c r="AG1945">
        <f t="shared" si="306"/>
        <v>1</v>
      </c>
      <c r="AH1945">
        <f t="shared" si="307"/>
        <v>0</v>
      </c>
      <c r="AI1945">
        <f t="shared" si="308"/>
        <v>1</v>
      </c>
      <c r="AJ1945">
        <v>96.8</v>
      </c>
      <c r="AK1945">
        <v>1017.3</v>
      </c>
      <c r="AL1945">
        <v>39.700000000000003</v>
      </c>
      <c r="AM1945">
        <v>6.1</v>
      </c>
      <c r="AN1945">
        <v>176.6</v>
      </c>
      <c r="AO1945">
        <v>15.1</v>
      </c>
      <c r="AP1945">
        <v>7</v>
      </c>
      <c r="AQ1945">
        <v>0</v>
      </c>
      <c r="AR1945" t="s">
        <v>6601</v>
      </c>
      <c r="AS1945" t="s">
        <v>6602</v>
      </c>
      <c r="AT1945">
        <v>0.75</v>
      </c>
      <c r="AU1945" t="s">
        <v>43</v>
      </c>
      <c r="AV1945" t="s">
        <v>44</v>
      </c>
      <c r="AW1945" t="s">
        <v>45</v>
      </c>
      <c r="AX1945" t="s">
        <v>4170</v>
      </c>
      <c r="AY1945" t="s">
        <v>6603</v>
      </c>
      <c r="AZ1945">
        <v>1135.0000000011639</v>
      </c>
      <c r="BA1945">
        <v>1</v>
      </c>
      <c r="BB1945">
        <v>1</v>
      </c>
      <c r="BC1945">
        <v>0</v>
      </c>
      <c r="BD1945">
        <v>0</v>
      </c>
      <c r="BE1945">
        <f t="shared" si="309"/>
        <v>1</v>
      </c>
    </row>
    <row r="1946" spans="1:57" x14ac:dyDescent="0.25">
      <c r="A1946" t="s">
        <v>39</v>
      </c>
      <c r="B1946" t="s">
        <v>6254</v>
      </c>
      <c r="C1946">
        <v>84.2</v>
      </c>
      <c r="D1946">
        <v>68</v>
      </c>
      <c r="G1946">
        <f t="shared" si="300"/>
        <v>1</v>
      </c>
      <c r="H1946">
        <f t="shared" si="301"/>
        <v>1</v>
      </c>
      <c r="I1946">
        <f t="shared" si="302"/>
        <v>0</v>
      </c>
      <c r="J1946">
        <v>75.099999999999994</v>
      </c>
      <c r="K1946">
        <v>81.8</v>
      </c>
      <c r="L1946">
        <v>68</v>
      </c>
      <c r="M1946">
        <v>74.7</v>
      </c>
      <c r="N1946">
        <v>50</v>
      </c>
      <c r="O1946">
        <v>44.3</v>
      </c>
      <c r="S1946">
        <f t="shared" si="303"/>
        <v>1</v>
      </c>
      <c r="T1946">
        <f t="shared" si="304"/>
        <v>0</v>
      </c>
      <c r="U1946">
        <f t="shared" si="305"/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48.3</v>
      </c>
      <c r="AC1946">
        <v>38</v>
      </c>
      <c r="AG1946">
        <f t="shared" si="306"/>
        <v>1</v>
      </c>
      <c r="AH1946">
        <f t="shared" si="307"/>
        <v>1</v>
      </c>
      <c r="AI1946">
        <f t="shared" si="308"/>
        <v>0</v>
      </c>
      <c r="AJ1946">
        <v>184.7</v>
      </c>
      <c r="AK1946">
        <v>1004.3</v>
      </c>
      <c r="AL1946">
        <v>36.4</v>
      </c>
      <c r="AM1946">
        <v>5.5</v>
      </c>
      <c r="AN1946">
        <v>279.8</v>
      </c>
      <c r="AO1946">
        <v>24.1</v>
      </c>
      <c r="AP1946">
        <v>9</v>
      </c>
      <c r="AQ1946">
        <v>0</v>
      </c>
      <c r="AR1946" t="s">
        <v>6255</v>
      </c>
      <c r="AS1946" t="s">
        <v>6256</v>
      </c>
      <c r="AT1946">
        <v>0.03</v>
      </c>
      <c r="AU1946" t="s">
        <v>43</v>
      </c>
      <c r="AV1946" t="s">
        <v>44</v>
      </c>
      <c r="AW1946" t="s">
        <v>419</v>
      </c>
      <c r="AX1946" t="s">
        <v>2373</v>
      </c>
      <c r="AY1946" t="s">
        <v>6604</v>
      </c>
      <c r="AZ1946">
        <v>5019.9999999976717</v>
      </c>
      <c r="BA1946">
        <v>1</v>
      </c>
      <c r="BB1946">
        <v>222.55</v>
      </c>
      <c r="BC1946">
        <v>0</v>
      </c>
      <c r="BD1946">
        <v>0</v>
      </c>
      <c r="BE1946">
        <f t="shared" si="309"/>
        <v>1</v>
      </c>
    </row>
    <row r="1947" spans="1:57" x14ac:dyDescent="0.25">
      <c r="A1947" t="s">
        <v>39</v>
      </c>
      <c r="B1947" t="s">
        <v>6605</v>
      </c>
      <c r="C1947">
        <v>71.599999999999994</v>
      </c>
      <c r="D1947">
        <v>59.4</v>
      </c>
      <c r="G1947">
        <f t="shared" si="300"/>
        <v>1</v>
      </c>
      <c r="H1947">
        <f t="shared" si="301"/>
        <v>1</v>
      </c>
      <c r="I1947">
        <f t="shared" si="302"/>
        <v>0</v>
      </c>
      <c r="J1947">
        <v>66.7</v>
      </c>
      <c r="K1947">
        <v>71.599999999999994</v>
      </c>
      <c r="L1947">
        <v>59.4</v>
      </c>
      <c r="M1947">
        <v>66.7</v>
      </c>
      <c r="N1947">
        <v>56.1</v>
      </c>
      <c r="O1947">
        <v>69.8</v>
      </c>
      <c r="S1947">
        <f t="shared" si="303"/>
        <v>1</v>
      </c>
      <c r="T1947">
        <f t="shared" si="304"/>
        <v>1</v>
      </c>
      <c r="U1947">
        <f t="shared" si="305"/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37.1</v>
      </c>
      <c r="AC1947">
        <v>19.7</v>
      </c>
      <c r="AG1947">
        <f t="shared" si="306"/>
        <v>1</v>
      </c>
      <c r="AH1947">
        <f t="shared" si="307"/>
        <v>1</v>
      </c>
      <c r="AI1947">
        <f t="shared" si="308"/>
        <v>0</v>
      </c>
      <c r="AJ1947">
        <v>330.8</v>
      </c>
      <c r="AK1947">
        <v>1018.8</v>
      </c>
      <c r="AL1947">
        <v>31.8</v>
      </c>
      <c r="AM1947">
        <v>6.2</v>
      </c>
      <c r="AN1947">
        <v>294.5</v>
      </c>
      <c r="AO1947">
        <v>25.7</v>
      </c>
      <c r="AP1947">
        <v>9</v>
      </c>
      <c r="AQ1947">
        <v>0</v>
      </c>
      <c r="AR1947" t="s">
        <v>6606</v>
      </c>
      <c r="AS1947" t="s">
        <v>6607</v>
      </c>
      <c r="AT1947">
        <v>0.47</v>
      </c>
      <c r="AU1947" t="s">
        <v>43</v>
      </c>
      <c r="AV1947" t="s">
        <v>44</v>
      </c>
      <c r="AW1947" t="s">
        <v>45</v>
      </c>
      <c r="AX1947" t="s">
        <v>6608</v>
      </c>
      <c r="AY1947" t="s">
        <v>6609</v>
      </c>
      <c r="AZ1947">
        <v>20220.999999999771</v>
      </c>
      <c r="BA1947">
        <v>1</v>
      </c>
      <c r="BB1947">
        <v>0</v>
      </c>
      <c r="BC1947">
        <v>500</v>
      </c>
      <c r="BD1947">
        <v>0</v>
      </c>
      <c r="BE1947">
        <f t="shared" si="309"/>
        <v>1</v>
      </c>
    </row>
    <row r="1948" spans="1:57" x14ac:dyDescent="0.25">
      <c r="A1948" t="s">
        <v>39</v>
      </c>
      <c r="B1948" t="s">
        <v>6610</v>
      </c>
      <c r="C1948">
        <v>84.2</v>
      </c>
      <c r="D1948">
        <v>68</v>
      </c>
      <c r="G1948">
        <f t="shared" si="300"/>
        <v>0</v>
      </c>
      <c r="H1948">
        <f t="shared" si="301"/>
        <v>0</v>
      </c>
      <c r="I1948">
        <f t="shared" si="302"/>
        <v>0</v>
      </c>
      <c r="J1948">
        <v>77.400000000000006</v>
      </c>
      <c r="K1948">
        <v>96.1</v>
      </c>
      <c r="L1948">
        <v>68</v>
      </c>
      <c r="M1948">
        <v>81.099999999999994</v>
      </c>
      <c r="N1948">
        <v>71.3</v>
      </c>
      <c r="O1948">
        <v>81.8</v>
      </c>
      <c r="S1948">
        <f t="shared" si="303"/>
        <v>1</v>
      </c>
      <c r="T1948">
        <f t="shared" si="304"/>
        <v>1</v>
      </c>
      <c r="U1948">
        <f t="shared" si="305"/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30.9</v>
      </c>
      <c r="AC1948">
        <v>19.7</v>
      </c>
      <c r="AG1948">
        <f t="shared" si="306"/>
        <v>1</v>
      </c>
      <c r="AH1948">
        <f t="shared" si="307"/>
        <v>1</v>
      </c>
      <c r="AI1948">
        <f t="shared" si="308"/>
        <v>0</v>
      </c>
      <c r="AJ1948">
        <v>296.60000000000002</v>
      </c>
      <c r="AK1948">
        <v>1009.2</v>
      </c>
      <c r="AL1948">
        <v>10.1</v>
      </c>
      <c r="AM1948">
        <v>6.2</v>
      </c>
      <c r="AN1948">
        <v>328.2</v>
      </c>
      <c r="AO1948">
        <v>28.3</v>
      </c>
      <c r="AP1948">
        <v>10</v>
      </c>
      <c r="AQ1948">
        <v>0</v>
      </c>
      <c r="AR1948" t="s">
        <v>6611</v>
      </c>
      <c r="AS1948" t="s">
        <v>6612</v>
      </c>
      <c r="AT1948">
        <v>0.45</v>
      </c>
      <c r="AU1948" t="s">
        <v>74</v>
      </c>
      <c r="AV1948" t="s">
        <v>2955</v>
      </c>
      <c r="AW1948" t="s">
        <v>75</v>
      </c>
      <c r="AX1948" t="s">
        <v>6613</v>
      </c>
      <c r="AY1948" t="s">
        <v>6614</v>
      </c>
      <c r="AZ1948">
        <v>18680.999999998599</v>
      </c>
      <c r="BA1948">
        <v>1</v>
      </c>
      <c r="BB1948">
        <v>2000</v>
      </c>
      <c r="BC1948">
        <v>1000</v>
      </c>
      <c r="BD1948">
        <v>0</v>
      </c>
      <c r="BE1948">
        <f t="shared" si="309"/>
        <v>1</v>
      </c>
    </row>
    <row r="1949" spans="1:57" x14ac:dyDescent="0.25">
      <c r="A1949" t="s">
        <v>39</v>
      </c>
      <c r="B1949" t="s">
        <v>6407</v>
      </c>
      <c r="C1949">
        <v>60.8</v>
      </c>
      <c r="D1949">
        <v>38.9</v>
      </c>
      <c r="G1949">
        <f t="shared" si="300"/>
        <v>1</v>
      </c>
      <c r="H1949">
        <f t="shared" si="301"/>
        <v>1</v>
      </c>
      <c r="I1949">
        <f t="shared" si="302"/>
        <v>0</v>
      </c>
      <c r="J1949">
        <v>50.6</v>
      </c>
      <c r="K1949">
        <v>60.8</v>
      </c>
      <c r="L1949">
        <v>33.9</v>
      </c>
      <c r="M1949">
        <v>48.4</v>
      </c>
      <c r="N1949">
        <v>43.4</v>
      </c>
      <c r="O1949">
        <v>76.8</v>
      </c>
      <c r="S1949">
        <f t="shared" si="303"/>
        <v>1</v>
      </c>
      <c r="T1949">
        <f t="shared" si="304"/>
        <v>1</v>
      </c>
      <c r="U1949">
        <f t="shared" si="305"/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15.4</v>
      </c>
      <c r="AC1949">
        <v>12.8</v>
      </c>
      <c r="AG1949">
        <f t="shared" si="306"/>
        <v>1</v>
      </c>
      <c r="AH1949">
        <f t="shared" si="307"/>
        <v>0</v>
      </c>
      <c r="AI1949">
        <f t="shared" si="308"/>
        <v>1</v>
      </c>
      <c r="AJ1949">
        <v>154.69999999999999</v>
      </c>
      <c r="AK1949">
        <v>1029.4000000000001</v>
      </c>
      <c r="AL1949">
        <v>27</v>
      </c>
      <c r="AM1949">
        <v>6.2</v>
      </c>
      <c r="AN1949">
        <v>134.1</v>
      </c>
      <c r="AO1949">
        <v>11.8</v>
      </c>
      <c r="AP1949">
        <v>5</v>
      </c>
      <c r="AQ1949">
        <v>0</v>
      </c>
      <c r="AR1949" t="s">
        <v>6408</v>
      </c>
      <c r="AS1949" t="s">
        <v>6409</v>
      </c>
      <c r="AT1949">
        <v>0.64</v>
      </c>
      <c r="AU1949" t="s">
        <v>43</v>
      </c>
      <c r="AV1949" t="s">
        <v>44</v>
      </c>
      <c r="AW1949" t="s">
        <v>45</v>
      </c>
      <c r="AX1949" t="s">
        <v>2452</v>
      </c>
      <c r="AY1949" t="s">
        <v>6615</v>
      </c>
      <c r="AZ1949">
        <v>409.99999999534339</v>
      </c>
      <c r="BA1949">
        <v>1</v>
      </c>
      <c r="BB1949">
        <v>0</v>
      </c>
      <c r="BC1949">
        <v>2</v>
      </c>
      <c r="BD1949">
        <v>0</v>
      </c>
      <c r="BE1949">
        <f t="shared" si="309"/>
        <v>1</v>
      </c>
    </row>
    <row r="1950" spans="1:57" x14ac:dyDescent="0.25">
      <c r="A1950" t="s">
        <v>39</v>
      </c>
      <c r="B1950" t="s">
        <v>6195</v>
      </c>
      <c r="C1950">
        <v>82.4</v>
      </c>
      <c r="D1950">
        <v>64.3</v>
      </c>
      <c r="G1950">
        <f t="shared" si="300"/>
        <v>1</v>
      </c>
      <c r="H1950">
        <f t="shared" si="301"/>
        <v>1</v>
      </c>
      <c r="I1950">
        <f t="shared" si="302"/>
        <v>0</v>
      </c>
      <c r="J1950">
        <v>72.5</v>
      </c>
      <c r="K1950">
        <v>80.3</v>
      </c>
      <c r="L1950">
        <v>64.3</v>
      </c>
      <c r="M1950">
        <v>72.3</v>
      </c>
      <c r="N1950">
        <v>39.4</v>
      </c>
      <c r="O1950">
        <v>31</v>
      </c>
      <c r="S1950">
        <f t="shared" si="303"/>
        <v>1</v>
      </c>
      <c r="T1950">
        <f t="shared" si="304"/>
        <v>0</v>
      </c>
      <c r="U1950">
        <f t="shared" si="305"/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28.9</v>
      </c>
      <c r="AC1950">
        <v>25.3</v>
      </c>
      <c r="AG1950">
        <f t="shared" si="306"/>
        <v>1</v>
      </c>
      <c r="AH1950">
        <f t="shared" si="307"/>
        <v>1</v>
      </c>
      <c r="AI1950">
        <f t="shared" si="308"/>
        <v>0</v>
      </c>
      <c r="AJ1950">
        <v>170.6</v>
      </c>
      <c r="AK1950">
        <v>1025.4000000000001</v>
      </c>
      <c r="AL1950">
        <v>31.8</v>
      </c>
      <c r="AM1950">
        <v>6.2</v>
      </c>
      <c r="AN1950">
        <v>188.9</v>
      </c>
      <c r="AO1950">
        <v>16.399999999999999</v>
      </c>
      <c r="AP1950">
        <v>7</v>
      </c>
      <c r="AQ1950">
        <v>0</v>
      </c>
      <c r="AR1950" t="s">
        <v>6196</v>
      </c>
      <c r="AS1950" t="s">
        <v>6197</v>
      </c>
      <c r="AT1950">
        <v>0.28000000000000003</v>
      </c>
      <c r="AU1950" t="s">
        <v>43</v>
      </c>
      <c r="AV1950" t="s">
        <v>44</v>
      </c>
      <c r="AW1950" t="s">
        <v>45</v>
      </c>
      <c r="AX1950" t="s">
        <v>4564</v>
      </c>
      <c r="AY1950" t="s">
        <v>6616</v>
      </c>
      <c r="AZ1950">
        <v>284.99999999650748</v>
      </c>
      <c r="BA1950">
        <v>0</v>
      </c>
      <c r="BB1950">
        <v>0</v>
      </c>
      <c r="BC1950">
        <v>5</v>
      </c>
      <c r="BD1950">
        <v>0</v>
      </c>
      <c r="BE1950">
        <f t="shared" si="309"/>
        <v>1</v>
      </c>
    </row>
    <row r="1951" spans="1:57" x14ac:dyDescent="0.25">
      <c r="A1951" t="s">
        <v>39</v>
      </c>
      <c r="B1951" t="s">
        <v>6207</v>
      </c>
      <c r="C1951">
        <v>76.900000000000006</v>
      </c>
      <c r="D1951">
        <v>51.5</v>
      </c>
      <c r="G1951">
        <f t="shared" si="300"/>
        <v>1</v>
      </c>
      <c r="H1951">
        <f t="shared" si="301"/>
        <v>1</v>
      </c>
      <c r="I1951">
        <f t="shared" si="302"/>
        <v>0</v>
      </c>
      <c r="J1951">
        <v>63.7</v>
      </c>
      <c r="K1951">
        <v>76.900000000000006</v>
      </c>
      <c r="L1951">
        <v>51.5</v>
      </c>
      <c r="M1951">
        <v>63.7</v>
      </c>
      <c r="N1951">
        <v>49.4</v>
      </c>
      <c r="O1951">
        <v>63.8</v>
      </c>
      <c r="S1951">
        <f t="shared" si="303"/>
        <v>0</v>
      </c>
      <c r="T1951">
        <f t="shared" si="304"/>
        <v>0</v>
      </c>
      <c r="U1951">
        <f t="shared" si="305"/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32.200000000000003</v>
      </c>
      <c r="AC1951">
        <v>20.8</v>
      </c>
      <c r="AG1951">
        <f t="shared" si="306"/>
        <v>1</v>
      </c>
      <c r="AH1951">
        <f t="shared" si="307"/>
        <v>1</v>
      </c>
      <c r="AI1951">
        <f t="shared" si="308"/>
        <v>0</v>
      </c>
      <c r="AJ1951">
        <v>127.6</v>
      </c>
      <c r="AK1951">
        <v>1009.2</v>
      </c>
      <c r="AL1951">
        <v>37.200000000000003</v>
      </c>
      <c r="AM1951">
        <v>6.2</v>
      </c>
      <c r="AN1951">
        <v>226.6</v>
      </c>
      <c r="AO1951">
        <v>19.7</v>
      </c>
      <c r="AP1951">
        <v>8</v>
      </c>
      <c r="AQ1951">
        <v>0</v>
      </c>
      <c r="AR1951" t="s">
        <v>6208</v>
      </c>
      <c r="AS1951" t="s">
        <v>6209</v>
      </c>
      <c r="AT1951">
        <v>0</v>
      </c>
      <c r="AU1951" t="s">
        <v>43</v>
      </c>
      <c r="AV1951" t="s">
        <v>44</v>
      </c>
      <c r="AW1951" t="s">
        <v>45</v>
      </c>
      <c r="AX1951" t="s">
        <v>2582</v>
      </c>
      <c r="AY1951" t="s">
        <v>6617</v>
      </c>
      <c r="AZ1951">
        <v>1450.0000000011639</v>
      </c>
      <c r="BA1951">
        <v>1</v>
      </c>
      <c r="BB1951">
        <v>0</v>
      </c>
      <c r="BC1951">
        <v>100</v>
      </c>
      <c r="BD1951">
        <v>0</v>
      </c>
      <c r="BE1951">
        <f t="shared" si="309"/>
        <v>1</v>
      </c>
    </row>
    <row r="1952" spans="1:57" x14ac:dyDescent="0.25">
      <c r="A1952" t="s">
        <v>39</v>
      </c>
      <c r="B1952" t="s">
        <v>6605</v>
      </c>
      <c r="C1952">
        <v>71.599999999999994</v>
      </c>
      <c r="D1952">
        <v>59.4</v>
      </c>
      <c r="G1952">
        <f t="shared" si="300"/>
        <v>1</v>
      </c>
      <c r="H1952">
        <f t="shared" si="301"/>
        <v>1</v>
      </c>
      <c r="I1952">
        <f t="shared" si="302"/>
        <v>0</v>
      </c>
      <c r="J1952">
        <v>66.7</v>
      </c>
      <c r="K1952">
        <v>71.599999999999994</v>
      </c>
      <c r="L1952">
        <v>59.4</v>
      </c>
      <c r="M1952">
        <v>66.7</v>
      </c>
      <c r="N1952">
        <v>56.1</v>
      </c>
      <c r="O1952">
        <v>69.8</v>
      </c>
      <c r="S1952">
        <f t="shared" si="303"/>
        <v>1</v>
      </c>
      <c r="T1952">
        <f t="shared" si="304"/>
        <v>1</v>
      </c>
      <c r="U1952">
        <f t="shared" si="305"/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37.1</v>
      </c>
      <c r="AC1952">
        <v>19.7</v>
      </c>
      <c r="AG1952">
        <f t="shared" si="306"/>
        <v>1</v>
      </c>
      <c r="AH1952">
        <f t="shared" si="307"/>
        <v>1</v>
      </c>
      <c r="AI1952">
        <f t="shared" si="308"/>
        <v>0</v>
      </c>
      <c r="AJ1952">
        <v>330.8</v>
      </c>
      <c r="AK1952">
        <v>1018.8</v>
      </c>
      <c r="AL1952">
        <v>31.8</v>
      </c>
      <c r="AM1952">
        <v>6.2</v>
      </c>
      <c r="AN1952">
        <v>294.5</v>
      </c>
      <c r="AO1952">
        <v>25.7</v>
      </c>
      <c r="AP1952">
        <v>9</v>
      </c>
      <c r="AQ1952">
        <v>0</v>
      </c>
      <c r="AR1952" t="s">
        <v>6606</v>
      </c>
      <c r="AS1952" t="s">
        <v>6607</v>
      </c>
      <c r="AT1952">
        <v>0.47</v>
      </c>
      <c r="AU1952" t="s">
        <v>43</v>
      </c>
      <c r="AV1952" t="s">
        <v>44</v>
      </c>
      <c r="AW1952" t="s">
        <v>45</v>
      </c>
      <c r="AX1952" t="s">
        <v>2428</v>
      </c>
      <c r="AY1952" t="s">
        <v>6618</v>
      </c>
      <c r="AZ1952">
        <v>6030</v>
      </c>
      <c r="BA1952">
        <v>1</v>
      </c>
      <c r="BB1952">
        <v>0</v>
      </c>
      <c r="BC1952">
        <v>700</v>
      </c>
      <c r="BD1952">
        <v>0</v>
      </c>
      <c r="BE1952">
        <f t="shared" si="309"/>
        <v>1</v>
      </c>
    </row>
    <row r="1953" spans="1:57" x14ac:dyDescent="0.25">
      <c r="A1953" t="s">
        <v>39</v>
      </c>
      <c r="B1953" t="s">
        <v>6619</v>
      </c>
      <c r="C1953">
        <v>78.8</v>
      </c>
      <c r="D1953">
        <v>66.2</v>
      </c>
      <c r="G1953">
        <f t="shared" si="300"/>
        <v>1</v>
      </c>
      <c r="H1953">
        <f t="shared" si="301"/>
        <v>1</v>
      </c>
      <c r="I1953">
        <f t="shared" si="302"/>
        <v>0</v>
      </c>
      <c r="J1953">
        <v>71.5</v>
      </c>
      <c r="K1953">
        <v>78.8</v>
      </c>
      <c r="L1953">
        <v>66.2</v>
      </c>
      <c r="M1953">
        <v>71.5</v>
      </c>
      <c r="N1953">
        <v>60.4</v>
      </c>
      <c r="O1953">
        <v>69</v>
      </c>
      <c r="S1953">
        <f t="shared" si="303"/>
        <v>1</v>
      </c>
      <c r="T1953">
        <f t="shared" si="304"/>
        <v>1</v>
      </c>
      <c r="U1953">
        <f t="shared" si="305"/>
        <v>0</v>
      </c>
      <c r="V1953">
        <v>3.5000000000000003E-2</v>
      </c>
      <c r="W1953">
        <v>100</v>
      </c>
      <c r="X1953">
        <v>4.17</v>
      </c>
      <c r="Y1953" t="s">
        <v>103</v>
      </c>
      <c r="Z1953">
        <v>0</v>
      </c>
      <c r="AA1953">
        <v>0</v>
      </c>
      <c r="AB1953">
        <v>29.1</v>
      </c>
      <c r="AC1953">
        <v>15</v>
      </c>
      <c r="AG1953">
        <f t="shared" si="306"/>
        <v>1</v>
      </c>
      <c r="AH1953">
        <f t="shared" si="307"/>
        <v>0</v>
      </c>
      <c r="AI1953">
        <f t="shared" si="308"/>
        <v>1</v>
      </c>
      <c r="AJ1953">
        <v>109.6</v>
      </c>
      <c r="AK1953">
        <v>1010</v>
      </c>
      <c r="AL1953">
        <v>81</v>
      </c>
      <c r="AM1953">
        <v>5.9</v>
      </c>
      <c r="AN1953">
        <v>165.1</v>
      </c>
      <c r="AO1953">
        <v>14.2</v>
      </c>
      <c r="AP1953">
        <v>6</v>
      </c>
      <c r="AQ1953">
        <v>0</v>
      </c>
      <c r="AR1953" t="s">
        <v>6620</v>
      </c>
      <c r="AS1953" t="s">
        <v>6621</v>
      </c>
      <c r="AT1953">
        <v>0.25</v>
      </c>
      <c r="AU1953" t="s">
        <v>106</v>
      </c>
      <c r="AV1953" t="s">
        <v>296</v>
      </c>
      <c r="AW1953" t="s">
        <v>103</v>
      </c>
      <c r="AX1953" t="s">
        <v>4242</v>
      </c>
      <c r="AY1953" t="s">
        <v>6622</v>
      </c>
      <c r="AZ1953">
        <v>135</v>
      </c>
      <c r="BA1953">
        <v>0</v>
      </c>
      <c r="BB1953">
        <v>0</v>
      </c>
      <c r="BC1953">
        <v>0.01</v>
      </c>
      <c r="BD1953">
        <v>0</v>
      </c>
      <c r="BE1953">
        <f t="shared" si="309"/>
        <v>1</v>
      </c>
    </row>
    <row r="1954" spans="1:57" x14ac:dyDescent="0.25">
      <c r="A1954" t="s">
        <v>39</v>
      </c>
      <c r="B1954" t="s">
        <v>6623</v>
      </c>
      <c r="C1954">
        <v>82.4</v>
      </c>
      <c r="D1954">
        <v>75.2</v>
      </c>
      <c r="G1954">
        <f t="shared" si="300"/>
        <v>0</v>
      </c>
      <c r="H1954">
        <f t="shared" si="301"/>
        <v>0</v>
      </c>
      <c r="I1954">
        <f t="shared" si="302"/>
        <v>0</v>
      </c>
      <c r="J1954">
        <v>78.8</v>
      </c>
      <c r="K1954">
        <v>86.2</v>
      </c>
      <c r="L1954">
        <v>75.2</v>
      </c>
      <c r="M1954">
        <v>80</v>
      </c>
      <c r="N1954">
        <v>67.599999999999994</v>
      </c>
      <c r="O1954">
        <v>68.8</v>
      </c>
      <c r="S1954">
        <f t="shared" si="303"/>
        <v>1</v>
      </c>
      <c r="T1954">
        <f t="shared" si="304"/>
        <v>1</v>
      </c>
      <c r="U1954">
        <f t="shared" si="305"/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37.1</v>
      </c>
      <c r="AC1954">
        <v>20.8</v>
      </c>
      <c r="AG1954">
        <f t="shared" si="306"/>
        <v>1</v>
      </c>
      <c r="AH1954">
        <f t="shared" si="307"/>
        <v>1</v>
      </c>
      <c r="AI1954">
        <f t="shared" si="308"/>
        <v>0</v>
      </c>
      <c r="AJ1954">
        <v>303</v>
      </c>
      <c r="AK1954">
        <v>1011.7</v>
      </c>
      <c r="AL1954">
        <v>26.4</v>
      </c>
      <c r="AM1954">
        <v>6.2</v>
      </c>
      <c r="AN1954">
        <v>320.3</v>
      </c>
      <c r="AO1954">
        <v>27.8</v>
      </c>
      <c r="AP1954">
        <v>9</v>
      </c>
      <c r="AQ1954">
        <v>0</v>
      </c>
      <c r="AR1954" t="s">
        <v>6624</v>
      </c>
      <c r="AS1954" t="s">
        <v>6625</v>
      </c>
      <c r="AT1954">
        <v>0.55000000000000004</v>
      </c>
      <c r="AU1954" t="s">
        <v>43</v>
      </c>
      <c r="AV1954" t="s">
        <v>44</v>
      </c>
      <c r="AW1954" t="s">
        <v>45</v>
      </c>
      <c r="AX1954" t="s">
        <v>6626</v>
      </c>
      <c r="AY1954" t="s">
        <v>6627</v>
      </c>
      <c r="AZ1954">
        <v>6755.999999998603</v>
      </c>
      <c r="BA1954">
        <v>1</v>
      </c>
      <c r="BB1954">
        <v>0</v>
      </c>
      <c r="BC1954">
        <v>980</v>
      </c>
      <c r="BD1954">
        <v>0</v>
      </c>
      <c r="BE1954">
        <f t="shared" si="309"/>
        <v>1</v>
      </c>
    </row>
    <row r="1955" spans="1:57" x14ac:dyDescent="0.25">
      <c r="A1955" t="s">
        <v>39</v>
      </c>
      <c r="B1955" t="s">
        <v>6272</v>
      </c>
      <c r="C1955">
        <v>82.4</v>
      </c>
      <c r="D1955">
        <v>75.2</v>
      </c>
      <c r="G1955">
        <f t="shared" si="300"/>
        <v>0</v>
      </c>
      <c r="H1955">
        <f t="shared" si="301"/>
        <v>0</v>
      </c>
      <c r="I1955">
        <f t="shared" si="302"/>
        <v>0</v>
      </c>
      <c r="J1955">
        <v>79.099999999999994</v>
      </c>
      <c r="K1955">
        <v>88.3</v>
      </c>
      <c r="L1955">
        <v>75.2</v>
      </c>
      <c r="M1955">
        <v>81.2</v>
      </c>
      <c r="N1955">
        <v>73.2</v>
      </c>
      <c r="O1955">
        <v>82.5</v>
      </c>
      <c r="S1955">
        <f t="shared" si="303"/>
        <v>1</v>
      </c>
      <c r="T1955">
        <f t="shared" si="304"/>
        <v>1</v>
      </c>
      <c r="U1955">
        <f t="shared" si="305"/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27.1</v>
      </c>
      <c r="AC1955">
        <v>19.7</v>
      </c>
      <c r="AG1955">
        <f t="shared" si="306"/>
        <v>1</v>
      </c>
      <c r="AH1955">
        <f t="shared" si="307"/>
        <v>1</v>
      </c>
      <c r="AI1955">
        <f t="shared" si="308"/>
        <v>0</v>
      </c>
      <c r="AJ1955">
        <v>310.7</v>
      </c>
      <c r="AK1955">
        <v>1013.2</v>
      </c>
      <c r="AL1955">
        <v>51.5</v>
      </c>
      <c r="AM1955">
        <v>6.2</v>
      </c>
      <c r="AN1955">
        <v>259.3</v>
      </c>
      <c r="AO1955">
        <v>22.4</v>
      </c>
      <c r="AP1955">
        <v>8</v>
      </c>
      <c r="AQ1955">
        <v>0</v>
      </c>
      <c r="AR1955" t="s">
        <v>6273</v>
      </c>
      <c r="AS1955" t="s">
        <v>6274</v>
      </c>
      <c r="AT1955">
        <v>0.34</v>
      </c>
      <c r="AU1955" t="s">
        <v>43</v>
      </c>
      <c r="AV1955" t="s">
        <v>44</v>
      </c>
      <c r="AW1955" t="s">
        <v>45</v>
      </c>
      <c r="AX1955" t="s">
        <v>2476</v>
      </c>
      <c r="AY1955" t="s">
        <v>6628</v>
      </c>
      <c r="AZ1955">
        <v>2599.9999999988358</v>
      </c>
      <c r="BA1955">
        <v>1</v>
      </c>
      <c r="BB1955">
        <v>0</v>
      </c>
      <c r="BC1955">
        <v>25</v>
      </c>
      <c r="BD1955">
        <v>0</v>
      </c>
      <c r="BE1955">
        <f t="shared" si="309"/>
        <v>1</v>
      </c>
    </row>
    <row r="1956" spans="1:57" x14ac:dyDescent="0.25">
      <c r="A1956" t="s">
        <v>39</v>
      </c>
      <c r="B1956" t="s">
        <v>6272</v>
      </c>
      <c r="C1956">
        <v>82.4</v>
      </c>
      <c r="D1956">
        <v>75.2</v>
      </c>
      <c r="G1956">
        <f t="shared" si="300"/>
        <v>0</v>
      </c>
      <c r="H1956">
        <f t="shared" si="301"/>
        <v>0</v>
      </c>
      <c r="I1956">
        <f t="shared" si="302"/>
        <v>0</v>
      </c>
      <c r="J1956">
        <v>79.099999999999994</v>
      </c>
      <c r="K1956">
        <v>88.3</v>
      </c>
      <c r="L1956">
        <v>75.2</v>
      </c>
      <c r="M1956">
        <v>81.2</v>
      </c>
      <c r="N1956">
        <v>73.2</v>
      </c>
      <c r="O1956">
        <v>82.5</v>
      </c>
      <c r="S1956">
        <f t="shared" si="303"/>
        <v>1</v>
      </c>
      <c r="T1956">
        <f t="shared" si="304"/>
        <v>1</v>
      </c>
      <c r="U1956">
        <f t="shared" si="305"/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27.1</v>
      </c>
      <c r="AC1956">
        <v>19.7</v>
      </c>
      <c r="AG1956">
        <f t="shared" si="306"/>
        <v>1</v>
      </c>
      <c r="AH1956">
        <f t="shared" si="307"/>
        <v>1</v>
      </c>
      <c r="AI1956">
        <f t="shared" si="308"/>
        <v>0</v>
      </c>
      <c r="AJ1956">
        <v>310.7</v>
      </c>
      <c r="AK1956">
        <v>1013.2</v>
      </c>
      <c r="AL1956">
        <v>51.5</v>
      </c>
      <c r="AM1956">
        <v>6.2</v>
      </c>
      <c r="AN1956">
        <v>259.3</v>
      </c>
      <c r="AO1956">
        <v>22.4</v>
      </c>
      <c r="AP1956">
        <v>8</v>
      </c>
      <c r="AQ1956">
        <v>0</v>
      </c>
      <c r="AR1956" t="s">
        <v>6273</v>
      </c>
      <c r="AS1956" t="s">
        <v>6274</v>
      </c>
      <c r="AT1956">
        <v>0.34</v>
      </c>
      <c r="AU1956" t="s">
        <v>43</v>
      </c>
      <c r="AV1956" t="s">
        <v>44</v>
      </c>
      <c r="AW1956" t="s">
        <v>45</v>
      </c>
      <c r="AX1956" t="s">
        <v>2675</v>
      </c>
      <c r="AY1956" t="s">
        <v>6629</v>
      </c>
      <c r="AZ1956">
        <v>200.00000000232831</v>
      </c>
      <c r="BA1956">
        <v>0</v>
      </c>
      <c r="BB1956">
        <v>0</v>
      </c>
      <c r="BC1956">
        <v>0.3</v>
      </c>
      <c r="BD1956">
        <v>0</v>
      </c>
      <c r="BE1956">
        <f t="shared" si="309"/>
        <v>0</v>
      </c>
    </row>
    <row r="1957" spans="1:57" x14ac:dyDescent="0.25">
      <c r="A1957" t="s">
        <v>39</v>
      </c>
      <c r="B1957" t="s">
        <v>6630</v>
      </c>
      <c r="C1957">
        <v>64.400000000000006</v>
      </c>
      <c r="D1957">
        <v>42</v>
      </c>
      <c r="G1957">
        <f t="shared" si="300"/>
        <v>1</v>
      </c>
      <c r="H1957">
        <f t="shared" si="301"/>
        <v>1</v>
      </c>
      <c r="I1957">
        <f t="shared" si="302"/>
        <v>0</v>
      </c>
      <c r="J1957">
        <v>55.7</v>
      </c>
      <c r="K1957">
        <v>64.400000000000006</v>
      </c>
      <c r="L1957">
        <v>39.6</v>
      </c>
      <c r="M1957">
        <v>54.1</v>
      </c>
      <c r="N1957">
        <v>45.9</v>
      </c>
      <c r="O1957">
        <v>70.400000000000006</v>
      </c>
      <c r="S1957">
        <f t="shared" si="303"/>
        <v>1</v>
      </c>
      <c r="T1957">
        <f t="shared" si="304"/>
        <v>1</v>
      </c>
      <c r="U1957">
        <f t="shared" si="305"/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31.1</v>
      </c>
      <c r="AC1957">
        <v>23</v>
      </c>
      <c r="AG1957">
        <f t="shared" si="306"/>
        <v>1</v>
      </c>
      <c r="AH1957">
        <f t="shared" si="307"/>
        <v>1</v>
      </c>
      <c r="AI1957">
        <f t="shared" si="308"/>
        <v>0</v>
      </c>
      <c r="AJ1957">
        <v>184.9</v>
      </c>
      <c r="AK1957">
        <v>1018.2</v>
      </c>
      <c r="AL1957">
        <v>46.3</v>
      </c>
      <c r="AM1957">
        <v>6.2</v>
      </c>
      <c r="AN1957">
        <v>142.9</v>
      </c>
      <c r="AO1957">
        <v>12.4</v>
      </c>
      <c r="AP1957">
        <v>5</v>
      </c>
      <c r="AQ1957">
        <v>0</v>
      </c>
      <c r="AR1957" t="s">
        <v>6631</v>
      </c>
      <c r="AS1957" t="s">
        <v>6632</v>
      </c>
      <c r="AT1957">
        <v>0.06</v>
      </c>
      <c r="AU1957" t="s">
        <v>43</v>
      </c>
      <c r="AV1957" t="s">
        <v>44</v>
      </c>
      <c r="AW1957" t="s">
        <v>45</v>
      </c>
      <c r="AX1957" t="s">
        <v>2725</v>
      </c>
      <c r="AY1957" t="s">
        <v>6633</v>
      </c>
      <c r="AZ1957">
        <v>214.99999999883579</v>
      </c>
      <c r="BA1957">
        <v>0</v>
      </c>
      <c r="BB1957">
        <v>0</v>
      </c>
      <c r="BC1957">
        <v>1</v>
      </c>
      <c r="BD1957">
        <v>0</v>
      </c>
      <c r="BE1957">
        <f t="shared" si="309"/>
        <v>1</v>
      </c>
    </row>
    <row r="1958" spans="1:57" x14ac:dyDescent="0.25">
      <c r="A1958" t="s">
        <v>39</v>
      </c>
      <c r="B1958" t="s">
        <v>6634</v>
      </c>
      <c r="C1958">
        <v>71.599999999999994</v>
      </c>
      <c r="D1958">
        <v>53.6</v>
      </c>
      <c r="G1958">
        <f t="shared" si="300"/>
        <v>1</v>
      </c>
      <c r="H1958">
        <f t="shared" si="301"/>
        <v>1</v>
      </c>
      <c r="I1958">
        <f t="shared" si="302"/>
        <v>0</v>
      </c>
      <c r="J1958">
        <v>62.6</v>
      </c>
      <c r="K1958">
        <v>71.599999999999994</v>
      </c>
      <c r="L1958">
        <v>53.6</v>
      </c>
      <c r="M1958">
        <v>62.6</v>
      </c>
      <c r="N1958">
        <v>48.3</v>
      </c>
      <c r="O1958">
        <v>61.5</v>
      </c>
      <c r="S1958">
        <f t="shared" si="303"/>
        <v>1</v>
      </c>
      <c r="T1958">
        <f t="shared" si="304"/>
        <v>0</v>
      </c>
      <c r="U1958">
        <f t="shared" si="305"/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32.200000000000003</v>
      </c>
      <c r="AC1958">
        <v>24.1</v>
      </c>
      <c r="AG1958">
        <f t="shared" si="306"/>
        <v>1</v>
      </c>
      <c r="AH1958">
        <f t="shared" si="307"/>
        <v>1</v>
      </c>
      <c r="AI1958">
        <f t="shared" si="308"/>
        <v>0</v>
      </c>
      <c r="AJ1958">
        <v>173.4</v>
      </c>
      <c r="AK1958">
        <v>1015.7</v>
      </c>
      <c r="AL1958">
        <v>43.9</v>
      </c>
      <c r="AM1958">
        <v>6.2</v>
      </c>
      <c r="AN1958">
        <v>173.4</v>
      </c>
      <c r="AO1958">
        <v>15</v>
      </c>
      <c r="AP1958">
        <v>7</v>
      </c>
      <c r="AQ1958">
        <v>0</v>
      </c>
      <c r="AR1958" t="s">
        <v>6635</v>
      </c>
      <c r="AS1958" t="s">
        <v>6636</v>
      </c>
      <c r="AT1958">
        <v>0.13</v>
      </c>
      <c r="AU1958" t="s">
        <v>43</v>
      </c>
      <c r="AV1958" t="s">
        <v>44</v>
      </c>
      <c r="AW1958" t="s">
        <v>45</v>
      </c>
      <c r="AX1958" t="s">
        <v>2611</v>
      </c>
      <c r="AY1958" t="s">
        <v>6637</v>
      </c>
      <c r="AZ1958">
        <v>69.999999997671694</v>
      </c>
      <c r="BA1958">
        <v>0</v>
      </c>
      <c r="BB1958">
        <v>0</v>
      </c>
      <c r="BC1958">
        <v>3</v>
      </c>
      <c r="BD1958">
        <v>0</v>
      </c>
      <c r="BE1958">
        <f t="shared" si="309"/>
        <v>1</v>
      </c>
    </row>
    <row r="1959" spans="1:57" x14ac:dyDescent="0.25">
      <c r="A1959" t="s">
        <v>39</v>
      </c>
      <c r="B1959" t="s">
        <v>6195</v>
      </c>
      <c r="C1959">
        <v>82.4</v>
      </c>
      <c r="D1959">
        <v>64.3</v>
      </c>
      <c r="G1959">
        <f t="shared" si="300"/>
        <v>1</v>
      </c>
      <c r="H1959">
        <f t="shared" si="301"/>
        <v>1</v>
      </c>
      <c r="I1959">
        <f t="shared" si="302"/>
        <v>0</v>
      </c>
      <c r="J1959">
        <v>72.5</v>
      </c>
      <c r="K1959">
        <v>80.3</v>
      </c>
      <c r="L1959">
        <v>64.3</v>
      </c>
      <c r="M1959">
        <v>72.3</v>
      </c>
      <c r="N1959">
        <v>39.4</v>
      </c>
      <c r="O1959">
        <v>31</v>
      </c>
      <c r="S1959">
        <f t="shared" si="303"/>
        <v>1</v>
      </c>
      <c r="T1959">
        <f t="shared" si="304"/>
        <v>0</v>
      </c>
      <c r="U1959">
        <f t="shared" si="305"/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28.9</v>
      </c>
      <c r="AC1959">
        <v>25.3</v>
      </c>
      <c r="AG1959">
        <f t="shared" si="306"/>
        <v>1</v>
      </c>
      <c r="AH1959">
        <f t="shared" si="307"/>
        <v>1</v>
      </c>
      <c r="AI1959">
        <f t="shared" si="308"/>
        <v>0</v>
      </c>
      <c r="AJ1959">
        <v>170.6</v>
      </c>
      <c r="AK1959">
        <v>1025.4000000000001</v>
      </c>
      <c r="AL1959">
        <v>31.8</v>
      </c>
      <c r="AM1959">
        <v>6.2</v>
      </c>
      <c r="AN1959">
        <v>188.9</v>
      </c>
      <c r="AO1959">
        <v>16.399999999999999</v>
      </c>
      <c r="AP1959">
        <v>7</v>
      </c>
      <c r="AQ1959">
        <v>0</v>
      </c>
      <c r="AR1959" t="s">
        <v>6196</v>
      </c>
      <c r="AS1959" t="s">
        <v>6197</v>
      </c>
      <c r="AT1959">
        <v>0.28000000000000003</v>
      </c>
      <c r="AU1959" t="s">
        <v>43</v>
      </c>
      <c r="AV1959" t="s">
        <v>44</v>
      </c>
      <c r="AW1959" t="s">
        <v>45</v>
      </c>
      <c r="AX1959" t="s">
        <v>4290</v>
      </c>
      <c r="AY1959" t="s">
        <v>6638</v>
      </c>
      <c r="AZ1959">
        <v>259.99999999883579</v>
      </c>
      <c r="BA1959">
        <v>0</v>
      </c>
      <c r="BB1959">
        <v>0</v>
      </c>
      <c r="BC1959">
        <v>3</v>
      </c>
      <c r="BD1959">
        <v>0</v>
      </c>
      <c r="BE1959">
        <f t="shared" si="309"/>
        <v>1</v>
      </c>
    </row>
    <row r="1960" spans="1:57" x14ac:dyDescent="0.25">
      <c r="A1960" t="s">
        <v>39</v>
      </c>
      <c r="B1960" t="s">
        <v>6156</v>
      </c>
      <c r="C1960">
        <v>71.599999999999994</v>
      </c>
      <c r="D1960">
        <v>62.6</v>
      </c>
      <c r="G1960">
        <f t="shared" si="300"/>
        <v>1</v>
      </c>
      <c r="H1960">
        <f t="shared" si="301"/>
        <v>1</v>
      </c>
      <c r="I1960">
        <f t="shared" si="302"/>
        <v>0</v>
      </c>
      <c r="J1960">
        <v>68.2</v>
      </c>
      <c r="K1960">
        <v>71.599999999999994</v>
      </c>
      <c r="L1960">
        <v>62.6</v>
      </c>
      <c r="M1960">
        <v>68.2</v>
      </c>
      <c r="N1960">
        <v>43.4</v>
      </c>
      <c r="O1960">
        <v>41.6</v>
      </c>
      <c r="S1960">
        <f t="shared" si="303"/>
        <v>1</v>
      </c>
      <c r="T1960">
        <f t="shared" si="304"/>
        <v>0</v>
      </c>
      <c r="U1960">
        <f t="shared" si="305"/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69.099999999999994</v>
      </c>
      <c r="AC1960">
        <v>46.1</v>
      </c>
      <c r="AG1960">
        <f t="shared" si="306"/>
        <v>1</v>
      </c>
      <c r="AH1960">
        <f t="shared" si="307"/>
        <v>1</v>
      </c>
      <c r="AI1960">
        <f t="shared" si="308"/>
        <v>0</v>
      </c>
      <c r="AJ1960">
        <v>170.6</v>
      </c>
      <c r="AK1960">
        <v>1004.7</v>
      </c>
      <c r="AL1960">
        <v>56.9</v>
      </c>
      <c r="AM1960">
        <v>5.2</v>
      </c>
      <c r="AN1960">
        <v>189.7</v>
      </c>
      <c r="AO1960">
        <v>16.3</v>
      </c>
      <c r="AP1960">
        <v>6</v>
      </c>
      <c r="AQ1960">
        <v>0</v>
      </c>
      <c r="AR1960" t="s">
        <v>6157</v>
      </c>
      <c r="AS1960" t="s">
        <v>6158</v>
      </c>
      <c r="AT1960">
        <v>0.5</v>
      </c>
      <c r="AU1960" t="s">
        <v>43</v>
      </c>
      <c r="AV1960" t="s">
        <v>44</v>
      </c>
      <c r="AW1960" t="s">
        <v>419</v>
      </c>
      <c r="AX1960" t="s">
        <v>2715</v>
      </c>
      <c r="AY1960" t="s">
        <v>6639</v>
      </c>
      <c r="AZ1960">
        <v>725.00000000582077</v>
      </c>
      <c r="BA1960">
        <v>1</v>
      </c>
      <c r="BB1960">
        <v>30</v>
      </c>
      <c r="BC1960">
        <v>0</v>
      </c>
      <c r="BD1960">
        <v>0</v>
      </c>
      <c r="BE1960">
        <f t="shared" si="309"/>
        <v>1</v>
      </c>
    </row>
    <row r="1961" spans="1:57" x14ac:dyDescent="0.25">
      <c r="A1961" t="s">
        <v>39</v>
      </c>
      <c r="B1961" t="s">
        <v>6254</v>
      </c>
      <c r="C1961">
        <v>84.2</v>
      </c>
      <c r="D1961">
        <v>68</v>
      </c>
      <c r="G1961">
        <f t="shared" si="300"/>
        <v>1</v>
      </c>
      <c r="H1961">
        <f t="shared" si="301"/>
        <v>1</v>
      </c>
      <c r="I1961">
        <f t="shared" si="302"/>
        <v>0</v>
      </c>
      <c r="J1961">
        <v>75.099999999999994</v>
      </c>
      <c r="K1961">
        <v>81.8</v>
      </c>
      <c r="L1961">
        <v>68</v>
      </c>
      <c r="M1961">
        <v>74.7</v>
      </c>
      <c r="N1961">
        <v>50</v>
      </c>
      <c r="O1961">
        <v>44.3</v>
      </c>
      <c r="S1961">
        <f t="shared" si="303"/>
        <v>1</v>
      </c>
      <c r="T1961">
        <f t="shared" si="304"/>
        <v>0</v>
      </c>
      <c r="U1961">
        <f t="shared" si="305"/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48.3</v>
      </c>
      <c r="AC1961">
        <v>38</v>
      </c>
      <c r="AG1961">
        <f t="shared" si="306"/>
        <v>1</v>
      </c>
      <c r="AH1961">
        <f t="shared" si="307"/>
        <v>1</v>
      </c>
      <c r="AI1961">
        <f t="shared" si="308"/>
        <v>0</v>
      </c>
      <c r="AJ1961">
        <v>184.7</v>
      </c>
      <c r="AK1961">
        <v>1004.3</v>
      </c>
      <c r="AL1961">
        <v>36.4</v>
      </c>
      <c r="AM1961">
        <v>5.5</v>
      </c>
      <c r="AN1961">
        <v>279.8</v>
      </c>
      <c r="AO1961">
        <v>24.1</v>
      </c>
      <c r="AP1961">
        <v>9</v>
      </c>
      <c r="AQ1961">
        <v>0</v>
      </c>
      <c r="AR1961" t="s">
        <v>6255</v>
      </c>
      <c r="AS1961" t="s">
        <v>6256</v>
      </c>
      <c r="AT1961">
        <v>0.03</v>
      </c>
      <c r="AU1961" t="s">
        <v>43</v>
      </c>
      <c r="AV1961" t="s">
        <v>44</v>
      </c>
      <c r="AW1961" t="s">
        <v>419</v>
      </c>
      <c r="AX1961" t="s">
        <v>2544</v>
      </c>
      <c r="AY1961" t="s">
        <v>6640</v>
      </c>
      <c r="AZ1961">
        <v>1070.000000009313</v>
      </c>
      <c r="BA1961">
        <v>1</v>
      </c>
      <c r="BB1961">
        <v>0</v>
      </c>
      <c r="BC1961">
        <v>25</v>
      </c>
      <c r="BD1961">
        <v>0</v>
      </c>
      <c r="BE1961">
        <f t="shared" si="309"/>
        <v>1</v>
      </c>
    </row>
    <row r="1962" spans="1:57" x14ac:dyDescent="0.25">
      <c r="A1962" t="s">
        <v>39</v>
      </c>
      <c r="B1962" t="s">
        <v>6641</v>
      </c>
      <c r="C1962">
        <v>84.1</v>
      </c>
      <c r="D1962">
        <v>68</v>
      </c>
      <c r="G1962">
        <f t="shared" si="300"/>
        <v>1</v>
      </c>
      <c r="H1962">
        <f t="shared" si="301"/>
        <v>1</v>
      </c>
      <c r="I1962">
        <f t="shared" si="302"/>
        <v>0</v>
      </c>
      <c r="J1962">
        <v>73.2</v>
      </c>
      <c r="K1962">
        <v>84.4</v>
      </c>
      <c r="L1962">
        <v>68</v>
      </c>
      <c r="M1962">
        <v>73.2</v>
      </c>
      <c r="N1962">
        <v>57</v>
      </c>
      <c r="O1962">
        <v>59.3</v>
      </c>
      <c r="S1962">
        <f t="shared" si="303"/>
        <v>1</v>
      </c>
      <c r="T1962">
        <f t="shared" si="304"/>
        <v>0</v>
      </c>
      <c r="U1962">
        <f t="shared" si="305"/>
        <v>1</v>
      </c>
      <c r="V1962">
        <v>3.9E-2</v>
      </c>
      <c r="W1962">
        <v>100</v>
      </c>
      <c r="X1962">
        <v>4.17</v>
      </c>
      <c r="Y1962" t="s">
        <v>103</v>
      </c>
      <c r="Z1962">
        <v>0</v>
      </c>
      <c r="AA1962">
        <v>0</v>
      </c>
      <c r="AB1962">
        <v>46.1</v>
      </c>
      <c r="AC1962">
        <v>34.4</v>
      </c>
      <c r="AG1962">
        <f t="shared" si="306"/>
        <v>1</v>
      </c>
      <c r="AH1962">
        <f t="shared" si="307"/>
        <v>1</v>
      </c>
      <c r="AI1962">
        <f t="shared" si="308"/>
        <v>0</v>
      </c>
      <c r="AJ1962">
        <v>176.6</v>
      </c>
      <c r="AK1962">
        <v>1008.4</v>
      </c>
      <c r="AL1962">
        <v>59.9</v>
      </c>
      <c r="AM1962">
        <v>5.8</v>
      </c>
      <c r="AN1962">
        <v>318</v>
      </c>
      <c r="AO1962">
        <v>27.6</v>
      </c>
      <c r="AP1962">
        <v>10</v>
      </c>
      <c r="AQ1962">
        <v>0</v>
      </c>
      <c r="AR1962" t="s">
        <v>6642</v>
      </c>
      <c r="AS1962" t="s">
        <v>6643</v>
      </c>
      <c r="AT1962">
        <v>0.48</v>
      </c>
      <c r="AU1962" t="s">
        <v>106</v>
      </c>
      <c r="AV1962" t="s">
        <v>296</v>
      </c>
      <c r="AW1962" t="s">
        <v>103</v>
      </c>
      <c r="AX1962" t="s">
        <v>4530</v>
      </c>
      <c r="AY1962" t="s">
        <v>6644</v>
      </c>
      <c r="AZ1962">
        <v>1125</v>
      </c>
      <c r="BA1962">
        <v>1</v>
      </c>
      <c r="BB1962">
        <v>0</v>
      </c>
      <c r="BC1962">
        <v>1</v>
      </c>
      <c r="BD1962">
        <v>0</v>
      </c>
      <c r="BE1962">
        <f t="shared" si="309"/>
        <v>1</v>
      </c>
    </row>
    <row r="1963" spans="1:57" x14ac:dyDescent="0.25">
      <c r="A1963" t="s">
        <v>39</v>
      </c>
      <c r="B1963" t="s">
        <v>6645</v>
      </c>
      <c r="C1963">
        <v>71.599999999999994</v>
      </c>
      <c r="D1963">
        <v>60.8</v>
      </c>
      <c r="G1963">
        <f t="shared" si="300"/>
        <v>0</v>
      </c>
      <c r="H1963">
        <f t="shared" si="301"/>
        <v>0</v>
      </c>
      <c r="I1963">
        <f t="shared" si="302"/>
        <v>0</v>
      </c>
      <c r="J1963">
        <v>66</v>
      </c>
      <c r="K1963">
        <v>71.599999999999994</v>
      </c>
      <c r="L1963">
        <v>60.8</v>
      </c>
      <c r="M1963">
        <v>66</v>
      </c>
      <c r="N1963">
        <v>56.5</v>
      </c>
      <c r="O1963">
        <v>71.900000000000006</v>
      </c>
      <c r="S1963">
        <f t="shared" si="303"/>
        <v>1</v>
      </c>
      <c r="T1963">
        <f t="shared" si="304"/>
        <v>1</v>
      </c>
      <c r="U1963">
        <f t="shared" si="305"/>
        <v>0</v>
      </c>
      <c r="V1963">
        <v>1E-3</v>
      </c>
      <c r="W1963">
        <v>100</v>
      </c>
      <c r="X1963">
        <v>4.17</v>
      </c>
      <c r="Y1963" t="s">
        <v>103</v>
      </c>
      <c r="Z1963">
        <v>0</v>
      </c>
      <c r="AA1963">
        <v>0</v>
      </c>
      <c r="AB1963">
        <v>36</v>
      </c>
      <c r="AC1963">
        <v>23</v>
      </c>
      <c r="AG1963">
        <f t="shared" si="306"/>
        <v>1</v>
      </c>
      <c r="AH1963">
        <f t="shared" si="307"/>
        <v>1</v>
      </c>
      <c r="AI1963">
        <f t="shared" si="308"/>
        <v>0</v>
      </c>
      <c r="AJ1963">
        <v>294.60000000000002</v>
      </c>
      <c r="AK1963">
        <v>1011.3</v>
      </c>
      <c r="AL1963">
        <v>46.4</v>
      </c>
      <c r="AM1963">
        <v>6.2</v>
      </c>
      <c r="AN1963">
        <v>277.5</v>
      </c>
      <c r="AO1963">
        <v>24.2</v>
      </c>
      <c r="AP1963">
        <v>8</v>
      </c>
      <c r="AQ1963">
        <v>0</v>
      </c>
      <c r="AR1963" t="s">
        <v>6646</v>
      </c>
      <c r="AS1963" t="s">
        <v>6647</v>
      </c>
      <c r="AT1963">
        <v>0.5</v>
      </c>
      <c r="AU1963" t="s">
        <v>106</v>
      </c>
      <c r="AV1963" t="s">
        <v>438</v>
      </c>
      <c r="AW1963" t="s">
        <v>103</v>
      </c>
      <c r="AX1963" t="s">
        <v>4095</v>
      </c>
      <c r="AY1963" t="s">
        <v>6648</v>
      </c>
      <c r="AZ1963">
        <v>130.00000000465661</v>
      </c>
      <c r="BA1963">
        <v>0</v>
      </c>
      <c r="BB1963">
        <v>0</v>
      </c>
      <c r="BC1963">
        <v>3</v>
      </c>
      <c r="BD1963">
        <v>0</v>
      </c>
      <c r="BE1963">
        <f t="shared" si="309"/>
        <v>0</v>
      </c>
    </row>
    <row r="1964" spans="1:57" x14ac:dyDescent="0.25">
      <c r="A1964" t="s">
        <v>39</v>
      </c>
      <c r="B1964" t="s">
        <v>6381</v>
      </c>
      <c r="C1964">
        <v>82.4</v>
      </c>
      <c r="D1964">
        <v>73.400000000000006</v>
      </c>
      <c r="G1964">
        <f t="shared" si="300"/>
        <v>1</v>
      </c>
      <c r="H1964">
        <f t="shared" si="301"/>
        <v>1</v>
      </c>
      <c r="I1964">
        <f t="shared" si="302"/>
        <v>0</v>
      </c>
      <c r="J1964">
        <v>78.3</v>
      </c>
      <c r="K1964">
        <v>92.4</v>
      </c>
      <c r="L1964">
        <v>73.400000000000006</v>
      </c>
      <c r="M1964">
        <v>79.400000000000006</v>
      </c>
      <c r="N1964">
        <v>63.1</v>
      </c>
      <c r="O1964">
        <v>62.7</v>
      </c>
      <c r="S1964">
        <f t="shared" si="303"/>
        <v>1</v>
      </c>
      <c r="T1964">
        <f t="shared" si="304"/>
        <v>1</v>
      </c>
      <c r="U1964">
        <f t="shared" si="305"/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43.8</v>
      </c>
      <c r="AC1964">
        <v>32.200000000000003</v>
      </c>
      <c r="AG1964">
        <f t="shared" si="306"/>
        <v>1</v>
      </c>
      <c r="AH1964">
        <f t="shared" si="307"/>
        <v>1</v>
      </c>
      <c r="AI1964">
        <f t="shared" si="308"/>
        <v>0</v>
      </c>
      <c r="AJ1964">
        <v>242.7</v>
      </c>
      <c r="AK1964">
        <v>1002.8</v>
      </c>
      <c r="AL1964">
        <v>50.8</v>
      </c>
      <c r="AM1964">
        <v>6.2</v>
      </c>
      <c r="AN1964">
        <v>323.89999999999998</v>
      </c>
      <c r="AO1964">
        <v>27.9</v>
      </c>
      <c r="AP1964">
        <v>9</v>
      </c>
      <c r="AQ1964">
        <v>0</v>
      </c>
      <c r="AR1964" t="s">
        <v>6382</v>
      </c>
      <c r="AS1964" t="s">
        <v>6383</v>
      </c>
      <c r="AT1964">
        <v>0.3</v>
      </c>
      <c r="AU1964" t="s">
        <v>43</v>
      </c>
      <c r="AV1964" t="s">
        <v>44</v>
      </c>
      <c r="AW1964" t="s">
        <v>419</v>
      </c>
      <c r="AX1964" t="s">
        <v>6649</v>
      </c>
      <c r="AY1964" t="s">
        <v>6650</v>
      </c>
      <c r="AZ1964">
        <v>9818.0000000051223</v>
      </c>
      <c r="BA1964">
        <v>1</v>
      </c>
      <c r="BB1964">
        <v>550</v>
      </c>
      <c r="BC1964">
        <v>550</v>
      </c>
      <c r="BD1964">
        <v>0</v>
      </c>
      <c r="BE1964">
        <f t="shared" si="309"/>
        <v>1</v>
      </c>
    </row>
    <row r="1965" spans="1:57" x14ac:dyDescent="0.25">
      <c r="A1965" t="s">
        <v>39</v>
      </c>
      <c r="B1965" t="s">
        <v>6651</v>
      </c>
      <c r="C1965">
        <v>82.4</v>
      </c>
      <c r="D1965">
        <v>68</v>
      </c>
      <c r="G1965">
        <f t="shared" si="300"/>
        <v>0</v>
      </c>
      <c r="H1965">
        <f t="shared" si="301"/>
        <v>0</v>
      </c>
      <c r="I1965">
        <f t="shared" si="302"/>
        <v>0</v>
      </c>
      <c r="J1965">
        <v>76.599999999999994</v>
      </c>
      <c r="K1965">
        <v>87.2</v>
      </c>
      <c r="L1965">
        <v>68</v>
      </c>
      <c r="M1965">
        <v>78.2</v>
      </c>
      <c r="N1965">
        <v>68.2</v>
      </c>
      <c r="O1965">
        <v>75.8</v>
      </c>
      <c r="S1965">
        <f t="shared" si="303"/>
        <v>1</v>
      </c>
      <c r="T1965">
        <f t="shared" si="304"/>
        <v>1</v>
      </c>
      <c r="U1965">
        <f t="shared" si="305"/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20.100000000000001</v>
      </c>
      <c r="AC1965">
        <v>13.9</v>
      </c>
      <c r="AG1965">
        <f t="shared" si="306"/>
        <v>1</v>
      </c>
      <c r="AH1965">
        <f t="shared" si="307"/>
        <v>0</v>
      </c>
      <c r="AI1965">
        <f t="shared" si="308"/>
        <v>1</v>
      </c>
      <c r="AJ1965">
        <v>312.60000000000002</v>
      </c>
      <c r="AK1965">
        <v>1010.5</v>
      </c>
      <c r="AL1965">
        <v>9.9</v>
      </c>
      <c r="AM1965">
        <v>6.2</v>
      </c>
      <c r="AN1965">
        <v>0</v>
      </c>
      <c r="AO1965">
        <v>0</v>
      </c>
      <c r="AP1965">
        <v>0</v>
      </c>
      <c r="AQ1965">
        <v>0</v>
      </c>
      <c r="AR1965" t="s">
        <v>6652</v>
      </c>
      <c r="AS1965" t="s">
        <v>6653</v>
      </c>
      <c r="AT1965">
        <v>0.28999999999999998</v>
      </c>
      <c r="AU1965" t="s">
        <v>74</v>
      </c>
      <c r="AV1965" t="s">
        <v>2955</v>
      </c>
      <c r="AW1965" t="s">
        <v>75</v>
      </c>
      <c r="AX1965" t="s">
        <v>2476</v>
      </c>
      <c r="AY1965" t="s">
        <v>6654</v>
      </c>
      <c r="AZ1965">
        <v>459.99999999068677</v>
      </c>
      <c r="BA1965">
        <v>1</v>
      </c>
      <c r="BB1965">
        <v>0</v>
      </c>
      <c r="BC1965">
        <v>2</v>
      </c>
      <c r="BD1965">
        <v>0</v>
      </c>
      <c r="BE1965">
        <f t="shared" si="309"/>
        <v>0</v>
      </c>
    </row>
    <row r="1966" spans="1:57" x14ac:dyDescent="0.25">
      <c r="A1966" t="s">
        <v>39</v>
      </c>
      <c r="B1966" t="s">
        <v>6655</v>
      </c>
      <c r="C1966">
        <v>82.4</v>
      </c>
      <c r="D1966">
        <v>73.400000000000006</v>
      </c>
      <c r="G1966">
        <f t="shared" si="300"/>
        <v>0</v>
      </c>
      <c r="H1966">
        <f t="shared" si="301"/>
        <v>0</v>
      </c>
      <c r="I1966">
        <f t="shared" si="302"/>
        <v>0</v>
      </c>
      <c r="J1966">
        <v>78.5</v>
      </c>
      <c r="K1966">
        <v>86.2</v>
      </c>
      <c r="L1966">
        <v>73.400000000000006</v>
      </c>
      <c r="M1966">
        <v>79.599999999999994</v>
      </c>
      <c r="N1966">
        <v>66.599999999999994</v>
      </c>
      <c r="O1966">
        <v>67.2</v>
      </c>
      <c r="S1966">
        <f t="shared" si="303"/>
        <v>1</v>
      </c>
      <c r="T1966">
        <f t="shared" si="304"/>
        <v>1</v>
      </c>
      <c r="U1966">
        <f t="shared" si="305"/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32</v>
      </c>
      <c r="AC1966">
        <v>18.3</v>
      </c>
      <c r="AG1966">
        <f t="shared" si="306"/>
        <v>0</v>
      </c>
      <c r="AH1966">
        <f t="shared" si="307"/>
        <v>0</v>
      </c>
      <c r="AI1966">
        <f t="shared" si="308"/>
        <v>0</v>
      </c>
      <c r="AJ1966">
        <v>296.60000000000002</v>
      </c>
      <c r="AK1966">
        <v>1013.2</v>
      </c>
      <c r="AL1966">
        <v>44.3</v>
      </c>
      <c r="AM1966">
        <v>6.2</v>
      </c>
      <c r="AN1966">
        <v>269.2</v>
      </c>
      <c r="AO1966">
        <v>23.3</v>
      </c>
      <c r="AP1966">
        <v>9</v>
      </c>
      <c r="AQ1966">
        <v>0</v>
      </c>
      <c r="AR1966" t="s">
        <v>6656</v>
      </c>
      <c r="AS1966" t="s">
        <v>6657</v>
      </c>
      <c r="AT1966">
        <v>0.89</v>
      </c>
      <c r="AU1966" t="s">
        <v>43</v>
      </c>
      <c r="AV1966" t="s">
        <v>44</v>
      </c>
      <c r="AW1966" t="s">
        <v>45</v>
      </c>
      <c r="AX1966" t="s">
        <v>6658</v>
      </c>
      <c r="AY1966" t="s">
        <v>6659</v>
      </c>
      <c r="AZ1966">
        <v>2084.999999996508</v>
      </c>
      <c r="BA1966">
        <v>1</v>
      </c>
      <c r="BB1966">
        <v>0</v>
      </c>
      <c r="BC1966">
        <v>20</v>
      </c>
      <c r="BD1966">
        <v>10</v>
      </c>
      <c r="BE1966">
        <f t="shared" si="309"/>
        <v>0</v>
      </c>
    </row>
    <row r="1967" spans="1:57" x14ac:dyDescent="0.25">
      <c r="A1967" t="s">
        <v>39</v>
      </c>
      <c r="B1967" t="s">
        <v>6660</v>
      </c>
      <c r="C1967">
        <v>82.4</v>
      </c>
      <c r="D1967">
        <v>73.400000000000006</v>
      </c>
      <c r="G1967">
        <f t="shared" si="300"/>
        <v>1</v>
      </c>
      <c r="H1967">
        <f t="shared" si="301"/>
        <v>1</v>
      </c>
      <c r="I1967">
        <f t="shared" si="302"/>
        <v>0</v>
      </c>
      <c r="J1967">
        <v>78.2</v>
      </c>
      <c r="K1967">
        <v>84</v>
      </c>
      <c r="L1967">
        <v>73.400000000000006</v>
      </c>
      <c r="M1967">
        <v>78.7</v>
      </c>
      <c r="N1967">
        <v>63.7</v>
      </c>
      <c r="O1967">
        <v>61.7</v>
      </c>
      <c r="S1967">
        <f t="shared" si="303"/>
        <v>1</v>
      </c>
      <c r="T1967">
        <f t="shared" si="304"/>
        <v>0</v>
      </c>
      <c r="U1967">
        <f t="shared" si="305"/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36.5</v>
      </c>
      <c r="AC1967">
        <v>20.8</v>
      </c>
      <c r="AG1967">
        <f t="shared" si="306"/>
        <v>1</v>
      </c>
      <c r="AH1967">
        <f t="shared" si="307"/>
        <v>1</v>
      </c>
      <c r="AI1967">
        <f t="shared" si="308"/>
        <v>0</v>
      </c>
      <c r="AJ1967">
        <v>301.10000000000002</v>
      </c>
      <c r="AK1967">
        <v>1012.5</v>
      </c>
      <c r="AL1967">
        <v>23.7</v>
      </c>
      <c r="AM1967">
        <v>6.2</v>
      </c>
      <c r="AN1967">
        <v>273.7</v>
      </c>
      <c r="AO1967">
        <v>23.8</v>
      </c>
      <c r="AP1967">
        <v>9</v>
      </c>
      <c r="AQ1967">
        <v>0</v>
      </c>
      <c r="AR1967" t="s">
        <v>6661</v>
      </c>
      <c r="AS1967" t="s">
        <v>6662</v>
      </c>
      <c r="AT1967">
        <v>0.03</v>
      </c>
      <c r="AU1967" t="s">
        <v>43</v>
      </c>
      <c r="AV1967" t="s">
        <v>44</v>
      </c>
      <c r="AW1967" t="s">
        <v>45</v>
      </c>
      <c r="AX1967" t="s">
        <v>4515</v>
      </c>
      <c r="AY1967" t="s">
        <v>6663</v>
      </c>
      <c r="AZ1967">
        <v>1149.9999999976719</v>
      </c>
      <c r="BA1967">
        <v>1</v>
      </c>
      <c r="BB1967">
        <v>0</v>
      </c>
      <c r="BC1967">
        <v>3</v>
      </c>
      <c r="BD1967">
        <v>0</v>
      </c>
      <c r="BE1967">
        <f t="shared" si="309"/>
        <v>1</v>
      </c>
    </row>
    <row r="1968" spans="1:57" x14ac:dyDescent="0.25">
      <c r="A1968" t="s">
        <v>39</v>
      </c>
      <c r="B1968" t="s">
        <v>6664</v>
      </c>
      <c r="C1968">
        <v>84.2</v>
      </c>
      <c r="D1968">
        <v>66.2</v>
      </c>
      <c r="G1968">
        <f t="shared" si="300"/>
        <v>1</v>
      </c>
      <c r="H1968">
        <f t="shared" si="301"/>
        <v>1</v>
      </c>
      <c r="I1968">
        <f t="shared" si="302"/>
        <v>0</v>
      </c>
      <c r="J1968">
        <v>75.099999999999994</v>
      </c>
      <c r="K1968">
        <v>98.3</v>
      </c>
      <c r="L1968">
        <v>66.2</v>
      </c>
      <c r="M1968">
        <v>78.2</v>
      </c>
      <c r="N1968">
        <v>71.900000000000006</v>
      </c>
      <c r="O1968">
        <v>89.7</v>
      </c>
      <c r="S1968">
        <f t="shared" si="303"/>
        <v>1</v>
      </c>
      <c r="T1968">
        <f t="shared" si="304"/>
        <v>1</v>
      </c>
      <c r="U1968">
        <f t="shared" si="305"/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23.8</v>
      </c>
      <c r="AC1968">
        <v>16.100000000000001</v>
      </c>
      <c r="AG1968">
        <f t="shared" si="306"/>
        <v>0</v>
      </c>
      <c r="AH1968">
        <f t="shared" si="307"/>
        <v>0</v>
      </c>
      <c r="AI1968">
        <f t="shared" si="308"/>
        <v>0</v>
      </c>
      <c r="AJ1968">
        <v>115.5</v>
      </c>
      <c r="AK1968">
        <v>1012.7</v>
      </c>
      <c r="AL1968">
        <v>32</v>
      </c>
      <c r="AM1968">
        <v>6.2</v>
      </c>
      <c r="AN1968">
        <v>246.8</v>
      </c>
      <c r="AO1968">
        <v>21.3</v>
      </c>
      <c r="AP1968">
        <v>8</v>
      </c>
      <c r="AQ1968">
        <v>0</v>
      </c>
      <c r="AR1968" t="s">
        <v>6665</v>
      </c>
      <c r="AS1968" t="s">
        <v>6666</v>
      </c>
      <c r="AT1968">
        <v>0.16</v>
      </c>
      <c r="AU1968" t="s">
        <v>43</v>
      </c>
      <c r="AV1968" t="s">
        <v>44</v>
      </c>
      <c r="AW1968" t="s">
        <v>45</v>
      </c>
      <c r="AX1968" t="s">
        <v>6667</v>
      </c>
      <c r="AY1968" t="s">
        <v>6668</v>
      </c>
      <c r="AZ1968">
        <v>45</v>
      </c>
      <c r="BA1968">
        <v>0</v>
      </c>
      <c r="BB1968">
        <v>0</v>
      </c>
      <c r="BC1968">
        <v>0.5</v>
      </c>
      <c r="BD1968">
        <v>0</v>
      </c>
      <c r="BE1968">
        <f t="shared" si="309"/>
        <v>0</v>
      </c>
    </row>
    <row r="1969" spans="1:57" x14ac:dyDescent="0.25">
      <c r="A1969" t="s">
        <v>39</v>
      </c>
      <c r="B1969" t="s">
        <v>6669</v>
      </c>
      <c r="C1969">
        <v>82.4</v>
      </c>
      <c r="D1969">
        <v>68</v>
      </c>
      <c r="G1969">
        <f t="shared" si="300"/>
        <v>1</v>
      </c>
      <c r="H1969">
        <f t="shared" si="301"/>
        <v>1</v>
      </c>
      <c r="I1969">
        <f t="shared" si="302"/>
        <v>0</v>
      </c>
      <c r="J1969">
        <v>77.3</v>
      </c>
      <c r="K1969">
        <v>86.2</v>
      </c>
      <c r="L1969">
        <v>68</v>
      </c>
      <c r="M1969">
        <v>78.400000000000006</v>
      </c>
      <c r="N1969">
        <v>65.599999999999994</v>
      </c>
      <c r="O1969">
        <v>67.900000000000006</v>
      </c>
      <c r="S1969">
        <f t="shared" si="303"/>
        <v>0</v>
      </c>
      <c r="T1969">
        <f t="shared" si="304"/>
        <v>0</v>
      </c>
      <c r="U1969">
        <f t="shared" si="305"/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34.200000000000003</v>
      </c>
      <c r="AC1969">
        <v>18.3</v>
      </c>
      <c r="AG1969">
        <f t="shared" si="306"/>
        <v>1</v>
      </c>
      <c r="AH1969">
        <f t="shared" si="307"/>
        <v>1</v>
      </c>
      <c r="AI1969">
        <f t="shared" si="308"/>
        <v>0</v>
      </c>
      <c r="AJ1969">
        <v>293.89999999999998</v>
      </c>
      <c r="AK1969">
        <v>1013.5</v>
      </c>
      <c r="AL1969">
        <v>8.1999999999999993</v>
      </c>
      <c r="AM1969">
        <v>6.2</v>
      </c>
      <c r="AN1969">
        <v>250.5</v>
      </c>
      <c r="AO1969">
        <v>21.6</v>
      </c>
      <c r="AP1969">
        <v>8</v>
      </c>
      <c r="AQ1969">
        <v>0</v>
      </c>
      <c r="AR1969" t="s">
        <v>6670</v>
      </c>
      <c r="AS1969" t="s">
        <v>6671</v>
      </c>
      <c r="AT1969">
        <v>0.45</v>
      </c>
      <c r="AU1969" t="s">
        <v>74</v>
      </c>
      <c r="AV1969" t="s">
        <v>2955</v>
      </c>
      <c r="AW1969" t="s">
        <v>75</v>
      </c>
      <c r="AX1969" t="s">
        <v>2725</v>
      </c>
      <c r="AY1969" t="s">
        <v>6672</v>
      </c>
      <c r="AZ1969">
        <v>1895.000000005821</v>
      </c>
      <c r="BA1969">
        <v>1</v>
      </c>
      <c r="BB1969">
        <v>0</v>
      </c>
      <c r="BC1969">
        <v>2</v>
      </c>
      <c r="BD1969">
        <v>0</v>
      </c>
      <c r="BE1969">
        <f t="shared" si="309"/>
        <v>1</v>
      </c>
    </row>
    <row r="1970" spans="1:57" x14ac:dyDescent="0.25">
      <c r="A1970" t="s">
        <v>39</v>
      </c>
      <c r="B1970" t="s">
        <v>6330</v>
      </c>
      <c r="C1970">
        <v>82.4</v>
      </c>
      <c r="D1970">
        <v>69.900000000000006</v>
      </c>
      <c r="G1970">
        <f t="shared" si="300"/>
        <v>1</v>
      </c>
      <c r="H1970">
        <f t="shared" si="301"/>
        <v>1</v>
      </c>
      <c r="I1970">
        <f t="shared" si="302"/>
        <v>0</v>
      </c>
      <c r="J1970">
        <v>78.3</v>
      </c>
      <c r="K1970">
        <v>85.4</v>
      </c>
      <c r="L1970">
        <v>69.900000000000006</v>
      </c>
      <c r="M1970">
        <v>79.2</v>
      </c>
      <c r="N1970">
        <v>66.099999999999994</v>
      </c>
      <c r="O1970">
        <v>67</v>
      </c>
      <c r="S1970">
        <f t="shared" si="303"/>
        <v>0</v>
      </c>
      <c r="T1970">
        <f t="shared" si="304"/>
        <v>0</v>
      </c>
      <c r="U1970">
        <f t="shared" si="305"/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27.7</v>
      </c>
      <c r="AC1970">
        <v>16.100000000000001</v>
      </c>
      <c r="AG1970">
        <f t="shared" si="306"/>
        <v>0</v>
      </c>
      <c r="AH1970">
        <f t="shared" si="307"/>
        <v>0</v>
      </c>
      <c r="AI1970">
        <f t="shared" si="308"/>
        <v>0</v>
      </c>
      <c r="AJ1970">
        <v>308.2</v>
      </c>
      <c r="AK1970">
        <v>1015.6</v>
      </c>
      <c r="AL1970">
        <v>13.4</v>
      </c>
      <c r="AM1970">
        <v>6.2</v>
      </c>
      <c r="AN1970">
        <v>252.3</v>
      </c>
      <c r="AO1970">
        <v>21.9</v>
      </c>
      <c r="AP1970">
        <v>8</v>
      </c>
      <c r="AQ1970">
        <v>0</v>
      </c>
      <c r="AR1970" t="s">
        <v>6331</v>
      </c>
      <c r="AS1970" t="s">
        <v>6332</v>
      </c>
      <c r="AT1970">
        <v>0.52</v>
      </c>
      <c r="AU1970" t="s">
        <v>74</v>
      </c>
      <c r="AV1970" t="s">
        <v>2955</v>
      </c>
      <c r="AW1970" t="s">
        <v>75</v>
      </c>
      <c r="AX1970" t="s">
        <v>5651</v>
      </c>
      <c r="AY1970" t="s">
        <v>6673</v>
      </c>
      <c r="AZ1970">
        <v>214.99999999883579</v>
      </c>
      <c r="BA1970">
        <v>0</v>
      </c>
      <c r="BB1970">
        <v>0</v>
      </c>
      <c r="BC1970">
        <v>2</v>
      </c>
      <c r="BD1970">
        <v>0</v>
      </c>
      <c r="BE1970">
        <f t="shared" si="309"/>
        <v>0</v>
      </c>
    </row>
    <row r="1971" spans="1:57" x14ac:dyDescent="0.25">
      <c r="A1971" t="s">
        <v>39</v>
      </c>
      <c r="B1971" t="s">
        <v>6674</v>
      </c>
      <c r="C1971">
        <v>86</v>
      </c>
      <c r="D1971">
        <v>73.400000000000006</v>
      </c>
      <c r="G1971">
        <f t="shared" si="300"/>
        <v>1</v>
      </c>
      <c r="H1971">
        <f t="shared" si="301"/>
        <v>1</v>
      </c>
      <c r="I1971">
        <f t="shared" si="302"/>
        <v>0</v>
      </c>
      <c r="J1971">
        <v>80.400000000000006</v>
      </c>
      <c r="K1971">
        <v>90.9</v>
      </c>
      <c r="L1971">
        <v>73.400000000000006</v>
      </c>
      <c r="M1971">
        <v>82.9</v>
      </c>
      <c r="N1971">
        <v>69.3</v>
      </c>
      <c r="O1971">
        <v>69.900000000000006</v>
      </c>
      <c r="S1971">
        <f t="shared" si="303"/>
        <v>1</v>
      </c>
      <c r="T1971">
        <f t="shared" si="304"/>
        <v>1</v>
      </c>
      <c r="U1971">
        <f t="shared" si="305"/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30</v>
      </c>
      <c r="AC1971">
        <v>15</v>
      </c>
      <c r="AG1971">
        <f t="shared" si="306"/>
        <v>1</v>
      </c>
      <c r="AH1971">
        <f t="shared" si="307"/>
        <v>0</v>
      </c>
      <c r="AI1971">
        <f t="shared" si="308"/>
        <v>1</v>
      </c>
      <c r="AJ1971">
        <v>157</v>
      </c>
      <c r="AK1971">
        <v>1010.9</v>
      </c>
      <c r="AL1971">
        <v>50.2</v>
      </c>
      <c r="AM1971">
        <v>6.2</v>
      </c>
      <c r="AN1971">
        <v>226.7</v>
      </c>
      <c r="AO1971">
        <v>19.600000000000001</v>
      </c>
      <c r="AP1971">
        <v>8</v>
      </c>
      <c r="AQ1971">
        <v>0</v>
      </c>
      <c r="AR1971" t="s">
        <v>6675</v>
      </c>
      <c r="AS1971" t="s">
        <v>6676</v>
      </c>
      <c r="AT1971">
        <v>0.59</v>
      </c>
      <c r="AU1971" t="s">
        <v>43</v>
      </c>
      <c r="AV1971" t="s">
        <v>2026</v>
      </c>
      <c r="AW1971" t="s">
        <v>45</v>
      </c>
      <c r="AX1971" t="s">
        <v>2461</v>
      </c>
      <c r="AY1971" t="s">
        <v>6677</v>
      </c>
      <c r="AZ1971">
        <v>1994.999999996508</v>
      </c>
      <c r="BA1971">
        <v>1</v>
      </c>
      <c r="BB1971">
        <v>0</v>
      </c>
      <c r="BC1971">
        <v>100</v>
      </c>
      <c r="BD1971">
        <v>0</v>
      </c>
      <c r="BE1971">
        <f t="shared" si="309"/>
        <v>1</v>
      </c>
    </row>
    <row r="1972" spans="1:57" x14ac:dyDescent="0.25">
      <c r="A1972" t="s">
        <v>39</v>
      </c>
      <c r="B1972" t="s">
        <v>6678</v>
      </c>
      <c r="C1972">
        <v>77</v>
      </c>
      <c r="D1972">
        <v>62.6</v>
      </c>
      <c r="G1972">
        <f t="shared" si="300"/>
        <v>1</v>
      </c>
      <c r="H1972">
        <f t="shared" si="301"/>
        <v>0</v>
      </c>
      <c r="I1972">
        <f t="shared" si="302"/>
        <v>1</v>
      </c>
      <c r="J1972">
        <v>71</v>
      </c>
      <c r="K1972">
        <v>77</v>
      </c>
      <c r="L1972">
        <v>62.6</v>
      </c>
      <c r="M1972">
        <v>71</v>
      </c>
      <c r="N1972">
        <v>59.7</v>
      </c>
      <c r="O1972">
        <v>68.400000000000006</v>
      </c>
      <c r="S1972">
        <f t="shared" si="303"/>
        <v>0</v>
      </c>
      <c r="T1972">
        <f t="shared" si="304"/>
        <v>0</v>
      </c>
      <c r="U1972">
        <f t="shared" si="305"/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23</v>
      </c>
      <c r="AC1972">
        <v>12.8</v>
      </c>
      <c r="AG1972">
        <f t="shared" si="306"/>
        <v>1</v>
      </c>
      <c r="AH1972">
        <f t="shared" si="307"/>
        <v>0</v>
      </c>
      <c r="AI1972">
        <f t="shared" si="308"/>
        <v>1</v>
      </c>
      <c r="AJ1972">
        <v>317.3</v>
      </c>
      <c r="AK1972">
        <v>1019.3</v>
      </c>
      <c r="AL1972">
        <v>15</v>
      </c>
      <c r="AM1972">
        <v>6.2</v>
      </c>
      <c r="AN1972">
        <v>227.2</v>
      </c>
      <c r="AO1972">
        <v>19.7</v>
      </c>
      <c r="AP1972">
        <v>8</v>
      </c>
      <c r="AQ1972">
        <v>0</v>
      </c>
      <c r="AR1972" t="s">
        <v>6679</v>
      </c>
      <c r="AS1972" t="s">
        <v>6680</v>
      </c>
      <c r="AT1972">
        <v>0.98</v>
      </c>
      <c r="AU1972" t="s">
        <v>74</v>
      </c>
      <c r="AV1972" t="s">
        <v>2955</v>
      </c>
      <c r="AW1972" t="s">
        <v>75</v>
      </c>
      <c r="AX1972" t="s">
        <v>2383</v>
      </c>
      <c r="AY1972" t="s">
        <v>6681</v>
      </c>
      <c r="AZ1972">
        <v>135</v>
      </c>
      <c r="BA1972">
        <v>0</v>
      </c>
      <c r="BB1972">
        <v>0</v>
      </c>
      <c r="BC1972">
        <v>15</v>
      </c>
      <c r="BD1972">
        <v>0</v>
      </c>
      <c r="BE1972">
        <f t="shared" si="309"/>
        <v>0</v>
      </c>
    </row>
    <row r="1973" spans="1:57" x14ac:dyDescent="0.25">
      <c r="A1973" t="s">
        <v>39</v>
      </c>
      <c r="B1973" t="s">
        <v>6342</v>
      </c>
      <c r="C1973">
        <v>79.8</v>
      </c>
      <c r="D1973">
        <v>60.8</v>
      </c>
      <c r="G1973">
        <f t="shared" si="300"/>
        <v>1</v>
      </c>
      <c r="H1973">
        <f t="shared" si="301"/>
        <v>1</v>
      </c>
      <c r="I1973">
        <f t="shared" si="302"/>
        <v>0</v>
      </c>
      <c r="J1973">
        <v>69.599999999999994</v>
      </c>
      <c r="K1973">
        <v>79.8</v>
      </c>
      <c r="L1973">
        <v>60.8</v>
      </c>
      <c r="M1973">
        <v>69.599999999999994</v>
      </c>
      <c r="N1973">
        <v>61.6</v>
      </c>
      <c r="O1973">
        <v>77.3</v>
      </c>
      <c r="S1973">
        <f t="shared" si="303"/>
        <v>1</v>
      </c>
      <c r="T1973">
        <f t="shared" si="304"/>
        <v>1</v>
      </c>
      <c r="U1973">
        <f t="shared" si="305"/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17.2</v>
      </c>
      <c r="AC1973">
        <v>6.9</v>
      </c>
      <c r="AG1973">
        <f t="shared" si="306"/>
        <v>1</v>
      </c>
      <c r="AH1973">
        <f t="shared" si="307"/>
        <v>0</v>
      </c>
      <c r="AI1973">
        <f t="shared" si="308"/>
        <v>1</v>
      </c>
      <c r="AJ1973">
        <v>143.9</v>
      </c>
      <c r="AK1973">
        <v>1016.1</v>
      </c>
      <c r="AL1973">
        <v>30.5</v>
      </c>
      <c r="AM1973">
        <v>6.2</v>
      </c>
      <c r="AN1973">
        <v>218.5</v>
      </c>
      <c r="AO1973">
        <v>19</v>
      </c>
      <c r="AP1973">
        <v>8</v>
      </c>
      <c r="AQ1973">
        <v>0</v>
      </c>
      <c r="AR1973" t="s">
        <v>6343</v>
      </c>
      <c r="AS1973" t="s">
        <v>6344</v>
      </c>
      <c r="AT1973">
        <v>0.05</v>
      </c>
      <c r="AU1973" t="s">
        <v>43</v>
      </c>
      <c r="AV1973" t="s">
        <v>44</v>
      </c>
      <c r="AW1973" t="s">
        <v>45</v>
      </c>
      <c r="AX1973" t="s">
        <v>2670</v>
      </c>
      <c r="AY1973" t="s">
        <v>6682</v>
      </c>
      <c r="AZ1973">
        <v>389.99999999301508</v>
      </c>
      <c r="BA1973">
        <v>1</v>
      </c>
      <c r="BB1973">
        <v>0</v>
      </c>
      <c r="BC1973">
        <v>5</v>
      </c>
      <c r="BD1973">
        <v>0</v>
      </c>
      <c r="BE1973">
        <f t="shared" si="309"/>
        <v>1</v>
      </c>
    </row>
    <row r="1974" spans="1:57" x14ac:dyDescent="0.25">
      <c r="A1974" t="s">
        <v>39</v>
      </c>
      <c r="B1974" t="s">
        <v>6237</v>
      </c>
      <c r="C1974">
        <v>86</v>
      </c>
      <c r="D1974">
        <v>65.7</v>
      </c>
      <c r="G1974">
        <f t="shared" si="300"/>
        <v>1</v>
      </c>
      <c r="H1974">
        <f t="shared" si="301"/>
        <v>1</v>
      </c>
      <c r="I1974">
        <f t="shared" si="302"/>
        <v>0</v>
      </c>
      <c r="J1974">
        <v>76.599999999999994</v>
      </c>
      <c r="K1974">
        <v>104.8</v>
      </c>
      <c r="L1974">
        <v>65.7</v>
      </c>
      <c r="M1974">
        <v>78</v>
      </c>
      <c r="N1974">
        <v>63.7</v>
      </c>
      <c r="O1974">
        <v>66.400000000000006</v>
      </c>
      <c r="S1974">
        <f t="shared" si="303"/>
        <v>0</v>
      </c>
      <c r="T1974">
        <f t="shared" si="304"/>
        <v>0</v>
      </c>
      <c r="U1974">
        <f t="shared" si="305"/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34.700000000000003</v>
      </c>
      <c r="AC1974">
        <v>19.7</v>
      </c>
      <c r="AG1974">
        <f t="shared" si="306"/>
        <v>1</v>
      </c>
      <c r="AH1974">
        <f t="shared" si="307"/>
        <v>1</v>
      </c>
      <c r="AI1974">
        <f t="shared" si="308"/>
        <v>0</v>
      </c>
      <c r="AJ1974">
        <v>208.7</v>
      </c>
      <c r="AK1974">
        <v>1011.3</v>
      </c>
      <c r="AL1974">
        <v>63</v>
      </c>
      <c r="AM1974">
        <v>6.2</v>
      </c>
      <c r="AN1974">
        <v>163.69999999999999</v>
      </c>
      <c r="AO1974">
        <v>14.1</v>
      </c>
      <c r="AP1974">
        <v>6</v>
      </c>
      <c r="AQ1974">
        <v>0</v>
      </c>
      <c r="AR1974" t="s">
        <v>6238</v>
      </c>
      <c r="AS1974" t="s">
        <v>6239</v>
      </c>
      <c r="AT1974">
        <v>0.34</v>
      </c>
      <c r="AU1974" t="s">
        <v>43</v>
      </c>
      <c r="AV1974" t="s">
        <v>44</v>
      </c>
      <c r="AW1974" t="s">
        <v>45</v>
      </c>
      <c r="AX1974" t="s">
        <v>2373</v>
      </c>
      <c r="AY1974" t="s">
        <v>6683</v>
      </c>
      <c r="AZ1974">
        <v>190.00000000116421</v>
      </c>
      <c r="BA1974">
        <v>0</v>
      </c>
      <c r="BB1974">
        <v>0</v>
      </c>
      <c r="BC1974">
        <v>2</v>
      </c>
      <c r="BD1974">
        <v>0</v>
      </c>
      <c r="BE1974">
        <f t="shared" si="309"/>
        <v>0</v>
      </c>
    </row>
    <row r="1975" spans="1:57" x14ac:dyDescent="0.25">
      <c r="A1975" t="s">
        <v>39</v>
      </c>
      <c r="B1975" t="s">
        <v>6237</v>
      </c>
      <c r="C1975">
        <v>86</v>
      </c>
      <c r="D1975">
        <v>65.7</v>
      </c>
      <c r="G1975">
        <f t="shared" si="300"/>
        <v>1</v>
      </c>
      <c r="H1975">
        <f t="shared" si="301"/>
        <v>1</v>
      </c>
      <c r="I1975">
        <f t="shared" si="302"/>
        <v>0</v>
      </c>
      <c r="J1975">
        <v>76.599999999999994</v>
      </c>
      <c r="K1975">
        <v>104.8</v>
      </c>
      <c r="L1975">
        <v>65.7</v>
      </c>
      <c r="M1975">
        <v>78</v>
      </c>
      <c r="N1975">
        <v>63.7</v>
      </c>
      <c r="O1975">
        <v>66.400000000000006</v>
      </c>
      <c r="S1975">
        <f t="shared" si="303"/>
        <v>0</v>
      </c>
      <c r="T1975">
        <f t="shared" si="304"/>
        <v>0</v>
      </c>
      <c r="U1975">
        <f t="shared" si="305"/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34.700000000000003</v>
      </c>
      <c r="AC1975">
        <v>19.7</v>
      </c>
      <c r="AG1975">
        <f t="shared" si="306"/>
        <v>1</v>
      </c>
      <c r="AH1975">
        <f t="shared" si="307"/>
        <v>1</v>
      </c>
      <c r="AI1975">
        <f t="shared" si="308"/>
        <v>0</v>
      </c>
      <c r="AJ1975">
        <v>208.7</v>
      </c>
      <c r="AK1975">
        <v>1011.3</v>
      </c>
      <c r="AL1975">
        <v>63</v>
      </c>
      <c r="AM1975">
        <v>6.2</v>
      </c>
      <c r="AN1975">
        <v>163.69999999999999</v>
      </c>
      <c r="AO1975">
        <v>14.1</v>
      </c>
      <c r="AP1975">
        <v>6</v>
      </c>
      <c r="AQ1975">
        <v>0</v>
      </c>
      <c r="AR1975" t="s">
        <v>6238</v>
      </c>
      <c r="AS1975" t="s">
        <v>6239</v>
      </c>
      <c r="AT1975">
        <v>0.34</v>
      </c>
      <c r="AU1975" t="s">
        <v>43</v>
      </c>
      <c r="AV1975" t="s">
        <v>44</v>
      </c>
      <c r="AW1975" t="s">
        <v>45</v>
      </c>
      <c r="AX1975" t="s">
        <v>6684</v>
      </c>
      <c r="AY1975" t="s">
        <v>6685</v>
      </c>
      <c r="AZ1975">
        <v>387.9999999969732</v>
      </c>
      <c r="BA1975">
        <v>1</v>
      </c>
      <c r="BB1975">
        <v>0</v>
      </c>
      <c r="BC1975">
        <v>5</v>
      </c>
      <c r="BD1975">
        <v>0</v>
      </c>
      <c r="BE1975">
        <f t="shared" si="309"/>
        <v>1</v>
      </c>
    </row>
    <row r="1976" spans="1:57" x14ac:dyDescent="0.25">
      <c r="A1976" t="s">
        <v>39</v>
      </c>
      <c r="B1976" t="s">
        <v>6313</v>
      </c>
      <c r="C1976">
        <v>75.2</v>
      </c>
      <c r="D1976">
        <v>64.400000000000006</v>
      </c>
      <c r="G1976">
        <f t="shared" si="300"/>
        <v>0</v>
      </c>
      <c r="H1976">
        <f t="shared" si="301"/>
        <v>0</v>
      </c>
      <c r="I1976">
        <f t="shared" si="302"/>
        <v>0</v>
      </c>
      <c r="J1976">
        <v>69.3</v>
      </c>
      <c r="K1976">
        <v>75.2</v>
      </c>
      <c r="L1976">
        <v>64.400000000000006</v>
      </c>
      <c r="M1976">
        <v>69.3</v>
      </c>
      <c r="N1976">
        <v>62.1</v>
      </c>
      <c r="O1976">
        <v>78.2</v>
      </c>
      <c r="S1976">
        <f t="shared" si="303"/>
        <v>1</v>
      </c>
      <c r="T1976">
        <f t="shared" si="304"/>
        <v>1</v>
      </c>
      <c r="U1976">
        <f t="shared" si="305"/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22.8</v>
      </c>
      <c r="AC1976">
        <v>18.3</v>
      </c>
      <c r="AG1976">
        <f t="shared" si="306"/>
        <v>1</v>
      </c>
      <c r="AH1976">
        <f t="shared" si="307"/>
        <v>1</v>
      </c>
      <c r="AI1976">
        <f t="shared" si="308"/>
        <v>0</v>
      </c>
      <c r="AJ1976">
        <v>328.5</v>
      </c>
      <c r="AK1976">
        <v>1017.8</v>
      </c>
      <c r="AL1976">
        <v>64.5</v>
      </c>
      <c r="AM1976">
        <v>6.2</v>
      </c>
      <c r="AN1976">
        <v>157.80000000000001</v>
      </c>
      <c r="AO1976">
        <v>13.5</v>
      </c>
      <c r="AP1976">
        <v>6</v>
      </c>
      <c r="AQ1976">
        <v>0</v>
      </c>
      <c r="AR1976" t="s">
        <v>6314</v>
      </c>
      <c r="AS1976" t="s">
        <v>6315</v>
      </c>
      <c r="AT1976">
        <v>0.54</v>
      </c>
      <c r="AU1976" t="s">
        <v>43</v>
      </c>
      <c r="AV1976" t="s">
        <v>44</v>
      </c>
      <c r="AW1976" t="s">
        <v>45</v>
      </c>
      <c r="AX1976" t="s">
        <v>4788</v>
      </c>
      <c r="AY1976" t="s">
        <v>6686</v>
      </c>
      <c r="AZ1976">
        <v>429.99999999767169</v>
      </c>
      <c r="BA1976">
        <v>1</v>
      </c>
      <c r="BB1976">
        <v>0</v>
      </c>
      <c r="BC1976">
        <v>5</v>
      </c>
      <c r="BD1976">
        <v>0</v>
      </c>
      <c r="BE1976">
        <f t="shared" si="309"/>
        <v>1</v>
      </c>
    </row>
    <row r="1977" spans="1:57" x14ac:dyDescent="0.25">
      <c r="A1977" t="s">
        <v>39</v>
      </c>
      <c r="B1977" t="s">
        <v>6313</v>
      </c>
      <c r="C1977">
        <v>75.2</v>
      </c>
      <c r="D1977">
        <v>64.400000000000006</v>
      </c>
      <c r="G1977">
        <f t="shared" si="300"/>
        <v>0</v>
      </c>
      <c r="H1977">
        <f t="shared" si="301"/>
        <v>0</v>
      </c>
      <c r="I1977">
        <f t="shared" si="302"/>
        <v>0</v>
      </c>
      <c r="J1977">
        <v>69.3</v>
      </c>
      <c r="K1977">
        <v>75.2</v>
      </c>
      <c r="L1977">
        <v>64.400000000000006</v>
      </c>
      <c r="M1977">
        <v>69.3</v>
      </c>
      <c r="N1977">
        <v>62.1</v>
      </c>
      <c r="O1977">
        <v>78.2</v>
      </c>
      <c r="S1977">
        <f t="shared" si="303"/>
        <v>1</v>
      </c>
      <c r="T1977">
        <f t="shared" si="304"/>
        <v>1</v>
      </c>
      <c r="U1977">
        <f t="shared" si="305"/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22.8</v>
      </c>
      <c r="AC1977">
        <v>18.3</v>
      </c>
      <c r="AG1977">
        <f t="shared" si="306"/>
        <v>1</v>
      </c>
      <c r="AH1977">
        <f t="shared" si="307"/>
        <v>1</v>
      </c>
      <c r="AI1977">
        <f t="shared" si="308"/>
        <v>0</v>
      </c>
      <c r="AJ1977">
        <v>328.5</v>
      </c>
      <c r="AK1977">
        <v>1017.8</v>
      </c>
      <c r="AL1977">
        <v>64.5</v>
      </c>
      <c r="AM1977">
        <v>6.2</v>
      </c>
      <c r="AN1977">
        <v>157.80000000000001</v>
      </c>
      <c r="AO1977">
        <v>13.5</v>
      </c>
      <c r="AP1977">
        <v>6</v>
      </c>
      <c r="AQ1977">
        <v>0</v>
      </c>
      <c r="AR1977" t="s">
        <v>6314</v>
      </c>
      <c r="AS1977" t="s">
        <v>6315</v>
      </c>
      <c r="AT1977">
        <v>0.54</v>
      </c>
      <c r="AU1977" t="s">
        <v>43</v>
      </c>
      <c r="AV1977" t="s">
        <v>44</v>
      </c>
      <c r="AW1977" t="s">
        <v>45</v>
      </c>
      <c r="AX1977" t="s">
        <v>2514</v>
      </c>
      <c r="AY1977" t="s">
        <v>6687</v>
      </c>
      <c r="AZ1977">
        <v>145.00000000116421</v>
      </c>
      <c r="BA1977">
        <v>0</v>
      </c>
      <c r="BB1977">
        <v>0</v>
      </c>
      <c r="BC1977">
        <v>0.7</v>
      </c>
      <c r="BD1977">
        <v>0</v>
      </c>
      <c r="BE1977">
        <f t="shared" si="309"/>
        <v>0</v>
      </c>
    </row>
    <row r="1978" spans="1:57" x14ac:dyDescent="0.25">
      <c r="A1978" t="s">
        <v>39</v>
      </c>
      <c r="B1978" t="s">
        <v>6600</v>
      </c>
      <c r="C1978">
        <v>78.8</v>
      </c>
      <c r="D1978">
        <v>66.2</v>
      </c>
      <c r="G1978">
        <f t="shared" si="300"/>
        <v>1</v>
      </c>
      <c r="H1978">
        <f t="shared" si="301"/>
        <v>1</v>
      </c>
      <c r="I1978">
        <f t="shared" si="302"/>
        <v>0</v>
      </c>
      <c r="J1978">
        <v>71.8</v>
      </c>
      <c r="K1978">
        <v>78.8</v>
      </c>
      <c r="L1978">
        <v>66.2</v>
      </c>
      <c r="M1978">
        <v>71.8</v>
      </c>
      <c r="N1978">
        <v>63.3</v>
      </c>
      <c r="O1978">
        <v>75.2</v>
      </c>
      <c r="S1978">
        <f t="shared" si="303"/>
        <v>1</v>
      </c>
      <c r="T1978">
        <f t="shared" si="304"/>
        <v>1</v>
      </c>
      <c r="U1978">
        <f t="shared" si="305"/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19.7</v>
      </c>
      <c r="AC1978">
        <v>12.8</v>
      </c>
      <c r="AG1978">
        <f t="shared" si="306"/>
        <v>1</v>
      </c>
      <c r="AH1978">
        <f t="shared" si="307"/>
        <v>0</v>
      </c>
      <c r="AI1978">
        <f t="shared" si="308"/>
        <v>1</v>
      </c>
      <c r="AJ1978">
        <v>96.8</v>
      </c>
      <c r="AK1978">
        <v>1017.3</v>
      </c>
      <c r="AL1978">
        <v>39.700000000000003</v>
      </c>
      <c r="AM1978">
        <v>6.1</v>
      </c>
      <c r="AN1978">
        <v>176.6</v>
      </c>
      <c r="AO1978">
        <v>15.1</v>
      </c>
      <c r="AP1978">
        <v>7</v>
      </c>
      <c r="AQ1978">
        <v>0</v>
      </c>
      <c r="AR1978" t="s">
        <v>6601</v>
      </c>
      <c r="AS1978" t="s">
        <v>6602</v>
      </c>
      <c r="AT1978">
        <v>0.75</v>
      </c>
      <c r="AU1978" t="s">
        <v>43</v>
      </c>
      <c r="AV1978" t="s">
        <v>44</v>
      </c>
      <c r="AW1978" t="s">
        <v>45</v>
      </c>
      <c r="AX1978" t="s">
        <v>2408</v>
      </c>
      <c r="AY1978" t="s">
        <v>6688</v>
      </c>
      <c r="AZ1978">
        <v>1060.0000000081491</v>
      </c>
      <c r="BA1978">
        <v>1</v>
      </c>
      <c r="BB1978">
        <v>0</v>
      </c>
      <c r="BC1978">
        <v>40</v>
      </c>
      <c r="BD1978">
        <v>0</v>
      </c>
      <c r="BE1978">
        <f t="shared" si="309"/>
        <v>1</v>
      </c>
    </row>
    <row r="1979" spans="1:57" x14ac:dyDescent="0.25">
      <c r="A1979" t="s">
        <v>39</v>
      </c>
      <c r="B1979" t="s">
        <v>6352</v>
      </c>
      <c r="C1979">
        <v>80.599999999999994</v>
      </c>
      <c r="D1979">
        <v>60.8</v>
      </c>
      <c r="G1979">
        <f t="shared" si="300"/>
        <v>1</v>
      </c>
      <c r="H1979">
        <f t="shared" si="301"/>
        <v>1</v>
      </c>
      <c r="I1979">
        <f t="shared" si="302"/>
        <v>0</v>
      </c>
      <c r="J1979">
        <v>71</v>
      </c>
      <c r="K1979">
        <v>81.099999999999994</v>
      </c>
      <c r="L1979">
        <v>60.8</v>
      </c>
      <c r="M1979">
        <v>71</v>
      </c>
      <c r="N1979">
        <v>56.9</v>
      </c>
      <c r="O1979">
        <v>63</v>
      </c>
      <c r="S1979">
        <f t="shared" si="303"/>
        <v>1</v>
      </c>
      <c r="T1979">
        <f t="shared" si="304"/>
        <v>0</v>
      </c>
      <c r="U1979">
        <f t="shared" si="305"/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23.3</v>
      </c>
      <c r="AC1979">
        <v>24.1</v>
      </c>
      <c r="AG1979">
        <f t="shared" si="306"/>
        <v>1</v>
      </c>
      <c r="AH1979">
        <f t="shared" si="307"/>
        <v>1</v>
      </c>
      <c r="AI1979">
        <f t="shared" si="308"/>
        <v>0</v>
      </c>
      <c r="AJ1979">
        <v>171.2</v>
      </c>
      <c r="AK1979">
        <v>1017.4</v>
      </c>
      <c r="AL1979">
        <v>42.2</v>
      </c>
      <c r="AM1979">
        <v>6.2</v>
      </c>
      <c r="AN1979">
        <v>118.2</v>
      </c>
      <c r="AO1979">
        <v>10.1</v>
      </c>
      <c r="AP1979">
        <v>5</v>
      </c>
      <c r="AQ1979">
        <v>0</v>
      </c>
      <c r="AR1979" t="s">
        <v>6353</v>
      </c>
      <c r="AS1979" t="s">
        <v>6354</v>
      </c>
      <c r="AT1979">
        <v>0.25</v>
      </c>
      <c r="AU1979" t="s">
        <v>43</v>
      </c>
      <c r="AV1979" t="s">
        <v>44</v>
      </c>
      <c r="AW1979" t="s">
        <v>45</v>
      </c>
      <c r="AX1979" t="s">
        <v>5937</v>
      </c>
      <c r="AY1979" t="s">
        <v>6689</v>
      </c>
      <c r="AZ1979">
        <v>110.00000000232831</v>
      </c>
      <c r="BA1979">
        <v>0</v>
      </c>
      <c r="BB1979">
        <v>0</v>
      </c>
      <c r="BC1979">
        <v>0.5</v>
      </c>
      <c r="BD1979">
        <v>0</v>
      </c>
      <c r="BE1979">
        <f t="shared" si="309"/>
        <v>1</v>
      </c>
    </row>
    <row r="1980" spans="1:57" x14ac:dyDescent="0.25">
      <c r="A1980" t="s">
        <v>39</v>
      </c>
      <c r="B1980" t="s">
        <v>6690</v>
      </c>
      <c r="C1980">
        <v>80.7</v>
      </c>
      <c r="D1980">
        <v>60.8</v>
      </c>
      <c r="G1980">
        <f t="shared" si="300"/>
        <v>1</v>
      </c>
      <c r="H1980">
        <f t="shared" si="301"/>
        <v>1</v>
      </c>
      <c r="I1980">
        <f t="shared" si="302"/>
        <v>0</v>
      </c>
      <c r="J1980">
        <v>72.5</v>
      </c>
      <c r="K1980">
        <v>80.900000000000006</v>
      </c>
      <c r="L1980">
        <v>60.8</v>
      </c>
      <c r="M1980">
        <v>72.5</v>
      </c>
      <c r="N1980">
        <v>59.8</v>
      </c>
      <c r="O1980">
        <v>65.900000000000006</v>
      </c>
      <c r="S1980">
        <f t="shared" si="303"/>
        <v>0</v>
      </c>
      <c r="T1980">
        <f t="shared" si="304"/>
        <v>0</v>
      </c>
      <c r="U1980">
        <f t="shared" si="305"/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46.1</v>
      </c>
      <c r="AC1980">
        <v>34.4</v>
      </c>
      <c r="AG1980">
        <f t="shared" si="306"/>
        <v>1</v>
      </c>
      <c r="AH1980">
        <f t="shared" si="307"/>
        <v>1</v>
      </c>
      <c r="AI1980">
        <f t="shared" si="308"/>
        <v>0</v>
      </c>
      <c r="AJ1980">
        <v>180.5</v>
      </c>
      <c r="AK1980">
        <v>1012.5</v>
      </c>
      <c r="AL1980">
        <v>41.1</v>
      </c>
      <c r="AM1980">
        <v>6.2</v>
      </c>
      <c r="AN1980">
        <v>137.80000000000001</v>
      </c>
      <c r="AO1980">
        <v>11.8</v>
      </c>
      <c r="AP1980">
        <v>6</v>
      </c>
      <c r="AQ1980">
        <v>0</v>
      </c>
      <c r="AR1980" t="s">
        <v>6691</v>
      </c>
      <c r="AS1980" t="s">
        <v>6692</v>
      </c>
      <c r="AT1980">
        <v>0.33</v>
      </c>
      <c r="AU1980" t="s">
        <v>43</v>
      </c>
      <c r="AV1980" t="s">
        <v>44</v>
      </c>
      <c r="AW1980" t="s">
        <v>419</v>
      </c>
      <c r="AX1980" t="s">
        <v>2631</v>
      </c>
      <c r="AY1980" t="s">
        <v>6693</v>
      </c>
      <c r="AZ1980">
        <v>210.00000000349249</v>
      </c>
      <c r="BA1980">
        <v>0</v>
      </c>
      <c r="BB1980">
        <v>0</v>
      </c>
      <c r="BC1980">
        <v>35</v>
      </c>
      <c r="BD1980">
        <v>0</v>
      </c>
      <c r="BE1980">
        <f t="shared" si="309"/>
        <v>0</v>
      </c>
    </row>
    <row r="1981" spans="1:57" x14ac:dyDescent="0.25">
      <c r="A1981" t="s">
        <v>39</v>
      </c>
      <c r="B1981" t="s">
        <v>6690</v>
      </c>
      <c r="C1981">
        <v>80.7</v>
      </c>
      <c r="D1981">
        <v>60.8</v>
      </c>
      <c r="G1981">
        <f t="shared" si="300"/>
        <v>1</v>
      </c>
      <c r="H1981">
        <f t="shared" si="301"/>
        <v>1</v>
      </c>
      <c r="I1981">
        <f t="shared" si="302"/>
        <v>0</v>
      </c>
      <c r="J1981">
        <v>72.5</v>
      </c>
      <c r="K1981">
        <v>80.900000000000006</v>
      </c>
      <c r="L1981">
        <v>60.8</v>
      </c>
      <c r="M1981">
        <v>72.5</v>
      </c>
      <c r="N1981">
        <v>59.8</v>
      </c>
      <c r="O1981">
        <v>65.900000000000006</v>
      </c>
      <c r="S1981">
        <f t="shared" si="303"/>
        <v>0</v>
      </c>
      <c r="T1981">
        <f t="shared" si="304"/>
        <v>0</v>
      </c>
      <c r="U1981">
        <f t="shared" si="305"/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46.1</v>
      </c>
      <c r="AC1981">
        <v>34.4</v>
      </c>
      <c r="AG1981">
        <f t="shared" si="306"/>
        <v>1</v>
      </c>
      <c r="AH1981">
        <f t="shared" si="307"/>
        <v>1</v>
      </c>
      <c r="AI1981">
        <f t="shared" si="308"/>
        <v>0</v>
      </c>
      <c r="AJ1981">
        <v>180.5</v>
      </c>
      <c r="AK1981">
        <v>1012.5</v>
      </c>
      <c r="AL1981">
        <v>41.1</v>
      </c>
      <c r="AM1981">
        <v>6.2</v>
      </c>
      <c r="AN1981">
        <v>137.80000000000001</v>
      </c>
      <c r="AO1981">
        <v>11.8</v>
      </c>
      <c r="AP1981">
        <v>6</v>
      </c>
      <c r="AQ1981">
        <v>0</v>
      </c>
      <c r="AR1981" t="s">
        <v>6691</v>
      </c>
      <c r="AS1981" t="s">
        <v>6692</v>
      </c>
      <c r="AT1981">
        <v>0.33</v>
      </c>
      <c r="AU1981" t="s">
        <v>43</v>
      </c>
      <c r="AV1981" t="s">
        <v>44</v>
      </c>
      <c r="AW1981" t="s">
        <v>419</v>
      </c>
      <c r="AX1981" t="s">
        <v>4039</v>
      </c>
      <c r="AY1981" t="s">
        <v>6694</v>
      </c>
      <c r="AZ1981">
        <v>235.00000000116421</v>
      </c>
      <c r="BA1981">
        <v>0</v>
      </c>
      <c r="BB1981">
        <v>0</v>
      </c>
      <c r="BC1981">
        <v>1</v>
      </c>
      <c r="BD1981">
        <v>0</v>
      </c>
      <c r="BE1981">
        <f t="shared" si="309"/>
        <v>0</v>
      </c>
    </row>
    <row r="1982" spans="1:57" x14ac:dyDescent="0.25">
      <c r="A1982" t="s">
        <v>39</v>
      </c>
      <c r="B1982" t="s">
        <v>6242</v>
      </c>
      <c r="C1982">
        <v>66.2</v>
      </c>
      <c r="D1982">
        <v>51.8</v>
      </c>
      <c r="G1982">
        <f t="shared" si="300"/>
        <v>0</v>
      </c>
      <c r="H1982">
        <f t="shared" si="301"/>
        <v>0</v>
      </c>
      <c r="I1982">
        <f t="shared" si="302"/>
        <v>0</v>
      </c>
      <c r="J1982">
        <v>59.2</v>
      </c>
      <c r="K1982">
        <v>66.2</v>
      </c>
      <c r="L1982">
        <v>51.8</v>
      </c>
      <c r="M1982">
        <v>59.2</v>
      </c>
      <c r="N1982">
        <v>53.1</v>
      </c>
      <c r="O1982">
        <v>80.599999999999994</v>
      </c>
      <c r="S1982">
        <f t="shared" si="303"/>
        <v>1</v>
      </c>
      <c r="T1982">
        <f t="shared" si="304"/>
        <v>1</v>
      </c>
      <c r="U1982">
        <f t="shared" si="305"/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9.1999999999999993</v>
      </c>
      <c r="AC1982">
        <v>11.3</v>
      </c>
      <c r="AG1982">
        <f t="shared" si="306"/>
        <v>1</v>
      </c>
      <c r="AH1982">
        <f t="shared" si="307"/>
        <v>0</v>
      </c>
      <c r="AI1982">
        <f t="shared" si="308"/>
        <v>1</v>
      </c>
      <c r="AJ1982">
        <v>143.4</v>
      </c>
      <c r="AK1982">
        <v>1018.4</v>
      </c>
      <c r="AL1982">
        <v>30.3</v>
      </c>
      <c r="AM1982">
        <v>6.2</v>
      </c>
      <c r="AN1982">
        <v>114.9</v>
      </c>
      <c r="AO1982">
        <v>9.8000000000000007</v>
      </c>
      <c r="AP1982">
        <v>5</v>
      </c>
      <c r="AQ1982">
        <v>0</v>
      </c>
      <c r="AR1982" t="s">
        <v>6243</v>
      </c>
      <c r="AS1982" t="s">
        <v>6244</v>
      </c>
      <c r="AT1982">
        <v>0.9</v>
      </c>
      <c r="AU1982" t="s">
        <v>43</v>
      </c>
      <c r="AV1982" t="s">
        <v>44</v>
      </c>
      <c r="AW1982" t="s">
        <v>45</v>
      </c>
      <c r="AX1982" t="s">
        <v>2759</v>
      </c>
      <c r="AY1982" t="s">
        <v>6695</v>
      </c>
      <c r="AZ1982">
        <v>65.000000002328306</v>
      </c>
      <c r="BA1982">
        <v>0</v>
      </c>
      <c r="BB1982">
        <v>0</v>
      </c>
      <c r="BC1982">
        <v>0.02</v>
      </c>
      <c r="BD1982">
        <v>0</v>
      </c>
      <c r="BE1982">
        <f t="shared" si="309"/>
        <v>0</v>
      </c>
    </row>
    <row r="1983" spans="1:57" x14ac:dyDescent="0.25">
      <c r="A1983" t="s">
        <v>39</v>
      </c>
      <c r="B1983" t="s">
        <v>6696</v>
      </c>
      <c r="C1983">
        <v>66.2</v>
      </c>
      <c r="D1983">
        <v>47.6</v>
      </c>
      <c r="G1983">
        <f t="shared" si="300"/>
        <v>1</v>
      </c>
      <c r="H1983">
        <f t="shared" si="301"/>
        <v>1</v>
      </c>
      <c r="I1983">
        <f t="shared" si="302"/>
        <v>0</v>
      </c>
      <c r="J1983">
        <v>57.5</v>
      </c>
      <c r="K1983">
        <v>66.2</v>
      </c>
      <c r="L1983">
        <v>46.4</v>
      </c>
      <c r="M1983">
        <v>57.4</v>
      </c>
      <c r="N1983">
        <v>50.2</v>
      </c>
      <c r="O1983">
        <v>77.599999999999994</v>
      </c>
      <c r="S1983">
        <f t="shared" si="303"/>
        <v>1</v>
      </c>
      <c r="T1983">
        <f t="shared" si="304"/>
        <v>1</v>
      </c>
      <c r="U1983">
        <f t="shared" si="305"/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15.4</v>
      </c>
      <c r="AC1983">
        <v>11.4</v>
      </c>
      <c r="AG1983">
        <f t="shared" si="306"/>
        <v>1</v>
      </c>
      <c r="AH1983">
        <f t="shared" si="307"/>
        <v>0</v>
      </c>
      <c r="AI1983">
        <f t="shared" si="308"/>
        <v>1</v>
      </c>
      <c r="AJ1983">
        <v>158.4</v>
      </c>
      <c r="AK1983">
        <v>1015</v>
      </c>
      <c r="AL1983">
        <v>33.200000000000003</v>
      </c>
      <c r="AM1983">
        <v>6.2</v>
      </c>
      <c r="AN1983">
        <v>208.1</v>
      </c>
      <c r="AO1983">
        <v>18</v>
      </c>
      <c r="AP1983">
        <v>7</v>
      </c>
      <c r="AQ1983">
        <v>0</v>
      </c>
      <c r="AR1983" t="s">
        <v>6697</v>
      </c>
      <c r="AS1983" t="s">
        <v>6698</v>
      </c>
      <c r="AT1983">
        <v>0.65</v>
      </c>
      <c r="AU1983" t="s">
        <v>43</v>
      </c>
      <c r="AV1983" t="s">
        <v>44</v>
      </c>
      <c r="AW1983" t="s">
        <v>45</v>
      </c>
      <c r="AX1983" t="s">
        <v>5161</v>
      </c>
      <c r="AY1983" t="s">
        <v>6699</v>
      </c>
      <c r="AZ1983">
        <v>171.0000000020955</v>
      </c>
      <c r="BA1983">
        <v>0</v>
      </c>
      <c r="BB1983">
        <v>0</v>
      </c>
      <c r="BC1983">
        <v>2</v>
      </c>
      <c r="BD1983">
        <v>0</v>
      </c>
      <c r="BE1983">
        <f t="shared" si="309"/>
        <v>1</v>
      </c>
    </row>
    <row r="1984" spans="1:57" x14ac:dyDescent="0.25">
      <c r="A1984" t="s">
        <v>39</v>
      </c>
      <c r="B1984" t="s">
        <v>6696</v>
      </c>
      <c r="C1984">
        <v>66.2</v>
      </c>
      <c r="D1984">
        <v>47.6</v>
      </c>
      <c r="G1984">
        <f t="shared" si="300"/>
        <v>1</v>
      </c>
      <c r="H1984">
        <f t="shared" si="301"/>
        <v>1</v>
      </c>
      <c r="I1984">
        <f t="shared" si="302"/>
        <v>0</v>
      </c>
      <c r="J1984">
        <v>57.5</v>
      </c>
      <c r="K1984">
        <v>66.2</v>
      </c>
      <c r="L1984">
        <v>46.4</v>
      </c>
      <c r="M1984">
        <v>57.4</v>
      </c>
      <c r="N1984">
        <v>50.2</v>
      </c>
      <c r="O1984">
        <v>77.599999999999994</v>
      </c>
      <c r="S1984">
        <f t="shared" si="303"/>
        <v>1</v>
      </c>
      <c r="T1984">
        <f t="shared" si="304"/>
        <v>1</v>
      </c>
      <c r="U1984">
        <f t="shared" si="305"/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15.4</v>
      </c>
      <c r="AC1984">
        <v>11.4</v>
      </c>
      <c r="AG1984">
        <f t="shared" si="306"/>
        <v>1</v>
      </c>
      <c r="AH1984">
        <f t="shared" si="307"/>
        <v>0</v>
      </c>
      <c r="AI1984">
        <f t="shared" si="308"/>
        <v>1</v>
      </c>
      <c r="AJ1984">
        <v>158.4</v>
      </c>
      <c r="AK1984">
        <v>1015</v>
      </c>
      <c r="AL1984">
        <v>33.200000000000003</v>
      </c>
      <c r="AM1984">
        <v>6.2</v>
      </c>
      <c r="AN1984">
        <v>208.1</v>
      </c>
      <c r="AO1984">
        <v>18</v>
      </c>
      <c r="AP1984">
        <v>7</v>
      </c>
      <c r="AQ1984">
        <v>0</v>
      </c>
      <c r="AR1984" t="s">
        <v>6697</v>
      </c>
      <c r="AS1984" t="s">
        <v>6698</v>
      </c>
      <c r="AT1984">
        <v>0.65</v>
      </c>
      <c r="AU1984" t="s">
        <v>43</v>
      </c>
      <c r="AV1984" t="s">
        <v>44</v>
      </c>
      <c r="AW1984" t="s">
        <v>45</v>
      </c>
      <c r="AX1984" t="s">
        <v>5161</v>
      </c>
      <c r="AY1984" t="s">
        <v>6699</v>
      </c>
      <c r="AZ1984">
        <v>191.00000000442381</v>
      </c>
      <c r="BA1984">
        <v>0</v>
      </c>
      <c r="BB1984">
        <v>0</v>
      </c>
      <c r="BC1984">
        <v>1.5</v>
      </c>
      <c r="BD1984">
        <v>0</v>
      </c>
      <c r="BE1984">
        <f t="shared" si="309"/>
        <v>1</v>
      </c>
    </row>
    <row r="1985" spans="1:57" x14ac:dyDescent="0.25">
      <c r="A1985" t="s">
        <v>39</v>
      </c>
      <c r="B1985" t="s">
        <v>6199</v>
      </c>
      <c r="C1985">
        <v>73.400000000000006</v>
      </c>
      <c r="D1985">
        <v>58.6</v>
      </c>
      <c r="G1985">
        <f t="shared" si="300"/>
        <v>1</v>
      </c>
      <c r="H1985">
        <f t="shared" si="301"/>
        <v>1</v>
      </c>
      <c r="I1985">
        <f t="shared" si="302"/>
        <v>0</v>
      </c>
      <c r="J1985">
        <v>68.099999999999994</v>
      </c>
      <c r="K1985">
        <v>73.400000000000006</v>
      </c>
      <c r="L1985">
        <v>58.6</v>
      </c>
      <c r="M1985">
        <v>68.099999999999994</v>
      </c>
      <c r="N1985">
        <v>39.799999999999997</v>
      </c>
      <c r="O1985">
        <v>39.1</v>
      </c>
      <c r="S1985">
        <f t="shared" si="303"/>
        <v>1</v>
      </c>
      <c r="T1985">
        <f t="shared" si="304"/>
        <v>0</v>
      </c>
      <c r="U1985">
        <f t="shared" si="305"/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48.3</v>
      </c>
      <c r="AC1985">
        <v>36.799999999999997</v>
      </c>
      <c r="AG1985">
        <f t="shared" si="306"/>
        <v>1</v>
      </c>
      <c r="AH1985">
        <f t="shared" si="307"/>
        <v>1</v>
      </c>
      <c r="AI1985">
        <f t="shared" si="308"/>
        <v>0</v>
      </c>
      <c r="AJ1985">
        <v>172.2</v>
      </c>
      <c r="AK1985">
        <v>1017.4</v>
      </c>
      <c r="AL1985">
        <v>39.6</v>
      </c>
      <c r="AM1985">
        <v>6.2</v>
      </c>
      <c r="AN1985">
        <v>183.4</v>
      </c>
      <c r="AO1985">
        <v>15.9</v>
      </c>
      <c r="AP1985">
        <v>7</v>
      </c>
      <c r="AQ1985">
        <v>0</v>
      </c>
      <c r="AR1985" t="s">
        <v>6200</v>
      </c>
      <c r="AS1985" t="s">
        <v>6201</v>
      </c>
      <c r="AT1985">
        <v>0.72</v>
      </c>
      <c r="AU1985" t="s">
        <v>43</v>
      </c>
      <c r="AV1985" t="s">
        <v>44</v>
      </c>
      <c r="AW1985" t="s">
        <v>419</v>
      </c>
      <c r="AX1985" t="s">
        <v>6700</v>
      </c>
      <c r="AY1985" t="s">
        <v>6701</v>
      </c>
      <c r="AZ1985">
        <v>56.000000004423782</v>
      </c>
      <c r="BA1985">
        <v>0</v>
      </c>
      <c r="BB1985">
        <v>0</v>
      </c>
      <c r="BC1985">
        <v>0.5</v>
      </c>
      <c r="BD1985">
        <v>0</v>
      </c>
      <c r="BE1985">
        <f t="shared" si="309"/>
        <v>1</v>
      </c>
    </row>
    <row r="1986" spans="1:57" x14ac:dyDescent="0.25">
      <c r="A1986" t="s">
        <v>39</v>
      </c>
      <c r="B1986" t="s">
        <v>6702</v>
      </c>
      <c r="C1986">
        <v>68</v>
      </c>
      <c r="D1986">
        <v>58</v>
      </c>
      <c r="G1986">
        <f t="shared" si="300"/>
        <v>0</v>
      </c>
      <c r="H1986">
        <f t="shared" si="301"/>
        <v>0</v>
      </c>
      <c r="I1986">
        <f t="shared" si="302"/>
        <v>0</v>
      </c>
      <c r="J1986">
        <v>63</v>
      </c>
      <c r="K1986">
        <v>68</v>
      </c>
      <c r="L1986">
        <v>58</v>
      </c>
      <c r="M1986">
        <v>63</v>
      </c>
      <c r="N1986">
        <v>51.1</v>
      </c>
      <c r="O1986">
        <v>66.599999999999994</v>
      </c>
      <c r="S1986">
        <f t="shared" si="303"/>
        <v>1</v>
      </c>
      <c r="T1986">
        <f t="shared" si="304"/>
        <v>1</v>
      </c>
      <c r="U1986">
        <f t="shared" si="305"/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33.6</v>
      </c>
      <c r="AC1986">
        <v>34.4</v>
      </c>
      <c r="AG1986">
        <f t="shared" si="306"/>
        <v>1</v>
      </c>
      <c r="AH1986">
        <f t="shared" si="307"/>
        <v>1</v>
      </c>
      <c r="AI1986">
        <f t="shared" si="308"/>
        <v>0</v>
      </c>
      <c r="AJ1986">
        <v>292.2</v>
      </c>
      <c r="AK1986">
        <v>1007.8</v>
      </c>
      <c r="AL1986">
        <v>28.3</v>
      </c>
      <c r="AM1986">
        <v>6.2</v>
      </c>
      <c r="AN1986">
        <v>300.7</v>
      </c>
      <c r="AO1986">
        <v>26.1</v>
      </c>
      <c r="AP1986">
        <v>10</v>
      </c>
      <c r="AQ1986">
        <v>0</v>
      </c>
      <c r="AR1986" t="s">
        <v>6703</v>
      </c>
      <c r="AS1986" t="s">
        <v>6704</v>
      </c>
      <c r="AT1986">
        <v>0.64</v>
      </c>
      <c r="AU1986" t="s">
        <v>43</v>
      </c>
      <c r="AV1986" t="s">
        <v>44</v>
      </c>
      <c r="AW1986" t="s">
        <v>419</v>
      </c>
      <c r="AX1986" t="s">
        <v>6705</v>
      </c>
      <c r="AY1986" t="s">
        <v>6706</v>
      </c>
      <c r="AZ1986">
        <v>0</v>
      </c>
      <c r="BA1986">
        <v>0</v>
      </c>
      <c r="BB1986">
        <v>0</v>
      </c>
      <c r="BC1986">
        <v>2.5</v>
      </c>
      <c r="BD1986">
        <v>0</v>
      </c>
      <c r="BE1986">
        <f t="shared" si="309"/>
        <v>0</v>
      </c>
    </row>
    <row r="1987" spans="1:57" x14ac:dyDescent="0.25">
      <c r="A1987" t="s">
        <v>39</v>
      </c>
      <c r="B1987" t="s">
        <v>6702</v>
      </c>
      <c r="C1987">
        <v>68</v>
      </c>
      <c r="D1987">
        <v>58</v>
      </c>
      <c r="G1987">
        <f t="shared" ref="G1987:G2050" si="310">IF(ABS(C1987-INDEX($F$2:$F$13,MONTH(B1987)))&gt;1.8,1,0)</f>
        <v>0</v>
      </c>
      <c r="H1987">
        <f t="shared" ref="H1987:H2050" si="311">IF(C1987&gt;=INDEX($F$2:$F$13,MONTH(B1987))+1.8,1,0)</f>
        <v>0</v>
      </c>
      <c r="I1987">
        <f t="shared" ref="I1987:I2050" si="312">IF(C1987&lt;=INDEX($F$2:$F$13,MONTH(B1987))-1.8,1,0)</f>
        <v>0</v>
      </c>
      <c r="J1987">
        <v>63</v>
      </c>
      <c r="K1987">
        <v>68</v>
      </c>
      <c r="L1987">
        <v>58</v>
      </c>
      <c r="M1987">
        <v>63</v>
      </c>
      <c r="N1987">
        <v>51.1</v>
      </c>
      <c r="O1987">
        <v>66.599999999999994</v>
      </c>
      <c r="S1987">
        <f t="shared" ref="S1987:S2050" si="313">IF(OR(O1987&lt;INDEX($Q$2:$Q$13,MONTH(B1987)),O1987&gt;INDEX($R$2:$R$13,MONTH(B1987))),1,0)</f>
        <v>1</v>
      </c>
      <c r="T1987">
        <f t="shared" ref="T1987:T2050" si="314">IF(O1987&gt;INDEX($R$2:$R$13,MONTH(B1987)),1,0)</f>
        <v>1</v>
      </c>
      <c r="U1987">
        <f t="shared" ref="U1987:U2050" si="315">IF(O1987&lt;INDEX($Q$2:$Q$13,MONTH(B1987)),1,0)</f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33.6</v>
      </c>
      <c r="AC1987">
        <v>34.4</v>
      </c>
      <c r="AG1987">
        <f t="shared" ref="AG1987:AG2050" si="316">IF(OR(AC1987&lt;INDEX($AE$2:$AE$13,MONTH(B1987)),AC1987&gt;INDEX($AF$2:$AF$13,MONTH(B1987))),1,0)</f>
        <v>1</v>
      </c>
      <c r="AH1987">
        <f t="shared" ref="AH1987:AH2050" si="317">IF(AC1987&gt;INDEX($AF$2:$AF$13,MONTH(B1987)),1,0)</f>
        <v>1</v>
      </c>
      <c r="AI1987">
        <f t="shared" ref="AI1987:AI2050" si="318">IF(AC1987&lt;INDEX($AE$2:$AE$13,MONTH(B1987)),1,0)</f>
        <v>0</v>
      </c>
      <c r="AJ1987">
        <v>292.2</v>
      </c>
      <c r="AK1987">
        <v>1007.8</v>
      </c>
      <c r="AL1987">
        <v>28.3</v>
      </c>
      <c r="AM1987">
        <v>6.2</v>
      </c>
      <c r="AN1987">
        <v>300.7</v>
      </c>
      <c r="AO1987">
        <v>26.1</v>
      </c>
      <c r="AP1987">
        <v>10</v>
      </c>
      <c r="AQ1987">
        <v>0</v>
      </c>
      <c r="AR1987" t="s">
        <v>6703</v>
      </c>
      <c r="AS1987" t="s">
        <v>6704</v>
      </c>
      <c r="AT1987">
        <v>0.64</v>
      </c>
      <c r="AU1987" t="s">
        <v>43</v>
      </c>
      <c r="AV1987" t="s">
        <v>44</v>
      </c>
      <c r="AW1987" t="s">
        <v>419</v>
      </c>
      <c r="AX1987" t="s">
        <v>5964</v>
      </c>
      <c r="AY1987" t="s">
        <v>6707</v>
      </c>
      <c r="AZ1987">
        <v>145.9999999939464</v>
      </c>
      <c r="BA1987">
        <v>0</v>
      </c>
      <c r="BB1987">
        <v>0</v>
      </c>
      <c r="BC1987">
        <v>0.1</v>
      </c>
      <c r="BD1987">
        <v>0</v>
      </c>
      <c r="BE1987">
        <f t="shared" ref="BE1987:BE2050" si="319">IF((3*AH1987+3*H1987+2*U1987+2*BA1987-(2*(1-T1987)+2*(1-I1987)+2*(1-AI1987)))&gt;=1,1,0)</f>
        <v>0</v>
      </c>
    </row>
    <row r="1988" spans="1:57" x14ac:dyDescent="0.25">
      <c r="A1988" t="s">
        <v>39</v>
      </c>
      <c r="B1988" t="s">
        <v>6708</v>
      </c>
      <c r="C1988">
        <v>62.6</v>
      </c>
      <c r="D1988">
        <v>53.6</v>
      </c>
      <c r="G1988">
        <f t="shared" si="310"/>
        <v>1</v>
      </c>
      <c r="H1988">
        <f t="shared" si="311"/>
        <v>0</v>
      </c>
      <c r="I1988">
        <f t="shared" si="312"/>
        <v>1</v>
      </c>
      <c r="J1988">
        <v>58.1</v>
      </c>
      <c r="K1988">
        <v>62.6</v>
      </c>
      <c r="L1988">
        <v>53.6</v>
      </c>
      <c r="M1988">
        <v>58.1</v>
      </c>
      <c r="N1988">
        <v>53.3</v>
      </c>
      <c r="O1988">
        <v>84.3</v>
      </c>
      <c r="S1988">
        <f t="shared" si="313"/>
        <v>1</v>
      </c>
      <c r="T1988">
        <f t="shared" si="314"/>
        <v>1</v>
      </c>
      <c r="U1988">
        <f t="shared" si="315"/>
        <v>0</v>
      </c>
      <c r="V1988">
        <v>0.22600000000000001</v>
      </c>
      <c r="W1988">
        <v>100</v>
      </c>
      <c r="X1988">
        <v>4.17</v>
      </c>
      <c r="Y1988" t="s">
        <v>103</v>
      </c>
      <c r="Z1988">
        <v>0</v>
      </c>
      <c r="AA1988">
        <v>0</v>
      </c>
      <c r="AB1988">
        <v>21.7</v>
      </c>
      <c r="AC1988">
        <v>12.7</v>
      </c>
      <c r="AG1988">
        <f t="shared" si="316"/>
        <v>1</v>
      </c>
      <c r="AH1988">
        <f t="shared" si="317"/>
        <v>0</v>
      </c>
      <c r="AI1988">
        <f t="shared" si="318"/>
        <v>1</v>
      </c>
      <c r="AJ1988">
        <v>308.7</v>
      </c>
      <c r="AK1988">
        <v>1013</v>
      </c>
      <c r="AL1988">
        <v>54.9</v>
      </c>
      <c r="AM1988">
        <v>6.2</v>
      </c>
      <c r="AN1988">
        <v>191.6</v>
      </c>
      <c r="AO1988">
        <v>16.7</v>
      </c>
      <c r="AP1988">
        <v>7</v>
      </c>
      <c r="AQ1988">
        <v>0</v>
      </c>
      <c r="AR1988" t="s">
        <v>6709</v>
      </c>
      <c r="AS1988" t="s">
        <v>6710</v>
      </c>
      <c r="AT1988">
        <v>0.54</v>
      </c>
      <c r="AU1988" t="s">
        <v>106</v>
      </c>
      <c r="AV1988" t="s">
        <v>296</v>
      </c>
      <c r="AW1988" t="s">
        <v>103</v>
      </c>
      <c r="AX1988" t="s">
        <v>4788</v>
      </c>
      <c r="AY1988" t="s">
        <v>6711</v>
      </c>
      <c r="AZ1988">
        <v>135</v>
      </c>
      <c r="BA1988">
        <v>0</v>
      </c>
      <c r="BB1988">
        <v>0</v>
      </c>
      <c r="BC1988">
        <v>0.5</v>
      </c>
      <c r="BD1988">
        <v>0</v>
      </c>
      <c r="BE1988">
        <f t="shared" si="319"/>
        <v>0</v>
      </c>
    </row>
    <row r="1989" spans="1:57" x14ac:dyDescent="0.25">
      <c r="A1989" t="s">
        <v>39</v>
      </c>
      <c r="B1989" t="s">
        <v>6712</v>
      </c>
      <c r="C1989">
        <v>68</v>
      </c>
      <c r="D1989">
        <v>53.6</v>
      </c>
      <c r="G1989">
        <f t="shared" si="310"/>
        <v>0</v>
      </c>
      <c r="H1989">
        <f t="shared" si="311"/>
        <v>0</v>
      </c>
      <c r="I1989">
        <f t="shared" si="312"/>
        <v>0</v>
      </c>
      <c r="J1989">
        <v>60.9</v>
      </c>
      <c r="K1989">
        <v>68</v>
      </c>
      <c r="L1989">
        <v>53.6</v>
      </c>
      <c r="M1989">
        <v>60.9</v>
      </c>
      <c r="N1989">
        <v>56.3</v>
      </c>
      <c r="O1989">
        <v>85.4</v>
      </c>
      <c r="S1989">
        <f t="shared" si="313"/>
        <v>1</v>
      </c>
      <c r="T1989">
        <f t="shared" si="314"/>
        <v>1</v>
      </c>
      <c r="U1989">
        <f t="shared" si="315"/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18.3</v>
      </c>
      <c r="AC1989">
        <v>8.1</v>
      </c>
      <c r="AG1989">
        <f t="shared" si="316"/>
        <v>1</v>
      </c>
      <c r="AH1989">
        <f t="shared" si="317"/>
        <v>0</v>
      </c>
      <c r="AI1989">
        <f t="shared" si="318"/>
        <v>1</v>
      </c>
      <c r="AJ1989">
        <v>171</v>
      </c>
      <c r="AK1989">
        <v>1015.1</v>
      </c>
      <c r="AL1989">
        <v>18.899999999999999</v>
      </c>
      <c r="AM1989">
        <v>6.2</v>
      </c>
      <c r="AN1989">
        <v>282.89999999999998</v>
      </c>
      <c r="AO1989">
        <v>24.5</v>
      </c>
      <c r="AP1989">
        <v>9</v>
      </c>
      <c r="AQ1989">
        <v>0</v>
      </c>
      <c r="AR1989" t="s">
        <v>6713</v>
      </c>
      <c r="AS1989" t="s">
        <v>6714</v>
      </c>
      <c r="AT1989">
        <v>0.63</v>
      </c>
      <c r="AU1989" t="s">
        <v>74</v>
      </c>
      <c r="AV1989" t="s">
        <v>2955</v>
      </c>
      <c r="AW1989" t="s">
        <v>75</v>
      </c>
      <c r="AX1989" t="s">
        <v>6419</v>
      </c>
      <c r="AY1989" t="s">
        <v>6715</v>
      </c>
      <c r="AZ1989">
        <v>330.99999999976723</v>
      </c>
      <c r="BA1989">
        <v>0</v>
      </c>
      <c r="BB1989">
        <v>0</v>
      </c>
      <c r="BC1989">
        <v>4</v>
      </c>
      <c r="BD1989">
        <v>0</v>
      </c>
      <c r="BE1989">
        <f t="shared" si="319"/>
        <v>0</v>
      </c>
    </row>
    <row r="1990" spans="1:57" x14ac:dyDescent="0.25">
      <c r="A1990" t="s">
        <v>39</v>
      </c>
      <c r="B1990" t="s">
        <v>6716</v>
      </c>
      <c r="C1990">
        <v>80.599999999999994</v>
      </c>
      <c r="D1990">
        <v>64.400000000000006</v>
      </c>
      <c r="G1990">
        <f t="shared" si="310"/>
        <v>1</v>
      </c>
      <c r="H1990">
        <f t="shared" si="311"/>
        <v>1</v>
      </c>
      <c r="I1990">
        <f t="shared" si="312"/>
        <v>0</v>
      </c>
      <c r="J1990">
        <v>68.400000000000006</v>
      </c>
      <c r="K1990">
        <v>82.7</v>
      </c>
      <c r="L1990">
        <v>64.400000000000006</v>
      </c>
      <c r="M1990">
        <v>68.5</v>
      </c>
      <c r="N1990">
        <v>58.2</v>
      </c>
      <c r="O1990">
        <v>70.400000000000006</v>
      </c>
      <c r="S1990">
        <f t="shared" si="313"/>
        <v>1</v>
      </c>
      <c r="T1990">
        <f t="shared" si="314"/>
        <v>1</v>
      </c>
      <c r="U1990">
        <f t="shared" si="315"/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39.1</v>
      </c>
      <c r="AC1990">
        <v>25.3</v>
      </c>
      <c r="AG1990">
        <f t="shared" si="316"/>
        <v>1</v>
      </c>
      <c r="AH1990">
        <f t="shared" si="317"/>
        <v>1</v>
      </c>
      <c r="AI1990">
        <f t="shared" si="318"/>
        <v>0</v>
      </c>
      <c r="AJ1990">
        <v>175.7</v>
      </c>
      <c r="AK1990">
        <v>1012.2</v>
      </c>
      <c r="AL1990">
        <v>39.1</v>
      </c>
      <c r="AM1990">
        <v>6.2</v>
      </c>
      <c r="AN1990">
        <v>261.8</v>
      </c>
      <c r="AO1990">
        <v>22.5</v>
      </c>
      <c r="AP1990">
        <v>8</v>
      </c>
      <c r="AQ1990">
        <v>0</v>
      </c>
      <c r="AR1990" t="s">
        <v>6717</v>
      </c>
      <c r="AS1990" t="s">
        <v>6718</v>
      </c>
      <c r="AT1990">
        <v>0.8</v>
      </c>
      <c r="AU1990" t="s">
        <v>43</v>
      </c>
      <c r="AV1990" t="s">
        <v>44</v>
      </c>
      <c r="AW1990" t="s">
        <v>45</v>
      </c>
      <c r="AX1990" t="s">
        <v>4917</v>
      </c>
      <c r="AY1990" t="s">
        <v>6719</v>
      </c>
      <c r="AZ1990">
        <v>105.9999999997672</v>
      </c>
      <c r="BA1990">
        <v>0</v>
      </c>
      <c r="BB1990">
        <v>0</v>
      </c>
      <c r="BC1990">
        <v>0.5</v>
      </c>
      <c r="BD1990">
        <v>0</v>
      </c>
      <c r="BE1990">
        <f t="shared" si="319"/>
        <v>1</v>
      </c>
    </row>
    <row r="1991" spans="1:57" x14ac:dyDescent="0.25">
      <c r="A1991" t="s">
        <v>39</v>
      </c>
      <c r="B1991" t="s">
        <v>6720</v>
      </c>
      <c r="C1991">
        <v>80.599999999999994</v>
      </c>
      <c r="D1991">
        <v>64.400000000000006</v>
      </c>
      <c r="G1991">
        <f t="shared" si="310"/>
        <v>1</v>
      </c>
      <c r="H1991">
        <f t="shared" si="311"/>
        <v>1</v>
      </c>
      <c r="I1991">
        <f t="shared" si="312"/>
        <v>0</v>
      </c>
      <c r="J1991">
        <v>72.7</v>
      </c>
      <c r="K1991">
        <v>80.8</v>
      </c>
      <c r="L1991">
        <v>64.400000000000006</v>
      </c>
      <c r="M1991">
        <v>72.8</v>
      </c>
      <c r="N1991">
        <v>59.6</v>
      </c>
      <c r="O1991">
        <v>65.099999999999994</v>
      </c>
      <c r="S1991">
        <f t="shared" si="313"/>
        <v>0</v>
      </c>
      <c r="T1991">
        <f t="shared" si="314"/>
        <v>0</v>
      </c>
      <c r="U1991">
        <f t="shared" si="315"/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32.200000000000003</v>
      </c>
      <c r="AC1991">
        <v>25.3</v>
      </c>
      <c r="AG1991">
        <f t="shared" si="316"/>
        <v>1</v>
      </c>
      <c r="AH1991">
        <f t="shared" si="317"/>
        <v>1</v>
      </c>
      <c r="AI1991">
        <f t="shared" si="318"/>
        <v>0</v>
      </c>
      <c r="AJ1991">
        <v>281.3</v>
      </c>
      <c r="AK1991">
        <v>1005</v>
      </c>
      <c r="AL1991">
        <v>32.5</v>
      </c>
      <c r="AM1991">
        <v>6.2</v>
      </c>
      <c r="AN1991">
        <v>310.89999999999998</v>
      </c>
      <c r="AO1991">
        <v>26.9</v>
      </c>
      <c r="AP1991">
        <v>9</v>
      </c>
      <c r="AQ1991">
        <v>0</v>
      </c>
      <c r="AR1991" t="s">
        <v>6721</v>
      </c>
      <c r="AS1991" t="s">
        <v>6722</v>
      </c>
      <c r="AT1991">
        <v>0.45</v>
      </c>
      <c r="AU1991" t="s">
        <v>43</v>
      </c>
      <c r="AV1991" t="s">
        <v>44</v>
      </c>
      <c r="AW1991" t="s">
        <v>45</v>
      </c>
      <c r="AX1991" t="s">
        <v>5380</v>
      </c>
      <c r="AY1991" t="s">
        <v>6723</v>
      </c>
      <c r="AZ1991">
        <v>3279.9999999941788</v>
      </c>
      <c r="BA1991">
        <v>1</v>
      </c>
      <c r="BB1991">
        <v>0</v>
      </c>
      <c r="BC1991">
        <v>100</v>
      </c>
      <c r="BD1991">
        <v>0</v>
      </c>
      <c r="BE1991">
        <f t="shared" si="319"/>
        <v>1</v>
      </c>
    </row>
    <row r="1992" spans="1:57" x14ac:dyDescent="0.25">
      <c r="A1992" t="s">
        <v>39</v>
      </c>
      <c r="B1992" t="s">
        <v>6724</v>
      </c>
      <c r="C1992">
        <v>80.599999999999994</v>
      </c>
      <c r="D1992">
        <v>73.400000000000006</v>
      </c>
      <c r="G1992">
        <f t="shared" si="310"/>
        <v>1</v>
      </c>
      <c r="H1992">
        <f t="shared" si="311"/>
        <v>0</v>
      </c>
      <c r="I1992">
        <f t="shared" si="312"/>
        <v>1</v>
      </c>
      <c r="J1992">
        <v>76.599999999999994</v>
      </c>
      <c r="K1992">
        <v>82.3</v>
      </c>
      <c r="L1992">
        <v>73.400000000000006</v>
      </c>
      <c r="M1992">
        <v>76.7</v>
      </c>
      <c r="N1992">
        <v>62.6</v>
      </c>
      <c r="O1992">
        <v>62.3</v>
      </c>
      <c r="S1992">
        <f t="shared" si="313"/>
        <v>1</v>
      </c>
      <c r="T1992">
        <f t="shared" si="314"/>
        <v>1</v>
      </c>
      <c r="U1992">
        <f t="shared" si="315"/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37.799999999999997</v>
      </c>
      <c r="AC1992">
        <v>21.9</v>
      </c>
      <c r="AG1992">
        <f t="shared" si="316"/>
        <v>1</v>
      </c>
      <c r="AH1992">
        <f t="shared" si="317"/>
        <v>1</v>
      </c>
      <c r="AI1992">
        <f t="shared" si="318"/>
        <v>0</v>
      </c>
      <c r="AJ1992">
        <v>317</v>
      </c>
      <c r="AK1992">
        <v>1014</v>
      </c>
      <c r="AL1992">
        <v>47.4</v>
      </c>
      <c r="AM1992">
        <v>6.2</v>
      </c>
      <c r="AN1992">
        <v>287.10000000000002</v>
      </c>
      <c r="AO1992">
        <v>24.7</v>
      </c>
      <c r="AP1992">
        <v>9</v>
      </c>
      <c r="AQ1992">
        <v>0</v>
      </c>
      <c r="AR1992" t="s">
        <v>6725</v>
      </c>
      <c r="AS1992" t="s">
        <v>6726</v>
      </c>
      <c r="AT1992">
        <v>0.86</v>
      </c>
      <c r="AU1992" t="s">
        <v>43</v>
      </c>
      <c r="AV1992" t="s">
        <v>44</v>
      </c>
      <c r="AW1992" t="s">
        <v>45</v>
      </c>
      <c r="AX1992" t="s">
        <v>4132</v>
      </c>
      <c r="AY1992" t="s">
        <v>6727</v>
      </c>
      <c r="AZ1992">
        <v>1405.0000000011639</v>
      </c>
      <c r="BA1992">
        <v>1</v>
      </c>
      <c r="BB1992">
        <v>0</v>
      </c>
      <c r="BC1992">
        <v>8</v>
      </c>
      <c r="BD1992">
        <v>0</v>
      </c>
      <c r="BE1992">
        <f t="shared" si="319"/>
        <v>1</v>
      </c>
    </row>
    <row r="1993" spans="1:57" x14ac:dyDescent="0.25">
      <c r="A1993" t="s">
        <v>39</v>
      </c>
      <c r="B1993" t="s">
        <v>6728</v>
      </c>
      <c r="C1993">
        <v>84.2</v>
      </c>
      <c r="D1993">
        <v>77</v>
      </c>
      <c r="G1993">
        <f t="shared" si="310"/>
        <v>0</v>
      </c>
      <c r="H1993">
        <f t="shared" si="311"/>
        <v>0</v>
      </c>
      <c r="I1993">
        <f t="shared" si="312"/>
        <v>0</v>
      </c>
      <c r="J1993">
        <v>79.900000000000006</v>
      </c>
      <c r="K1993">
        <v>87.4</v>
      </c>
      <c r="L1993">
        <v>77</v>
      </c>
      <c r="M1993">
        <v>81.400000000000006</v>
      </c>
      <c r="N1993">
        <v>67.900000000000006</v>
      </c>
      <c r="O1993">
        <v>67</v>
      </c>
      <c r="S1993">
        <f t="shared" si="313"/>
        <v>1</v>
      </c>
      <c r="T1993">
        <f t="shared" si="314"/>
        <v>1</v>
      </c>
      <c r="U1993">
        <f t="shared" si="315"/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30.2</v>
      </c>
      <c r="AC1993">
        <v>20.7</v>
      </c>
      <c r="AG1993">
        <f t="shared" si="316"/>
        <v>1</v>
      </c>
      <c r="AH1993">
        <f t="shared" si="317"/>
        <v>1</v>
      </c>
      <c r="AI1993">
        <f t="shared" si="318"/>
        <v>0</v>
      </c>
      <c r="AJ1993">
        <v>299.2</v>
      </c>
      <c r="AK1993">
        <v>1011</v>
      </c>
      <c r="AL1993">
        <v>19.399999999999999</v>
      </c>
      <c r="AM1993">
        <v>6.2</v>
      </c>
      <c r="AN1993">
        <v>303</v>
      </c>
      <c r="AO1993">
        <v>26.1</v>
      </c>
      <c r="AP1993">
        <v>9</v>
      </c>
      <c r="AQ1993">
        <v>0</v>
      </c>
      <c r="AR1993" t="s">
        <v>6729</v>
      </c>
      <c r="AS1993" t="s">
        <v>6730</v>
      </c>
      <c r="AT1993">
        <v>0.36</v>
      </c>
      <c r="AU1993" t="s">
        <v>74</v>
      </c>
      <c r="AV1993" t="s">
        <v>2955</v>
      </c>
      <c r="AW1993" t="s">
        <v>75</v>
      </c>
      <c r="AX1993" t="s">
        <v>4997</v>
      </c>
      <c r="AY1993" t="s">
        <v>6731</v>
      </c>
      <c r="AZ1993">
        <v>745.00000000814907</v>
      </c>
      <c r="BA1993">
        <v>1</v>
      </c>
      <c r="BB1993">
        <v>0</v>
      </c>
      <c r="BC1993">
        <v>1</v>
      </c>
      <c r="BD1993">
        <v>0</v>
      </c>
      <c r="BE1993">
        <f t="shared" si="319"/>
        <v>1</v>
      </c>
    </row>
    <row r="1994" spans="1:57" x14ac:dyDescent="0.25">
      <c r="A1994" t="s">
        <v>39</v>
      </c>
      <c r="B1994" t="s">
        <v>6732</v>
      </c>
      <c r="C1994">
        <v>84.2</v>
      </c>
      <c r="D1994">
        <v>78.8</v>
      </c>
      <c r="G1994">
        <f t="shared" si="310"/>
        <v>0</v>
      </c>
      <c r="H1994">
        <f t="shared" si="311"/>
        <v>0</v>
      </c>
      <c r="I1994">
        <f t="shared" si="312"/>
        <v>0</v>
      </c>
      <c r="J1994">
        <v>81.400000000000006</v>
      </c>
      <c r="K1994">
        <v>88.5</v>
      </c>
      <c r="L1994">
        <v>78.8</v>
      </c>
      <c r="M1994">
        <v>83.4</v>
      </c>
      <c r="N1994">
        <v>67.099999999999994</v>
      </c>
      <c r="O1994">
        <v>62.1</v>
      </c>
      <c r="S1994">
        <f t="shared" si="313"/>
        <v>1</v>
      </c>
      <c r="T1994">
        <f t="shared" si="314"/>
        <v>1</v>
      </c>
      <c r="U1994">
        <f t="shared" si="315"/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30</v>
      </c>
      <c r="AC1994">
        <v>20.8</v>
      </c>
      <c r="AG1994">
        <f t="shared" si="316"/>
        <v>1</v>
      </c>
      <c r="AH1994">
        <f t="shared" si="317"/>
        <v>1</v>
      </c>
      <c r="AI1994">
        <f t="shared" si="318"/>
        <v>0</v>
      </c>
      <c r="AJ1994">
        <v>298.7</v>
      </c>
      <c r="AK1994">
        <v>1010.2</v>
      </c>
      <c r="AL1994">
        <v>20.2</v>
      </c>
      <c r="AM1994">
        <v>6.2</v>
      </c>
      <c r="AN1994">
        <v>283.39999999999998</v>
      </c>
      <c r="AO1994">
        <v>24.6</v>
      </c>
      <c r="AP1994">
        <v>9</v>
      </c>
      <c r="AQ1994">
        <v>0</v>
      </c>
      <c r="AR1994" t="s">
        <v>6733</v>
      </c>
      <c r="AS1994" t="s">
        <v>6734</v>
      </c>
      <c r="AT1994">
        <v>0.88</v>
      </c>
      <c r="AU1994" t="s">
        <v>43</v>
      </c>
      <c r="AV1994" t="s">
        <v>44</v>
      </c>
      <c r="AW1994" t="s">
        <v>45</v>
      </c>
      <c r="AX1994" t="s">
        <v>6735</v>
      </c>
      <c r="AY1994" t="s">
        <v>6736</v>
      </c>
      <c r="AZ1994">
        <v>185.00000000582079</v>
      </c>
      <c r="BA1994">
        <v>0</v>
      </c>
      <c r="BB1994">
        <v>0</v>
      </c>
      <c r="BC1994">
        <v>0.1</v>
      </c>
      <c r="BD1994">
        <v>0</v>
      </c>
      <c r="BE1994">
        <f t="shared" si="319"/>
        <v>0</v>
      </c>
    </row>
    <row r="1995" spans="1:57" x14ac:dyDescent="0.25">
      <c r="A1995" t="s">
        <v>39</v>
      </c>
      <c r="B1995" t="s">
        <v>6737</v>
      </c>
      <c r="C1995">
        <v>78.8</v>
      </c>
      <c r="D1995">
        <v>69.8</v>
      </c>
      <c r="G1995">
        <f t="shared" si="310"/>
        <v>0</v>
      </c>
      <c r="H1995">
        <f t="shared" si="311"/>
        <v>0</v>
      </c>
      <c r="I1995">
        <f t="shared" si="312"/>
        <v>0</v>
      </c>
      <c r="J1995">
        <v>74.5</v>
      </c>
      <c r="K1995">
        <v>78.8</v>
      </c>
      <c r="L1995">
        <v>69.8</v>
      </c>
      <c r="M1995">
        <v>74.5</v>
      </c>
      <c r="N1995">
        <v>63.6</v>
      </c>
      <c r="O1995">
        <v>69.3</v>
      </c>
      <c r="S1995">
        <f t="shared" si="313"/>
        <v>1</v>
      </c>
      <c r="T1995">
        <f t="shared" si="314"/>
        <v>1</v>
      </c>
      <c r="U1995">
        <f t="shared" si="315"/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30</v>
      </c>
      <c r="AC1995">
        <v>15</v>
      </c>
      <c r="AG1995">
        <f t="shared" si="316"/>
        <v>1</v>
      </c>
      <c r="AH1995">
        <f t="shared" si="317"/>
        <v>0</v>
      </c>
      <c r="AI1995">
        <f t="shared" si="318"/>
        <v>1</v>
      </c>
      <c r="AJ1995">
        <v>325.3</v>
      </c>
      <c r="AK1995">
        <v>1014.7</v>
      </c>
      <c r="AL1995">
        <v>28.7</v>
      </c>
      <c r="AM1995">
        <v>6.2</v>
      </c>
      <c r="AN1995">
        <v>258.89999999999998</v>
      </c>
      <c r="AO1995">
        <v>22.5</v>
      </c>
      <c r="AP1995">
        <v>8</v>
      </c>
      <c r="AQ1995">
        <v>0</v>
      </c>
      <c r="AR1995" t="s">
        <v>6738</v>
      </c>
      <c r="AS1995" t="s">
        <v>6739</v>
      </c>
      <c r="AT1995">
        <v>0.5</v>
      </c>
      <c r="AU1995" t="s">
        <v>43</v>
      </c>
      <c r="AV1995" t="s">
        <v>44</v>
      </c>
      <c r="AW1995" t="s">
        <v>45</v>
      </c>
      <c r="AX1995" t="s">
        <v>2373</v>
      </c>
      <c r="AY1995" t="s">
        <v>6740</v>
      </c>
      <c r="AZ1995">
        <v>19.999999991850931</v>
      </c>
      <c r="BA1995">
        <v>0</v>
      </c>
      <c r="BB1995">
        <v>0</v>
      </c>
      <c r="BC1995">
        <v>0.2</v>
      </c>
      <c r="BD1995">
        <v>0</v>
      </c>
      <c r="BE1995">
        <f t="shared" si="319"/>
        <v>0</v>
      </c>
    </row>
    <row r="1996" spans="1:57" x14ac:dyDescent="0.25">
      <c r="A1996" t="s">
        <v>39</v>
      </c>
      <c r="B1996" t="s">
        <v>6741</v>
      </c>
      <c r="C1996">
        <v>82.4</v>
      </c>
      <c r="D1996">
        <v>68</v>
      </c>
      <c r="G1996">
        <f t="shared" si="310"/>
        <v>1</v>
      </c>
      <c r="H1996">
        <f t="shared" si="311"/>
        <v>1</v>
      </c>
      <c r="I1996">
        <f t="shared" si="312"/>
        <v>0</v>
      </c>
      <c r="J1996">
        <v>76</v>
      </c>
      <c r="K1996">
        <v>87.2</v>
      </c>
      <c r="L1996">
        <v>68</v>
      </c>
      <c r="M1996">
        <v>77.2</v>
      </c>
      <c r="N1996">
        <v>68.400000000000006</v>
      </c>
      <c r="O1996">
        <v>78.2</v>
      </c>
      <c r="S1996">
        <f t="shared" si="313"/>
        <v>1</v>
      </c>
      <c r="T1996">
        <f t="shared" si="314"/>
        <v>1</v>
      </c>
      <c r="U1996">
        <f t="shared" si="315"/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28.6</v>
      </c>
      <c r="AC1996">
        <v>16.100000000000001</v>
      </c>
      <c r="AG1996">
        <f t="shared" si="316"/>
        <v>0</v>
      </c>
      <c r="AH1996">
        <f t="shared" si="317"/>
        <v>0</v>
      </c>
      <c r="AI1996">
        <f t="shared" si="318"/>
        <v>0</v>
      </c>
      <c r="AJ1996">
        <v>299.60000000000002</v>
      </c>
      <c r="AK1996">
        <v>1013.4</v>
      </c>
      <c r="AL1996">
        <v>5.5</v>
      </c>
      <c r="AM1996">
        <v>6.2</v>
      </c>
      <c r="AN1996">
        <v>257.39999999999998</v>
      </c>
      <c r="AO1996">
        <v>22.3</v>
      </c>
      <c r="AP1996">
        <v>8</v>
      </c>
      <c r="AQ1996">
        <v>0</v>
      </c>
      <c r="AR1996" t="s">
        <v>6742</v>
      </c>
      <c r="AS1996" t="s">
        <v>6743</v>
      </c>
      <c r="AT1996">
        <v>0.79</v>
      </c>
      <c r="AU1996" t="s">
        <v>74</v>
      </c>
      <c r="AV1996" t="s">
        <v>2955</v>
      </c>
      <c r="AW1996" t="s">
        <v>75</v>
      </c>
      <c r="AX1996" t="s">
        <v>2509</v>
      </c>
      <c r="AY1996" t="s">
        <v>6744</v>
      </c>
      <c r="AZ1996">
        <v>1985.000000005821</v>
      </c>
      <c r="BA1996">
        <v>1</v>
      </c>
      <c r="BB1996">
        <v>0</v>
      </c>
      <c r="BC1996">
        <v>0.5</v>
      </c>
      <c r="BD1996">
        <v>0</v>
      </c>
      <c r="BE1996">
        <f t="shared" si="319"/>
        <v>1</v>
      </c>
    </row>
    <row r="1997" spans="1:57" x14ac:dyDescent="0.25">
      <c r="A1997" t="s">
        <v>39</v>
      </c>
      <c r="B1997" t="s">
        <v>6745</v>
      </c>
      <c r="C1997">
        <v>75.2</v>
      </c>
      <c r="D1997">
        <v>55.4</v>
      </c>
      <c r="G1997">
        <f t="shared" si="310"/>
        <v>1</v>
      </c>
      <c r="H1997">
        <f t="shared" si="311"/>
        <v>1</v>
      </c>
      <c r="I1997">
        <f t="shared" si="312"/>
        <v>0</v>
      </c>
      <c r="J1997">
        <v>65</v>
      </c>
      <c r="K1997">
        <v>75.2</v>
      </c>
      <c r="L1997">
        <v>55.4</v>
      </c>
      <c r="M1997">
        <v>65</v>
      </c>
      <c r="N1997">
        <v>56.6</v>
      </c>
      <c r="O1997">
        <v>75.3</v>
      </c>
      <c r="S1997">
        <f t="shared" si="313"/>
        <v>1</v>
      </c>
      <c r="T1997">
        <f t="shared" si="314"/>
        <v>1</v>
      </c>
      <c r="U1997">
        <f t="shared" si="315"/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25.3</v>
      </c>
      <c r="AC1997">
        <v>19.7</v>
      </c>
      <c r="AG1997">
        <f t="shared" si="316"/>
        <v>1</v>
      </c>
      <c r="AH1997">
        <f t="shared" si="317"/>
        <v>1</v>
      </c>
      <c r="AI1997">
        <f t="shared" si="318"/>
        <v>0</v>
      </c>
      <c r="AJ1997">
        <v>167.2</v>
      </c>
      <c r="AK1997">
        <v>1015.3</v>
      </c>
      <c r="AL1997">
        <v>29.5</v>
      </c>
      <c r="AM1997">
        <v>6.2</v>
      </c>
      <c r="AN1997">
        <v>287.89999999999998</v>
      </c>
      <c r="AO1997">
        <v>24.8</v>
      </c>
      <c r="AP1997">
        <v>9</v>
      </c>
      <c r="AQ1997">
        <v>0</v>
      </c>
      <c r="AR1997" t="s">
        <v>6746</v>
      </c>
      <c r="AS1997" t="s">
        <v>6747</v>
      </c>
      <c r="AT1997">
        <v>0.75</v>
      </c>
      <c r="AU1997" t="s">
        <v>43</v>
      </c>
      <c r="AV1997" t="s">
        <v>44</v>
      </c>
      <c r="AW1997" t="s">
        <v>45</v>
      </c>
      <c r="AX1997" t="s">
        <v>4992</v>
      </c>
      <c r="AY1997" t="s">
        <v>6748</v>
      </c>
      <c r="AZ1997">
        <v>161.00000000093129</v>
      </c>
      <c r="BA1997">
        <v>0</v>
      </c>
      <c r="BB1997">
        <v>0</v>
      </c>
      <c r="BC1997">
        <v>0.01</v>
      </c>
      <c r="BD1997">
        <v>0</v>
      </c>
      <c r="BE1997">
        <f t="shared" si="319"/>
        <v>1</v>
      </c>
    </row>
    <row r="1998" spans="1:57" x14ac:dyDescent="0.25">
      <c r="A1998" t="s">
        <v>39</v>
      </c>
      <c r="B1998" t="s">
        <v>6749</v>
      </c>
      <c r="C1998">
        <v>80.599999999999994</v>
      </c>
      <c r="D1998">
        <v>75.2</v>
      </c>
      <c r="G1998">
        <f t="shared" si="310"/>
        <v>1</v>
      </c>
      <c r="H1998">
        <f t="shared" si="311"/>
        <v>0</v>
      </c>
      <c r="I1998">
        <f t="shared" si="312"/>
        <v>1</v>
      </c>
      <c r="J1998">
        <v>77.5</v>
      </c>
      <c r="K1998">
        <v>83.3</v>
      </c>
      <c r="L1998">
        <v>75.2</v>
      </c>
      <c r="M1998">
        <v>78</v>
      </c>
      <c r="N1998">
        <v>65.5</v>
      </c>
      <c r="O1998">
        <v>66.900000000000006</v>
      </c>
      <c r="S1998">
        <f t="shared" si="313"/>
        <v>1</v>
      </c>
      <c r="T1998">
        <f t="shared" si="314"/>
        <v>1</v>
      </c>
      <c r="U1998">
        <f t="shared" si="315"/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30.9</v>
      </c>
      <c r="AC1998">
        <v>19.7</v>
      </c>
      <c r="AG1998">
        <f t="shared" si="316"/>
        <v>1</v>
      </c>
      <c r="AH1998">
        <f t="shared" si="317"/>
        <v>1</v>
      </c>
      <c r="AI1998">
        <f t="shared" si="318"/>
        <v>0</v>
      </c>
      <c r="AJ1998">
        <v>311.5</v>
      </c>
      <c r="AK1998">
        <v>1015.1</v>
      </c>
      <c r="AL1998">
        <v>19.2</v>
      </c>
      <c r="AM1998">
        <v>6.2</v>
      </c>
      <c r="AN1998">
        <v>291.7</v>
      </c>
      <c r="AO1998">
        <v>25.3</v>
      </c>
      <c r="AP1998">
        <v>9</v>
      </c>
      <c r="AQ1998">
        <v>0</v>
      </c>
      <c r="AR1998" t="s">
        <v>6750</v>
      </c>
      <c r="AS1998" t="s">
        <v>6751</v>
      </c>
      <c r="AT1998">
        <v>0.12</v>
      </c>
      <c r="AU1998" t="s">
        <v>74</v>
      </c>
      <c r="AV1998" t="s">
        <v>2955</v>
      </c>
      <c r="AW1998" t="s">
        <v>75</v>
      </c>
      <c r="AX1998" t="s">
        <v>4248</v>
      </c>
      <c r="AY1998" t="s">
        <v>6752</v>
      </c>
      <c r="AZ1998">
        <v>460.00000000116421</v>
      </c>
      <c r="BA1998">
        <v>1</v>
      </c>
      <c r="BB1998">
        <v>0</v>
      </c>
      <c r="BC1998">
        <v>2</v>
      </c>
      <c r="BD1998">
        <v>0</v>
      </c>
      <c r="BE1998">
        <f t="shared" si="319"/>
        <v>1</v>
      </c>
    </row>
    <row r="1999" spans="1:57" x14ac:dyDescent="0.25">
      <c r="A1999" t="s">
        <v>39</v>
      </c>
      <c r="B1999" t="s">
        <v>6753</v>
      </c>
      <c r="C1999">
        <v>71.7</v>
      </c>
      <c r="D1999">
        <v>49.2</v>
      </c>
      <c r="G1999">
        <f t="shared" si="310"/>
        <v>1</v>
      </c>
      <c r="H1999">
        <f t="shared" si="311"/>
        <v>1</v>
      </c>
      <c r="I1999">
        <f t="shared" si="312"/>
        <v>0</v>
      </c>
      <c r="J1999">
        <v>61.7</v>
      </c>
      <c r="K1999">
        <v>71.7</v>
      </c>
      <c r="L1999">
        <v>47.7</v>
      </c>
      <c r="M1999">
        <v>61.6</v>
      </c>
      <c r="N1999">
        <v>52.9</v>
      </c>
      <c r="O1999">
        <v>74</v>
      </c>
      <c r="S1999">
        <f t="shared" si="313"/>
        <v>1</v>
      </c>
      <c r="T1999">
        <f t="shared" si="314"/>
        <v>1</v>
      </c>
      <c r="U1999">
        <f t="shared" si="315"/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13.9</v>
      </c>
      <c r="AC1999">
        <v>8.1</v>
      </c>
      <c r="AG1999">
        <f t="shared" si="316"/>
        <v>1</v>
      </c>
      <c r="AH1999">
        <f t="shared" si="317"/>
        <v>0</v>
      </c>
      <c r="AI1999">
        <f t="shared" si="318"/>
        <v>1</v>
      </c>
      <c r="AJ1999">
        <v>140.5</v>
      </c>
      <c r="AK1999">
        <v>1016.1</v>
      </c>
      <c r="AL1999">
        <v>5.7</v>
      </c>
      <c r="AM1999">
        <v>6.2</v>
      </c>
      <c r="AN1999">
        <v>321.3</v>
      </c>
      <c r="AO1999">
        <v>27.7</v>
      </c>
      <c r="AP1999">
        <v>10</v>
      </c>
      <c r="AQ1999">
        <v>0</v>
      </c>
      <c r="AR1999" t="s">
        <v>6754</v>
      </c>
      <c r="AS1999" t="s">
        <v>6755</v>
      </c>
      <c r="AT1999">
        <v>0.06</v>
      </c>
      <c r="AU1999" t="s">
        <v>74</v>
      </c>
      <c r="AV1999" t="s">
        <v>2955</v>
      </c>
      <c r="AW1999" t="s">
        <v>75</v>
      </c>
      <c r="AX1999" t="s">
        <v>6756</v>
      </c>
      <c r="AY1999" t="s">
        <v>6757</v>
      </c>
      <c r="AZ1999">
        <v>40.999999997438863</v>
      </c>
      <c r="BA1999">
        <v>0</v>
      </c>
      <c r="BB1999">
        <v>0</v>
      </c>
      <c r="BC1999">
        <v>0.02</v>
      </c>
      <c r="BD1999">
        <v>0</v>
      </c>
      <c r="BE1999">
        <f t="shared" si="319"/>
        <v>1</v>
      </c>
    </row>
    <row r="2000" spans="1:57" x14ac:dyDescent="0.25">
      <c r="A2000" t="s">
        <v>39</v>
      </c>
      <c r="B2000" t="s">
        <v>6732</v>
      </c>
      <c r="C2000">
        <v>84.2</v>
      </c>
      <c r="D2000">
        <v>78.8</v>
      </c>
      <c r="G2000">
        <f t="shared" si="310"/>
        <v>0</v>
      </c>
      <c r="H2000">
        <f t="shared" si="311"/>
        <v>0</v>
      </c>
      <c r="I2000">
        <f t="shared" si="312"/>
        <v>0</v>
      </c>
      <c r="J2000">
        <v>81.400000000000006</v>
      </c>
      <c r="K2000">
        <v>88.5</v>
      </c>
      <c r="L2000">
        <v>78.8</v>
      </c>
      <c r="M2000">
        <v>83.4</v>
      </c>
      <c r="N2000">
        <v>67.099999999999994</v>
      </c>
      <c r="O2000">
        <v>62.1</v>
      </c>
      <c r="S2000">
        <f t="shared" si="313"/>
        <v>1</v>
      </c>
      <c r="T2000">
        <f t="shared" si="314"/>
        <v>1</v>
      </c>
      <c r="U2000">
        <f t="shared" si="315"/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30</v>
      </c>
      <c r="AC2000">
        <v>20.8</v>
      </c>
      <c r="AG2000">
        <f t="shared" si="316"/>
        <v>1</v>
      </c>
      <c r="AH2000">
        <f t="shared" si="317"/>
        <v>1</v>
      </c>
      <c r="AI2000">
        <f t="shared" si="318"/>
        <v>0</v>
      </c>
      <c r="AJ2000">
        <v>298.7</v>
      </c>
      <c r="AK2000">
        <v>1010.2</v>
      </c>
      <c r="AL2000">
        <v>20.2</v>
      </c>
      <c r="AM2000">
        <v>6.2</v>
      </c>
      <c r="AN2000">
        <v>283.39999999999998</v>
      </c>
      <c r="AO2000">
        <v>24.6</v>
      </c>
      <c r="AP2000">
        <v>9</v>
      </c>
      <c r="AQ2000">
        <v>0</v>
      </c>
      <c r="AR2000" t="s">
        <v>6733</v>
      </c>
      <c r="AS2000" t="s">
        <v>6734</v>
      </c>
      <c r="AT2000">
        <v>0.88</v>
      </c>
      <c r="AU2000" t="s">
        <v>43</v>
      </c>
      <c r="AV2000" t="s">
        <v>44</v>
      </c>
      <c r="AW2000" t="s">
        <v>45</v>
      </c>
      <c r="AX2000" t="s">
        <v>2356</v>
      </c>
      <c r="AY2000" t="s">
        <v>6758</v>
      </c>
      <c r="AZ2000">
        <v>190.00000000116421</v>
      </c>
      <c r="BA2000">
        <v>0</v>
      </c>
      <c r="BB2000">
        <v>0</v>
      </c>
      <c r="BC2000">
        <v>1</v>
      </c>
      <c r="BD2000">
        <v>0</v>
      </c>
      <c r="BE2000">
        <f t="shared" si="319"/>
        <v>0</v>
      </c>
    </row>
    <row r="2001" spans="1:57" x14ac:dyDescent="0.25">
      <c r="A2001" t="s">
        <v>39</v>
      </c>
      <c r="B2001" t="s">
        <v>6759</v>
      </c>
      <c r="C2001">
        <v>66.2</v>
      </c>
      <c r="D2001">
        <v>55.4</v>
      </c>
      <c r="G2001">
        <f t="shared" si="310"/>
        <v>0</v>
      </c>
      <c r="H2001">
        <f t="shared" si="311"/>
        <v>0</v>
      </c>
      <c r="I2001">
        <f t="shared" si="312"/>
        <v>0</v>
      </c>
      <c r="J2001">
        <v>58.7</v>
      </c>
      <c r="K2001">
        <v>66.2</v>
      </c>
      <c r="L2001">
        <v>55.4</v>
      </c>
      <c r="M2001">
        <v>58.7</v>
      </c>
      <c r="N2001">
        <v>49.9</v>
      </c>
      <c r="O2001">
        <v>73.5</v>
      </c>
      <c r="S2001">
        <f t="shared" si="313"/>
        <v>1</v>
      </c>
      <c r="T2001">
        <f t="shared" si="314"/>
        <v>1</v>
      </c>
      <c r="U2001">
        <f t="shared" si="315"/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13.9</v>
      </c>
      <c r="AC2001">
        <v>8.1</v>
      </c>
      <c r="AG2001">
        <f t="shared" si="316"/>
        <v>1</v>
      </c>
      <c r="AH2001">
        <f t="shared" si="317"/>
        <v>0</v>
      </c>
      <c r="AI2001">
        <f t="shared" si="318"/>
        <v>1</v>
      </c>
      <c r="AJ2001">
        <v>176.7</v>
      </c>
      <c r="AK2001">
        <v>1018.8</v>
      </c>
      <c r="AL2001">
        <v>36.799999999999997</v>
      </c>
      <c r="AM2001">
        <v>6.2</v>
      </c>
      <c r="AN2001">
        <v>107.9</v>
      </c>
      <c r="AO2001">
        <v>9.4</v>
      </c>
      <c r="AP2001">
        <v>5</v>
      </c>
      <c r="AQ2001">
        <v>0</v>
      </c>
      <c r="AR2001" t="s">
        <v>6760</v>
      </c>
      <c r="AS2001" t="s">
        <v>6761</v>
      </c>
      <c r="AT2001">
        <v>0.25</v>
      </c>
      <c r="AU2001" t="s">
        <v>43</v>
      </c>
      <c r="AV2001" t="s">
        <v>80</v>
      </c>
      <c r="AW2001" t="s">
        <v>45</v>
      </c>
      <c r="AX2001" t="s">
        <v>6762</v>
      </c>
      <c r="AY2001" t="s">
        <v>6763</v>
      </c>
      <c r="AZ2001">
        <v>110.9999999951106</v>
      </c>
      <c r="BA2001">
        <v>0</v>
      </c>
      <c r="BB2001">
        <v>0</v>
      </c>
      <c r="BC2001">
        <v>0.3</v>
      </c>
      <c r="BD2001">
        <v>0</v>
      </c>
      <c r="BE2001">
        <f t="shared" si="319"/>
        <v>0</v>
      </c>
    </row>
    <row r="2002" spans="1:57" x14ac:dyDescent="0.25">
      <c r="A2002" t="s">
        <v>39</v>
      </c>
      <c r="B2002" t="s">
        <v>6764</v>
      </c>
      <c r="C2002">
        <v>55.4</v>
      </c>
      <c r="D2002">
        <v>41</v>
      </c>
      <c r="G2002">
        <f t="shared" si="310"/>
        <v>1</v>
      </c>
      <c r="H2002">
        <f t="shared" si="311"/>
        <v>0</v>
      </c>
      <c r="I2002">
        <f t="shared" si="312"/>
        <v>1</v>
      </c>
      <c r="J2002">
        <v>49.1</v>
      </c>
      <c r="K2002">
        <v>55.4</v>
      </c>
      <c r="L2002">
        <v>34.799999999999997</v>
      </c>
      <c r="M2002">
        <v>47.3</v>
      </c>
      <c r="N2002">
        <v>39.700000000000003</v>
      </c>
      <c r="O2002">
        <v>70.8</v>
      </c>
      <c r="S2002">
        <f t="shared" si="313"/>
        <v>1</v>
      </c>
      <c r="T2002">
        <f t="shared" si="314"/>
        <v>1</v>
      </c>
      <c r="U2002">
        <f t="shared" si="315"/>
        <v>0</v>
      </c>
      <c r="V2002">
        <v>0.14000000000000001</v>
      </c>
      <c r="W2002">
        <v>100</v>
      </c>
      <c r="X2002">
        <v>4.17</v>
      </c>
      <c r="Y2002" t="s">
        <v>103</v>
      </c>
      <c r="Z2002">
        <v>0</v>
      </c>
      <c r="AA2002">
        <v>0</v>
      </c>
      <c r="AB2002">
        <v>22.1</v>
      </c>
      <c r="AC2002">
        <v>10.3</v>
      </c>
      <c r="AG2002">
        <f t="shared" si="316"/>
        <v>1</v>
      </c>
      <c r="AH2002">
        <f t="shared" si="317"/>
        <v>0</v>
      </c>
      <c r="AI2002">
        <f t="shared" si="318"/>
        <v>1</v>
      </c>
      <c r="AJ2002">
        <v>208.9</v>
      </c>
      <c r="AK2002">
        <v>1021.8</v>
      </c>
      <c r="AL2002">
        <v>38.5</v>
      </c>
      <c r="AM2002">
        <v>6.2</v>
      </c>
      <c r="AN2002">
        <v>113.9</v>
      </c>
      <c r="AO2002">
        <v>10</v>
      </c>
      <c r="AP2002">
        <v>5</v>
      </c>
      <c r="AQ2002">
        <v>0</v>
      </c>
      <c r="AR2002" t="s">
        <v>6765</v>
      </c>
      <c r="AS2002" t="s">
        <v>6766</v>
      </c>
      <c r="AT2002">
        <v>0.15</v>
      </c>
      <c r="AU2002" t="s">
        <v>106</v>
      </c>
      <c r="AV2002" t="s">
        <v>296</v>
      </c>
      <c r="AW2002" t="s">
        <v>103</v>
      </c>
      <c r="AX2002" t="s">
        <v>2754</v>
      </c>
      <c r="AY2002" t="s">
        <v>6767</v>
      </c>
      <c r="AZ2002">
        <v>126.9999999948777</v>
      </c>
      <c r="BA2002">
        <v>0</v>
      </c>
      <c r="BB2002">
        <v>0</v>
      </c>
      <c r="BC2002">
        <v>3</v>
      </c>
      <c r="BD2002">
        <v>0</v>
      </c>
      <c r="BE2002">
        <f t="shared" si="319"/>
        <v>0</v>
      </c>
    </row>
    <row r="2003" spans="1:57" x14ac:dyDescent="0.25">
      <c r="A2003" t="s">
        <v>39</v>
      </c>
      <c r="B2003" t="s">
        <v>6768</v>
      </c>
      <c r="C2003">
        <v>53.6</v>
      </c>
      <c r="D2003">
        <v>45.8</v>
      </c>
      <c r="G2003">
        <f t="shared" si="310"/>
        <v>1</v>
      </c>
      <c r="H2003">
        <f t="shared" si="311"/>
        <v>0</v>
      </c>
      <c r="I2003">
        <f t="shared" si="312"/>
        <v>1</v>
      </c>
      <c r="J2003">
        <v>50.9</v>
      </c>
      <c r="K2003">
        <v>53.6</v>
      </c>
      <c r="L2003">
        <v>37.200000000000003</v>
      </c>
      <c r="M2003">
        <v>49.8</v>
      </c>
      <c r="N2003">
        <v>38.299999999999997</v>
      </c>
      <c r="O2003">
        <v>62</v>
      </c>
      <c r="S2003">
        <f t="shared" si="313"/>
        <v>1</v>
      </c>
      <c r="T2003">
        <f t="shared" si="314"/>
        <v>0</v>
      </c>
      <c r="U2003">
        <f t="shared" si="315"/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43.2</v>
      </c>
      <c r="AC2003">
        <v>28.9</v>
      </c>
      <c r="AG2003">
        <f t="shared" si="316"/>
        <v>1</v>
      </c>
      <c r="AH2003">
        <f t="shared" si="317"/>
        <v>1</v>
      </c>
      <c r="AI2003">
        <f t="shared" si="318"/>
        <v>0</v>
      </c>
      <c r="AJ2003">
        <v>335.5</v>
      </c>
      <c r="AK2003">
        <v>1028.2</v>
      </c>
      <c r="AL2003">
        <v>59.7</v>
      </c>
      <c r="AM2003">
        <v>6.2</v>
      </c>
      <c r="AN2003">
        <v>130.5</v>
      </c>
      <c r="AO2003">
        <v>11.3</v>
      </c>
      <c r="AP2003">
        <v>5</v>
      </c>
      <c r="AQ2003">
        <v>0</v>
      </c>
      <c r="AR2003" t="s">
        <v>6769</v>
      </c>
      <c r="AS2003" t="s">
        <v>6770</v>
      </c>
      <c r="AT2003">
        <v>0.67</v>
      </c>
      <c r="AU2003" t="s">
        <v>43</v>
      </c>
      <c r="AV2003" t="s">
        <v>44</v>
      </c>
      <c r="AW2003" t="s">
        <v>45</v>
      </c>
      <c r="AX2003" t="s">
        <v>5072</v>
      </c>
      <c r="AY2003" t="s">
        <v>6771</v>
      </c>
      <c r="AZ2003">
        <v>136.0000000032596</v>
      </c>
      <c r="BA2003">
        <v>0</v>
      </c>
      <c r="BB2003">
        <v>0</v>
      </c>
      <c r="BC2003">
        <v>2</v>
      </c>
      <c r="BD2003">
        <v>0</v>
      </c>
      <c r="BE2003">
        <f t="shared" si="319"/>
        <v>1</v>
      </c>
    </row>
    <row r="2004" spans="1:57" x14ac:dyDescent="0.25">
      <c r="A2004" t="s">
        <v>39</v>
      </c>
      <c r="B2004" t="s">
        <v>6772</v>
      </c>
      <c r="C2004">
        <v>64.400000000000006</v>
      </c>
      <c r="D2004">
        <v>51.2</v>
      </c>
      <c r="G2004">
        <f t="shared" si="310"/>
        <v>1</v>
      </c>
      <c r="H2004">
        <f t="shared" si="311"/>
        <v>1</v>
      </c>
      <c r="I2004">
        <f t="shared" si="312"/>
        <v>0</v>
      </c>
      <c r="J2004">
        <v>59.1</v>
      </c>
      <c r="K2004">
        <v>64.400000000000006</v>
      </c>
      <c r="L2004">
        <v>51.2</v>
      </c>
      <c r="M2004">
        <v>59.1</v>
      </c>
      <c r="N2004">
        <v>56.3</v>
      </c>
      <c r="O2004">
        <v>90.4</v>
      </c>
      <c r="S2004">
        <f t="shared" si="313"/>
        <v>1</v>
      </c>
      <c r="T2004">
        <f t="shared" si="314"/>
        <v>1</v>
      </c>
      <c r="U2004">
        <f t="shared" si="315"/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16.100000000000001</v>
      </c>
      <c r="AC2004">
        <v>10.3</v>
      </c>
      <c r="AG2004">
        <f t="shared" si="316"/>
        <v>1</v>
      </c>
      <c r="AH2004">
        <f t="shared" si="317"/>
        <v>0</v>
      </c>
      <c r="AI2004">
        <f t="shared" si="318"/>
        <v>1</v>
      </c>
      <c r="AJ2004">
        <v>108.6</v>
      </c>
      <c r="AK2004">
        <v>1012.4</v>
      </c>
      <c r="AL2004">
        <v>34.9</v>
      </c>
      <c r="AM2004">
        <v>6.2</v>
      </c>
      <c r="AN2004">
        <v>225.4</v>
      </c>
      <c r="AO2004">
        <v>19.3</v>
      </c>
      <c r="AP2004">
        <v>8</v>
      </c>
      <c r="AQ2004">
        <v>0</v>
      </c>
      <c r="AR2004" t="s">
        <v>6773</v>
      </c>
      <c r="AS2004" t="s">
        <v>6774</v>
      </c>
      <c r="AT2004">
        <v>0.78</v>
      </c>
      <c r="AU2004" t="s">
        <v>43</v>
      </c>
      <c r="AV2004" t="s">
        <v>44</v>
      </c>
      <c r="AW2004" t="s">
        <v>45</v>
      </c>
      <c r="AX2004" t="s">
        <v>6775</v>
      </c>
      <c r="AY2004" t="s">
        <v>6776</v>
      </c>
      <c r="AZ2004">
        <v>98.000000005122274</v>
      </c>
      <c r="BA2004">
        <v>0</v>
      </c>
      <c r="BB2004">
        <v>0</v>
      </c>
      <c r="BC2004">
        <v>1.5</v>
      </c>
      <c r="BD2004">
        <v>0</v>
      </c>
      <c r="BE2004">
        <f t="shared" si="319"/>
        <v>1</v>
      </c>
    </row>
    <row r="2005" spans="1:57" x14ac:dyDescent="0.25">
      <c r="A2005" t="s">
        <v>39</v>
      </c>
      <c r="B2005" t="s">
        <v>6777</v>
      </c>
      <c r="C2005">
        <v>66.2</v>
      </c>
      <c r="D2005">
        <v>46.4</v>
      </c>
      <c r="G2005">
        <f t="shared" si="310"/>
        <v>1</v>
      </c>
      <c r="H2005">
        <f t="shared" si="311"/>
        <v>1</v>
      </c>
      <c r="I2005">
        <f t="shared" si="312"/>
        <v>0</v>
      </c>
      <c r="J2005">
        <v>56.5</v>
      </c>
      <c r="K2005">
        <v>66.2</v>
      </c>
      <c r="L2005">
        <v>42.4</v>
      </c>
      <c r="M2005">
        <v>55.5</v>
      </c>
      <c r="N2005">
        <v>50.7</v>
      </c>
      <c r="O2005">
        <v>81.3</v>
      </c>
      <c r="S2005">
        <f t="shared" si="313"/>
        <v>1</v>
      </c>
      <c r="T2005">
        <f t="shared" si="314"/>
        <v>1</v>
      </c>
      <c r="U2005">
        <f t="shared" si="315"/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19.7</v>
      </c>
      <c r="AC2005">
        <v>10.3</v>
      </c>
      <c r="AG2005">
        <f t="shared" si="316"/>
        <v>1</v>
      </c>
      <c r="AH2005">
        <f t="shared" si="317"/>
        <v>0</v>
      </c>
      <c r="AI2005">
        <f t="shared" si="318"/>
        <v>1</v>
      </c>
      <c r="AJ2005">
        <v>179.5</v>
      </c>
      <c r="AK2005">
        <v>1018.7</v>
      </c>
      <c r="AL2005">
        <v>1.7</v>
      </c>
      <c r="AM2005">
        <v>6.2</v>
      </c>
      <c r="AN2005">
        <v>271.10000000000002</v>
      </c>
      <c r="AO2005">
        <v>23.6</v>
      </c>
      <c r="AP2005">
        <v>9</v>
      </c>
      <c r="AQ2005">
        <v>0</v>
      </c>
      <c r="AR2005" t="s">
        <v>6778</v>
      </c>
      <c r="AS2005" t="s">
        <v>6779</v>
      </c>
      <c r="AT2005">
        <v>0.91</v>
      </c>
      <c r="AU2005" t="s">
        <v>74</v>
      </c>
      <c r="AV2005" t="s">
        <v>2955</v>
      </c>
      <c r="AW2005" t="s">
        <v>75</v>
      </c>
      <c r="AX2005" t="s">
        <v>6780</v>
      </c>
      <c r="AY2005" t="s">
        <v>6781</v>
      </c>
      <c r="AZ2005">
        <v>60.999999999767169</v>
      </c>
      <c r="BA2005">
        <v>0</v>
      </c>
      <c r="BB2005">
        <v>0</v>
      </c>
      <c r="BC2005">
        <v>5</v>
      </c>
      <c r="BD2005">
        <v>0</v>
      </c>
      <c r="BE2005">
        <f t="shared" si="319"/>
        <v>1</v>
      </c>
    </row>
    <row r="2006" spans="1:57" x14ac:dyDescent="0.25">
      <c r="A2006" t="s">
        <v>39</v>
      </c>
      <c r="B2006" t="s">
        <v>6712</v>
      </c>
      <c r="C2006">
        <v>68</v>
      </c>
      <c r="D2006">
        <v>53.6</v>
      </c>
      <c r="G2006">
        <f t="shared" si="310"/>
        <v>0</v>
      </c>
      <c r="H2006">
        <f t="shared" si="311"/>
        <v>0</v>
      </c>
      <c r="I2006">
        <f t="shared" si="312"/>
        <v>0</v>
      </c>
      <c r="J2006">
        <v>60.9</v>
      </c>
      <c r="K2006">
        <v>68</v>
      </c>
      <c r="L2006">
        <v>53.6</v>
      </c>
      <c r="M2006">
        <v>60.9</v>
      </c>
      <c r="N2006">
        <v>56.3</v>
      </c>
      <c r="O2006">
        <v>85.4</v>
      </c>
      <c r="S2006">
        <f t="shared" si="313"/>
        <v>1</v>
      </c>
      <c r="T2006">
        <f t="shared" si="314"/>
        <v>1</v>
      </c>
      <c r="U2006">
        <f t="shared" si="315"/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18.3</v>
      </c>
      <c r="AC2006">
        <v>8.1</v>
      </c>
      <c r="AG2006">
        <f t="shared" si="316"/>
        <v>1</v>
      </c>
      <c r="AH2006">
        <f t="shared" si="317"/>
        <v>0</v>
      </c>
      <c r="AI2006">
        <f t="shared" si="318"/>
        <v>1</v>
      </c>
      <c r="AJ2006">
        <v>171</v>
      </c>
      <c r="AK2006">
        <v>1015.1</v>
      </c>
      <c r="AL2006">
        <v>18.899999999999999</v>
      </c>
      <c r="AM2006">
        <v>6.2</v>
      </c>
      <c r="AN2006">
        <v>282.89999999999998</v>
      </c>
      <c r="AO2006">
        <v>24.5</v>
      </c>
      <c r="AP2006">
        <v>9</v>
      </c>
      <c r="AQ2006">
        <v>0</v>
      </c>
      <c r="AR2006" t="s">
        <v>6713</v>
      </c>
      <c r="AS2006" t="s">
        <v>6714</v>
      </c>
      <c r="AT2006">
        <v>0.63</v>
      </c>
      <c r="AU2006" t="s">
        <v>74</v>
      </c>
      <c r="AV2006" t="s">
        <v>2955</v>
      </c>
      <c r="AW2006" t="s">
        <v>75</v>
      </c>
      <c r="AX2006" t="s">
        <v>4409</v>
      </c>
      <c r="AY2006" t="s">
        <v>6782</v>
      </c>
      <c r="AZ2006">
        <v>227.99999999930151</v>
      </c>
      <c r="BA2006">
        <v>0</v>
      </c>
      <c r="BB2006">
        <v>0</v>
      </c>
      <c r="BC2006">
        <v>1</v>
      </c>
      <c r="BD2006">
        <v>0</v>
      </c>
      <c r="BE2006">
        <f t="shared" si="319"/>
        <v>0</v>
      </c>
    </row>
    <row r="2007" spans="1:57" x14ac:dyDescent="0.25">
      <c r="A2007" t="s">
        <v>39</v>
      </c>
      <c r="B2007" t="s">
        <v>6716</v>
      </c>
      <c r="C2007">
        <v>80.599999999999994</v>
      </c>
      <c r="D2007">
        <v>64.400000000000006</v>
      </c>
      <c r="G2007">
        <f t="shared" si="310"/>
        <v>1</v>
      </c>
      <c r="H2007">
        <f t="shared" si="311"/>
        <v>1</v>
      </c>
      <c r="I2007">
        <f t="shared" si="312"/>
        <v>0</v>
      </c>
      <c r="J2007">
        <v>68.400000000000006</v>
      </c>
      <c r="K2007">
        <v>82.7</v>
      </c>
      <c r="L2007">
        <v>64.400000000000006</v>
      </c>
      <c r="M2007">
        <v>68.5</v>
      </c>
      <c r="N2007">
        <v>58.2</v>
      </c>
      <c r="O2007">
        <v>70.400000000000006</v>
      </c>
      <c r="S2007">
        <f t="shared" si="313"/>
        <v>1</v>
      </c>
      <c r="T2007">
        <f t="shared" si="314"/>
        <v>1</v>
      </c>
      <c r="U2007">
        <f t="shared" si="315"/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39.1</v>
      </c>
      <c r="AC2007">
        <v>25.3</v>
      </c>
      <c r="AG2007">
        <f t="shared" si="316"/>
        <v>1</v>
      </c>
      <c r="AH2007">
        <f t="shared" si="317"/>
        <v>1</v>
      </c>
      <c r="AI2007">
        <f t="shared" si="318"/>
        <v>0</v>
      </c>
      <c r="AJ2007">
        <v>175.7</v>
      </c>
      <c r="AK2007">
        <v>1012.2</v>
      </c>
      <c r="AL2007">
        <v>39.1</v>
      </c>
      <c r="AM2007">
        <v>6.2</v>
      </c>
      <c r="AN2007">
        <v>261.8</v>
      </c>
      <c r="AO2007">
        <v>22.5</v>
      </c>
      <c r="AP2007">
        <v>8</v>
      </c>
      <c r="AQ2007">
        <v>0</v>
      </c>
      <c r="AR2007" t="s">
        <v>6717</v>
      </c>
      <c r="AS2007" t="s">
        <v>6718</v>
      </c>
      <c r="AT2007">
        <v>0.8</v>
      </c>
      <c r="AU2007" t="s">
        <v>43</v>
      </c>
      <c r="AV2007" t="s">
        <v>44</v>
      </c>
      <c r="AW2007" t="s">
        <v>45</v>
      </c>
      <c r="AX2007" t="s">
        <v>5570</v>
      </c>
      <c r="AY2007" t="s">
        <v>6783</v>
      </c>
      <c r="AZ2007">
        <v>367.9999999946449</v>
      </c>
      <c r="BA2007">
        <v>1</v>
      </c>
      <c r="BB2007">
        <v>0</v>
      </c>
      <c r="BC2007">
        <v>5</v>
      </c>
      <c r="BD2007">
        <v>0</v>
      </c>
      <c r="BE2007">
        <f t="shared" si="319"/>
        <v>1</v>
      </c>
    </row>
    <row r="2008" spans="1:57" x14ac:dyDescent="0.25">
      <c r="A2008" t="s">
        <v>39</v>
      </c>
      <c r="B2008" t="s">
        <v>6784</v>
      </c>
      <c r="C2008">
        <v>66.2</v>
      </c>
      <c r="D2008">
        <v>59</v>
      </c>
      <c r="G2008">
        <f t="shared" si="310"/>
        <v>0</v>
      </c>
      <c r="H2008">
        <f t="shared" si="311"/>
        <v>0</v>
      </c>
      <c r="I2008">
        <f t="shared" si="312"/>
        <v>0</v>
      </c>
      <c r="J2008">
        <v>62.4</v>
      </c>
      <c r="K2008">
        <v>66.2</v>
      </c>
      <c r="L2008">
        <v>59</v>
      </c>
      <c r="M2008">
        <v>62.4</v>
      </c>
      <c r="N2008">
        <v>55.2</v>
      </c>
      <c r="O2008">
        <v>77.7</v>
      </c>
      <c r="S2008">
        <f t="shared" si="313"/>
        <v>1</v>
      </c>
      <c r="T2008">
        <f t="shared" si="314"/>
        <v>1</v>
      </c>
      <c r="U2008">
        <f t="shared" si="315"/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24.2</v>
      </c>
      <c r="AC2008">
        <v>16</v>
      </c>
      <c r="AG2008">
        <f t="shared" si="316"/>
        <v>0</v>
      </c>
      <c r="AH2008">
        <f t="shared" si="317"/>
        <v>0</v>
      </c>
      <c r="AI2008">
        <f t="shared" si="318"/>
        <v>0</v>
      </c>
      <c r="AJ2008">
        <v>345.2</v>
      </c>
      <c r="AK2008">
        <v>1016.1</v>
      </c>
      <c r="AL2008">
        <v>48.8</v>
      </c>
      <c r="AM2008">
        <v>6.2</v>
      </c>
      <c r="AN2008">
        <v>267.7</v>
      </c>
      <c r="AO2008">
        <v>23.3</v>
      </c>
      <c r="AP2008">
        <v>9</v>
      </c>
      <c r="AQ2008">
        <v>0</v>
      </c>
      <c r="AR2008" t="s">
        <v>6785</v>
      </c>
      <c r="AS2008" t="s">
        <v>6786</v>
      </c>
      <c r="AT2008">
        <v>0.83</v>
      </c>
      <c r="AU2008" t="s">
        <v>43</v>
      </c>
      <c r="AV2008" t="s">
        <v>44</v>
      </c>
      <c r="AW2008" t="s">
        <v>45</v>
      </c>
      <c r="AX2008" t="s">
        <v>6787</v>
      </c>
      <c r="AY2008" t="s">
        <v>6788</v>
      </c>
      <c r="AZ2008">
        <v>53.999999997904517</v>
      </c>
      <c r="BA2008">
        <v>0</v>
      </c>
      <c r="BB2008">
        <v>0</v>
      </c>
      <c r="BC2008">
        <v>1.5</v>
      </c>
      <c r="BD2008">
        <v>0</v>
      </c>
      <c r="BE2008">
        <f t="shared" si="319"/>
        <v>0</v>
      </c>
    </row>
    <row r="2009" spans="1:57" x14ac:dyDescent="0.25">
      <c r="A2009" t="s">
        <v>39</v>
      </c>
      <c r="B2009" t="s">
        <v>6789</v>
      </c>
      <c r="C2009">
        <v>80.599999999999994</v>
      </c>
      <c r="D2009">
        <v>64.400000000000006</v>
      </c>
      <c r="G2009">
        <f t="shared" si="310"/>
        <v>1</v>
      </c>
      <c r="H2009">
        <f t="shared" si="311"/>
        <v>1</v>
      </c>
      <c r="I2009">
        <f t="shared" si="312"/>
        <v>0</v>
      </c>
      <c r="J2009">
        <v>73.3</v>
      </c>
      <c r="K2009">
        <v>80.8</v>
      </c>
      <c r="L2009">
        <v>64.400000000000006</v>
      </c>
      <c r="M2009">
        <v>73.3</v>
      </c>
      <c r="N2009">
        <v>56.9</v>
      </c>
      <c r="O2009">
        <v>58.6</v>
      </c>
      <c r="S2009">
        <f t="shared" si="313"/>
        <v>1</v>
      </c>
      <c r="T2009">
        <f t="shared" si="314"/>
        <v>0</v>
      </c>
      <c r="U2009">
        <f t="shared" si="315"/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32.200000000000003</v>
      </c>
      <c r="AC2009">
        <v>27.7</v>
      </c>
      <c r="AG2009">
        <f t="shared" si="316"/>
        <v>1</v>
      </c>
      <c r="AH2009">
        <f t="shared" si="317"/>
        <v>1</v>
      </c>
      <c r="AI2009">
        <f t="shared" si="318"/>
        <v>0</v>
      </c>
      <c r="AJ2009">
        <v>190.6</v>
      </c>
      <c r="AK2009">
        <v>1007.6</v>
      </c>
      <c r="AL2009">
        <v>40.799999999999997</v>
      </c>
      <c r="AM2009">
        <v>6.2</v>
      </c>
      <c r="AN2009">
        <v>302.5</v>
      </c>
      <c r="AO2009">
        <v>26.2</v>
      </c>
      <c r="AP2009">
        <v>9</v>
      </c>
      <c r="AQ2009">
        <v>0</v>
      </c>
      <c r="AR2009" t="s">
        <v>6790</v>
      </c>
      <c r="AS2009" t="s">
        <v>6791</v>
      </c>
      <c r="AT2009">
        <v>0.13</v>
      </c>
      <c r="AU2009" t="s">
        <v>43</v>
      </c>
      <c r="AV2009" t="s">
        <v>44</v>
      </c>
      <c r="AW2009" t="s">
        <v>45</v>
      </c>
      <c r="AX2009" t="s">
        <v>6792</v>
      </c>
      <c r="AY2009" t="s">
        <v>6793</v>
      </c>
      <c r="AZ2009">
        <v>136.99999999604191</v>
      </c>
      <c r="BA2009">
        <v>0</v>
      </c>
      <c r="BB2009">
        <v>0</v>
      </c>
      <c r="BC2009">
        <v>2</v>
      </c>
      <c r="BD2009">
        <v>0</v>
      </c>
      <c r="BE2009">
        <f t="shared" si="319"/>
        <v>1</v>
      </c>
    </row>
    <row r="2010" spans="1:57" x14ac:dyDescent="0.25">
      <c r="A2010" t="s">
        <v>39</v>
      </c>
      <c r="B2010" t="s">
        <v>6794</v>
      </c>
      <c r="C2010">
        <v>80.599999999999994</v>
      </c>
      <c r="D2010">
        <v>64.400000000000006</v>
      </c>
      <c r="G2010">
        <f t="shared" si="310"/>
        <v>0</v>
      </c>
      <c r="H2010">
        <f t="shared" si="311"/>
        <v>0</v>
      </c>
      <c r="I2010">
        <f t="shared" si="312"/>
        <v>0</v>
      </c>
      <c r="J2010">
        <v>72.400000000000006</v>
      </c>
      <c r="K2010">
        <v>81.900000000000006</v>
      </c>
      <c r="L2010">
        <v>64.400000000000006</v>
      </c>
      <c r="M2010">
        <v>72.400000000000006</v>
      </c>
      <c r="N2010">
        <v>62</v>
      </c>
      <c r="O2010">
        <v>70.599999999999994</v>
      </c>
      <c r="S2010">
        <f t="shared" si="313"/>
        <v>1</v>
      </c>
      <c r="T2010">
        <f t="shared" si="314"/>
        <v>1</v>
      </c>
      <c r="U2010">
        <f t="shared" si="315"/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11.4</v>
      </c>
      <c r="AC2010">
        <v>8.1</v>
      </c>
      <c r="AG2010">
        <f t="shared" si="316"/>
        <v>1</v>
      </c>
      <c r="AH2010">
        <f t="shared" si="317"/>
        <v>0</v>
      </c>
      <c r="AI2010">
        <f t="shared" si="318"/>
        <v>1</v>
      </c>
      <c r="AJ2010">
        <v>103.8</v>
      </c>
      <c r="AK2010">
        <v>1013</v>
      </c>
      <c r="AL2010">
        <v>51.2</v>
      </c>
      <c r="AM2010">
        <v>6.2</v>
      </c>
      <c r="AN2010">
        <v>285.2</v>
      </c>
      <c r="AO2010">
        <v>24.5</v>
      </c>
      <c r="AP2010">
        <v>8</v>
      </c>
      <c r="AQ2010">
        <v>0</v>
      </c>
      <c r="AR2010" t="s">
        <v>6795</v>
      </c>
      <c r="AS2010" t="s">
        <v>6796</v>
      </c>
      <c r="AT2010">
        <v>0.28999999999999998</v>
      </c>
      <c r="AU2010" t="s">
        <v>43</v>
      </c>
      <c r="AV2010" t="s">
        <v>44</v>
      </c>
      <c r="AW2010" t="s">
        <v>45</v>
      </c>
      <c r="AX2010" t="s">
        <v>2790</v>
      </c>
      <c r="AY2010" t="s">
        <v>6797</v>
      </c>
      <c r="AZ2010">
        <v>209.99999999301511</v>
      </c>
      <c r="BA2010">
        <v>0</v>
      </c>
      <c r="BB2010">
        <v>0</v>
      </c>
      <c r="BC2010">
        <v>5000</v>
      </c>
      <c r="BD2010">
        <v>0</v>
      </c>
      <c r="BE2010">
        <f t="shared" si="319"/>
        <v>0</v>
      </c>
    </row>
    <row r="2011" spans="1:57" x14ac:dyDescent="0.25">
      <c r="A2011" t="s">
        <v>39</v>
      </c>
      <c r="B2011" t="s">
        <v>6798</v>
      </c>
      <c r="C2011">
        <v>84.2</v>
      </c>
      <c r="D2011">
        <v>69.8</v>
      </c>
      <c r="G2011">
        <f t="shared" si="310"/>
        <v>1</v>
      </c>
      <c r="H2011">
        <f t="shared" si="311"/>
        <v>1</v>
      </c>
      <c r="I2011">
        <f t="shared" si="312"/>
        <v>0</v>
      </c>
      <c r="J2011">
        <v>78.400000000000006</v>
      </c>
      <c r="K2011">
        <v>92.5</v>
      </c>
      <c r="L2011">
        <v>69.8</v>
      </c>
      <c r="M2011">
        <v>80.599999999999994</v>
      </c>
      <c r="N2011">
        <v>68.099999999999994</v>
      </c>
      <c r="O2011">
        <v>71.099999999999994</v>
      </c>
      <c r="S2011">
        <f t="shared" si="313"/>
        <v>1</v>
      </c>
      <c r="T2011">
        <f t="shared" si="314"/>
        <v>1</v>
      </c>
      <c r="U2011">
        <f t="shared" si="315"/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23.7</v>
      </c>
      <c r="AC2011">
        <v>9.1999999999999993</v>
      </c>
      <c r="AG2011">
        <f t="shared" si="316"/>
        <v>1</v>
      </c>
      <c r="AH2011">
        <f t="shared" si="317"/>
        <v>0</v>
      </c>
      <c r="AI2011">
        <f t="shared" si="318"/>
        <v>1</v>
      </c>
      <c r="AJ2011">
        <v>339.8</v>
      </c>
      <c r="AK2011">
        <v>1011.5</v>
      </c>
      <c r="AL2011">
        <v>0</v>
      </c>
      <c r="AM2011">
        <v>6.2</v>
      </c>
      <c r="AN2011">
        <v>340.4</v>
      </c>
      <c r="AO2011">
        <v>29.5</v>
      </c>
      <c r="AP2011">
        <v>10</v>
      </c>
      <c r="AQ2011">
        <v>0</v>
      </c>
      <c r="AR2011" t="s">
        <v>6799</v>
      </c>
      <c r="AS2011" t="s">
        <v>6800</v>
      </c>
      <c r="AT2011">
        <v>0.04</v>
      </c>
      <c r="AU2011" t="s">
        <v>74</v>
      </c>
      <c r="AV2011" t="s">
        <v>2955</v>
      </c>
      <c r="AW2011" t="s">
        <v>75</v>
      </c>
      <c r="AX2011" t="s">
        <v>2408</v>
      </c>
      <c r="AY2011" t="s">
        <v>6801</v>
      </c>
      <c r="AZ2011">
        <v>40.000000004656613</v>
      </c>
      <c r="BA2011">
        <v>0</v>
      </c>
      <c r="BB2011">
        <v>0</v>
      </c>
      <c r="BC2011">
        <v>0.1</v>
      </c>
      <c r="BD2011">
        <v>0</v>
      </c>
      <c r="BE2011">
        <f t="shared" si="319"/>
        <v>1</v>
      </c>
    </row>
    <row r="2012" spans="1:57" x14ac:dyDescent="0.25">
      <c r="A2012" t="s">
        <v>39</v>
      </c>
      <c r="B2012" t="s">
        <v>6802</v>
      </c>
      <c r="C2012">
        <v>93.2</v>
      </c>
      <c r="D2012">
        <v>75.3</v>
      </c>
      <c r="G2012">
        <f t="shared" si="310"/>
        <v>1</v>
      </c>
      <c r="H2012">
        <f t="shared" si="311"/>
        <v>1</v>
      </c>
      <c r="I2012">
        <f t="shared" si="312"/>
        <v>0</v>
      </c>
      <c r="J2012">
        <v>86.8</v>
      </c>
      <c r="K2012">
        <v>99.2</v>
      </c>
      <c r="L2012">
        <v>75.3</v>
      </c>
      <c r="M2012">
        <v>89.2</v>
      </c>
      <c r="N2012">
        <v>65</v>
      </c>
      <c r="O2012">
        <v>49</v>
      </c>
      <c r="S2012">
        <f t="shared" si="313"/>
        <v>1</v>
      </c>
      <c r="T2012">
        <f t="shared" si="314"/>
        <v>0</v>
      </c>
      <c r="U2012">
        <f t="shared" si="315"/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27.5</v>
      </c>
      <c r="AC2012">
        <v>16.100000000000001</v>
      </c>
      <c r="AG2012">
        <f t="shared" si="316"/>
        <v>0</v>
      </c>
      <c r="AH2012">
        <f t="shared" si="317"/>
        <v>0</v>
      </c>
      <c r="AI2012">
        <f t="shared" si="318"/>
        <v>0</v>
      </c>
      <c r="AJ2012">
        <v>299</v>
      </c>
      <c r="AK2012">
        <v>1008.5</v>
      </c>
      <c r="AL2012">
        <v>0</v>
      </c>
      <c r="AM2012">
        <v>6.2</v>
      </c>
      <c r="AN2012">
        <v>345.2</v>
      </c>
      <c r="AO2012">
        <v>29.9</v>
      </c>
      <c r="AP2012">
        <v>10</v>
      </c>
      <c r="AQ2012">
        <v>0</v>
      </c>
      <c r="AR2012" t="s">
        <v>6803</v>
      </c>
      <c r="AS2012" t="s">
        <v>6804</v>
      </c>
      <c r="AT2012">
        <v>0.25</v>
      </c>
      <c r="AU2012" t="s">
        <v>74</v>
      </c>
      <c r="AV2012" t="s">
        <v>2955</v>
      </c>
      <c r="AW2012" t="s">
        <v>75</v>
      </c>
      <c r="AX2012" t="s">
        <v>4571</v>
      </c>
      <c r="AY2012" t="s">
        <v>6805</v>
      </c>
      <c r="AZ2012">
        <v>13414.99999999534</v>
      </c>
      <c r="BA2012">
        <v>1</v>
      </c>
      <c r="BB2012">
        <v>0</v>
      </c>
      <c r="BC2012">
        <v>2500</v>
      </c>
      <c r="BD2012">
        <v>0</v>
      </c>
      <c r="BE2012">
        <f t="shared" si="319"/>
        <v>1</v>
      </c>
    </row>
    <row r="2013" spans="1:57" x14ac:dyDescent="0.25">
      <c r="A2013" t="s">
        <v>39</v>
      </c>
      <c r="B2013" t="s">
        <v>6806</v>
      </c>
      <c r="C2013">
        <v>96.8</v>
      </c>
      <c r="D2013">
        <v>78.8</v>
      </c>
      <c r="G2013">
        <f t="shared" si="310"/>
        <v>1</v>
      </c>
      <c r="H2013">
        <f t="shared" si="311"/>
        <v>1</v>
      </c>
      <c r="I2013">
        <f t="shared" si="312"/>
        <v>0</v>
      </c>
      <c r="J2013">
        <v>88.8</v>
      </c>
      <c r="K2013">
        <v>105.2</v>
      </c>
      <c r="L2013">
        <v>78.8</v>
      </c>
      <c r="M2013">
        <v>92.3</v>
      </c>
      <c r="N2013">
        <v>65.7</v>
      </c>
      <c r="O2013">
        <v>46.9</v>
      </c>
      <c r="S2013">
        <f t="shared" si="313"/>
        <v>1</v>
      </c>
      <c r="T2013">
        <f t="shared" si="314"/>
        <v>0</v>
      </c>
      <c r="U2013">
        <f t="shared" si="315"/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23.3</v>
      </c>
      <c r="AC2013">
        <v>11.4</v>
      </c>
      <c r="AG2013">
        <f t="shared" si="316"/>
        <v>1</v>
      </c>
      <c r="AH2013">
        <f t="shared" si="317"/>
        <v>0</v>
      </c>
      <c r="AI2013">
        <f t="shared" si="318"/>
        <v>1</v>
      </c>
      <c r="AJ2013">
        <v>183.2</v>
      </c>
      <c r="AK2013">
        <v>1005.8</v>
      </c>
      <c r="AL2013">
        <v>2.5</v>
      </c>
      <c r="AM2013">
        <v>6.2</v>
      </c>
      <c r="AN2013">
        <v>345.2</v>
      </c>
      <c r="AO2013">
        <v>29.9</v>
      </c>
      <c r="AP2013">
        <v>10</v>
      </c>
      <c r="AQ2013">
        <v>0</v>
      </c>
      <c r="AR2013" t="s">
        <v>6807</v>
      </c>
      <c r="AS2013" t="s">
        <v>6808</v>
      </c>
      <c r="AT2013">
        <v>0.27</v>
      </c>
      <c r="AU2013" t="s">
        <v>74</v>
      </c>
      <c r="AV2013" t="s">
        <v>2955</v>
      </c>
      <c r="AW2013" t="s">
        <v>75</v>
      </c>
      <c r="AX2013" t="s">
        <v>4801</v>
      </c>
      <c r="AY2013" t="s">
        <v>6809</v>
      </c>
      <c r="AZ2013">
        <v>11520</v>
      </c>
      <c r="BA2013">
        <v>1</v>
      </c>
      <c r="BB2013">
        <v>0</v>
      </c>
      <c r="BC2013">
        <v>1000</v>
      </c>
      <c r="BD2013">
        <v>0</v>
      </c>
      <c r="BE2013">
        <f t="shared" si="319"/>
        <v>1</v>
      </c>
    </row>
    <row r="2014" spans="1:57" x14ac:dyDescent="0.25">
      <c r="A2014" t="s">
        <v>39</v>
      </c>
      <c r="B2014" t="s">
        <v>6810</v>
      </c>
      <c r="C2014">
        <v>96.8</v>
      </c>
      <c r="D2014">
        <v>78.8</v>
      </c>
      <c r="G2014">
        <f t="shared" si="310"/>
        <v>1</v>
      </c>
      <c r="H2014">
        <f t="shared" si="311"/>
        <v>1</v>
      </c>
      <c r="I2014">
        <f t="shared" si="312"/>
        <v>0</v>
      </c>
      <c r="J2014">
        <v>85.9</v>
      </c>
      <c r="K2014">
        <v>97.3</v>
      </c>
      <c r="L2014">
        <v>78.8</v>
      </c>
      <c r="M2014">
        <v>87.1</v>
      </c>
      <c r="N2014">
        <v>60.8</v>
      </c>
      <c r="O2014">
        <v>44.5</v>
      </c>
      <c r="S2014">
        <f t="shared" si="313"/>
        <v>1</v>
      </c>
      <c r="T2014">
        <f t="shared" si="314"/>
        <v>0</v>
      </c>
      <c r="U2014">
        <f t="shared" si="315"/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27.7</v>
      </c>
      <c r="AC2014">
        <v>27.7</v>
      </c>
      <c r="AG2014">
        <f t="shared" si="316"/>
        <v>1</v>
      </c>
      <c r="AH2014">
        <f t="shared" si="317"/>
        <v>1</v>
      </c>
      <c r="AI2014">
        <f t="shared" si="318"/>
        <v>0</v>
      </c>
      <c r="AJ2014">
        <v>297.60000000000002</v>
      </c>
      <c r="AK2014">
        <v>1004.6</v>
      </c>
      <c r="AL2014">
        <v>0.1</v>
      </c>
      <c r="AM2014">
        <v>6.2</v>
      </c>
      <c r="AN2014">
        <v>344.8</v>
      </c>
      <c r="AO2014">
        <v>29.9</v>
      </c>
      <c r="AP2014">
        <v>10</v>
      </c>
      <c r="AQ2014">
        <v>0</v>
      </c>
      <c r="AR2014" t="s">
        <v>6811</v>
      </c>
      <c r="AS2014" t="s">
        <v>6812</v>
      </c>
      <c r="AT2014">
        <v>0.31</v>
      </c>
      <c r="AU2014" t="s">
        <v>74</v>
      </c>
      <c r="AV2014" t="s">
        <v>2955</v>
      </c>
      <c r="AW2014" t="s">
        <v>75</v>
      </c>
      <c r="AX2014" t="s">
        <v>6813</v>
      </c>
      <c r="AY2014" t="s">
        <v>6814</v>
      </c>
      <c r="AZ2014">
        <v>10036.99999999604</v>
      </c>
      <c r="BA2014">
        <v>1</v>
      </c>
      <c r="BB2014">
        <v>0</v>
      </c>
      <c r="BC2014">
        <v>150</v>
      </c>
      <c r="BD2014">
        <v>0</v>
      </c>
      <c r="BE2014">
        <f t="shared" si="319"/>
        <v>1</v>
      </c>
    </row>
    <row r="2015" spans="1:57" x14ac:dyDescent="0.25">
      <c r="A2015" t="s">
        <v>39</v>
      </c>
      <c r="B2015" t="s">
        <v>6815</v>
      </c>
      <c r="C2015">
        <v>86</v>
      </c>
      <c r="D2015">
        <v>77</v>
      </c>
      <c r="G2015">
        <f t="shared" si="310"/>
        <v>1</v>
      </c>
      <c r="H2015">
        <f t="shared" si="311"/>
        <v>1</v>
      </c>
      <c r="I2015">
        <f t="shared" si="312"/>
        <v>0</v>
      </c>
      <c r="J2015">
        <v>82.3</v>
      </c>
      <c r="K2015">
        <v>90.6</v>
      </c>
      <c r="L2015">
        <v>77</v>
      </c>
      <c r="M2015">
        <v>84</v>
      </c>
      <c r="N2015">
        <v>63.4</v>
      </c>
      <c r="O2015">
        <v>53.3</v>
      </c>
      <c r="S2015">
        <f t="shared" si="313"/>
        <v>1</v>
      </c>
      <c r="T2015">
        <f t="shared" si="314"/>
        <v>0</v>
      </c>
      <c r="U2015">
        <f t="shared" si="315"/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26.6</v>
      </c>
      <c r="AC2015">
        <v>25.3</v>
      </c>
      <c r="AG2015">
        <f t="shared" si="316"/>
        <v>1</v>
      </c>
      <c r="AH2015">
        <f t="shared" si="317"/>
        <v>1</v>
      </c>
      <c r="AI2015">
        <f t="shared" si="318"/>
        <v>0</v>
      </c>
      <c r="AJ2015">
        <v>294.60000000000002</v>
      </c>
      <c r="AK2015">
        <v>1006.1</v>
      </c>
      <c r="AL2015">
        <v>0.4</v>
      </c>
      <c r="AM2015">
        <v>6.2</v>
      </c>
      <c r="AN2015">
        <v>313.2</v>
      </c>
      <c r="AO2015">
        <v>27</v>
      </c>
      <c r="AP2015">
        <v>10</v>
      </c>
      <c r="AQ2015">
        <v>0</v>
      </c>
      <c r="AR2015" t="s">
        <v>6816</v>
      </c>
      <c r="AS2015" t="s">
        <v>6817</v>
      </c>
      <c r="AT2015">
        <v>0.7</v>
      </c>
      <c r="AU2015" t="s">
        <v>74</v>
      </c>
      <c r="AV2015" t="s">
        <v>2955</v>
      </c>
      <c r="AW2015" t="s">
        <v>75</v>
      </c>
      <c r="AX2015" t="s">
        <v>6818</v>
      </c>
      <c r="AY2015" t="s">
        <v>6819</v>
      </c>
      <c r="AZ2015">
        <v>71.000000000931323</v>
      </c>
      <c r="BA2015">
        <v>0</v>
      </c>
      <c r="BB2015">
        <v>0</v>
      </c>
      <c r="BC2015">
        <v>0.5</v>
      </c>
      <c r="BD2015">
        <v>0</v>
      </c>
      <c r="BE2015">
        <f t="shared" si="319"/>
        <v>1</v>
      </c>
    </row>
    <row r="2016" spans="1:57" x14ac:dyDescent="0.25">
      <c r="A2016" t="s">
        <v>39</v>
      </c>
      <c r="B2016" t="s">
        <v>6820</v>
      </c>
      <c r="C2016">
        <v>84.2</v>
      </c>
      <c r="D2016">
        <v>71.599999999999994</v>
      </c>
      <c r="G2016">
        <f t="shared" si="310"/>
        <v>1</v>
      </c>
      <c r="H2016">
        <f t="shared" si="311"/>
        <v>1</v>
      </c>
      <c r="I2016">
        <f t="shared" si="312"/>
        <v>0</v>
      </c>
      <c r="J2016">
        <v>78.5</v>
      </c>
      <c r="K2016">
        <v>87.2</v>
      </c>
      <c r="L2016">
        <v>71.599999999999994</v>
      </c>
      <c r="M2016">
        <v>79.8</v>
      </c>
      <c r="N2016">
        <v>64.5</v>
      </c>
      <c r="O2016">
        <v>63.2</v>
      </c>
      <c r="S2016">
        <f t="shared" si="313"/>
        <v>1</v>
      </c>
      <c r="T2016">
        <f t="shared" si="314"/>
        <v>0</v>
      </c>
      <c r="U2016">
        <f t="shared" si="315"/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21.9</v>
      </c>
      <c r="AC2016">
        <v>19.7</v>
      </c>
      <c r="AG2016">
        <f t="shared" si="316"/>
        <v>1</v>
      </c>
      <c r="AH2016">
        <f t="shared" si="317"/>
        <v>1</v>
      </c>
      <c r="AI2016">
        <f t="shared" si="318"/>
        <v>0</v>
      </c>
      <c r="AJ2016">
        <v>298.8</v>
      </c>
      <c r="AK2016">
        <v>1011.5</v>
      </c>
      <c r="AL2016">
        <v>0.1</v>
      </c>
      <c r="AM2016">
        <v>6.2</v>
      </c>
      <c r="AN2016">
        <v>274.5</v>
      </c>
      <c r="AO2016">
        <v>23.9</v>
      </c>
      <c r="AP2016">
        <v>9</v>
      </c>
      <c r="AQ2016">
        <v>0</v>
      </c>
      <c r="AR2016" t="s">
        <v>6821</v>
      </c>
      <c r="AS2016" t="s">
        <v>6822</v>
      </c>
      <c r="AT2016">
        <v>0.44</v>
      </c>
      <c r="AU2016" t="s">
        <v>74</v>
      </c>
      <c r="AV2016" t="s">
        <v>2955</v>
      </c>
      <c r="AW2016" t="s">
        <v>75</v>
      </c>
      <c r="AX2016" t="s">
        <v>6823</v>
      </c>
      <c r="AY2016" t="s">
        <v>6824</v>
      </c>
      <c r="AZ2016">
        <v>1445.999999998603</v>
      </c>
      <c r="BA2016">
        <v>1</v>
      </c>
      <c r="BB2016">
        <v>0</v>
      </c>
      <c r="BC2016">
        <v>20</v>
      </c>
      <c r="BD2016">
        <v>0</v>
      </c>
      <c r="BE2016">
        <f t="shared" si="319"/>
        <v>1</v>
      </c>
    </row>
    <row r="2017" spans="1:57" x14ac:dyDescent="0.25">
      <c r="A2017" t="s">
        <v>39</v>
      </c>
      <c r="B2017" t="s">
        <v>6820</v>
      </c>
      <c r="C2017">
        <v>84.2</v>
      </c>
      <c r="D2017">
        <v>71.599999999999994</v>
      </c>
      <c r="G2017">
        <f t="shared" si="310"/>
        <v>1</v>
      </c>
      <c r="H2017">
        <f t="shared" si="311"/>
        <v>1</v>
      </c>
      <c r="I2017">
        <f t="shared" si="312"/>
        <v>0</v>
      </c>
      <c r="J2017">
        <v>78.5</v>
      </c>
      <c r="K2017">
        <v>87.2</v>
      </c>
      <c r="L2017">
        <v>71.599999999999994</v>
      </c>
      <c r="M2017">
        <v>79.8</v>
      </c>
      <c r="N2017">
        <v>64.5</v>
      </c>
      <c r="O2017">
        <v>63.2</v>
      </c>
      <c r="S2017">
        <f t="shared" si="313"/>
        <v>1</v>
      </c>
      <c r="T2017">
        <f t="shared" si="314"/>
        <v>0</v>
      </c>
      <c r="U2017">
        <f t="shared" si="315"/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21.9</v>
      </c>
      <c r="AC2017">
        <v>19.7</v>
      </c>
      <c r="AG2017">
        <f t="shared" si="316"/>
        <v>1</v>
      </c>
      <c r="AH2017">
        <f t="shared" si="317"/>
        <v>1</v>
      </c>
      <c r="AI2017">
        <f t="shared" si="318"/>
        <v>0</v>
      </c>
      <c r="AJ2017">
        <v>298.8</v>
      </c>
      <c r="AK2017">
        <v>1011.5</v>
      </c>
      <c r="AL2017">
        <v>0.1</v>
      </c>
      <c r="AM2017">
        <v>6.2</v>
      </c>
      <c r="AN2017">
        <v>274.5</v>
      </c>
      <c r="AO2017">
        <v>23.9</v>
      </c>
      <c r="AP2017">
        <v>9</v>
      </c>
      <c r="AQ2017">
        <v>0</v>
      </c>
      <c r="AR2017" t="s">
        <v>6821</v>
      </c>
      <c r="AS2017" t="s">
        <v>6822</v>
      </c>
      <c r="AT2017">
        <v>0.44</v>
      </c>
      <c r="AU2017" t="s">
        <v>74</v>
      </c>
      <c r="AV2017" t="s">
        <v>2955</v>
      </c>
      <c r="AW2017" t="s">
        <v>75</v>
      </c>
      <c r="AX2017" t="s">
        <v>6825</v>
      </c>
      <c r="AY2017" t="s">
        <v>6826</v>
      </c>
      <c r="AZ2017">
        <v>627.00000000069849</v>
      </c>
      <c r="BA2017">
        <v>1</v>
      </c>
      <c r="BB2017">
        <v>0</v>
      </c>
      <c r="BC2017">
        <v>2</v>
      </c>
      <c r="BD2017">
        <v>0</v>
      </c>
      <c r="BE2017">
        <f t="shared" si="319"/>
        <v>1</v>
      </c>
    </row>
    <row r="2018" spans="1:57" x14ac:dyDescent="0.25">
      <c r="A2018" t="s">
        <v>39</v>
      </c>
      <c r="B2018" t="s">
        <v>6827</v>
      </c>
      <c r="C2018">
        <v>80.599999999999994</v>
      </c>
      <c r="D2018">
        <v>66.2</v>
      </c>
      <c r="G2018">
        <f t="shared" si="310"/>
        <v>0</v>
      </c>
      <c r="H2018">
        <f t="shared" si="311"/>
        <v>0</v>
      </c>
      <c r="I2018">
        <f t="shared" si="312"/>
        <v>0</v>
      </c>
      <c r="J2018">
        <v>75</v>
      </c>
      <c r="K2018">
        <v>84.6</v>
      </c>
      <c r="L2018">
        <v>66.2</v>
      </c>
      <c r="M2018">
        <v>76.099999999999994</v>
      </c>
      <c r="N2018">
        <v>66.599999999999994</v>
      </c>
      <c r="O2018">
        <v>75.400000000000006</v>
      </c>
      <c r="S2018">
        <f t="shared" si="313"/>
        <v>1</v>
      </c>
      <c r="T2018">
        <f t="shared" si="314"/>
        <v>1</v>
      </c>
      <c r="U2018">
        <f t="shared" si="315"/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22.8</v>
      </c>
      <c r="AC2018">
        <v>17.2</v>
      </c>
      <c r="AG2018">
        <f t="shared" si="316"/>
        <v>0</v>
      </c>
      <c r="AH2018">
        <f t="shared" si="317"/>
        <v>0</v>
      </c>
      <c r="AI2018">
        <f t="shared" si="318"/>
        <v>0</v>
      </c>
      <c r="AJ2018">
        <v>288.8</v>
      </c>
      <c r="AK2018">
        <v>1011.5</v>
      </c>
      <c r="AL2018">
        <v>0</v>
      </c>
      <c r="AM2018">
        <v>6.2</v>
      </c>
      <c r="AN2018">
        <v>259.39999999999998</v>
      </c>
      <c r="AO2018">
        <v>22.5</v>
      </c>
      <c r="AP2018">
        <v>8</v>
      </c>
      <c r="AQ2018">
        <v>0</v>
      </c>
      <c r="AR2018" t="s">
        <v>6828</v>
      </c>
      <c r="AS2018" t="s">
        <v>6829</v>
      </c>
      <c r="AT2018">
        <v>0.83</v>
      </c>
      <c r="AU2018" t="s">
        <v>74</v>
      </c>
      <c r="AV2018" t="s">
        <v>2955</v>
      </c>
      <c r="AW2018" t="s">
        <v>75</v>
      </c>
      <c r="AX2018" t="s">
        <v>6830</v>
      </c>
      <c r="AY2018" t="s">
        <v>6831</v>
      </c>
      <c r="AZ2018">
        <v>1512.000000004191</v>
      </c>
      <c r="BA2018">
        <v>1</v>
      </c>
      <c r="BB2018">
        <v>0</v>
      </c>
      <c r="BC2018">
        <v>100</v>
      </c>
      <c r="BD2018">
        <v>0</v>
      </c>
      <c r="BE2018">
        <f t="shared" si="319"/>
        <v>0</v>
      </c>
    </row>
    <row r="2019" spans="1:57" x14ac:dyDescent="0.25">
      <c r="A2019" t="s">
        <v>39</v>
      </c>
      <c r="B2019" t="s">
        <v>6832</v>
      </c>
      <c r="C2019">
        <v>82.4</v>
      </c>
      <c r="D2019">
        <v>71.599999999999994</v>
      </c>
      <c r="G2019">
        <f t="shared" si="310"/>
        <v>1</v>
      </c>
      <c r="H2019">
        <f t="shared" si="311"/>
        <v>1</v>
      </c>
      <c r="I2019">
        <f t="shared" si="312"/>
        <v>0</v>
      </c>
      <c r="J2019">
        <v>76</v>
      </c>
      <c r="K2019">
        <v>83.4</v>
      </c>
      <c r="L2019">
        <v>71.599999999999994</v>
      </c>
      <c r="M2019">
        <v>76.2</v>
      </c>
      <c r="N2019">
        <v>63.3</v>
      </c>
      <c r="O2019">
        <v>66.2</v>
      </c>
      <c r="S2019">
        <f t="shared" si="313"/>
        <v>0</v>
      </c>
      <c r="T2019">
        <f t="shared" si="314"/>
        <v>0</v>
      </c>
      <c r="U2019">
        <f t="shared" si="315"/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28</v>
      </c>
      <c r="AC2019">
        <v>28.9</v>
      </c>
      <c r="AG2019">
        <f t="shared" si="316"/>
        <v>1</v>
      </c>
      <c r="AH2019">
        <f t="shared" si="317"/>
        <v>1</v>
      </c>
      <c r="AI2019">
        <f t="shared" si="318"/>
        <v>0</v>
      </c>
      <c r="AJ2019">
        <v>289.89999999999998</v>
      </c>
      <c r="AK2019">
        <v>1013.5</v>
      </c>
      <c r="AL2019">
        <v>33.299999999999997</v>
      </c>
      <c r="AM2019">
        <v>6.2</v>
      </c>
      <c r="AN2019">
        <v>246.2</v>
      </c>
      <c r="AO2019">
        <v>21.4</v>
      </c>
      <c r="AP2019">
        <v>8</v>
      </c>
      <c r="AQ2019">
        <v>0</v>
      </c>
      <c r="AR2019" t="s">
        <v>6833</v>
      </c>
      <c r="AS2019" t="s">
        <v>6834</v>
      </c>
      <c r="AT2019">
        <v>0.04</v>
      </c>
      <c r="AU2019" t="s">
        <v>43</v>
      </c>
      <c r="AV2019" t="s">
        <v>44</v>
      </c>
      <c r="AW2019" t="s">
        <v>45</v>
      </c>
      <c r="AX2019" t="s">
        <v>5019</v>
      </c>
      <c r="AY2019" t="s">
        <v>6835</v>
      </c>
      <c r="AZ2019">
        <v>1415.999999995111</v>
      </c>
      <c r="BA2019">
        <v>1</v>
      </c>
      <c r="BB2019">
        <v>0</v>
      </c>
      <c r="BC2019">
        <v>60</v>
      </c>
      <c r="BD2019">
        <v>0</v>
      </c>
      <c r="BE2019">
        <f t="shared" si="319"/>
        <v>1</v>
      </c>
    </row>
    <row r="2020" spans="1:57" x14ac:dyDescent="0.25">
      <c r="A2020" t="s">
        <v>39</v>
      </c>
      <c r="B2020" t="s">
        <v>6836</v>
      </c>
      <c r="C2020">
        <v>73.400000000000006</v>
      </c>
      <c r="D2020">
        <v>66.2</v>
      </c>
      <c r="G2020">
        <f t="shared" si="310"/>
        <v>0</v>
      </c>
      <c r="H2020">
        <f t="shared" si="311"/>
        <v>0</v>
      </c>
      <c r="I2020">
        <f t="shared" si="312"/>
        <v>0</v>
      </c>
      <c r="J2020">
        <v>69.099999999999994</v>
      </c>
      <c r="K2020">
        <v>73.400000000000006</v>
      </c>
      <c r="L2020">
        <v>66.2</v>
      </c>
      <c r="M2020">
        <v>69.099999999999994</v>
      </c>
      <c r="N2020">
        <v>58.8</v>
      </c>
      <c r="O2020">
        <v>70.2</v>
      </c>
      <c r="S2020">
        <f t="shared" si="313"/>
        <v>1</v>
      </c>
      <c r="T2020">
        <f t="shared" si="314"/>
        <v>1</v>
      </c>
      <c r="U2020">
        <f t="shared" si="315"/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28</v>
      </c>
      <c r="AC2020">
        <v>21.9</v>
      </c>
      <c r="AG2020">
        <f t="shared" si="316"/>
        <v>1</v>
      </c>
      <c r="AH2020">
        <f t="shared" si="317"/>
        <v>1</v>
      </c>
      <c r="AI2020">
        <f t="shared" si="318"/>
        <v>0</v>
      </c>
      <c r="AJ2020">
        <v>292.3</v>
      </c>
      <c r="AK2020">
        <v>1010.6</v>
      </c>
      <c r="AL2020">
        <v>44.3</v>
      </c>
      <c r="AM2020">
        <v>6.2</v>
      </c>
      <c r="AN2020">
        <v>167.3</v>
      </c>
      <c r="AO2020">
        <v>14.7</v>
      </c>
      <c r="AP2020">
        <v>6</v>
      </c>
      <c r="AQ2020">
        <v>0</v>
      </c>
      <c r="AR2020" t="s">
        <v>6837</v>
      </c>
      <c r="AS2020" t="s">
        <v>6838</v>
      </c>
      <c r="AT2020">
        <v>0.59</v>
      </c>
      <c r="AU2020" t="s">
        <v>43</v>
      </c>
      <c r="AV2020" t="s">
        <v>44</v>
      </c>
      <c r="AW2020" t="s">
        <v>45</v>
      </c>
      <c r="AX2020" t="s">
        <v>6223</v>
      </c>
      <c r="AY2020" t="s">
        <v>6839</v>
      </c>
      <c r="AZ2020">
        <v>249.99999999767169</v>
      </c>
      <c r="BA2020">
        <v>0</v>
      </c>
      <c r="BB2020">
        <v>0</v>
      </c>
      <c r="BC2020">
        <v>10</v>
      </c>
      <c r="BD2020">
        <v>0</v>
      </c>
      <c r="BE2020">
        <f t="shared" si="319"/>
        <v>0</v>
      </c>
    </row>
    <row r="2021" spans="1:57" x14ac:dyDescent="0.25">
      <c r="A2021" t="s">
        <v>39</v>
      </c>
      <c r="B2021" t="s">
        <v>6840</v>
      </c>
      <c r="C2021">
        <v>73.400000000000006</v>
      </c>
      <c r="D2021">
        <v>64.400000000000006</v>
      </c>
      <c r="G2021">
        <f t="shared" si="310"/>
        <v>0</v>
      </c>
      <c r="H2021">
        <f t="shared" si="311"/>
        <v>0</v>
      </c>
      <c r="I2021">
        <f t="shared" si="312"/>
        <v>0</v>
      </c>
      <c r="J2021">
        <v>70.3</v>
      </c>
      <c r="K2021">
        <v>73.400000000000006</v>
      </c>
      <c r="L2021">
        <v>64.400000000000006</v>
      </c>
      <c r="M2021">
        <v>70.3</v>
      </c>
      <c r="N2021">
        <v>57.7</v>
      </c>
      <c r="O2021">
        <v>64.7</v>
      </c>
      <c r="S2021">
        <f t="shared" si="313"/>
        <v>0</v>
      </c>
      <c r="T2021">
        <f t="shared" si="314"/>
        <v>0</v>
      </c>
      <c r="U2021">
        <f t="shared" si="315"/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31.1</v>
      </c>
      <c r="AC2021">
        <v>20.8</v>
      </c>
      <c r="AG2021">
        <f t="shared" si="316"/>
        <v>1</v>
      </c>
      <c r="AH2021">
        <f t="shared" si="317"/>
        <v>1</v>
      </c>
      <c r="AI2021">
        <f t="shared" si="318"/>
        <v>0</v>
      </c>
      <c r="AJ2021">
        <v>311.7</v>
      </c>
      <c r="AK2021">
        <v>1019.2</v>
      </c>
      <c r="AL2021">
        <v>32.4</v>
      </c>
      <c r="AM2021">
        <v>6.2</v>
      </c>
      <c r="AN2021">
        <v>193.7</v>
      </c>
      <c r="AO2021">
        <v>16.7</v>
      </c>
      <c r="AP2021">
        <v>7</v>
      </c>
      <c r="AQ2021">
        <v>0</v>
      </c>
      <c r="AR2021" t="s">
        <v>6841</v>
      </c>
      <c r="AS2021" t="s">
        <v>6842</v>
      </c>
      <c r="AT2021">
        <v>0.81</v>
      </c>
      <c r="AU2021" t="s">
        <v>43</v>
      </c>
      <c r="AV2021" t="s">
        <v>44</v>
      </c>
      <c r="AW2021" t="s">
        <v>45</v>
      </c>
      <c r="AX2021" t="s">
        <v>5109</v>
      </c>
      <c r="AY2021" t="s">
        <v>6843</v>
      </c>
      <c r="AZ2021">
        <v>159.99999999767169</v>
      </c>
      <c r="BA2021">
        <v>0</v>
      </c>
      <c r="BB2021">
        <v>0</v>
      </c>
      <c r="BC2021">
        <v>50</v>
      </c>
      <c r="BD2021">
        <v>0</v>
      </c>
      <c r="BE2021">
        <f t="shared" si="319"/>
        <v>0</v>
      </c>
    </row>
    <row r="2022" spans="1:57" x14ac:dyDescent="0.25">
      <c r="A2022" t="s">
        <v>39</v>
      </c>
      <c r="B2022" t="s">
        <v>6844</v>
      </c>
      <c r="C2022">
        <v>69.8</v>
      </c>
      <c r="D2022">
        <v>57.2</v>
      </c>
      <c r="G2022">
        <f t="shared" si="310"/>
        <v>1</v>
      </c>
      <c r="H2022">
        <f t="shared" si="311"/>
        <v>0</v>
      </c>
      <c r="I2022">
        <f t="shared" si="312"/>
        <v>1</v>
      </c>
      <c r="J2022">
        <v>64</v>
      </c>
      <c r="K2022">
        <v>69.8</v>
      </c>
      <c r="L2022">
        <v>57.2</v>
      </c>
      <c r="M2022">
        <v>64</v>
      </c>
      <c r="N2022">
        <v>56.6</v>
      </c>
      <c r="O2022">
        <v>77</v>
      </c>
      <c r="S2022">
        <f t="shared" si="313"/>
        <v>1</v>
      </c>
      <c r="T2022">
        <f t="shared" si="314"/>
        <v>1</v>
      </c>
      <c r="U2022">
        <f t="shared" si="315"/>
        <v>0</v>
      </c>
      <c r="V2022">
        <v>0.313</v>
      </c>
      <c r="W2022">
        <v>100</v>
      </c>
      <c r="X2022">
        <v>12.5</v>
      </c>
      <c r="Y2022" t="s">
        <v>103</v>
      </c>
      <c r="Z2022">
        <v>0</v>
      </c>
      <c r="AA2022">
        <v>0</v>
      </c>
      <c r="AB2022">
        <v>23</v>
      </c>
      <c r="AC2022">
        <v>17.2</v>
      </c>
      <c r="AG2022">
        <f t="shared" si="316"/>
        <v>0</v>
      </c>
      <c r="AH2022">
        <f t="shared" si="317"/>
        <v>0</v>
      </c>
      <c r="AI2022">
        <f t="shared" si="318"/>
        <v>0</v>
      </c>
      <c r="AJ2022">
        <v>332.8</v>
      </c>
      <c r="AK2022">
        <v>1009.1</v>
      </c>
      <c r="AL2022">
        <v>47.1</v>
      </c>
      <c r="AM2022">
        <v>6.2</v>
      </c>
      <c r="AN2022">
        <v>108.7</v>
      </c>
      <c r="AO2022">
        <v>9.6</v>
      </c>
      <c r="AP2022">
        <v>4</v>
      </c>
      <c r="AQ2022">
        <v>0</v>
      </c>
      <c r="AR2022" t="s">
        <v>6845</v>
      </c>
      <c r="AS2022" t="s">
        <v>6846</v>
      </c>
      <c r="AT2022">
        <v>0.31</v>
      </c>
      <c r="AU2022" t="s">
        <v>106</v>
      </c>
      <c r="AV2022" t="s">
        <v>1783</v>
      </c>
      <c r="AW2022" t="s">
        <v>103</v>
      </c>
      <c r="AX2022" t="s">
        <v>6847</v>
      </c>
      <c r="AY2022" t="s">
        <v>6848</v>
      </c>
      <c r="AZ2022">
        <v>1066.9999999995341</v>
      </c>
      <c r="BA2022">
        <v>1</v>
      </c>
      <c r="BB2022">
        <v>0</v>
      </c>
      <c r="BC2022">
        <v>60</v>
      </c>
      <c r="BD2022">
        <v>0</v>
      </c>
      <c r="BE2022">
        <f t="shared" si="319"/>
        <v>0</v>
      </c>
    </row>
    <row r="2023" spans="1:57" x14ac:dyDescent="0.25">
      <c r="A2023" t="s">
        <v>39</v>
      </c>
      <c r="B2023" t="s">
        <v>6844</v>
      </c>
      <c r="C2023">
        <v>69.8</v>
      </c>
      <c r="D2023">
        <v>57.2</v>
      </c>
      <c r="G2023">
        <f t="shared" si="310"/>
        <v>1</v>
      </c>
      <c r="H2023">
        <f t="shared" si="311"/>
        <v>0</v>
      </c>
      <c r="I2023">
        <f t="shared" si="312"/>
        <v>1</v>
      </c>
      <c r="J2023">
        <v>64</v>
      </c>
      <c r="K2023">
        <v>69.8</v>
      </c>
      <c r="L2023">
        <v>57.2</v>
      </c>
      <c r="M2023">
        <v>64</v>
      </c>
      <c r="N2023">
        <v>56.6</v>
      </c>
      <c r="O2023">
        <v>77</v>
      </c>
      <c r="S2023">
        <f t="shared" si="313"/>
        <v>1</v>
      </c>
      <c r="T2023">
        <f t="shared" si="314"/>
        <v>1</v>
      </c>
      <c r="U2023">
        <f t="shared" si="315"/>
        <v>0</v>
      </c>
      <c r="V2023">
        <v>0.313</v>
      </c>
      <c r="W2023">
        <v>100</v>
      </c>
      <c r="X2023">
        <v>12.5</v>
      </c>
      <c r="Y2023" t="s">
        <v>103</v>
      </c>
      <c r="Z2023">
        <v>0</v>
      </c>
      <c r="AA2023">
        <v>0</v>
      </c>
      <c r="AB2023">
        <v>23</v>
      </c>
      <c r="AC2023">
        <v>17.2</v>
      </c>
      <c r="AG2023">
        <f t="shared" si="316"/>
        <v>0</v>
      </c>
      <c r="AH2023">
        <f t="shared" si="317"/>
        <v>0</v>
      </c>
      <c r="AI2023">
        <f t="shared" si="318"/>
        <v>0</v>
      </c>
      <c r="AJ2023">
        <v>332.8</v>
      </c>
      <c r="AK2023">
        <v>1009.1</v>
      </c>
      <c r="AL2023">
        <v>47.1</v>
      </c>
      <c r="AM2023">
        <v>6.2</v>
      </c>
      <c r="AN2023">
        <v>108.7</v>
      </c>
      <c r="AO2023">
        <v>9.6</v>
      </c>
      <c r="AP2023">
        <v>4</v>
      </c>
      <c r="AQ2023">
        <v>0</v>
      </c>
      <c r="AR2023" t="s">
        <v>6845</v>
      </c>
      <c r="AS2023" t="s">
        <v>6846</v>
      </c>
      <c r="AT2023">
        <v>0.31</v>
      </c>
      <c r="AU2023" t="s">
        <v>106</v>
      </c>
      <c r="AV2023" t="s">
        <v>1783</v>
      </c>
      <c r="AW2023" t="s">
        <v>103</v>
      </c>
      <c r="AX2023" t="s">
        <v>2443</v>
      </c>
      <c r="AY2023" t="s">
        <v>6849</v>
      </c>
      <c r="AZ2023">
        <v>1694.9999999930151</v>
      </c>
      <c r="BA2023">
        <v>1</v>
      </c>
      <c r="BB2023">
        <v>0</v>
      </c>
      <c r="BC2023">
        <v>200</v>
      </c>
      <c r="BD2023">
        <v>0</v>
      </c>
      <c r="BE2023">
        <f t="shared" si="319"/>
        <v>0</v>
      </c>
    </row>
    <row r="2024" spans="1:57" x14ac:dyDescent="0.25">
      <c r="A2024" t="s">
        <v>39</v>
      </c>
      <c r="B2024" t="s">
        <v>6850</v>
      </c>
      <c r="C2024">
        <v>69.8</v>
      </c>
      <c r="D2024">
        <v>59</v>
      </c>
      <c r="G2024">
        <f t="shared" si="310"/>
        <v>1</v>
      </c>
      <c r="H2024">
        <f t="shared" si="311"/>
        <v>0</v>
      </c>
      <c r="I2024">
        <f t="shared" si="312"/>
        <v>1</v>
      </c>
      <c r="J2024">
        <v>63.4</v>
      </c>
      <c r="K2024">
        <v>69.8</v>
      </c>
      <c r="L2024">
        <v>59</v>
      </c>
      <c r="M2024">
        <v>63.4</v>
      </c>
      <c r="N2024">
        <v>55.5</v>
      </c>
      <c r="O2024">
        <v>76.099999999999994</v>
      </c>
      <c r="S2024">
        <f t="shared" si="313"/>
        <v>1</v>
      </c>
      <c r="T2024">
        <f t="shared" si="314"/>
        <v>1</v>
      </c>
      <c r="U2024">
        <f t="shared" si="315"/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23</v>
      </c>
      <c r="AC2024">
        <v>13.9</v>
      </c>
      <c r="AG2024">
        <f t="shared" si="316"/>
        <v>1</v>
      </c>
      <c r="AH2024">
        <f t="shared" si="317"/>
        <v>0</v>
      </c>
      <c r="AI2024">
        <f t="shared" si="318"/>
        <v>1</v>
      </c>
      <c r="AJ2024">
        <v>59.5</v>
      </c>
      <c r="AK2024">
        <v>1018</v>
      </c>
      <c r="AL2024">
        <v>57.6</v>
      </c>
      <c r="AM2024">
        <v>6.2</v>
      </c>
      <c r="AN2024">
        <v>102.2</v>
      </c>
      <c r="AO2024">
        <v>8.9</v>
      </c>
      <c r="AP2024">
        <v>4</v>
      </c>
      <c r="AQ2024">
        <v>0</v>
      </c>
      <c r="AR2024" t="s">
        <v>6851</v>
      </c>
      <c r="AS2024" t="s">
        <v>6852</v>
      </c>
      <c r="AT2024">
        <v>0.38</v>
      </c>
      <c r="AU2024" t="s">
        <v>43</v>
      </c>
      <c r="AV2024" t="s">
        <v>44</v>
      </c>
      <c r="AW2024" t="s">
        <v>45</v>
      </c>
      <c r="AX2024" t="s">
        <v>4254</v>
      </c>
      <c r="AY2024" t="s">
        <v>6853</v>
      </c>
      <c r="AZ2024">
        <v>670.00000000465661</v>
      </c>
      <c r="BA2024">
        <v>1</v>
      </c>
      <c r="BB2024">
        <v>0</v>
      </c>
      <c r="BC2024">
        <v>40</v>
      </c>
      <c r="BD2024">
        <v>0</v>
      </c>
      <c r="BE2024">
        <f t="shared" si="319"/>
        <v>1</v>
      </c>
    </row>
    <row r="2025" spans="1:57" x14ac:dyDescent="0.25">
      <c r="A2025" t="s">
        <v>39</v>
      </c>
      <c r="B2025" t="s">
        <v>6854</v>
      </c>
      <c r="C2025">
        <v>64.400000000000006</v>
      </c>
      <c r="D2025">
        <v>59</v>
      </c>
      <c r="G2025">
        <f t="shared" si="310"/>
        <v>1</v>
      </c>
      <c r="H2025">
        <f t="shared" si="311"/>
        <v>0</v>
      </c>
      <c r="I2025">
        <f t="shared" si="312"/>
        <v>1</v>
      </c>
      <c r="J2025">
        <v>62.1</v>
      </c>
      <c r="K2025">
        <v>64.400000000000006</v>
      </c>
      <c r="L2025">
        <v>59</v>
      </c>
      <c r="M2025">
        <v>62.1</v>
      </c>
      <c r="N2025">
        <v>50.8</v>
      </c>
      <c r="O2025">
        <v>66.7</v>
      </c>
      <c r="S2025">
        <f t="shared" si="313"/>
        <v>0</v>
      </c>
      <c r="T2025">
        <f t="shared" si="314"/>
        <v>0</v>
      </c>
      <c r="U2025">
        <f t="shared" si="315"/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24.8</v>
      </c>
      <c r="AC2025">
        <v>13.9</v>
      </c>
      <c r="AG2025">
        <f t="shared" si="316"/>
        <v>1</v>
      </c>
      <c r="AH2025">
        <f t="shared" si="317"/>
        <v>0</v>
      </c>
      <c r="AI2025">
        <f t="shared" si="318"/>
        <v>1</v>
      </c>
      <c r="AJ2025">
        <v>358</v>
      </c>
      <c r="AK2025">
        <v>1020.9</v>
      </c>
      <c r="AL2025">
        <v>65</v>
      </c>
      <c r="AM2025">
        <v>6.2</v>
      </c>
      <c r="AN2025">
        <v>138</v>
      </c>
      <c r="AO2025">
        <v>12.1</v>
      </c>
      <c r="AP2025">
        <v>5</v>
      </c>
      <c r="AQ2025">
        <v>0</v>
      </c>
      <c r="AR2025" t="s">
        <v>6855</v>
      </c>
      <c r="AS2025" t="s">
        <v>6856</v>
      </c>
      <c r="AT2025">
        <v>0.41</v>
      </c>
      <c r="AU2025" t="s">
        <v>43</v>
      </c>
      <c r="AV2025" t="s">
        <v>44</v>
      </c>
      <c r="AW2025" t="s">
        <v>45</v>
      </c>
      <c r="AX2025" t="s">
        <v>5629</v>
      </c>
      <c r="AY2025" t="s">
        <v>6857</v>
      </c>
      <c r="AZ2025">
        <v>94.999999995343387</v>
      </c>
      <c r="BA2025">
        <v>0</v>
      </c>
      <c r="BB2025">
        <v>0</v>
      </c>
      <c r="BC2025">
        <v>1</v>
      </c>
      <c r="BD2025">
        <v>0</v>
      </c>
      <c r="BE2025">
        <f t="shared" si="319"/>
        <v>0</v>
      </c>
    </row>
    <row r="2026" spans="1:57" x14ac:dyDescent="0.25">
      <c r="A2026" t="s">
        <v>39</v>
      </c>
      <c r="B2026" t="s">
        <v>6858</v>
      </c>
      <c r="C2026">
        <v>68</v>
      </c>
      <c r="D2026">
        <v>50</v>
      </c>
      <c r="G2026">
        <f t="shared" si="310"/>
        <v>0</v>
      </c>
      <c r="H2026">
        <f t="shared" si="311"/>
        <v>0</v>
      </c>
      <c r="I2026">
        <f t="shared" si="312"/>
        <v>0</v>
      </c>
      <c r="J2026">
        <v>59.5</v>
      </c>
      <c r="K2026">
        <v>68</v>
      </c>
      <c r="L2026">
        <v>50</v>
      </c>
      <c r="M2026">
        <v>59.5</v>
      </c>
      <c r="N2026">
        <v>51.4</v>
      </c>
      <c r="O2026">
        <v>75.400000000000006</v>
      </c>
      <c r="S2026">
        <f t="shared" si="313"/>
        <v>1</v>
      </c>
      <c r="T2026">
        <f t="shared" si="314"/>
        <v>1</v>
      </c>
      <c r="U2026">
        <f t="shared" si="315"/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19.7</v>
      </c>
      <c r="AC2026">
        <v>13.9</v>
      </c>
      <c r="AG2026">
        <f t="shared" si="316"/>
        <v>1</v>
      </c>
      <c r="AH2026">
        <f t="shared" si="317"/>
        <v>0</v>
      </c>
      <c r="AI2026">
        <f t="shared" si="318"/>
        <v>1</v>
      </c>
      <c r="AJ2026">
        <v>141.80000000000001</v>
      </c>
      <c r="AK2026">
        <v>1020.1</v>
      </c>
      <c r="AL2026">
        <v>17.600000000000001</v>
      </c>
      <c r="AM2026">
        <v>6.2</v>
      </c>
      <c r="AN2026">
        <v>157.30000000000001</v>
      </c>
      <c r="AO2026">
        <v>13.5</v>
      </c>
      <c r="AP2026">
        <v>6</v>
      </c>
      <c r="AQ2026">
        <v>0</v>
      </c>
      <c r="AR2026" t="s">
        <v>6859</v>
      </c>
      <c r="AS2026" t="s">
        <v>6860</v>
      </c>
      <c r="AT2026">
        <v>0.61</v>
      </c>
      <c r="AU2026" t="s">
        <v>74</v>
      </c>
      <c r="AV2026" t="s">
        <v>2955</v>
      </c>
      <c r="AW2026" t="s">
        <v>75</v>
      </c>
      <c r="AX2026" t="s">
        <v>6861</v>
      </c>
      <c r="AY2026" t="s">
        <v>6862</v>
      </c>
      <c r="AZ2026">
        <v>241.99999999254939</v>
      </c>
      <c r="BA2026">
        <v>0</v>
      </c>
      <c r="BB2026">
        <v>0</v>
      </c>
      <c r="BC2026">
        <v>2</v>
      </c>
      <c r="BD2026">
        <v>0</v>
      </c>
      <c r="BE2026">
        <f t="shared" si="319"/>
        <v>0</v>
      </c>
    </row>
    <row r="2027" spans="1:57" x14ac:dyDescent="0.25">
      <c r="A2027" t="s">
        <v>39</v>
      </c>
      <c r="B2027" t="s">
        <v>6858</v>
      </c>
      <c r="C2027">
        <v>68</v>
      </c>
      <c r="D2027">
        <v>50</v>
      </c>
      <c r="G2027">
        <f t="shared" si="310"/>
        <v>0</v>
      </c>
      <c r="H2027">
        <f t="shared" si="311"/>
        <v>0</v>
      </c>
      <c r="I2027">
        <f t="shared" si="312"/>
        <v>0</v>
      </c>
      <c r="J2027">
        <v>59.5</v>
      </c>
      <c r="K2027">
        <v>68</v>
      </c>
      <c r="L2027">
        <v>50</v>
      </c>
      <c r="M2027">
        <v>59.5</v>
      </c>
      <c r="N2027">
        <v>51.4</v>
      </c>
      <c r="O2027">
        <v>75.400000000000006</v>
      </c>
      <c r="S2027">
        <f t="shared" si="313"/>
        <v>1</v>
      </c>
      <c r="T2027">
        <f t="shared" si="314"/>
        <v>1</v>
      </c>
      <c r="U2027">
        <f t="shared" si="315"/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19.7</v>
      </c>
      <c r="AC2027">
        <v>13.9</v>
      </c>
      <c r="AG2027">
        <f t="shared" si="316"/>
        <v>1</v>
      </c>
      <c r="AH2027">
        <f t="shared" si="317"/>
        <v>0</v>
      </c>
      <c r="AI2027">
        <f t="shared" si="318"/>
        <v>1</v>
      </c>
      <c r="AJ2027">
        <v>141.80000000000001</v>
      </c>
      <c r="AK2027">
        <v>1020.1</v>
      </c>
      <c r="AL2027">
        <v>17.600000000000001</v>
      </c>
      <c r="AM2027">
        <v>6.2</v>
      </c>
      <c r="AN2027">
        <v>157.30000000000001</v>
      </c>
      <c r="AO2027">
        <v>13.5</v>
      </c>
      <c r="AP2027">
        <v>6</v>
      </c>
      <c r="AQ2027">
        <v>0</v>
      </c>
      <c r="AR2027" t="s">
        <v>6859</v>
      </c>
      <c r="AS2027" t="s">
        <v>6860</v>
      </c>
      <c r="AT2027">
        <v>0.61</v>
      </c>
      <c r="AU2027" t="s">
        <v>74</v>
      </c>
      <c r="AV2027" t="s">
        <v>2955</v>
      </c>
      <c r="AW2027" t="s">
        <v>75</v>
      </c>
      <c r="AX2027" t="s">
        <v>4419</v>
      </c>
      <c r="AY2027" t="s">
        <v>6863</v>
      </c>
      <c r="AZ2027">
        <v>874.99999999185093</v>
      </c>
      <c r="BA2027">
        <v>1</v>
      </c>
      <c r="BB2027">
        <v>0</v>
      </c>
      <c r="BC2027">
        <v>200</v>
      </c>
      <c r="BD2027">
        <v>0</v>
      </c>
      <c r="BE2027">
        <f t="shared" si="319"/>
        <v>0</v>
      </c>
    </row>
    <row r="2028" spans="1:57" x14ac:dyDescent="0.25">
      <c r="A2028" t="s">
        <v>39</v>
      </c>
      <c r="B2028" t="s">
        <v>6864</v>
      </c>
      <c r="C2028">
        <v>69.8</v>
      </c>
      <c r="D2028">
        <v>55.4</v>
      </c>
      <c r="G2028">
        <f t="shared" si="310"/>
        <v>1</v>
      </c>
      <c r="H2028">
        <f t="shared" si="311"/>
        <v>1</v>
      </c>
      <c r="I2028">
        <f t="shared" si="312"/>
        <v>0</v>
      </c>
      <c r="J2028">
        <v>62.8</v>
      </c>
      <c r="K2028">
        <v>69.8</v>
      </c>
      <c r="L2028">
        <v>55.4</v>
      </c>
      <c r="M2028">
        <v>62.8</v>
      </c>
      <c r="N2028">
        <v>55.6</v>
      </c>
      <c r="O2028">
        <v>78.599999999999994</v>
      </c>
      <c r="S2028">
        <f t="shared" si="313"/>
        <v>1</v>
      </c>
      <c r="T2028">
        <f t="shared" si="314"/>
        <v>1</v>
      </c>
      <c r="U2028">
        <f t="shared" si="315"/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16.100000000000001</v>
      </c>
      <c r="AC2028">
        <v>10.3</v>
      </c>
      <c r="AG2028">
        <f t="shared" si="316"/>
        <v>1</v>
      </c>
      <c r="AH2028">
        <f t="shared" si="317"/>
        <v>0</v>
      </c>
      <c r="AI2028">
        <f t="shared" si="318"/>
        <v>1</v>
      </c>
      <c r="AJ2028">
        <v>245.6</v>
      </c>
      <c r="AK2028">
        <v>1020.1</v>
      </c>
      <c r="AL2028">
        <v>34.9</v>
      </c>
      <c r="AM2028">
        <v>6.2</v>
      </c>
      <c r="AN2028">
        <v>140.69999999999999</v>
      </c>
      <c r="AO2028">
        <v>12.1</v>
      </c>
      <c r="AP2028">
        <v>6</v>
      </c>
      <c r="AQ2028">
        <v>0</v>
      </c>
      <c r="AR2028" t="s">
        <v>6865</v>
      </c>
      <c r="AS2028" t="s">
        <v>6866</v>
      </c>
      <c r="AT2028">
        <v>0.68</v>
      </c>
      <c r="AU2028" t="s">
        <v>43</v>
      </c>
      <c r="AV2028" t="s">
        <v>44</v>
      </c>
      <c r="AW2028" t="s">
        <v>45</v>
      </c>
      <c r="AX2028" t="s">
        <v>5166</v>
      </c>
      <c r="AY2028" t="s">
        <v>6867</v>
      </c>
      <c r="AZ2028">
        <v>500.99999999860302</v>
      </c>
      <c r="BA2028">
        <v>1</v>
      </c>
      <c r="BB2028">
        <v>0</v>
      </c>
      <c r="BC2028">
        <v>25</v>
      </c>
      <c r="BD2028">
        <v>0</v>
      </c>
      <c r="BE2028">
        <f t="shared" si="319"/>
        <v>1</v>
      </c>
    </row>
    <row r="2029" spans="1:57" x14ac:dyDescent="0.25">
      <c r="A2029" t="s">
        <v>39</v>
      </c>
      <c r="B2029" t="s">
        <v>6868</v>
      </c>
      <c r="C2029">
        <v>60.8</v>
      </c>
      <c r="D2029">
        <v>51.8</v>
      </c>
      <c r="G2029">
        <f t="shared" si="310"/>
        <v>0</v>
      </c>
      <c r="H2029">
        <f t="shared" si="311"/>
        <v>0</v>
      </c>
      <c r="I2029">
        <f t="shared" si="312"/>
        <v>0</v>
      </c>
      <c r="J2029">
        <v>57</v>
      </c>
      <c r="K2029">
        <v>60.8</v>
      </c>
      <c r="L2029">
        <v>51.8</v>
      </c>
      <c r="M2029">
        <v>57</v>
      </c>
      <c r="N2029">
        <v>48.4</v>
      </c>
      <c r="O2029">
        <v>73.599999999999994</v>
      </c>
      <c r="S2029">
        <f t="shared" si="313"/>
        <v>1</v>
      </c>
      <c r="T2029">
        <f t="shared" si="314"/>
        <v>1</v>
      </c>
      <c r="U2029">
        <f t="shared" si="315"/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26.8</v>
      </c>
      <c r="AC2029">
        <v>20.8</v>
      </c>
      <c r="AG2029">
        <f t="shared" si="316"/>
        <v>1</v>
      </c>
      <c r="AH2029">
        <f t="shared" si="317"/>
        <v>1</v>
      </c>
      <c r="AI2029">
        <f t="shared" si="318"/>
        <v>0</v>
      </c>
      <c r="AJ2029">
        <v>294.5</v>
      </c>
      <c r="AK2029">
        <v>1020</v>
      </c>
      <c r="AL2029">
        <v>58.8</v>
      </c>
      <c r="AM2029">
        <v>6.1</v>
      </c>
      <c r="AN2029">
        <v>102.6</v>
      </c>
      <c r="AO2029">
        <v>9</v>
      </c>
      <c r="AP2029">
        <v>4</v>
      </c>
      <c r="AQ2029">
        <v>0</v>
      </c>
      <c r="AR2029" t="s">
        <v>6869</v>
      </c>
      <c r="AS2029" t="s">
        <v>6870</v>
      </c>
      <c r="AT2029">
        <v>0.56000000000000005</v>
      </c>
      <c r="AU2029" t="s">
        <v>43</v>
      </c>
      <c r="AV2029" t="s">
        <v>44</v>
      </c>
      <c r="AW2029" t="s">
        <v>45</v>
      </c>
      <c r="AX2029" t="s">
        <v>6871</v>
      </c>
      <c r="AY2029" t="s">
        <v>6872</v>
      </c>
      <c r="AZ2029">
        <v>30.99999999627471</v>
      </c>
      <c r="BA2029">
        <v>0</v>
      </c>
      <c r="BB2029">
        <v>0</v>
      </c>
      <c r="BC2029">
        <v>0.02</v>
      </c>
      <c r="BD2029">
        <v>0</v>
      </c>
      <c r="BE2029">
        <f t="shared" si="319"/>
        <v>0</v>
      </c>
    </row>
    <row r="2030" spans="1:57" x14ac:dyDescent="0.25">
      <c r="A2030" t="s">
        <v>39</v>
      </c>
      <c r="B2030" t="s">
        <v>6873</v>
      </c>
      <c r="C2030">
        <v>62.6</v>
      </c>
      <c r="D2030">
        <v>44.6</v>
      </c>
      <c r="G2030">
        <f t="shared" si="310"/>
        <v>0</v>
      </c>
      <c r="H2030">
        <f t="shared" si="311"/>
        <v>0</v>
      </c>
      <c r="I2030">
        <f t="shared" si="312"/>
        <v>0</v>
      </c>
      <c r="J2030">
        <v>53</v>
      </c>
      <c r="K2030">
        <v>62.6</v>
      </c>
      <c r="L2030">
        <v>40.200000000000003</v>
      </c>
      <c r="M2030">
        <v>51.3</v>
      </c>
      <c r="N2030">
        <v>43.3</v>
      </c>
      <c r="O2030">
        <v>70.2</v>
      </c>
      <c r="S2030">
        <f t="shared" si="313"/>
        <v>1</v>
      </c>
      <c r="T2030">
        <f t="shared" si="314"/>
        <v>1</v>
      </c>
      <c r="U2030">
        <f t="shared" si="315"/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16.100000000000001</v>
      </c>
      <c r="AC2030">
        <v>12.8</v>
      </c>
      <c r="AG2030">
        <f t="shared" si="316"/>
        <v>1</v>
      </c>
      <c r="AH2030">
        <f t="shared" si="317"/>
        <v>0</v>
      </c>
      <c r="AI2030">
        <f t="shared" si="318"/>
        <v>1</v>
      </c>
      <c r="AJ2030">
        <v>165.2</v>
      </c>
      <c r="AK2030">
        <v>1025.0999999999999</v>
      </c>
      <c r="AL2030">
        <v>28.9</v>
      </c>
      <c r="AM2030">
        <v>6.2</v>
      </c>
      <c r="AN2030">
        <v>129.69999999999999</v>
      </c>
      <c r="AO2030">
        <v>11.2</v>
      </c>
      <c r="AP2030">
        <v>5</v>
      </c>
      <c r="AQ2030">
        <v>0</v>
      </c>
      <c r="AR2030" t="s">
        <v>6874</v>
      </c>
      <c r="AS2030" t="s">
        <v>6875</v>
      </c>
      <c r="AT2030">
        <v>0.66</v>
      </c>
      <c r="AU2030" t="s">
        <v>43</v>
      </c>
      <c r="AV2030" t="s">
        <v>44</v>
      </c>
      <c r="AW2030" t="s">
        <v>45</v>
      </c>
      <c r="AX2030" t="s">
        <v>6876</v>
      </c>
      <c r="AY2030" t="s">
        <v>6877</v>
      </c>
      <c r="AZ2030">
        <v>299.00000000023277</v>
      </c>
      <c r="BA2030">
        <v>0</v>
      </c>
      <c r="BB2030">
        <v>0</v>
      </c>
      <c r="BC2030">
        <v>10</v>
      </c>
      <c r="BD2030">
        <v>0</v>
      </c>
      <c r="BE2030">
        <f t="shared" si="319"/>
        <v>0</v>
      </c>
    </row>
    <row r="2031" spans="1:57" x14ac:dyDescent="0.25">
      <c r="A2031" t="s">
        <v>39</v>
      </c>
      <c r="B2031" t="s">
        <v>6878</v>
      </c>
      <c r="C2031">
        <v>66.2</v>
      </c>
      <c r="D2031">
        <v>50</v>
      </c>
      <c r="G2031">
        <f t="shared" si="310"/>
        <v>1</v>
      </c>
      <c r="H2031">
        <f t="shared" si="311"/>
        <v>1</v>
      </c>
      <c r="I2031">
        <f t="shared" si="312"/>
        <v>0</v>
      </c>
      <c r="J2031">
        <v>57.5</v>
      </c>
      <c r="K2031">
        <v>66.2</v>
      </c>
      <c r="L2031">
        <v>50</v>
      </c>
      <c r="M2031">
        <v>57.5</v>
      </c>
      <c r="N2031">
        <v>46.9</v>
      </c>
      <c r="O2031">
        <v>68.2</v>
      </c>
      <c r="S2031">
        <f t="shared" si="313"/>
        <v>0</v>
      </c>
      <c r="T2031">
        <f t="shared" si="314"/>
        <v>0</v>
      </c>
      <c r="U2031">
        <f t="shared" si="315"/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23</v>
      </c>
      <c r="AC2031">
        <v>14.9</v>
      </c>
      <c r="AG2031">
        <f t="shared" si="316"/>
        <v>1</v>
      </c>
      <c r="AH2031">
        <f t="shared" si="317"/>
        <v>0</v>
      </c>
      <c r="AI2031">
        <f t="shared" si="318"/>
        <v>1</v>
      </c>
      <c r="AJ2031">
        <v>178.6</v>
      </c>
      <c r="AK2031">
        <v>1020.7</v>
      </c>
      <c r="AL2031">
        <v>27.8</v>
      </c>
      <c r="AM2031">
        <v>6.2</v>
      </c>
      <c r="AN2031">
        <v>98.2</v>
      </c>
      <c r="AO2031">
        <v>8.6</v>
      </c>
      <c r="AP2031">
        <v>4</v>
      </c>
      <c r="AQ2031">
        <v>0</v>
      </c>
      <c r="AR2031" t="s">
        <v>6879</v>
      </c>
      <c r="AS2031" t="s">
        <v>6880</v>
      </c>
      <c r="AT2031">
        <v>0.7</v>
      </c>
      <c r="AU2031" t="s">
        <v>43</v>
      </c>
      <c r="AV2031" t="s">
        <v>44</v>
      </c>
      <c r="AW2031" t="s">
        <v>45</v>
      </c>
      <c r="AX2031" t="s">
        <v>5380</v>
      </c>
      <c r="AY2031" t="s">
        <v>6881</v>
      </c>
      <c r="AZ2031">
        <v>254.99999999301511</v>
      </c>
      <c r="BA2031">
        <v>0</v>
      </c>
      <c r="BB2031">
        <v>0</v>
      </c>
      <c r="BC2031">
        <v>5</v>
      </c>
      <c r="BD2031">
        <v>0</v>
      </c>
      <c r="BE2031">
        <f t="shared" si="319"/>
        <v>0</v>
      </c>
    </row>
    <row r="2032" spans="1:57" x14ac:dyDescent="0.25">
      <c r="A2032" t="s">
        <v>39</v>
      </c>
      <c r="B2032" t="s">
        <v>6882</v>
      </c>
      <c r="C2032">
        <v>66.2</v>
      </c>
      <c r="D2032">
        <v>53.6</v>
      </c>
      <c r="G2032">
        <f t="shared" si="310"/>
        <v>1</v>
      </c>
      <c r="H2032">
        <f t="shared" si="311"/>
        <v>1</v>
      </c>
      <c r="I2032">
        <f t="shared" si="312"/>
        <v>0</v>
      </c>
      <c r="J2032">
        <v>59.5</v>
      </c>
      <c r="K2032">
        <v>66.2</v>
      </c>
      <c r="L2032">
        <v>53.6</v>
      </c>
      <c r="M2032">
        <v>59.5</v>
      </c>
      <c r="N2032">
        <v>50.8</v>
      </c>
      <c r="O2032">
        <v>73.7</v>
      </c>
      <c r="S2032">
        <f t="shared" si="313"/>
        <v>1</v>
      </c>
      <c r="T2032">
        <f t="shared" si="314"/>
        <v>1</v>
      </c>
      <c r="U2032">
        <f t="shared" si="315"/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21.9</v>
      </c>
      <c r="AC2032">
        <v>10.3</v>
      </c>
      <c r="AG2032">
        <f t="shared" si="316"/>
        <v>1</v>
      </c>
      <c r="AH2032">
        <f t="shared" si="317"/>
        <v>0</v>
      </c>
      <c r="AI2032">
        <f t="shared" si="318"/>
        <v>1</v>
      </c>
      <c r="AJ2032">
        <v>171.9</v>
      </c>
      <c r="AK2032">
        <v>1017.7</v>
      </c>
      <c r="AL2032">
        <v>43.4</v>
      </c>
      <c r="AM2032">
        <v>6.2</v>
      </c>
      <c r="AN2032">
        <v>103.4</v>
      </c>
      <c r="AO2032">
        <v>8.6999999999999993</v>
      </c>
      <c r="AP2032">
        <v>4</v>
      </c>
      <c r="AQ2032">
        <v>0</v>
      </c>
      <c r="AR2032" t="s">
        <v>6883</v>
      </c>
      <c r="AS2032" t="s">
        <v>6884</v>
      </c>
      <c r="AT2032">
        <v>0.9</v>
      </c>
      <c r="AU2032" t="s">
        <v>43</v>
      </c>
      <c r="AV2032" t="s">
        <v>44</v>
      </c>
      <c r="AW2032" t="s">
        <v>45</v>
      </c>
      <c r="AX2032" t="s">
        <v>2609</v>
      </c>
      <c r="AY2032" t="s">
        <v>6885</v>
      </c>
      <c r="AZ2032">
        <v>35.000000009313233</v>
      </c>
      <c r="BA2032">
        <v>0</v>
      </c>
      <c r="BB2032">
        <v>0</v>
      </c>
      <c r="BC2032">
        <v>0.2</v>
      </c>
      <c r="BD2032">
        <v>0</v>
      </c>
      <c r="BE2032">
        <f t="shared" si="319"/>
        <v>1</v>
      </c>
    </row>
    <row r="2033" spans="1:57" x14ac:dyDescent="0.25">
      <c r="A2033" t="s">
        <v>39</v>
      </c>
      <c r="B2033" t="s">
        <v>6886</v>
      </c>
      <c r="C2033">
        <v>55.4</v>
      </c>
      <c r="D2033">
        <v>51.8</v>
      </c>
      <c r="G2033">
        <f t="shared" si="310"/>
        <v>1</v>
      </c>
      <c r="H2033">
        <f t="shared" si="311"/>
        <v>0</v>
      </c>
      <c r="I2033">
        <f t="shared" si="312"/>
        <v>1</v>
      </c>
      <c r="J2033">
        <v>54.7</v>
      </c>
      <c r="K2033">
        <v>55.4</v>
      </c>
      <c r="L2033">
        <v>51.8</v>
      </c>
      <c r="M2033">
        <v>54.7</v>
      </c>
      <c r="N2033">
        <v>45.4</v>
      </c>
      <c r="O2033">
        <v>71</v>
      </c>
      <c r="S2033">
        <f t="shared" si="313"/>
        <v>1</v>
      </c>
      <c r="T2033">
        <f t="shared" si="314"/>
        <v>1</v>
      </c>
      <c r="U2033">
        <f t="shared" si="315"/>
        <v>0</v>
      </c>
      <c r="V2033">
        <v>8.0000000000000002E-3</v>
      </c>
      <c r="W2033">
        <v>100</v>
      </c>
      <c r="X2033">
        <v>4.17</v>
      </c>
      <c r="Y2033" t="s">
        <v>103</v>
      </c>
      <c r="Z2033">
        <v>0</v>
      </c>
      <c r="AA2033">
        <v>0</v>
      </c>
      <c r="AB2033">
        <v>23</v>
      </c>
      <c r="AC2033">
        <v>18.3</v>
      </c>
      <c r="AG2033">
        <f t="shared" si="316"/>
        <v>1</v>
      </c>
      <c r="AH2033">
        <f t="shared" si="317"/>
        <v>0</v>
      </c>
      <c r="AI2033">
        <f t="shared" si="318"/>
        <v>1</v>
      </c>
      <c r="AJ2033">
        <v>44.6</v>
      </c>
      <c r="AK2033">
        <v>1023.3</v>
      </c>
      <c r="AL2033">
        <v>58.2</v>
      </c>
      <c r="AM2033">
        <v>6.2</v>
      </c>
      <c r="AN2033">
        <v>34.6</v>
      </c>
      <c r="AO2033">
        <v>3</v>
      </c>
      <c r="AP2033">
        <v>1</v>
      </c>
      <c r="AQ2033">
        <v>0</v>
      </c>
      <c r="AR2033" t="s">
        <v>6887</v>
      </c>
      <c r="AS2033" t="s">
        <v>6888</v>
      </c>
      <c r="AT2033">
        <v>7.0000000000000007E-2</v>
      </c>
      <c r="AU2033" t="s">
        <v>106</v>
      </c>
      <c r="AV2033" t="s">
        <v>1180</v>
      </c>
      <c r="AW2033" t="s">
        <v>103</v>
      </c>
      <c r="AX2033" t="s">
        <v>5758</v>
      </c>
      <c r="AY2033" t="s">
        <v>6889</v>
      </c>
      <c r="AZ2033">
        <v>161.00000000093129</v>
      </c>
      <c r="BA2033">
        <v>0</v>
      </c>
      <c r="BB2033">
        <v>0</v>
      </c>
      <c r="BC2033">
        <v>10</v>
      </c>
      <c r="BD2033">
        <v>0</v>
      </c>
      <c r="BE2033">
        <f t="shared" si="319"/>
        <v>0</v>
      </c>
    </row>
    <row r="2034" spans="1:57" x14ac:dyDescent="0.25">
      <c r="A2034" t="s">
        <v>39</v>
      </c>
      <c r="B2034" t="s">
        <v>6890</v>
      </c>
      <c r="C2034">
        <v>62.6</v>
      </c>
      <c r="D2034">
        <v>53.5</v>
      </c>
      <c r="G2034">
        <f t="shared" si="310"/>
        <v>1</v>
      </c>
      <c r="H2034">
        <f t="shared" si="311"/>
        <v>1</v>
      </c>
      <c r="I2034">
        <f t="shared" si="312"/>
        <v>0</v>
      </c>
      <c r="J2034">
        <v>57</v>
      </c>
      <c r="K2034">
        <v>62.6</v>
      </c>
      <c r="L2034">
        <v>53.5</v>
      </c>
      <c r="M2034">
        <v>57</v>
      </c>
      <c r="N2034">
        <v>48.9</v>
      </c>
      <c r="O2034">
        <v>74.8</v>
      </c>
      <c r="S2034">
        <f t="shared" si="313"/>
        <v>1</v>
      </c>
      <c r="T2034">
        <f t="shared" si="314"/>
        <v>1</v>
      </c>
      <c r="U2034">
        <f t="shared" si="315"/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32.6</v>
      </c>
      <c r="AC2034">
        <v>18.3</v>
      </c>
      <c r="AG2034">
        <f t="shared" si="316"/>
        <v>1</v>
      </c>
      <c r="AH2034">
        <f t="shared" si="317"/>
        <v>0</v>
      </c>
      <c r="AI2034">
        <f t="shared" si="318"/>
        <v>1</v>
      </c>
      <c r="AJ2034">
        <v>172.3</v>
      </c>
      <c r="AK2034">
        <v>1013</v>
      </c>
      <c r="AL2034">
        <v>36.1</v>
      </c>
      <c r="AM2034">
        <v>6.2</v>
      </c>
      <c r="AN2034">
        <v>103.5</v>
      </c>
      <c r="AO2034">
        <v>9.1</v>
      </c>
      <c r="AP2034">
        <v>4</v>
      </c>
      <c r="AQ2034">
        <v>0</v>
      </c>
      <c r="AR2034" t="s">
        <v>6891</v>
      </c>
      <c r="AS2034" t="s">
        <v>6892</v>
      </c>
      <c r="AT2034">
        <v>0.37</v>
      </c>
      <c r="AU2034" t="s">
        <v>43</v>
      </c>
      <c r="AV2034" t="s">
        <v>44</v>
      </c>
      <c r="AW2034" t="s">
        <v>45</v>
      </c>
      <c r="AX2034" t="s">
        <v>6893</v>
      </c>
      <c r="AY2034" t="s">
        <v>6894</v>
      </c>
      <c r="AZ2034">
        <v>102.0000000076834</v>
      </c>
      <c r="BA2034">
        <v>0</v>
      </c>
      <c r="BB2034">
        <v>0</v>
      </c>
      <c r="BC2034">
        <v>0</v>
      </c>
      <c r="BD2034">
        <v>0.5</v>
      </c>
      <c r="BE2034">
        <f t="shared" si="319"/>
        <v>1</v>
      </c>
    </row>
    <row r="2035" spans="1:57" x14ac:dyDescent="0.25">
      <c r="A2035" t="s">
        <v>39</v>
      </c>
      <c r="B2035" t="s">
        <v>6895</v>
      </c>
      <c r="C2035">
        <v>80.599999999999994</v>
      </c>
      <c r="D2035">
        <v>62.6</v>
      </c>
      <c r="G2035">
        <f t="shared" si="310"/>
        <v>0</v>
      </c>
      <c r="H2035">
        <f t="shared" si="311"/>
        <v>0</v>
      </c>
      <c r="I2035">
        <f t="shared" si="312"/>
        <v>0</v>
      </c>
      <c r="J2035">
        <v>72.599999999999994</v>
      </c>
      <c r="K2035">
        <v>81.900000000000006</v>
      </c>
      <c r="L2035">
        <v>62.6</v>
      </c>
      <c r="M2035">
        <v>72.7</v>
      </c>
      <c r="N2035">
        <v>60.2</v>
      </c>
      <c r="O2035">
        <v>66</v>
      </c>
      <c r="S2035">
        <f t="shared" si="313"/>
        <v>0</v>
      </c>
      <c r="T2035">
        <f t="shared" si="314"/>
        <v>0</v>
      </c>
      <c r="U2035">
        <f t="shared" si="315"/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22.1</v>
      </c>
      <c r="AC2035">
        <v>11.4</v>
      </c>
      <c r="AG2035">
        <f t="shared" si="316"/>
        <v>1</v>
      </c>
      <c r="AH2035">
        <f t="shared" si="317"/>
        <v>0</v>
      </c>
      <c r="AI2035">
        <f t="shared" si="318"/>
        <v>1</v>
      </c>
      <c r="AJ2035">
        <v>320.89999999999998</v>
      </c>
      <c r="AK2035">
        <v>1015.2</v>
      </c>
      <c r="AL2035">
        <v>3.9</v>
      </c>
      <c r="AM2035">
        <v>6.2</v>
      </c>
      <c r="AN2035">
        <v>272.7</v>
      </c>
      <c r="AO2035">
        <v>23.7</v>
      </c>
      <c r="AP2035">
        <v>9</v>
      </c>
      <c r="AQ2035">
        <v>0</v>
      </c>
      <c r="AR2035" t="s">
        <v>6896</v>
      </c>
      <c r="AS2035" t="s">
        <v>6897</v>
      </c>
      <c r="AT2035">
        <v>0.54</v>
      </c>
      <c r="AU2035" t="s">
        <v>74</v>
      </c>
      <c r="AV2035" t="s">
        <v>2955</v>
      </c>
      <c r="AW2035" t="s">
        <v>75</v>
      </c>
      <c r="AX2035" t="s">
        <v>5996</v>
      </c>
      <c r="AY2035" t="s">
        <v>6898</v>
      </c>
      <c r="AZ2035">
        <v>2430.9999999927818</v>
      </c>
      <c r="BA2035">
        <v>1</v>
      </c>
      <c r="BB2035">
        <v>0</v>
      </c>
      <c r="BC2035">
        <v>0</v>
      </c>
      <c r="BD2035">
        <v>2</v>
      </c>
      <c r="BE2035">
        <f t="shared" si="319"/>
        <v>0</v>
      </c>
    </row>
    <row r="2036" spans="1:57" x14ac:dyDescent="0.25">
      <c r="A2036" t="s">
        <v>39</v>
      </c>
      <c r="B2036" t="s">
        <v>6899</v>
      </c>
      <c r="C2036">
        <v>84.2</v>
      </c>
      <c r="D2036">
        <v>76.900000000000006</v>
      </c>
      <c r="G2036">
        <f t="shared" si="310"/>
        <v>0</v>
      </c>
      <c r="H2036">
        <f t="shared" si="311"/>
        <v>0</v>
      </c>
      <c r="I2036">
        <f t="shared" si="312"/>
        <v>0</v>
      </c>
      <c r="J2036">
        <v>80.3</v>
      </c>
      <c r="K2036">
        <v>88.5</v>
      </c>
      <c r="L2036">
        <v>76.900000000000006</v>
      </c>
      <c r="M2036">
        <v>82</v>
      </c>
      <c r="N2036">
        <v>67.2</v>
      </c>
      <c r="O2036">
        <v>64.5</v>
      </c>
      <c r="S2036">
        <f t="shared" si="313"/>
        <v>1</v>
      </c>
      <c r="T2036">
        <f t="shared" si="314"/>
        <v>1</v>
      </c>
      <c r="U2036">
        <f t="shared" si="315"/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37.6</v>
      </c>
      <c r="AC2036">
        <v>25.3</v>
      </c>
      <c r="AG2036">
        <f t="shared" si="316"/>
        <v>1</v>
      </c>
      <c r="AH2036">
        <f t="shared" si="317"/>
        <v>1</v>
      </c>
      <c r="AI2036">
        <f t="shared" si="318"/>
        <v>0</v>
      </c>
      <c r="AJ2036">
        <v>305.7</v>
      </c>
      <c r="AK2036">
        <v>1012.2</v>
      </c>
      <c r="AL2036">
        <v>19.8</v>
      </c>
      <c r="AM2036">
        <v>6.2</v>
      </c>
      <c r="AN2036">
        <v>298.10000000000002</v>
      </c>
      <c r="AO2036">
        <v>25.5</v>
      </c>
      <c r="AP2036">
        <v>9</v>
      </c>
      <c r="AQ2036">
        <v>0</v>
      </c>
      <c r="AR2036" t="s">
        <v>6900</v>
      </c>
      <c r="AS2036" t="s">
        <v>6901</v>
      </c>
      <c r="AT2036">
        <v>0.75</v>
      </c>
      <c r="AU2036" t="s">
        <v>74</v>
      </c>
      <c r="AV2036" t="s">
        <v>2955</v>
      </c>
      <c r="AW2036" t="s">
        <v>75</v>
      </c>
      <c r="AX2036" t="s">
        <v>4685</v>
      </c>
      <c r="AY2036" t="s">
        <v>6902</v>
      </c>
      <c r="AZ2036">
        <v>3840.9999999997672</v>
      </c>
      <c r="BA2036">
        <v>1</v>
      </c>
      <c r="BB2036">
        <v>0</v>
      </c>
      <c r="BC2036">
        <v>100</v>
      </c>
      <c r="BD2036">
        <v>0</v>
      </c>
      <c r="BE2036">
        <f t="shared" si="319"/>
        <v>1</v>
      </c>
    </row>
    <row r="2037" spans="1:57" x14ac:dyDescent="0.25">
      <c r="A2037" t="s">
        <v>39</v>
      </c>
      <c r="B2037" t="s">
        <v>6903</v>
      </c>
      <c r="C2037">
        <v>84.2</v>
      </c>
      <c r="D2037">
        <v>72.099999999999994</v>
      </c>
      <c r="G2037">
        <f t="shared" si="310"/>
        <v>0</v>
      </c>
      <c r="H2037">
        <f t="shared" si="311"/>
        <v>0</v>
      </c>
      <c r="I2037">
        <f t="shared" si="312"/>
        <v>0</v>
      </c>
      <c r="J2037">
        <v>79.900000000000006</v>
      </c>
      <c r="K2037">
        <v>86.5</v>
      </c>
      <c r="L2037">
        <v>72.099999999999994</v>
      </c>
      <c r="M2037">
        <v>81</v>
      </c>
      <c r="N2037">
        <v>64.8</v>
      </c>
      <c r="O2037">
        <v>60.4</v>
      </c>
      <c r="S2037">
        <f t="shared" si="313"/>
        <v>0</v>
      </c>
      <c r="T2037">
        <f t="shared" si="314"/>
        <v>0</v>
      </c>
      <c r="U2037">
        <f t="shared" si="315"/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32.700000000000003</v>
      </c>
      <c r="AC2037">
        <v>25.3</v>
      </c>
      <c r="AG2037">
        <f t="shared" si="316"/>
        <v>1</v>
      </c>
      <c r="AH2037">
        <f t="shared" si="317"/>
        <v>1</v>
      </c>
      <c r="AI2037">
        <f t="shared" si="318"/>
        <v>0</v>
      </c>
      <c r="AJ2037">
        <v>298.2</v>
      </c>
      <c r="AK2037">
        <v>1011.8</v>
      </c>
      <c r="AL2037">
        <v>1.1000000000000001</v>
      </c>
      <c r="AM2037">
        <v>6.2</v>
      </c>
      <c r="AN2037">
        <v>327.3</v>
      </c>
      <c r="AO2037">
        <v>28.3</v>
      </c>
      <c r="AP2037">
        <v>10</v>
      </c>
      <c r="AQ2037">
        <v>0</v>
      </c>
      <c r="AR2037" t="s">
        <v>6904</v>
      </c>
      <c r="AS2037" t="s">
        <v>6905</v>
      </c>
      <c r="AT2037">
        <v>0.96</v>
      </c>
      <c r="AU2037" t="s">
        <v>74</v>
      </c>
      <c r="AV2037" t="s">
        <v>2955</v>
      </c>
      <c r="AW2037" t="s">
        <v>75</v>
      </c>
      <c r="AX2037" t="s">
        <v>6906</v>
      </c>
      <c r="AY2037" t="s">
        <v>6907</v>
      </c>
      <c r="AZ2037">
        <v>94.999999995343387</v>
      </c>
      <c r="BA2037">
        <v>0</v>
      </c>
      <c r="BB2037">
        <v>0</v>
      </c>
      <c r="BC2037">
        <v>0</v>
      </c>
      <c r="BD2037">
        <v>0.1</v>
      </c>
      <c r="BE2037">
        <f t="shared" si="319"/>
        <v>0</v>
      </c>
    </row>
    <row r="2038" spans="1:57" x14ac:dyDescent="0.25">
      <c r="A2038" t="s">
        <v>39</v>
      </c>
      <c r="B2038" t="s">
        <v>6908</v>
      </c>
      <c r="C2038">
        <v>80.599999999999994</v>
      </c>
      <c r="D2038">
        <v>70.099999999999994</v>
      </c>
      <c r="G2038">
        <f t="shared" si="310"/>
        <v>1</v>
      </c>
      <c r="H2038">
        <f t="shared" si="311"/>
        <v>0</v>
      </c>
      <c r="I2038">
        <f t="shared" si="312"/>
        <v>1</v>
      </c>
      <c r="J2038">
        <v>76.5</v>
      </c>
      <c r="K2038">
        <v>83.9</v>
      </c>
      <c r="L2038">
        <v>70.099999999999994</v>
      </c>
      <c r="M2038">
        <v>77.2</v>
      </c>
      <c r="N2038">
        <v>68.7</v>
      </c>
      <c r="O2038">
        <v>77.400000000000006</v>
      </c>
      <c r="S2038">
        <f t="shared" si="313"/>
        <v>1</v>
      </c>
      <c r="T2038">
        <f t="shared" si="314"/>
        <v>1</v>
      </c>
      <c r="U2038">
        <f t="shared" si="315"/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28.6</v>
      </c>
      <c r="AC2038">
        <v>15</v>
      </c>
      <c r="AG2038">
        <f t="shared" si="316"/>
        <v>1</v>
      </c>
      <c r="AH2038">
        <f t="shared" si="317"/>
        <v>0</v>
      </c>
      <c r="AI2038">
        <f t="shared" si="318"/>
        <v>1</v>
      </c>
      <c r="AJ2038">
        <v>330</v>
      </c>
      <c r="AK2038">
        <v>1013.3</v>
      </c>
      <c r="AL2038">
        <v>30.7</v>
      </c>
      <c r="AM2038">
        <v>6.2</v>
      </c>
      <c r="AN2038">
        <v>283.39999999999998</v>
      </c>
      <c r="AO2038">
        <v>24.6</v>
      </c>
      <c r="AP2038">
        <v>9</v>
      </c>
      <c r="AQ2038">
        <v>0</v>
      </c>
      <c r="AR2038" t="s">
        <v>6909</v>
      </c>
      <c r="AS2038" t="s">
        <v>6910</v>
      </c>
      <c r="AT2038">
        <v>0.05</v>
      </c>
      <c r="AU2038" t="s">
        <v>43</v>
      </c>
      <c r="AV2038" t="s">
        <v>44</v>
      </c>
      <c r="AW2038" t="s">
        <v>45</v>
      </c>
      <c r="AX2038" t="s">
        <v>6906</v>
      </c>
      <c r="AY2038" t="s">
        <v>6911</v>
      </c>
      <c r="AZ2038">
        <v>389.99999999301508</v>
      </c>
      <c r="BA2038">
        <v>1</v>
      </c>
      <c r="BB2038">
        <v>0</v>
      </c>
      <c r="BC2038">
        <v>5</v>
      </c>
      <c r="BD2038">
        <v>0</v>
      </c>
      <c r="BE2038">
        <f t="shared" si="319"/>
        <v>1</v>
      </c>
    </row>
    <row r="2039" spans="1:57" x14ac:dyDescent="0.25">
      <c r="A2039" t="s">
        <v>39</v>
      </c>
      <c r="B2039" t="s">
        <v>6810</v>
      </c>
      <c r="C2039">
        <v>96.8</v>
      </c>
      <c r="D2039">
        <v>78.8</v>
      </c>
      <c r="G2039">
        <f t="shared" si="310"/>
        <v>1</v>
      </c>
      <c r="H2039">
        <f t="shared" si="311"/>
        <v>1</v>
      </c>
      <c r="I2039">
        <f t="shared" si="312"/>
        <v>0</v>
      </c>
      <c r="J2039">
        <v>85.9</v>
      </c>
      <c r="K2039">
        <v>97.3</v>
      </c>
      <c r="L2039">
        <v>78.8</v>
      </c>
      <c r="M2039">
        <v>87.1</v>
      </c>
      <c r="N2039">
        <v>60.8</v>
      </c>
      <c r="O2039">
        <v>44.5</v>
      </c>
      <c r="S2039">
        <f t="shared" si="313"/>
        <v>1</v>
      </c>
      <c r="T2039">
        <f t="shared" si="314"/>
        <v>0</v>
      </c>
      <c r="U2039">
        <f t="shared" si="315"/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27.7</v>
      </c>
      <c r="AC2039">
        <v>27.7</v>
      </c>
      <c r="AG2039">
        <f t="shared" si="316"/>
        <v>1</v>
      </c>
      <c r="AH2039">
        <f t="shared" si="317"/>
        <v>1</v>
      </c>
      <c r="AI2039">
        <f t="shared" si="318"/>
        <v>0</v>
      </c>
      <c r="AJ2039">
        <v>297.60000000000002</v>
      </c>
      <c r="AK2039">
        <v>1004.6</v>
      </c>
      <c r="AL2039">
        <v>0.1</v>
      </c>
      <c r="AM2039">
        <v>6.2</v>
      </c>
      <c r="AN2039">
        <v>344.8</v>
      </c>
      <c r="AO2039">
        <v>29.9</v>
      </c>
      <c r="AP2039">
        <v>10</v>
      </c>
      <c r="AQ2039">
        <v>0</v>
      </c>
      <c r="AR2039" t="s">
        <v>6811</v>
      </c>
      <c r="AS2039" t="s">
        <v>6812</v>
      </c>
      <c r="AT2039">
        <v>0.31</v>
      </c>
      <c r="AU2039" t="s">
        <v>74</v>
      </c>
      <c r="AV2039" t="s">
        <v>2955</v>
      </c>
      <c r="AW2039" t="s">
        <v>75</v>
      </c>
      <c r="AX2039" t="s">
        <v>5893</v>
      </c>
      <c r="AY2039" t="s">
        <v>6912</v>
      </c>
      <c r="AZ2039">
        <v>4335.9999999997672</v>
      </c>
      <c r="BA2039">
        <v>1</v>
      </c>
      <c r="BB2039">
        <v>20</v>
      </c>
      <c r="BC2039">
        <v>0</v>
      </c>
      <c r="BD2039">
        <v>0</v>
      </c>
      <c r="BE2039">
        <f t="shared" si="319"/>
        <v>1</v>
      </c>
    </row>
    <row r="2040" spans="1:57" x14ac:dyDescent="0.25">
      <c r="A2040" t="s">
        <v>39</v>
      </c>
      <c r="B2040" t="s">
        <v>6903</v>
      </c>
      <c r="C2040">
        <v>84.2</v>
      </c>
      <c r="D2040">
        <v>72.099999999999994</v>
      </c>
      <c r="G2040">
        <f t="shared" si="310"/>
        <v>0</v>
      </c>
      <c r="H2040">
        <f t="shared" si="311"/>
        <v>0</v>
      </c>
      <c r="I2040">
        <f t="shared" si="312"/>
        <v>0</v>
      </c>
      <c r="J2040">
        <v>79.900000000000006</v>
      </c>
      <c r="K2040">
        <v>86.5</v>
      </c>
      <c r="L2040">
        <v>72.099999999999994</v>
      </c>
      <c r="M2040">
        <v>81</v>
      </c>
      <c r="N2040">
        <v>64.8</v>
      </c>
      <c r="O2040">
        <v>60.4</v>
      </c>
      <c r="S2040">
        <f t="shared" si="313"/>
        <v>0</v>
      </c>
      <c r="T2040">
        <f t="shared" si="314"/>
        <v>0</v>
      </c>
      <c r="U2040">
        <f t="shared" si="315"/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32.700000000000003</v>
      </c>
      <c r="AC2040">
        <v>25.3</v>
      </c>
      <c r="AG2040">
        <f t="shared" si="316"/>
        <v>1</v>
      </c>
      <c r="AH2040">
        <f t="shared" si="317"/>
        <v>1</v>
      </c>
      <c r="AI2040">
        <f t="shared" si="318"/>
        <v>0</v>
      </c>
      <c r="AJ2040">
        <v>298.2</v>
      </c>
      <c r="AK2040">
        <v>1011.8</v>
      </c>
      <c r="AL2040">
        <v>1.1000000000000001</v>
      </c>
      <c r="AM2040">
        <v>6.2</v>
      </c>
      <c r="AN2040">
        <v>327.3</v>
      </c>
      <c r="AO2040">
        <v>28.3</v>
      </c>
      <c r="AP2040">
        <v>10</v>
      </c>
      <c r="AQ2040">
        <v>0</v>
      </c>
      <c r="AR2040" t="s">
        <v>6904</v>
      </c>
      <c r="AS2040" t="s">
        <v>6905</v>
      </c>
      <c r="AT2040">
        <v>0.96</v>
      </c>
      <c r="AU2040" t="s">
        <v>74</v>
      </c>
      <c r="AV2040" t="s">
        <v>2955</v>
      </c>
      <c r="AW2040" t="s">
        <v>75</v>
      </c>
      <c r="AX2040" t="s">
        <v>6913</v>
      </c>
      <c r="AY2040" t="s">
        <v>6914</v>
      </c>
      <c r="AZ2040">
        <v>3942.9999999969732</v>
      </c>
      <c r="BA2040">
        <v>1</v>
      </c>
      <c r="BB2040">
        <v>0</v>
      </c>
      <c r="BC2040">
        <v>100</v>
      </c>
      <c r="BD2040">
        <v>0</v>
      </c>
      <c r="BE2040">
        <f t="shared" si="319"/>
        <v>0</v>
      </c>
    </row>
    <row r="2041" spans="1:57" x14ac:dyDescent="0.25">
      <c r="A2041" t="s">
        <v>39</v>
      </c>
      <c r="B2041" t="s">
        <v>6915</v>
      </c>
      <c r="C2041">
        <v>82.4</v>
      </c>
      <c r="D2041">
        <v>73.400000000000006</v>
      </c>
      <c r="G2041">
        <f t="shared" si="310"/>
        <v>0</v>
      </c>
      <c r="H2041">
        <f t="shared" si="311"/>
        <v>0</v>
      </c>
      <c r="I2041">
        <f t="shared" si="312"/>
        <v>0</v>
      </c>
      <c r="J2041">
        <v>77.3</v>
      </c>
      <c r="K2041">
        <v>85.4</v>
      </c>
      <c r="L2041">
        <v>73.400000000000006</v>
      </c>
      <c r="M2041">
        <v>78.3</v>
      </c>
      <c r="N2041">
        <v>66.599999999999994</v>
      </c>
      <c r="O2041">
        <v>69.7</v>
      </c>
      <c r="S2041">
        <f t="shared" si="313"/>
        <v>1</v>
      </c>
      <c r="T2041">
        <f t="shared" si="314"/>
        <v>1</v>
      </c>
      <c r="U2041">
        <f t="shared" si="315"/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32.9</v>
      </c>
      <c r="AC2041">
        <v>21.9</v>
      </c>
      <c r="AG2041">
        <f t="shared" si="316"/>
        <v>1</v>
      </c>
      <c r="AH2041">
        <f t="shared" si="317"/>
        <v>1</v>
      </c>
      <c r="AI2041">
        <f t="shared" si="318"/>
        <v>0</v>
      </c>
      <c r="AJ2041">
        <v>298</v>
      </c>
      <c r="AK2041">
        <v>1008.2</v>
      </c>
      <c r="AL2041">
        <v>38.799999999999997</v>
      </c>
      <c r="AM2041">
        <v>6.2</v>
      </c>
      <c r="AN2041">
        <v>240</v>
      </c>
      <c r="AO2041">
        <v>20.6</v>
      </c>
      <c r="AP2041">
        <v>8</v>
      </c>
      <c r="AQ2041">
        <v>0</v>
      </c>
      <c r="AR2041" t="s">
        <v>6916</v>
      </c>
      <c r="AS2041" t="s">
        <v>6917</v>
      </c>
      <c r="AT2041">
        <v>0.21</v>
      </c>
      <c r="AU2041" t="s">
        <v>43</v>
      </c>
      <c r="AV2041" t="s">
        <v>44</v>
      </c>
      <c r="AW2041" t="s">
        <v>45</v>
      </c>
      <c r="AX2041" t="s">
        <v>6918</v>
      </c>
      <c r="AY2041" t="s">
        <v>6919</v>
      </c>
      <c r="AZ2041">
        <v>1707.000000000698</v>
      </c>
      <c r="BA2041">
        <v>1</v>
      </c>
      <c r="BB2041">
        <v>0</v>
      </c>
      <c r="BC2041">
        <v>2</v>
      </c>
      <c r="BD2041">
        <v>0</v>
      </c>
      <c r="BE2041">
        <f t="shared" si="319"/>
        <v>1</v>
      </c>
    </row>
    <row r="2042" spans="1:57" x14ac:dyDescent="0.25">
      <c r="A2042" t="s">
        <v>39</v>
      </c>
      <c r="B2042" t="s">
        <v>6920</v>
      </c>
      <c r="C2042">
        <v>86</v>
      </c>
      <c r="D2042">
        <v>73.400000000000006</v>
      </c>
      <c r="G2042">
        <f t="shared" si="310"/>
        <v>1</v>
      </c>
      <c r="H2042">
        <f t="shared" si="311"/>
        <v>1</v>
      </c>
      <c r="I2042">
        <f t="shared" si="312"/>
        <v>0</v>
      </c>
      <c r="J2042">
        <v>80.7</v>
      </c>
      <c r="K2042">
        <v>87.2</v>
      </c>
      <c r="L2042">
        <v>73.400000000000006</v>
      </c>
      <c r="M2042">
        <v>81.5</v>
      </c>
      <c r="N2042">
        <v>65.2</v>
      </c>
      <c r="O2042">
        <v>62.4</v>
      </c>
      <c r="S2042">
        <f t="shared" si="313"/>
        <v>1</v>
      </c>
      <c r="T2042">
        <f t="shared" si="314"/>
        <v>0</v>
      </c>
      <c r="U2042">
        <f t="shared" si="315"/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17.7</v>
      </c>
      <c r="AC2042">
        <v>23</v>
      </c>
      <c r="AG2042">
        <f t="shared" si="316"/>
        <v>1</v>
      </c>
      <c r="AH2042">
        <f t="shared" si="317"/>
        <v>1</v>
      </c>
      <c r="AI2042">
        <f t="shared" si="318"/>
        <v>0</v>
      </c>
      <c r="AJ2042">
        <v>281.5</v>
      </c>
      <c r="AK2042">
        <v>1011.8</v>
      </c>
      <c r="AL2042">
        <v>17.2</v>
      </c>
      <c r="AM2042">
        <v>6.2</v>
      </c>
      <c r="AN2042">
        <v>259.7</v>
      </c>
      <c r="AO2042">
        <v>22.5</v>
      </c>
      <c r="AP2042">
        <v>8</v>
      </c>
      <c r="AQ2042">
        <v>0</v>
      </c>
      <c r="AR2042" t="s">
        <v>6921</v>
      </c>
      <c r="AS2042" t="s">
        <v>6922</v>
      </c>
      <c r="AT2042">
        <v>0.72</v>
      </c>
      <c r="AU2042" t="s">
        <v>74</v>
      </c>
      <c r="AV2042" t="s">
        <v>2955</v>
      </c>
      <c r="AW2042" t="s">
        <v>75</v>
      </c>
      <c r="AX2042" t="s">
        <v>6923</v>
      </c>
      <c r="AY2042" t="s">
        <v>6924</v>
      </c>
      <c r="AZ2042">
        <v>297.9999999969732</v>
      </c>
      <c r="BA2042">
        <v>0</v>
      </c>
      <c r="BB2042">
        <v>0</v>
      </c>
      <c r="BC2042">
        <v>0.5</v>
      </c>
      <c r="BD2042">
        <v>0</v>
      </c>
      <c r="BE2042">
        <f t="shared" si="319"/>
        <v>1</v>
      </c>
    </row>
    <row r="2043" spans="1:57" x14ac:dyDescent="0.25">
      <c r="A2043" t="s">
        <v>39</v>
      </c>
      <c r="B2043" t="s">
        <v>6925</v>
      </c>
      <c r="C2043">
        <v>75.2</v>
      </c>
      <c r="D2043">
        <v>64.400000000000006</v>
      </c>
      <c r="G2043">
        <f t="shared" si="310"/>
        <v>0</v>
      </c>
      <c r="H2043">
        <f t="shared" si="311"/>
        <v>0</v>
      </c>
      <c r="I2043">
        <f t="shared" si="312"/>
        <v>0</v>
      </c>
      <c r="J2043">
        <v>69.599999999999994</v>
      </c>
      <c r="K2043">
        <v>75.2</v>
      </c>
      <c r="L2043">
        <v>64.400000000000006</v>
      </c>
      <c r="M2043">
        <v>69.599999999999994</v>
      </c>
      <c r="N2043">
        <v>58.5</v>
      </c>
      <c r="O2043">
        <v>68.400000000000006</v>
      </c>
      <c r="S2043">
        <f t="shared" si="313"/>
        <v>0</v>
      </c>
      <c r="T2043">
        <f t="shared" si="314"/>
        <v>0</v>
      </c>
      <c r="U2043">
        <f t="shared" si="315"/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23.3</v>
      </c>
      <c r="AC2043">
        <v>20.7</v>
      </c>
      <c r="AG2043">
        <f t="shared" si="316"/>
        <v>1</v>
      </c>
      <c r="AH2043">
        <f t="shared" si="317"/>
        <v>1</v>
      </c>
      <c r="AI2043">
        <f t="shared" si="318"/>
        <v>0</v>
      </c>
      <c r="AJ2043">
        <v>298.5</v>
      </c>
      <c r="AK2043">
        <v>1018.9</v>
      </c>
      <c r="AL2043">
        <v>13.9</v>
      </c>
      <c r="AM2043">
        <v>6.2</v>
      </c>
      <c r="AN2043">
        <v>215.5</v>
      </c>
      <c r="AO2043">
        <v>18.8</v>
      </c>
      <c r="AP2043">
        <v>7</v>
      </c>
      <c r="AQ2043">
        <v>0</v>
      </c>
      <c r="AR2043" t="s">
        <v>6926</v>
      </c>
      <c r="AS2043" t="s">
        <v>6927</v>
      </c>
      <c r="AT2043">
        <v>0.5</v>
      </c>
      <c r="AU2043" t="s">
        <v>74</v>
      </c>
      <c r="AV2043" t="s">
        <v>2955</v>
      </c>
      <c r="AW2043" t="s">
        <v>75</v>
      </c>
      <c r="AX2043" t="s">
        <v>6893</v>
      </c>
      <c r="AY2043" t="s">
        <v>6928</v>
      </c>
      <c r="AZ2043">
        <v>1587.000000007683</v>
      </c>
      <c r="BA2043">
        <v>1</v>
      </c>
      <c r="BB2043">
        <v>1</v>
      </c>
      <c r="BC2043">
        <v>0</v>
      </c>
      <c r="BD2043">
        <v>0</v>
      </c>
      <c r="BE2043">
        <f t="shared" si="319"/>
        <v>0</v>
      </c>
    </row>
    <row r="2044" spans="1:57" x14ac:dyDescent="0.25">
      <c r="A2044" t="s">
        <v>39</v>
      </c>
      <c r="B2044" t="s">
        <v>6925</v>
      </c>
      <c r="C2044">
        <v>75.2</v>
      </c>
      <c r="D2044">
        <v>64.400000000000006</v>
      </c>
      <c r="G2044">
        <f t="shared" si="310"/>
        <v>0</v>
      </c>
      <c r="H2044">
        <f t="shared" si="311"/>
        <v>0</v>
      </c>
      <c r="I2044">
        <f t="shared" si="312"/>
        <v>0</v>
      </c>
      <c r="J2044">
        <v>69.599999999999994</v>
      </c>
      <c r="K2044">
        <v>75.2</v>
      </c>
      <c r="L2044">
        <v>64.400000000000006</v>
      </c>
      <c r="M2044">
        <v>69.599999999999994</v>
      </c>
      <c r="N2044">
        <v>58.5</v>
      </c>
      <c r="O2044">
        <v>68.400000000000006</v>
      </c>
      <c r="S2044">
        <f t="shared" si="313"/>
        <v>0</v>
      </c>
      <c r="T2044">
        <f t="shared" si="314"/>
        <v>0</v>
      </c>
      <c r="U2044">
        <f t="shared" si="315"/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23.3</v>
      </c>
      <c r="AC2044">
        <v>20.7</v>
      </c>
      <c r="AG2044">
        <f t="shared" si="316"/>
        <v>1</v>
      </c>
      <c r="AH2044">
        <f t="shared" si="317"/>
        <v>1</v>
      </c>
      <c r="AI2044">
        <f t="shared" si="318"/>
        <v>0</v>
      </c>
      <c r="AJ2044">
        <v>298.5</v>
      </c>
      <c r="AK2044">
        <v>1018.9</v>
      </c>
      <c r="AL2044">
        <v>13.9</v>
      </c>
      <c r="AM2044">
        <v>6.2</v>
      </c>
      <c r="AN2044">
        <v>215.5</v>
      </c>
      <c r="AO2044">
        <v>18.8</v>
      </c>
      <c r="AP2044">
        <v>7</v>
      </c>
      <c r="AQ2044">
        <v>0</v>
      </c>
      <c r="AR2044" t="s">
        <v>6926</v>
      </c>
      <c r="AS2044" t="s">
        <v>6927</v>
      </c>
      <c r="AT2044">
        <v>0.5</v>
      </c>
      <c r="AU2044" t="s">
        <v>74</v>
      </c>
      <c r="AV2044" t="s">
        <v>2955</v>
      </c>
      <c r="AW2044" t="s">
        <v>75</v>
      </c>
      <c r="AX2044" t="s">
        <v>2368</v>
      </c>
      <c r="AY2044" t="s">
        <v>6929</v>
      </c>
      <c r="AZ2044">
        <v>221.00000000791621</v>
      </c>
      <c r="BA2044">
        <v>0</v>
      </c>
      <c r="BB2044">
        <v>0</v>
      </c>
      <c r="BC2044">
        <v>0.5</v>
      </c>
      <c r="BD2044">
        <v>0</v>
      </c>
      <c r="BE2044">
        <f t="shared" si="319"/>
        <v>0</v>
      </c>
    </row>
    <row r="2045" spans="1:57" x14ac:dyDescent="0.25">
      <c r="A2045" t="s">
        <v>39</v>
      </c>
      <c r="B2045" t="s">
        <v>6930</v>
      </c>
      <c r="C2045">
        <v>69.8</v>
      </c>
      <c r="D2045">
        <v>53.6</v>
      </c>
      <c r="G2045">
        <f t="shared" si="310"/>
        <v>1</v>
      </c>
      <c r="H2045">
        <f t="shared" si="311"/>
        <v>1</v>
      </c>
      <c r="I2045">
        <f t="shared" si="312"/>
        <v>0</v>
      </c>
      <c r="J2045">
        <v>61.3</v>
      </c>
      <c r="K2045">
        <v>69.8</v>
      </c>
      <c r="L2045">
        <v>53.6</v>
      </c>
      <c r="M2045">
        <v>61.3</v>
      </c>
      <c r="N2045">
        <v>50.8</v>
      </c>
      <c r="O2045">
        <v>68.8</v>
      </c>
      <c r="S2045">
        <f t="shared" si="313"/>
        <v>0</v>
      </c>
      <c r="T2045">
        <f t="shared" si="314"/>
        <v>0</v>
      </c>
      <c r="U2045">
        <f t="shared" si="315"/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31.1</v>
      </c>
      <c r="AC2045">
        <v>24.2</v>
      </c>
      <c r="AG2045">
        <f t="shared" si="316"/>
        <v>1</v>
      </c>
      <c r="AH2045">
        <f t="shared" si="317"/>
        <v>1</v>
      </c>
      <c r="AI2045">
        <f t="shared" si="318"/>
        <v>0</v>
      </c>
      <c r="AJ2045">
        <v>170.7</v>
      </c>
      <c r="AK2045">
        <v>1019.5</v>
      </c>
      <c r="AL2045">
        <v>28.8</v>
      </c>
      <c r="AM2045">
        <v>6.2</v>
      </c>
      <c r="AN2045">
        <v>108.4</v>
      </c>
      <c r="AO2045">
        <v>9.4</v>
      </c>
      <c r="AP2045">
        <v>5</v>
      </c>
      <c r="AQ2045">
        <v>0</v>
      </c>
      <c r="AR2045" t="s">
        <v>6931</v>
      </c>
      <c r="AS2045" t="s">
        <v>6932</v>
      </c>
      <c r="AT2045">
        <v>0.39</v>
      </c>
      <c r="AU2045" t="s">
        <v>43</v>
      </c>
      <c r="AV2045" t="s">
        <v>44</v>
      </c>
      <c r="AW2045" t="s">
        <v>45</v>
      </c>
      <c r="AX2045" t="s">
        <v>6933</v>
      </c>
      <c r="AY2045" t="s">
        <v>6934</v>
      </c>
      <c r="AZ2045">
        <v>207.00000000419101</v>
      </c>
      <c r="BA2045">
        <v>0</v>
      </c>
      <c r="BB2045">
        <v>0</v>
      </c>
      <c r="BC2045">
        <v>2</v>
      </c>
      <c r="BD2045">
        <v>0</v>
      </c>
      <c r="BE2045">
        <f t="shared" si="319"/>
        <v>0</v>
      </c>
    </row>
    <row r="2046" spans="1:57" x14ac:dyDescent="0.25">
      <c r="A2046" t="s">
        <v>39</v>
      </c>
      <c r="B2046" t="s">
        <v>6935</v>
      </c>
      <c r="C2046">
        <v>66.2</v>
      </c>
      <c r="D2046">
        <v>48.2</v>
      </c>
      <c r="G2046">
        <f t="shared" si="310"/>
        <v>1</v>
      </c>
      <c r="H2046">
        <f t="shared" si="311"/>
        <v>1</v>
      </c>
      <c r="I2046">
        <f t="shared" si="312"/>
        <v>0</v>
      </c>
      <c r="J2046">
        <v>56.5</v>
      </c>
      <c r="K2046">
        <v>66.2</v>
      </c>
      <c r="L2046">
        <v>43.7</v>
      </c>
      <c r="M2046">
        <v>56.2</v>
      </c>
      <c r="N2046">
        <v>48.1</v>
      </c>
      <c r="O2046">
        <v>74.2</v>
      </c>
      <c r="S2046">
        <f t="shared" si="313"/>
        <v>1</v>
      </c>
      <c r="T2046">
        <f t="shared" si="314"/>
        <v>1</v>
      </c>
      <c r="U2046">
        <f t="shared" si="315"/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24.2</v>
      </c>
      <c r="AC2046">
        <v>15</v>
      </c>
      <c r="AG2046">
        <f t="shared" si="316"/>
        <v>1</v>
      </c>
      <c r="AH2046">
        <f t="shared" si="317"/>
        <v>0</v>
      </c>
      <c r="AI2046">
        <f t="shared" si="318"/>
        <v>1</v>
      </c>
      <c r="AJ2046">
        <v>169.7</v>
      </c>
      <c r="AK2046">
        <v>1019.8</v>
      </c>
      <c r="AL2046">
        <v>34.4</v>
      </c>
      <c r="AM2046">
        <v>6.2</v>
      </c>
      <c r="AN2046">
        <v>160.5</v>
      </c>
      <c r="AO2046">
        <v>13.8</v>
      </c>
      <c r="AP2046">
        <v>6</v>
      </c>
      <c r="AQ2046">
        <v>0</v>
      </c>
      <c r="AR2046" t="s">
        <v>6936</v>
      </c>
      <c r="AS2046" t="s">
        <v>6937</v>
      </c>
      <c r="AT2046">
        <v>0.3</v>
      </c>
      <c r="AU2046" t="s">
        <v>43</v>
      </c>
      <c r="AV2046" t="s">
        <v>44</v>
      </c>
      <c r="AW2046" t="s">
        <v>45</v>
      </c>
      <c r="AX2046" t="s">
        <v>2408</v>
      </c>
      <c r="AY2046" t="s">
        <v>6938</v>
      </c>
      <c r="AZ2046">
        <v>120.0000000034925</v>
      </c>
      <c r="BA2046">
        <v>0</v>
      </c>
      <c r="BB2046">
        <v>0</v>
      </c>
      <c r="BC2046">
        <v>2</v>
      </c>
      <c r="BD2046">
        <v>0</v>
      </c>
      <c r="BE2046">
        <f t="shared" si="319"/>
        <v>1</v>
      </c>
    </row>
    <row r="2047" spans="1:57" x14ac:dyDescent="0.25">
      <c r="A2047" t="s">
        <v>39</v>
      </c>
      <c r="B2047" t="s">
        <v>6939</v>
      </c>
      <c r="C2047">
        <v>73.400000000000006</v>
      </c>
      <c r="D2047">
        <v>47</v>
      </c>
      <c r="G2047">
        <f t="shared" si="310"/>
        <v>1</v>
      </c>
      <c r="H2047">
        <f t="shared" si="311"/>
        <v>1</v>
      </c>
      <c r="I2047">
        <f t="shared" si="312"/>
        <v>0</v>
      </c>
      <c r="J2047">
        <v>61</v>
      </c>
      <c r="K2047">
        <v>73.400000000000006</v>
      </c>
      <c r="L2047">
        <v>47</v>
      </c>
      <c r="M2047">
        <v>61</v>
      </c>
      <c r="N2047">
        <v>52</v>
      </c>
      <c r="O2047">
        <v>73.599999999999994</v>
      </c>
      <c r="S2047">
        <f t="shared" si="313"/>
        <v>1</v>
      </c>
      <c r="T2047">
        <f t="shared" si="314"/>
        <v>1</v>
      </c>
      <c r="U2047">
        <f t="shared" si="315"/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23.8</v>
      </c>
      <c r="AC2047">
        <v>19.7</v>
      </c>
      <c r="AG2047">
        <f t="shared" si="316"/>
        <v>1</v>
      </c>
      <c r="AH2047">
        <f t="shared" si="317"/>
        <v>1</v>
      </c>
      <c r="AI2047">
        <f t="shared" si="318"/>
        <v>0</v>
      </c>
      <c r="AJ2047">
        <v>166.5</v>
      </c>
      <c r="AK2047">
        <v>1018.2</v>
      </c>
      <c r="AL2047">
        <v>54.7</v>
      </c>
      <c r="AM2047">
        <v>6.2</v>
      </c>
      <c r="AN2047">
        <v>257.10000000000002</v>
      </c>
      <c r="AO2047">
        <v>22.5</v>
      </c>
      <c r="AP2047">
        <v>9</v>
      </c>
      <c r="AQ2047">
        <v>0</v>
      </c>
      <c r="AR2047" t="s">
        <v>6940</v>
      </c>
      <c r="AS2047" t="s">
        <v>6941</v>
      </c>
      <c r="AT2047">
        <v>0.25</v>
      </c>
      <c r="AU2047" t="s">
        <v>43</v>
      </c>
      <c r="AV2047" t="s">
        <v>44</v>
      </c>
      <c r="AW2047" t="s">
        <v>45</v>
      </c>
      <c r="AX2047" t="s">
        <v>5276</v>
      </c>
      <c r="AY2047" t="s">
        <v>6942</v>
      </c>
      <c r="AZ2047">
        <v>910.00000000116415</v>
      </c>
      <c r="BA2047">
        <v>1</v>
      </c>
      <c r="BB2047">
        <v>0</v>
      </c>
      <c r="BC2047">
        <v>1</v>
      </c>
      <c r="BD2047">
        <v>0</v>
      </c>
      <c r="BE2047">
        <f t="shared" si="319"/>
        <v>1</v>
      </c>
    </row>
    <row r="2048" spans="1:57" x14ac:dyDescent="0.25">
      <c r="A2048" t="s">
        <v>39</v>
      </c>
      <c r="B2048" t="s">
        <v>6943</v>
      </c>
      <c r="C2048">
        <v>64.400000000000006</v>
      </c>
      <c r="D2048">
        <v>48.2</v>
      </c>
      <c r="G2048">
        <f t="shared" si="310"/>
        <v>1</v>
      </c>
      <c r="H2048">
        <f t="shared" si="311"/>
        <v>0</v>
      </c>
      <c r="I2048">
        <f t="shared" si="312"/>
        <v>1</v>
      </c>
      <c r="J2048">
        <v>56.8</v>
      </c>
      <c r="K2048">
        <v>64.400000000000006</v>
      </c>
      <c r="L2048">
        <v>44.6</v>
      </c>
      <c r="M2048">
        <v>56.2</v>
      </c>
      <c r="N2048">
        <v>50.7</v>
      </c>
      <c r="O2048">
        <v>80.5</v>
      </c>
      <c r="S2048">
        <f t="shared" si="313"/>
        <v>1</v>
      </c>
      <c r="T2048">
        <f t="shared" si="314"/>
        <v>1</v>
      </c>
      <c r="U2048">
        <f t="shared" si="315"/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26.6</v>
      </c>
      <c r="AC2048">
        <v>12.8</v>
      </c>
      <c r="AG2048">
        <f t="shared" si="316"/>
        <v>1</v>
      </c>
      <c r="AH2048">
        <f t="shared" si="317"/>
        <v>0</v>
      </c>
      <c r="AI2048">
        <f t="shared" si="318"/>
        <v>1</v>
      </c>
      <c r="AJ2048">
        <v>328.4</v>
      </c>
      <c r="AK2048">
        <v>1021.4</v>
      </c>
      <c r="AL2048">
        <v>31.7</v>
      </c>
      <c r="AM2048">
        <v>6.2</v>
      </c>
      <c r="AN2048">
        <v>281.39999999999998</v>
      </c>
      <c r="AO2048">
        <v>24.4</v>
      </c>
      <c r="AP2048">
        <v>9</v>
      </c>
      <c r="AQ2048">
        <v>0</v>
      </c>
      <c r="AR2048" t="s">
        <v>6944</v>
      </c>
      <c r="AS2048" t="s">
        <v>6945</v>
      </c>
      <c r="AT2048">
        <v>0.43</v>
      </c>
      <c r="AU2048" t="s">
        <v>43</v>
      </c>
      <c r="AV2048" t="s">
        <v>44</v>
      </c>
      <c r="AW2048" t="s">
        <v>45</v>
      </c>
      <c r="AX2048" t="s">
        <v>2491</v>
      </c>
      <c r="AY2048" t="s">
        <v>6946</v>
      </c>
      <c r="AZ2048">
        <v>349.99999999883579</v>
      </c>
      <c r="BA2048">
        <v>0</v>
      </c>
      <c r="BB2048">
        <v>0</v>
      </c>
      <c r="BC2048">
        <v>5</v>
      </c>
      <c r="BD2048">
        <v>0</v>
      </c>
      <c r="BE2048">
        <f t="shared" si="319"/>
        <v>0</v>
      </c>
    </row>
    <row r="2049" spans="1:57" x14ac:dyDescent="0.25">
      <c r="A2049" t="s">
        <v>39</v>
      </c>
      <c r="B2049" t="s">
        <v>6947</v>
      </c>
      <c r="C2049">
        <v>71.599999999999994</v>
      </c>
      <c r="D2049">
        <v>59</v>
      </c>
      <c r="G2049">
        <f t="shared" si="310"/>
        <v>0</v>
      </c>
      <c r="H2049">
        <f t="shared" si="311"/>
        <v>0</v>
      </c>
      <c r="I2049">
        <f t="shared" si="312"/>
        <v>0</v>
      </c>
      <c r="J2049">
        <v>65.5</v>
      </c>
      <c r="K2049">
        <v>71.599999999999994</v>
      </c>
      <c r="L2049">
        <v>59</v>
      </c>
      <c r="M2049">
        <v>65.5</v>
      </c>
      <c r="N2049">
        <v>58.4</v>
      </c>
      <c r="O2049">
        <v>78.8</v>
      </c>
      <c r="S2049">
        <f t="shared" si="313"/>
        <v>1</v>
      </c>
      <c r="T2049">
        <f t="shared" si="314"/>
        <v>1</v>
      </c>
      <c r="U2049">
        <f t="shared" si="315"/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22.6</v>
      </c>
      <c r="AC2049">
        <v>14.9</v>
      </c>
      <c r="AG2049">
        <f t="shared" si="316"/>
        <v>1</v>
      </c>
      <c r="AH2049">
        <f t="shared" si="317"/>
        <v>0</v>
      </c>
      <c r="AI2049">
        <f t="shared" si="318"/>
        <v>1</v>
      </c>
      <c r="AJ2049">
        <v>304.60000000000002</v>
      </c>
      <c r="AK2049">
        <v>1013.3</v>
      </c>
      <c r="AL2049">
        <v>34.700000000000003</v>
      </c>
      <c r="AM2049">
        <v>6.2</v>
      </c>
      <c r="AN2049">
        <v>311</v>
      </c>
      <c r="AO2049">
        <v>26.8</v>
      </c>
      <c r="AP2049">
        <v>9</v>
      </c>
      <c r="AQ2049">
        <v>0</v>
      </c>
      <c r="AR2049" t="s">
        <v>6948</v>
      </c>
      <c r="AS2049" t="s">
        <v>6949</v>
      </c>
      <c r="AT2049">
        <v>0.2</v>
      </c>
      <c r="AU2049" t="s">
        <v>43</v>
      </c>
      <c r="AV2049" t="s">
        <v>2026</v>
      </c>
      <c r="AW2049" t="s">
        <v>45</v>
      </c>
      <c r="AX2049" t="s">
        <v>2795</v>
      </c>
      <c r="AY2049" t="s">
        <v>6950</v>
      </c>
      <c r="AZ2049">
        <v>390.00000000349252</v>
      </c>
      <c r="BA2049">
        <v>1</v>
      </c>
      <c r="BB2049">
        <v>0</v>
      </c>
      <c r="BC2049">
        <v>6</v>
      </c>
      <c r="BD2049">
        <v>0</v>
      </c>
      <c r="BE2049">
        <f t="shared" si="319"/>
        <v>0</v>
      </c>
    </row>
    <row r="2050" spans="1:57" x14ac:dyDescent="0.25">
      <c r="A2050" t="s">
        <v>39</v>
      </c>
      <c r="B2050" t="s">
        <v>6840</v>
      </c>
      <c r="C2050">
        <v>73.400000000000006</v>
      </c>
      <c r="D2050">
        <v>64.400000000000006</v>
      </c>
      <c r="G2050">
        <f t="shared" si="310"/>
        <v>0</v>
      </c>
      <c r="H2050">
        <f t="shared" si="311"/>
        <v>0</v>
      </c>
      <c r="I2050">
        <f t="shared" si="312"/>
        <v>0</v>
      </c>
      <c r="J2050">
        <v>70.3</v>
      </c>
      <c r="K2050">
        <v>73.400000000000006</v>
      </c>
      <c r="L2050">
        <v>64.400000000000006</v>
      </c>
      <c r="M2050">
        <v>70.3</v>
      </c>
      <c r="N2050">
        <v>57.7</v>
      </c>
      <c r="O2050">
        <v>64.7</v>
      </c>
      <c r="S2050">
        <f t="shared" si="313"/>
        <v>0</v>
      </c>
      <c r="T2050">
        <f t="shared" si="314"/>
        <v>0</v>
      </c>
      <c r="U2050">
        <f t="shared" si="315"/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31.1</v>
      </c>
      <c r="AC2050">
        <v>20.8</v>
      </c>
      <c r="AG2050">
        <f t="shared" si="316"/>
        <v>1</v>
      </c>
      <c r="AH2050">
        <f t="shared" si="317"/>
        <v>1</v>
      </c>
      <c r="AI2050">
        <f t="shared" si="318"/>
        <v>0</v>
      </c>
      <c r="AJ2050">
        <v>311.7</v>
      </c>
      <c r="AK2050">
        <v>1019.2</v>
      </c>
      <c r="AL2050">
        <v>32.4</v>
      </c>
      <c r="AM2050">
        <v>6.2</v>
      </c>
      <c r="AN2050">
        <v>193.7</v>
      </c>
      <c r="AO2050">
        <v>16.7</v>
      </c>
      <c r="AP2050">
        <v>7</v>
      </c>
      <c r="AQ2050">
        <v>0</v>
      </c>
      <c r="AR2050" t="s">
        <v>6841</v>
      </c>
      <c r="AS2050" t="s">
        <v>6842</v>
      </c>
      <c r="AT2050">
        <v>0.81</v>
      </c>
      <c r="AU2050" t="s">
        <v>43</v>
      </c>
      <c r="AV2050" t="s">
        <v>44</v>
      </c>
      <c r="AW2050" t="s">
        <v>45</v>
      </c>
      <c r="AX2050" t="s">
        <v>2795</v>
      </c>
      <c r="AY2050" t="s">
        <v>6951</v>
      </c>
      <c r="AZ2050">
        <v>1007.000000003027</v>
      </c>
      <c r="BA2050">
        <v>1</v>
      </c>
      <c r="BB2050">
        <v>0</v>
      </c>
      <c r="BC2050">
        <v>3</v>
      </c>
      <c r="BD2050">
        <v>0</v>
      </c>
      <c r="BE2050">
        <f t="shared" si="319"/>
        <v>0</v>
      </c>
    </row>
    <row r="2051" spans="1:57" x14ac:dyDescent="0.25">
      <c r="A2051" t="s">
        <v>39</v>
      </c>
      <c r="B2051" t="s">
        <v>6952</v>
      </c>
      <c r="C2051">
        <v>55.4</v>
      </c>
      <c r="D2051">
        <v>42.8</v>
      </c>
      <c r="G2051">
        <f t="shared" ref="G2051:G2114" si="320">IF(ABS(C2051-INDEX($F$2:$F$13,MONTH(B2051)))&gt;1.8,1,0)</f>
        <v>1</v>
      </c>
      <c r="H2051">
        <f t="shared" ref="H2051:H2114" si="321">IF(C2051&gt;=INDEX($F$2:$F$13,MONTH(B2051))+1.8,1,0)</f>
        <v>0</v>
      </c>
      <c r="I2051">
        <f t="shared" ref="I2051:I2114" si="322">IF(C2051&lt;=INDEX($F$2:$F$13,MONTH(B2051))-1.8,1,0)</f>
        <v>1</v>
      </c>
      <c r="J2051">
        <v>51.4</v>
      </c>
      <c r="K2051">
        <v>55.4</v>
      </c>
      <c r="L2051">
        <v>38.5</v>
      </c>
      <c r="M2051">
        <v>50.2</v>
      </c>
      <c r="N2051">
        <v>40.700000000000003</v>
      </c>
      <c r="O2051">
        <v>67.2</v>
      </c>
      <c r="S2051">
        <f t="shared" ref="S2051:S2114" si="323">IF(OR(O2051&lt;INDEX($Q$2:$Q$13,MONTH(B2051)),O2051&gt;INDEX($R$2:$R$13,MONTH(B2051))),1,0)</f>
        <v>0</v>
      </c>
      <c r="T2051">
        <f t="shared" ref="T2051:T2114" si="324">IF(O2051&gt;INDEX($R$2:$R$13,MONTH(B2051)),1,0)</f>
        <v>0</v>
      </c>
      <c r="U2051">
        <f t="shared" ref="U2051:U2114" si="325">IF(O2051&lt;INDEX($Q$2:$Q$13,MONTH(B2051)),1,0)</f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25.7</v>
      </c>
      <c r="AC2051">
        <v>17.2</v>
      </c>
      <c r="AG2051">
        <f t="shared" ref="AG2051:AG2114" si="326">IF(OR(AC2051&lt;INDEX($AE$2:$AE$13,MONTH(B2051)),AC2051&gt;INDEX($AF$2:$AF$13,MONTH(B2051))),1,0)</f>
        <v>1</v>
      </c>
      <c r="AH2051">
        <f t="shared" ref="AH2051:AH2114" si="327">IF(AC2051&gt;INDEX($AF$2:$AF$13,MONTH(B2051)),1,0)</f>
        <v>0</v>
      </c>
      <c r="AI2051">
        <f t="shared" ref="AI2051:AI2114" si="328">IF(AC2051&lt;INDEX($AE$2:$AE$13,MONTH(B2051)),1,0)</f>
        <v>1</v>
      </c>
      <c r="AJ2051">
        <v>307.7</v>
      </c>
      <c r="AK2051">
        <v>1027.0999999999999</v>
      </c>
      <c r="AL2051">
        <v>48</v>
      </c>
      <c r="AM2051">
        <v>6.2</v>
      </c>
      <c r="AN2051">
        <v>179.1</v>
      </c>
      <c r="AO2051">
        <v>15.4</v>
      </c>
      <c r="AP2051">
        <v>7</v>
      </c>
      <c r="AQ2051">
        <v>0</v>
      </c>
      <c r="AR2051" t="s">
        <v>6953</v>
      </c>
      <c r="AS2051" t="s">
        <v>6954</v>
      </c>
      <c r="AT2051">
        <v>0.7</v>
      </c>
      <c r="AU2051" t="s">
        <v>43</v>
      </c>
      <c r="AV2051" t="s">
        <v>44</v>
      </c>
      <c r="AW2051" t="s">
        <v>45</v>
      </c>
      <c r="AX2051" t="s">
        <v>4049</v>
      </c>
      <c r="AY2051" t="s">
        <v>6955</v>
      </c>
      <c r="AZ2051">
        <v>59.99999999650754</v>
      </c>
      <c r="BA2051">
        <v>0</v>
      </c>
      <c r="BB2051">
        <v>0</v>
      </c>
      <c r="BC2051">
        <v>0.5</v>
      </c>
      <c r="BD2051">
        <v>0</v>
      </c>
      <c r="BE2051">
        <f t="shared" ref="BE2051:BE2114" si="329">IF((3*AH2051+3*H2051+2*U2051+2*BA2051-(2*(1-T2051)+2*(1-I2051)+2*(1-AI2051)))&gt;=1,1,0)</f>
        <v>0</v>
      </c>
    </row>
    <row r="2052" spans="1:57" x14ac:dyDescent="0.25">
      <c r="A2052" t="s">
        <v>39</v>
      </c>
      <c r="B2052" t="s">
        <v>6712</v>
      </c>
      <c r="C2052">
        <v>68</v>
      </c>
      <c r="D2052">
        <v>53.6</v>
      </c>
      <c r="G2052">
        <f t="shared" si="320"/>
        <v>0</v>
      </c>
      <c r="H2052">
        <f t="shared" si="321"/>
        <v>0</v>
      </c>
      <c r="I2052">
        <f t="shared" si="322"/>
        <v>0</v>
      </c>
      <c r="J2052">
        <v>60.9</v>
      </c>
      <c r="K2052">
        <v>68</v>
      </c>
      <c r="L2052">
        <v>53.6</v>
      </c>
      <c r="M2052">
        <v>60.9</v>
      </c>
      <c r="N2052">
        <v>56.3</v>
      </c>
      <c r="O2052">
        <v>85.4</v>
      </c>
      <c r="S2052">
        <f t="shared" si="323"/>
        <v>1</v>
      </c>
      <c r="T2052">
        <f t="shared" si="324"/>
        <v>1</v>
      </c>
      <c r="U2052">
        <f t="shared" si="325"/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18.3</v>
      </c>
      <c r="AC2052">
        <v>8.1</v>
      </c>
      <c r="AG2052">
        <f t="shared" si="326"/>
        <v>1</v>
      </c>
      <c r="AH2052">
        <f t="shared" si="327"/>
        <v>0</v>
      </c>
      <c r="AI2052">
        <f t="shared" si="328"/>
        <v>1</v>
      </c>
      <c r="AJ2052">
        <v>171</v>
      </c>
      <c r="AK2052">
        <v>1015.1</v>
      </c>
      <c r="AL2052">
        <v>18.899999999999999</v>
      </c>
      <c r="AM2052">
        <v>6.2</v>
      </c>
      <c r="AN2052">
        <v>282.89999999999998</v>
      </c>
      <c r="AO2052">
        <v>24.5</v>
      </c>
      <c r="AP2052">
        <v>9</v>
      </c>
      <c r="AQ2052">
        <v>0</v>
      </c>
      <c r="AR2052" t="s">
        <v>6713</v>
      </c>
      <c r="AS2052" t="s">
        <v>6714</v>
      </c>
      <c r="AT2052">
        <v>0.63</v>
      </c>
      <c r="AU2052" t="s">
        <v>74</v>
      </c>
      <c r="AV2052" t="s">
        <v>2955</v>
      </c>
      <c r="AW2052" t="s">
        <v>75</v>
      </c>
      <c r="AX2052" t="s">
        <v>5857</v>
      </c>
      <c r="AY2052" t="s">
        <v>6956</v>
      </c>
      <c r="AZ2052">
        <v>68.000000001629815</v>
      </c>
      <c r="BA2052">
        <v>0</v>
      </c>
      <c r="BB2052">
        <v>0</v>
      </c>
      <c r="BC2052">
        <v>0.4</v>
      </c>
      <c r="BD2052">
        <v>0</v>
      </c>
      <c r="BE2052">
        <f t="shared" si="329"/>
        <v>0</v>
      </c>
    </row>
    <row r="2053" spans="1:57" x14ac:dyDescent="0.25">
      <c r="A2053" t="s">
        <v>39</v>
      </c>
      <c r="B2053" t="s">
        <v>6745</v>
      </c>
      <c r="C2053">
        <v>75.2</v>
      </c>
      <c r="D2053">
        <v>55.4</v>
      </c>
      <c r="G2053">
        <f t="shared" si="320"/>
        <v>1</v>
      </c>
      <c r="H2053">
        <f t="shared" si="321"/>
        <v>1</v>
      </c>
      <c r="I2053">
        <f t="shared" si="322"/>
        <v>0</v>
      </c>
      <c r="J2053">
        <v>65</v>
      </c>
      <c r="K2053">
        <v>75.2</v>
      </c>
      <c r="L2053">
        <v>55.4</v>
      </c>
      <c r="M2053">
        <v>65</v>
      </c>
      <c r="N2053">
        <v>56.6</v>
      </c>
      <c r="O2053">
        <v>75.3</v>
      </c>
      <c r="S2053">
        <f t="shared" si="323"/>
        <v>1</v>
      </c>
      <c r="T2053">
        <f t="shared" si="324"/>
        <v>1</v>
      </c>
      <c r="U2053">
        <f t="shared" si="325"/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25.3</v>
      </c>
      <c r="AC2053">
        <v>19.7</v>
      </c>
      <c r="AG2053">
        <f t="shared" si="326"/>
        <v>1</v>
      </c>
      <c r="AH2053">
        <f t="shared" si="327"/>
        <v>1</v>
      </c>
      <c r="AI2053">
        <f t="shared" si="328"/>
        <v>0</v>
      </c>
      <c r="AJ2053">
        <v>167.2</v>
      </c>
      <c r="AK2053">
        <v>1015.3</v>
      </c>
      <c r="AL2053">
        <v>29.5</v>
      </c>
      <c r="AM2053">
        <v>6.2</v>
      </c>
      <c r="AN2053">
        <v>287.89999999999998</v>
      </c>
      <c r="AO2053">
        <v>24.8</v>
      </c>
      <c r="AP2053">
        <v>9</v>
      </c>
      <c r="AQ2053">
        <v>0</v>
      </c>
      <c r="AR2053" t="s">
        <v>6746</v>
      </c>
      <c r="AS2053" t="s">
        <v>6747</v>
      </c>
      <c r="AT2053">
        <v>0.75</v>
      </c>
      <c r="AU2053" t="s">
        <v>43</v>
      </c>
      <c r="AV2053" t="s">
        <v>44</v>
      </c>
      <c r="AW2053" t="s">
        <v>45</v>
      </c>
      <c r="AX2053" t="s">
        <v>2408</v>
      </c>
      <c r="AY2053" t="s">
        <v>6957</v>
      </c>
      <c r="AZ2053">
        <v>20.00000000232831</v>
      </c>
      <c r="BA2053">
        <v>0</v>
      </c>
      <c r="BB2053">
        <v>0</v>
      </c>
      <c r="BC2053">
        <v>0.05</v>
      </c>
      <c r="BD2053">
        <v>0</v>
      </c>
      <c r="BE2053">
        <f t="shared" si="329"/>
        <v>1</v>
      </c>
    </row>
    <row r="2054" spans="1:57" x14ac:dyDescent="0.25">
      <c r="A2054" t="s">
        <v>39</v>
      </c>
      <c r="B2054" t="s">
        <v>6958</v>
      </c>
      <c r="C2054">
        <v>80.599999999999994</v>
      </c>
      <c r="D2054">
        <v>75.2</v>
      </c>
      <c r="G2054">
        <f t="shared" si="320"/>
        <v>1</v>
      </c>
      <c r="H2054">
        <f t="shared" si="321"/>
        <v>0</v>
      </c>
      <c r="I2054">
        <f t="shared" si="322"/>
        <v>1</v>
      </c>
      <c r="J2054">
        <v>76.8</v>
      </c>
      <c r="K2054">
        <v>83.3</v>
      </c>
      <c r="L2054">
        <v>75.2</v>
      </c>
      <c r="M2054">
        <v>77.099999999999994</v>
      </c>
      <c r="N2054">
        <v>67.2</v>
      </c>
      <c r="O2054">
        <v>72.8</v>
      </c>
      <c r="S2054">
        <f t="shared" si="323"/>
        <v>1</v>
      </c>
      <c r="T2054">
        <f t="shared" si="324"/>
        <v>1</v>
      </c>
      <c r="U2054">
        <f t="shared" si="325"/>
        <v>0</v>
      </c>
      <c r="V2054">
        <v>1.2E-2</v>
      </c>
      <c r="W2054">
        <v>100</v>
      </c>
      <c r="X2054">
        <v>4.17</v>
      </c>
      <c r="Y2054" t="s">
        <v>103</v>
      </c>
      <c r="Z2054">
        <v>0</v>
      </c>
      <c r="AA2054">
        <v>0</v>
      </c>
      <c r="AB2054">
        <v>28</v>
      </c>
      <c r="AC2054">
        <v>17.2</v>
      </c>
      <c r="AG2054">
        <f t="shared" si="326"/>
        <v>0</v>
      </c>
      <c r="AH2054">
        <f t="shared" si="327"/>
        <v>0</v>
      </c>
      <c r="AI2054">
        <f t="shared" si="328"/>
        <v>0</v>
      </c>
      <c r="AJ2054">
        <v>340.1</v>
      </c>
      <c r="AK2054">
        <v>1012.5</v>
      </c>
      <c r="AL2054">
        <v>44.1</v>
      </c>
      <c r="AM2054">
        <v>6.2</v>
      </c>
      <c r="AN2054">
        <v>261</v>
      </c>
      <c r="AO2054">
        <v>22.6</v>
      </c>
      <c r="AP2054">
        <v>8</v>
      </c>
      <c r="AQ2054">
        <v>0</v>
      </c>
      <c r="AR2054" t="s">
        <v>6959</v>
      </c>
      <c r="AS2054" t="s">
        <v>6960</v>
      </c>
      <c r="AT2054">
        <v>0.82</v>
      </c>
      <c r="AU2054" t="s">
        <v>106</v>
      </c>
      <c r="AV2054" t="s">
        <v>438</v>
      </c>
      <c r="AW2054" t="s">
        <v>103</v>
      </c>
      <c r="AX2054" t="s">
        <v>2383</v>
      </c>
      <c r="AY2054" t="s">
        <v>6961</v>
      </c>
      <c r="AZ2054">
        <v>869.99999999650754</v>
      </c>
      <c r="BA2054">
        <v>1</v>
      </c>
      <c r="BB2054">
        <v>0.5</v>
      </c>
      <c r="BC2054">
        <v>0</v>
      </c>
      <c r="BD2054">
        <v>0</v>
      </c>
      <c r="BE2054">
        <f t="shared" si="329"/>
        <v>0</v>
      </c>
    </row>
    <row r="2055" spans="1:57" x14ac:dyDescent="0.25">
      <c r="A2055" t="s">
        <v>39</v>
      </c>
      <c r="B2055" t="s">
        <v>6962</v>
      </c>
      <c r="C2055">
        <v>84.2</v>
      </c>
      <c r="D2055">
        <v>75.2</v>
      </c>
      <c r="G2055">
        <f t="shared" si="320"/>
        <v>0</v>
      </c>
      <c r="H2055">
        <f t="shared" si="321"/>
        <v>0</v>
      </c>
      <c r="I2055">
        <f t="shared" si="322"/>
        <v>0</v>
      </c>
      <c r="J2055">
        <v>79</v>
      </c>
      <c r="K2055">
        <v>85</v>
      </c>
      <c r="L2055">
        <v>75.2</v>
      </c>
      <c r="M2055">
        <v>79.5</v>
      </c>
      <c r="N2055">
        <v>62.2</v>
      </c>
      <c r="O2055">
        <v>56.6</v>
      </c>
      <c r="S2055">
        <f t="shared" si="323"/>
        <v>1</v>
      </c>
      <c r="T2055">
        <f t="shared" si="324"/>
        <v>0</v>
      </c>
      <c r="U2055">
        <f t="shared" si="325"/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33.299999999999997</v>
      </c>
      <c r="AC2055">
        <v>23</v>
      </c>
      <c r="AG2055">
        <f t="shared" si="326"/>
        <v>1</v>
      </c>
      <c r="AH2055">
        <f t="shared" si="327"/>
        <v>1</v>
      </c>
      <c r="AI2055">
        <f t="shared" si="328"/>
        <v>0</v>
      </c>
      <c r="AJ2055">
        <v>299</v>
      </c>
      <c r="AK2055">
        <v>1009.7</v>
      </c>
      <c r="AL2055">
        <v>9.6999999999999993</v>
      </c>
      <c r="AM2055">
        <v>6.2</v>
      </c>
      <c r="AN2055">
        <v>327.8</v>
      </c>
      <c r="AO2055">
        <v>28.3</v>
      </c>
      <c r="AP2055">
        <v>10</v>
      </c>
      <c r="AQ2055">
        <v>0</v>
      </c>
      <c r="AR2055" t="s">
        <v>6963</v>
      </c>
      <c r="AS2055" t="s">
        <v>6964</v>
      </c>
      <c r="AT2055">
        <v>0.93</v>
      </c>
      <c r="AU2055" t="s">
        <v>74</v>
      </c>
      <c r="AV2055" t="s">
        <v>2955</v>
      </c>
      <c r="AW2055" t="s">
        <v>75</v>
      </c>
      <c r="AX2055" t="s">
        <v>6965</v>
      </c>
      <c r="AY2055" t="s">
        <v>6966</v>
      </c>
      <c r="AZ2055">
        <v>1757.999999999302</v>
      </c>
      <c r="BA2055">
        <v>1</v>
      </c>
      <c r="BB2055">
        <v>0</v>
      </c>
      <c r="BC2055">
        <v>5</v>
      </c>
      <c r="BD2055">
        <v>0</v>
      </c>
      <c r="BE2055">
        <f t="shared" si="329"/>
        <v>1</v>
      </c>
    </row>
    <row r="2056" spans="1:57" x14ac:dyDescent="0.25">
      <c r="A2056" t="s">
        <v>39</v>
      </c>
      <c r="B2056" t="s">
        <v>6967</v>
      </c>
      <c r="C2056">
        <v>62.6</v>
      </c>
      <c r="D2056">
        <v>48.2</v>
      </c>
      <c r="G2056">
        <f t="shared" si="320"/>
        <v>1</v>
      </c>
      <c r="H2056">
        <f t="shared" si="321"/>
        <v>1</v>
      </c>
      <c r="I2056">
        <f t="shared" si="322"/>
        <v>0</v>
      </c>
      <c r="J2056">
        <v>55.1</v>
      </c>
      <c r="K2056">
        <v>62.6</v>
      </c>
      <c r="L2056">
        <v>45.6</v>
      </c>
      <c r="M2056">
        <v>54.7</v>
      </c>
      <c r="N2056">
        <v>47.4</v>
      </c>
      <c r="O2056">
        <v>75.900000000000006</v>
      </c>
      <c r="S2056">
        <f t="shared" si="323"/>
        <v>1</v>
      </c>
      <c r="T2056">
        <f t="shared" si="324"/>
        <v>1</v>
      </c>
      <c r="U2056">
        <f t="shared" si="325"/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19.7</v>
      </c>
      <c r="AC2056">
        <v>10.3</v>
      </c>
      <c r="AG2056">
        <f t="shared" si="326"/>
        <v>1</v>
      </c>
      <c r="AH2056">
        <f t="shared" si="327"/>
        <v>0</v>
      </c>
      <c r="AI2056">
        <f t="shared" si="328"/>
        <v>1</v>
      </c>
      <c r="AJ2056">
        <v>148.80000000000001</v>
      </c>
      <c r="AK2056">
        <v>1020.3</v>
      </c>
      <c r="AL2056">
        <v>43.2</v>
      </c>
      <c r="AM2056">
        <v>6.2</v>
      </c>
      <c r="AN2056">
        <v>198.2</v>
      </c>
      <c r="AO2056">
        <v>17.100000000000001</v>
      </c>
      <c r="AP2056">
        <v>7</v>
      </c>
      <c r="AQ2056">
        <v>0</v>
      </c>
      <c r="AR2056" t="s">
        <v>6968</v>
      </c>
      <c r="AS2056" t="s">
        <v>6969</v>
      </c>
      <c r="AT2056">
        <v>0.9</v>
      </c>
      <c r="AU2056" t="s">
        <v>43</v>
      </c>
      <c r="AV2056" t="s">
        <v>44</v>
      </c>
      <c r="AW2056" t="s">
        <v>45</v>
      </c>
      <c r="AX2056" t="s">
        <v>2592</v>
      </c>
      <c r="AY2056" t="s">
        <v>6970</v>
      </c>
      <c r="AZ2056">
        <v>100.0000000011642</v>
      </c>
      <c r="BA2056">
        <v>0</v>
      </c>
      <c r="BB2056">
        <v>0</v>
      </c>
      <c r="BC2056">
        <v>1</v>
      </c>
      <c r="BD2056">
        <v>0</v>
      </c>
      <c r="BE2056">
        <f t="shared" si="329"/>
        <v>1</v>
      </c>
    </row>
    <row r="2057" spans="1:57" x14ac:dyDescent="0.25">
      <c r="A2057" t="s">
        <v>39</v>
      </c>
      <c r="B2057" t="s">
        <v>6971</v>
      </c>
      <c r="C2057">
        <v>62.6</v>
      </c>
      <c r="D2057">
        <v>46.4</v>
      </c>
      <c r="G2057">
        <f t="shared" si="320"/>
        <v>0</v>
      </c>
      <c r="H2057">
        <f t="shared" si="321"/>
        <v>0</v>
      </c>
      <c r="I2057">
        <f t="shared" si="322"/>
        <v>0</v>
      </c>
      <c r="J2057">
        <v>54.9</v>
      </c>
      <c r="K2057">
        <v>62.6</v>
      </c>
      <c r="L2057">
        <v>44.2</v>
      </c>
      <c r="M2057">
        <v>54.4</v>
      </c>
      <c r="N2057">
        <v>51.9</v>
      </c>
      <c r="O2057">
        <v>90</v>
      </c>
      <c r="S2057">
        <f t="shared" si="323"/>
        <v>1</v>
      </c>
      <c r="T2057">
        <f t="shared" si="324"/>
        <v>1</v>
      </c>
      <c r="U2057">
        <f t="shared" si="325"/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17.7</v>
      </c>
      <c r="AC2057">
        <v>6.9</v>
      </c>
      <c r="AG2057">
        <f t="shared" si="326"/>
        <v>1</v>
      </c>
      <c r="AH2057">
        <f t="shared" si="327"/>
        <v>0</v>
      </c>
      <c r="AI2057">
        <f t="shared" si="328"/>
        <v>1</v>
      </c>
      <c r="AJ2057">
        <v>220.8</v>
      </c>
      <c r="AK2057">
        <v>1019.7</v>
      </c>
      <c r="AL2057">
        <v>28.7</v>
      </c>
      <c r="AM2057">
        <v>6.2</v>
      </c>
      <c r="AN2057">
        <v>208.6</v>
      </c>
      <c r="AO2057">
        <v>18.100000000000001</v>
      </c>
      <c r="AP2057">
        <v>8</v>
      </c>
      <c r="AQ2057">
        <v>0</v>
      </c>
      <c r="AR2057" t="s">
        <v>6972</v>
      </c>
      <c r="AS2057" t="s">
        <v>6973</v>
      </c>
      <c r="AT2057">
        <v>0.21</v>
      </c>
      <c r="AU2057" t="s">
        <v>43</v>
      </c>
      <c r="AV2057" t="s">
        <v>44</v>
      </c>
      <c r="AW2057" t="s">
        <v>45</v>
      </c>
      <c r="AX2057" t="s">
        <v>5330</v>
      </c>
      <c r="AY2057" t="s">
        <v>6974</v>
      </c>
      <c r="AZ2057">
        <v>242.0000000030268</v>
      </c>
      <c r="BA2057">
        <v>0</v>
      </c>
      <c r="BB2057">
        <v>0</v>
      </c>
      <c r="BC2057">
        <v>3</v>
      </c>
      <c r="BD2057">
        <v>0</v>
      </c>
      <c r="BE2057">
        <f t="shared" si="329"/>
        <v>0</v>
      </c>
    </row>
    <row r="2058" spans="1:57" x14ac:dyDescent="0.25">
      <c r="A2058" t="s">
        <v>39</v>
      </c>
      <c r="B2058" t="s">
        <v>6975</v>
      </c>
      <c r="C2058">
        <v>69.900000000000006</v>
      </c>
      <c r="D2058">
        <v>50.1</v>
      </c>
      <c r="G2058">
        <f t="shared" si="320"/>
        <v>1</v>
      </c>
      <c r="H2058">
        <f t="shared" si="321"/>
        <v>1</v>
      </c>
      <c r="I2058">
        <f t="shared" si="322"/>
        <v>0</v>
      </c>
      <c r="J2058">
        <v>60.3</v>
      </c>
      <c r="K2058">
        <v>69.900000000000006</v>
      </c>
      <c r="L2058">
        <v>50.1</v>
      </c>
      <c r="M2058">
        <v>60.3</v>
      </c>
      <c r="N2058">
        <v>50.7</v>
      </c>
      <c r="O2058">
        <v>71</v>
      </c>
      <c r="S2058">
        <f t="shared" si="323"/>
        <v>1</v>
      </c>
      <c r="T2058">
        <f t="shared" si="324"/>
        <v>1</v>
      </c>
      <c r="U2058">
        <f t="shared" si="325"/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14.8</v>
      </c>
      <c r="AC2058">
        <v>8.1</v>
      </c>
      <c r="AG2058">
        <f t="shared" si="326"/>
        <v>1</v>
      </c>
      <c r="AH2058">
        <f t="shared" si="327"/>
        <v>0</v>
      </c>
      <c r="AI2058">
        <f t="shared" si="328"/>
        <v>1</v>
      </c>
      <c r="AJ2058">
        <v>136.19999999999999</v>
      </c>
      <c r="AK2058">
        <v>1017</v>
      </c>
      <c r="AL2058">
        <v>0</v>
      </c>
      <c r="AM2058">
        <v>6.3</v>
      </c>
      <c r="AN2058">
        <v>320.89999999999998</v>
      </c>
      <c r="AO2058">
        <v>27.8</v>
      </c>
      <c r="AP2058">
        <v>10</v>
      </c>
      <c r="AQ2058">
        <v>0</v>
      </c>
      <c r="AR2058" t="s">
        <v>6976</v>
      </c>
      <c r="AS2058" t="s">
        <v>6977</v>
      </c>
      <c r="AT2058">
        <v>0.03</v>
      </c>
      <c r="AU2058" t="s">
        <v>74</v>
      </c>
      <c r="AV2058" t="s">
        <v>2955</v>
      </c>
      <c r="AW2058" t="s">
        <v>75</v>
      </c>
      <c r="AX2058" t="s">
        <v>6978</v>
      </c>
      <c r="AY2058" t="s">
        <v>6979</v>
      </c>
      <c r="AZ2058">
        <v>158.00000000162979</v>
      </c>
      <c r="BA2058">
        <v>0</v>
      </c>
      <c r="BB2058">
        <v>0</v>
      </c>
      <c r="BC2058">
        <v>0.5</v>
      </c>
      <c r="BD2058">
        <v>0</v>
      </c>
      <c r="BE2058">
        <f t="shared" si="329"/>
        <v>1</v>
      </c>
    </row>
    <row r="2059" spans="1:57" x14ac:dyDescent="0.25">
      <c r="A2059" t="s">
        <v>39</v>
      </c>
      <c r="B2059" t="s">
        <v>6753</v>
      </c>
      <c r="C2059">
        <v>71.7</v>
      </c>
      <c r="D2059">
        <v>49.2</v>
      </c>
      <c r="G2059">
        <f t="shared" si="320"/>
        <v>1</v>
      </c>
      <c r="H2059">
        <f t="shared" si="321"/>
        <v>1</v>
      </c>
      <c r="I2059">
        <f t="shared" si="322"/>
        <v>0</v>
      </c>
      <c r="J2059">
        <v>61.7</v>
      </c>
      <c r="K2059">
        <v>71.7</v>
      </c>
      <c r="L2059">
        <v>47.7</v>
      </c>
      <c r="M2059">
        <v>61.6</v>
      </c>
      <c r="N2059">
        <v>52.9</v>
      </c>
      <c r="O2059">
        <v>74</v>
      </c>
      <c r="S2059">
        <f t="shared" si="323"/>
        <v>1</v>
      </c>
      <c r="T2059">
        <f t="shared" si="324"/>
        <v>1</v>
      </c>
      <c r="U2059">
        <f t="shared" si="325"/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13.9</v>
      </c>
      <c r="AC2059">
        <v>8.1</v>
      </c>
      <c r="AG2059">
        <f t="shared" si="326"/>
        <v>1</v>
      </c>
      <c r="AH2059">
        <f t="shared" si="327"/>
        <v>0</v>
      </c>
      <c r="AI2059">
        <f t="shared" si="328"/>
        <v>1</v>
      </c>
      <c r="AJ2059">
        <v>140.5</v>
      </c>
      <c r="AK2059">
        <v>1016.1</v>
      </c>
      <c r="AL2059">
        <v>5.7</v>
      </c>
      <c r="AM2059">
        <v>6.2</v>
      </c>
      <c r="AN2059">
        <v>321.3</v>
      </c>
      <c r="AO2059">
        <v>27.7</v>
      </c>
      <c r="AP2059">
        <v>10</v>
      </c>
      <c r="AQ2059">
        <v>0</v>
      </c>
      <c r="AR2059" t="s">
        <v>6754</v>
      </c>
      <c r="AS2059" t="s">
        <v>6755</v>
      </c>
      <c r="AT2059">
        <v>0.06</v>
      </c>
      <c r="AU2059" t="s">
        <v>74</v>
      </c>
      <c r="AV2059" t="s">
        <v>2955</v>
      </c>
      <c r="AW2059" t="s">
        <v>75</v>
      </c>
      <c r="AX2059" t="s">
        <v>6082</v>
      </c>
      <c r="AY2059" t="s">
        <v>6980</v>
      </c>
      <c r="AZ2059">
        <v>277.00000000186259</v>
      </c>
      <c r="BA2059">
        <v>0</v>
      </c>
      <c r="BB2059">
        <v>5</v>
      </c>
      <c r="BC2059">
        <v>0</v>
      </c>
      <c r="BD2059">
        <v>0</v>
      </c>
      <c r="BE2059">
        <f t="shared" si="329"/>
        <v>1</v>
      </c>
    </row>
    <row r="2060" spans="1:57" x14ac:dyDescent="0.25">
      <c r="A2060" t="s">
        <v>39</v>
      </c>
      <c r="B2060" t="s">
        <v>6981</v>
      </c>
      <c r="C2060">
        <v>73.400000000000006</v>
      </c>
      <c r="D2060">
        <v>68</v>
      </c>
      <c r="G2060">
        <f t="shared" si="320"/>
        <v>0</v>
      </c>
      <c r="H2060">
        <f t="shared" si="321"/>
        <v>0</v>
      </c>
      <c r="I2060">
        <f t="shared" si="322"/>
        <v>0</v>
      </c>
      <c r="J2060">
        <v>69.8</v>
      </c>
      <c r="K2060">
        <v>73.400000000000006</v>
      </c>
      <c r="L2060">
        <v>68</v>
      </c>
      <c r="M2060">
        <v>69.8</v>
      </c>
      <c r="N2060">
        <v>55.3</v>
      </c>
      <c r="O2060">
        <v>60.1</v>
      </c>
      <c r="S2060">
        <f t="shared" si="323"/>
        <v>1</v>
      </c>
      <c r="T2060">
        <f t="shared" si="324"/>
        <v>0</v>
      </c>
      <c r="U2060">
        <f t="shared" si="325"/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31.5</v>
      </c>
      <c r="AC2060">
        <v>17.2</v>
      </c>
      <c r="AG2060">
        <f t="shared" si="326"/>
        <v>0</v>
      </c>
      <c r="AH2060">
        <f t="shared" si="327"/>
        <v>0</v>
      </c>
      <c r="AI2060">
        <f t="shared" si="328"/>
        <v>0</v>
      </c>
      <c r="AJ2060">
        <v>323.10000000000002</v>
      </c>
      <c r="AK2060">
        <v>1020.1</v>
      </c>
      <c r="AL2060">
        <v>41.7</v>
      </c>
      <c r="AM2060">
        <v>6.2</v>
      </c>
      <c r="AN2060">
        <v>194.8</v>
      </c>
      <c r="AO2060">
        <v>16.8</v>
      </c>
      <c r="AP2060">
        <v>7</v>
      </c>
      <c r="AQ2060">
        <v>0</v>
      </c>
      <c r="AR2060" t="s">
        <v>6982</v>
      </c>
      <c r="AS2060" t="s">
        <v>6983</v>
      </c>
      <c r="AT2060">
        <v>0.75</v>
      </c>
      <c r="AU2060" t="s">
        <v>43</v>
      </c>
      <c r="AV2060" t="s">
        <v>44</v>
      </c>
      <c r="AW2060" t="s">
        <v>45</v>
      </c>
      <c r="AX2060" t="s">
        <v>2754</v>
      </c>
      <c r="AY2060" t="s">
        <v>6984</v>
      </c>
      <c r="AZ2060">
        <v>190.00000000116421</v>
      </c>
      <c r="BA2060">
        <v>0</v>
      </c>
      <c r="BB2060">
        <v>0</v>
      </c>
      <c r="BC2060">
        <v>1</v>
      </c>
      <c r="BD2060">
        <v>0</v>
      </c>
      <c r="BE2060">
        <f t="shared" si="329"/>
        <v>0</v>
      </c>
    </row>
    <row r="2061" spans="1:57" x14ac:dyDescent="0.25">
      <c r="A2061" t="s">
        <v>39</v>
      </c>
      <c r="B2061" t="s">
        <v>6985</v>
      </c>
      <c r="C2061">
        <v>80.599999999999994</v>
      </c>
      <c r="D2061">
        <v>66.3</v>
      </c>
      <c r="G2061">
        <f t="shared" si="320"/>
        <v>1</v>
      </c>
      <c r="H2061">
        <f t="shared" si="321"/>
        <v>1</v>
      </c>
      <c r="I2061">
        <f t="shared" si="322"/>
        <v>0</v>
      </c>
      <c r="J2061">
        <v>71.400000000000006</v>
      </c>
      <c r="K2061">
        <v>82.7</v>
      </c>
      <c r="L2061">
        <v>66.3</v>
      </c>
      <c r="M2061">
        <v>71.5</v>
      </c>
      <c r="N2061">
        <v>60.7</v>
      </c>
      <c r="O2061">
        <v>69.8</v>
      </c>
      <c r="S2061">
        <f t="shared" si="323"/>
        <v>1</v>
      </c>
      <c r="T2061">
        <f t="shared" si="324"/>
        <v>1</v>
      </c>
      <c r="U2061">
        <f t="shared" si="325"/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22.6</v>
      </c>
      <c r="AC2061">
        <v>18.3</v>
      </c>
      <c r="AG2061">
        <f t="shared" si="326"/>
        <v>0</v>
      </c>
      <c r="AH2061">
        <f t="shared" si="327"/>
        <v>0</v>
      </c>
      <c r="AI2061">
        <f t="shared" si="328"/>
        <v>0</v>
      </c>
      <c r="AJ2061">
        <v>195</v>
      </c>
      <c r="AK2061">
        <v>1007.6</v>
      </c>
      <c r="AL2061">
        <v>38.799999999999997</v>
      </c>
      <c r="AM2061">
        <v>6.2</v>
      </c>
      <c r="AN2061">
        <v>211.6</v>
      </c>
      <c r="AO2061">
        <v>18.2</v>
      </c>
      <c r="AP2061">
        <v>7</v>
      </c>
      <c r="AQ2061">
        <v>0</v>
      </c>
      <c r="AR2061" t="s">
        <v>6986</v>
      </c>
      <c r="AS2061" t="s">
        <v>6987</v>
      </c>
      <c r="AT2061">
        <v>0.41</v>
      </c>
      <c r="AU2061" t="s">
        <v>43</v>
      </c>
      <c r="AV2061" t="s">
        <v>44</v>
      </c>
      <c r="AW2061" t="s">
        <v>45</v>
      </c>
      <c r="AX2061" t="s">
        <v>4316</v>
      </c>
      <c r="AY2061" t="s">
        <v>6988</v>
      </c>
      <c r="AZ2061">
        <v>874.99999999185093</v>
      </c>
      <c r="BA2061">
        <v>1</v>
      </c>
      <c r="BB2061">
        <v>0</v>
      </c>
      <c r="BC2061">
        <v>4</v>
      </c>
      <c r="BD2061">
        <v>0</v>
      </c>
      <c r="BE2061">
        <f t="shared" si="329"/>
        <v>1</v>
      </c>
    </row>
    <row r="2062" spans="1:57" x14ac:dyDescent="0.25">
      <c r="A2062" t="s">
        <v>39</v>
      </c>
      <c r="B2062" t="s">
        <v>6840</v>
      </c>
      <c r="C2062">
        <v>73.400000000000006</v>
      </c>
      <c r="D2062">
        <v>64.400000000000006</v>
      </c>
      <c r="G2062">
        <f t="shared" si="320"/>
        <v>0</v>
      </c>
      <c r="H2062">
        <f t="shared" si="321"/>
        <v>0</v>
      </c>
      <c r="I2062">
        <f t="shared" si="322"/>
        <v>0</v>
      </c>
      <c r="J2062">
        <v>70.3</v>
      </c>
      <c r="K2062">
        <v>73.400000000000006</v>
      </c>
      <c r="L2062">
        <v>64.400000000000006</v>
      </c>
      <c r="M2062">
        <v>70.3</v>
      </c>
      <c r="N2062">
        <v>57.7</v>
      </c>
      <c r="O2062">
        <v>64.7</v>
      </c>
      <c r="S2062">
        <f t="shared" si="323"/>
        <v>0</v>
      </c>
      <c r="T2062">
        <f t="shared" si="324"/>
        <v>0</v>
      </c>
      <c r="U2062">
        <f t="shared" si="325"/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31.1</v>
      </c>
      <c r="AC2062">
        <v>20.8</v>
      </c>
      <c r="AG2062">
        <f t="shared" si="326"/>
        <v>1</v>
      </c>
      <c r="AH2062">
        <f t="shared" si="327"/>
        <v>1</v>
      </c>
      <c r="AI2062">
        <f t="shared" si="328"/>
        <v>0</v>
      </c>
      <c r="AJ2062">
        <v>311.7</v>
      </c>
      <c r="AK2062">
        <v>1019.2</v>
      </c>
      <c r="AL2062">
        <v>32.4</v>
      </c>
      <c r="AM2062">
        <v>6.2</v>
      </c>
      <c r="AN2062">
        <v>193.7</v>
      </c>
      <c r="AO2062">
        <v>16.7</v>
      </c>
      <c r="AP2062">
        <v>7</v>
      </c>
      <c r="AQ2062">
        <v>0</v>
      </c>
      <c r="AR2062" t="s">
        <v>6841</v>
      </c>
      <c r="AS2062" t="s">
        <v>6842</v>
      </c>
      <c r="AT2062">
        <v>0.81</v>
      </c>
      <c r="AU2062" t="s">
        <v>43</v>
      </c>
      <c r="AV2062" t="s">
        <v>44</v>
      </c>
      <c r="AW2062" t="s">
        <v>45</v>
      </c>
      <c r="AX2062" t="s">
        <v>6989</v>
      </c>
      <c r="AY2062" t="s">
        <v>6990</v>
      </c>
      <c r="AZ2062">
        <v>88.999999996740371</v>
      </c>
      <c r="BA2062">
        <v>0</v>
      </c>
      <c r="BB2062">
        <v>0</v>
      </c>
      <c r="BC2062">
        <v>0.5</v>
      </c>
      <c r="BD2062">
        <v>0</v>
      </c>
      <c r="BE2062">
        <f t="shared" si="329"/>
        <v>0</v>
      </c>
    </row>
    <row r="2063" spans="1:57" x14ac:dyDescent="0.25">
      <c r="A2063" t="s">
        <v>39</v>
      </c>
      <c r="B2063" t="s">
        <v>6915</v>
      </c>
      <c r="C2063">
        <v>82.4</v>
      </c>
      <c r="D2063">
        <v>73.400000000000006</v>
      </c>
      <c r="G2063">
        <f t="shared" si="320"/>
        <v>0</v>
      </c>
      <c r="H2063">
        <f t="shared" si="321"/>
        <v>0</v>
      </c>
      <c r="I2063">
        <f t="shared" si="322"/>
        <v>0</v>
      </c>
      <c r="J2063">
        <v>77.3</v>
      </c>
      <c r="K2063">
        <v>85.4</v>
      </c>
      <c r="L2063">
        <v>73.400000000000006</v>
      </c>
      <c r="M2063">
        <v>78.3</v>
      </c>
      <c r="N2063">
        <v>66.599999999999994</v>
      </c>
      <c r="O2063">
        <v>69.7</v>
      </c>
      <c r="S2063">
        <f t="shared" si="323"/>
        <v>1</v>
      </c>
      <c r="T2063">
        <f t="shared" si="324"/>
        <v>1</v>
      </c>
      <c r="U2063">
        <f t="shared" si="325"/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32.9</v>
      </c>
      <c r="AC2063">
        <v>21.9</v>
      </c>
      <c r="AG2063">
        <f t="shared" si="326"/>
        <v>1</v>
      </c>
      <c r="AH2063">
        <f t="shared" si="327"/>
        <v>1</v>
      </c>
      <c r="AI2063">
        <f t="shared" si="328"/>
        <v>0</v>
      </c>
      <c r="AJ2063">
        <v>298</v>
      </c>
      <c r="AK2063">
        <v>1008.2</v>
      </c>
      <c r="AL2063">
        <v>38.799999999999997</v>
      </c>
      <c r="AM2063">
        <v>6.2</v>
      </c>
      <c r="AN2063">
        <v>240</v>
      </c>
      <c r="AO2063">
        <v>20.6</v>
      </c>
      <c r="AP2063">
        <v>8</v>
      </c>
      <c r="AQ2063">
        <v>0</v>
      </c>
      <c r="AR2063" t="s">
        <v>6916</v>
      </c>
      <c r="AS2063" t="s">
        <v>6917</v>
      </c>
      <c r="AT2063">
        <v>0.21</v>
      </c>
      <c r="AU2063" t="s">
        <v>43</v>
      </c>
      <c r="AV2063" t="s">
        <v>44</v>
      </c>
      <c r="AW2063" t="s">
        <v>45</v>
      </c>
      <c r="AX2063" t="s">
        <v>4801</v>
      </c>
      <c r="AY2063" t="s">
        <v>6991</v>
      </c>
      <c r="AZ2063">
        <v>79.999999998835847</v>
      </c>
      <c r="BA2063">
        <v>0</v>
      </c>
      <c r="BB2063">
        <v>0</v>
      </c>
      <c r="BC2063">
        <v>0.3</v>
      </c>
      <c r="BD2063">
        <v>0</v>
      </c>
      <c r="BE2063">
        <f t="shared" si="329"/>
        <v>0</v>
      </c>
    </row>
    <row r="2064" spans="1:57" x14ac:dyDescent="0.25">
      <c r="A2064" t="s">
        <v>39</v>
      </c>
      <c r="B2064" t="s">
        <v>6992</v>
      </c>
      <c r="C2064">
        <v>86</v>
      </c>
      <c r="D2064">
        <v>66.2</v>
      </c>
      <c r="G2064">
        <f t="shared" si="320"/>
        <v>1</v>
      </c>
      <c r="H2064">
        <f t="shared" si="321"/>
        <v>1</v>
      </c>
      <c r="I2064">
        <f t="shared" si="322"/>
        <v>0</v>
      </c>
      <c r="J2064">
        <v>76.900000000000006</v>
      </c>
      <c r="K2064">
        <v>88.3</v>
      </c>
      <c r="L2064">
        <v>66.2</v>
      </c>
      <c r="M2064">
        <v>79</v>
      </c>
      <c r="N2064">
        <v>65.7</v>
      </c>
      <c r="O2064">
        <v>70.3</v>
      </c>
      <c r="S2064">
        <f t="shared" si="323"/>
        <v>1</v>
      </c>
      <c r="T2064">
        <f t="shared" si="324"/>
        <v>1</v>
      </c>
      <c r="U2064">
        <f t="shared" si="325"/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26.4</v>
      </c>
      <c r="AC2064">
        <v>21.9</v>
      </c>
      <c r="AG2064">
        <f t="shared" si="326"/>
        <v>1</v>
      </c>
      <c r="AH2064">
        <f t="shared" si="327"/>
        <v>1</v>
      </c>
      <c r="AI2064">
        <f t="shared" si="328"/>
        <v>0</v>
      </c>
      <c r="AJ2064">
        <v>131</v>
      </c>
      <c r="AK2064">
        <v>1010.9</v>
      </c>
      <c r="AL2064">
        <v>5.6</v>
      </c>
      <c r="AM2064">
        <v>6.2</v>
      </c>
      <c r="AN2064">
        <v>261.89999999999998</v>
      </c>
      <c r="AO2064">
        <v>22.6</v>
      </c>
      <c r="AP2064">
        <v>9</v>
      </c>
      <c r="AQ2064">
        <v>0</v>
      </c>
      <c r="AR2064" t="s">
        <v>6993</v>
      </c>
      <c r="AS2064" t="s">
        <v>6994</v>
      </c>
      <c r="AT2064">
        <v>0.68</v>
      </c>
      <c r="AU2064" t="s">
        <v>74</v>
      </c>
      <c r="AV2064" t="s">
        <v>2955</v>
      </c>
      <c r="AW2064" t="s">
        <v>75</v>
      </c>
      <c r="AX2064" t="s">
        <v>5188</v>
      </c>
      <c r="AY2064" t="s">
        <v>6995</v>
      </c>
      <c r="AZ2064">
        <v>1638.9999999990689</v>
      </c>
      <c r="BA2064">
        <v>1</v>
      </c>
      <c r="BB2064">
        <v>0</v>
      </c>
      <c r="BC2064">
        <v>6</v>
      </c>
      <c r="BD2064">
        <v>0</v>
      </c>
      <c r="BE2064">
        <f t="shared" si="329"/>
        <v>1</v>
      </c>
    </row>
    <row r="2065" spans="1:57" x14ac:dyDescent="0.25">
      <c r="A2065" t="s">
        <v>39</v>
      </c>
      <c r="B2065" t="s">
        <v>6930</v>
      </c>
      <c r="C2065">
        <v>69.8</v>
      </c>
      <c r="D2065">
        <v>53.6</v>
      </c>
      <c r="G2065">
        <f t="shared" si="320"/>
        <v>1</v>
      </c>
      <c r="H2065">
        <f t="shared" si="321"/>
        <v>1</v>
      </c>
      <c r="I2065">
        <f t="shared" si="322"/>
        <v>0</v>
      </c>
      <c r="J2065">
        <v>61.3</v>
      </c>
      <c r="K2065">
        <v>69.8</v>
      </c>
      <c r="L2065">
        <v>53.6</v>
      </c>
      <c r="M2065">
        <v>61.3</v>
      </c>
      <c r="N2065">
        <v>50.8</v>
      </c>
      <c r="O2065">
        <v>68.8</v>
      </c>
      <c r="S2065">
        <f t="shared" si="323"/>
        <v>0</v>
      </c>
      <c r="T2065">
        <f t="shared" si="324"/>
        <v>0</v>
      </c>
      <c r="U2065">
        <f t="shared" si="325"/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31.1</v>
      </c>
      <c r="AC2065">
        <v>24.2</v>
      </c>
      <c r="AG2065">
        <f t="shared" si="326"/>
        <v>1</v>
      </c>
      <c r="AH2065">
        <f t="shared" si="327"/>
        <v>1</v>
      </c>
      <c r="AI2065">
        <f t="shared" si="328"/>
        <v>0</v>
      </c>
      <c r="AJ2065">
        <v>170.7</v>
      </c>
      <c r="AK2065">
        <v>1019.5</v>
      </c>
      <c r="AL2065">
        <v>28.8</v>
      </c>
      <c r="AM2065">
        <v>6.2</v>
      </c>
      <c r="AN2065">
        <v>108.4</v>
      </c>
      <c r="AO2065">
        <v>9.4</v>
      </c>
      <c r="AP2065">
        <v>5</v>
      </c>
      <c r="AQ2065">
        <v>0</v>
      </c>
      <c r="AR2065" t="s">
        <v>6931</v>
      </c>
      <c r="AS2065" t="s">
        <v>6932</v>
      </c>
      <c r="AT2065">
        <v>0.39</v>
      </c>
      <c r="AU2065" t="s">
        <v>43</v>
      </c>
      <c r="AV2065" t="s">
        <v>44</v>
      </c>
      <c r="AW2065" t="s">
        <v>45</v>
      </c>
      <c r="AX2065" t="s">
        <v>4702</v>
      </c>
      <c r="AY2065" t="s">
        <v>6996</v>
      </c>
      <c r="AZ2065">
        <v>110.00000000232831</v>
      </c>
      <c r="BA2065">
        <v>0</v>
      </c>
      <c r="BB2065">
        <v>0</v>
      </c>
      <c r="BC2065">
        <v>2</v>
      </c>
      <c r="BD2065">
        <v>0</v>
      </c>
      <c r="BE2065">
        <f t="shared" si="329"/>
        <v>0</v>
      </c>
    </row>
    <row r="2066" spans="1:57" x14ac:dyDescent="0.25">
      <c r="A2066" t="s">
        <v>39</v>
      </c>
      <c r="B2066" t="s">
        <v>6997</v>
      </c>
      <c r="C2066">
        <v>68</v>
      </c>
      <c r="D2066">
        <v>51.8</v>
      </c>
      <c r="G2066">
        <f t="shared" si="320"/>
        <v>1</v>
      </c>
      <c r="H2066">
        <f t="shared" si="321"/>
        <v>1</v>
      </c>
      <c r="I2066">
        <f t="shared" si="322"/>
        <v>0</v>
      </c>
      <c r="J2066">
        <v>58.1</v>
      </c>
      <c r="K2066">
        <v>68</v>
      </c>
      <c r="L2066">
        <v>51.8</v>
      </c>
      <c r="M2066">
        <v>58.1</v>
      </c>
      <c r="N2066">
        <v>46.1</v>
      </c>
      <c r="O2066">
        <v>65.7</v>
      </c>
      <c r="S2066">
        <f t="shared" si="323"/>
        <v>1</v>
      </c>
      <c r="T2066">
        <f t="shared" si="324"/>
        <v>0</v>
      </c>
      <c r="U2066">
        <f t="shared" si="325"/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18.3</v>
      </c>
      <c r="AC2066">
        <v>16.100000000000001</v>
      </c>
      <c r="AG2066">
        <f t="shared" si="326"/>
        <v>1</v>
      </c>
      <c r="AH2066">
        <f t="shared" si="327"/>
        <v>0</v>
      </c>
      <c r="AI2066">
        <f t="shared" si="328"/>
        <v>1</v>
      </c>
      <c r="AJ2066">
        <v>162.30000000000001</v>
      </c>
      <c r="AK2066">
        <v>1021.3</v>
      </c>
      <c r="AL2066">
        <v>28.3</v>
      </c>
      <c r="AM2066">
        <v>6.2</v>
      </c>
      <c r="AN2066">
        <v>194</v>
      </c>
      <c r="AO2066">
        <v>16.7</v>
      </c>
      <c r="AP2066">
        <v>7</v>
      </c>
      <c r="AQ2066">
        <v>0</v>
      </c>
      <c r="AR2066" t="s">
        <v>6998</v>
      </c>
      <c r="AS2066" t="s">
        <v>6999</v>
      </c>
      <c r="AT2066">
        <v>0.8</v>
      </c>
      <c r="AU2066" t="s">
        <v>43</v>
      </c>
      <c r="AV2066" t="s">
        <v>44</v>
      </c>
      <c r="AW2066" t="s">
        <v>45</v>
      </c>
      <c r="AX2066" t="s">
        <v>2609</v>
      </c>
      <c r="AY2066" t="s">
        <v>7000</v>
      </c>
      <c r="AZ2066">
        <v>570.00000000349246</v>
      </c>
      <c r="BA2066">
        <v>1</v>
      </c>
      <c r="BB2066">
        <v>0</v>
      </c>
      <c r="BC2066">
        <v>0.2</v>
      </c>
      <c r="BD2066">
        <v>0</v>
      </c>
      <c r="BE2066">
        <f t="shared" si="329"/>
        <v>1</v>
      </c>
    </row>
    <row r="2067" spans="1:57" x14ac:dyDescent="0.25">
      <c r="A2067" t="s">
        <v>39</v>
      </c>
      <c r="B2067" t="s">
        <v>6784</v>
      </c>
      <c r="C2067">
        <v>66.2</v>
      </c>
      <c r="D2067">
        <v>59</v>
      </c>
      <c r="G2067">
        <f t="shared" si="320"/>
        <v>0</v>
      </c>
      <c r="H2067">
        <f t="shared" si="321"/>
        <v>0</v>
      </c>
      <c r="I2067">
        <f t="shared" si="322"/>
        <v>0</v>
      </c>
      <c r="J2067">
        <v>62.4</v>
      </c>
      <c r="K2067">
        <v>66.2</v>
      </c>
      <c r="L2067">
        <v>59</v>
      </c>
      <c r="M2067">
        <v>62.4</v>
      </c>
      <c r="N2067">
        <v>55.2</v>
      </c>
      <c r="O2067">
        <v>77.7</v>
      </c>
      <c r="S2067">
        <f t="shared" si="323"/>
        <v>1</v>
      </c>
      <c r="T2067">
        <f t="shared" si="324"/>
        <v>1</v>
      </c>
      <c r="U2067">
        <f t="shared" si="325"/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24.2</v>
      </c>
      <c r="AC2067">
        <v>16</v>
      </c>
      <c r="AG2067">
        <f t="shared" si="326"/>
        <v>0</v>
      </c>
      <c r="AH2067">
        <f t="shared" si="327"/>
        <v>0</v>
      </c>
      <c r="AI2067">
        <f t="shared" si="328"/>
        <v>0</v>
      </c>
      <c r="AJ2067">
        <v>345.2</v>
      </c>
      <c r="AK2067">
        <v>1016.1</v>
      </c>
      <c r="AL2067">
        <v>48.8</v>
      </c>
      <c r="AM2067">
        <v>6.2</v>
      </c>
      <c r="AN2067">
        <v>267.7</v>
      </c>
      <c r="AO2067">
        <v>23.3</v>
      </c>
      <c r="AP2067">
        <v>9</v>
      </c>
      <c r="AQ2067">
        <v>0</v>
      </c>
      <c r="AR2067" t="s">
        <v>6785</v>
      </c>
      <c r="AS2067" t="s">
        <v>6786</v>
      </c>
      <c r="AT2067">
        <v>0.83</v>
      </c>
      <c r="AU2067" t="s">
        <v>43</v>
      </c>
      <c r="AV2067" t="s">
        <v>44</v>
      </c>
      <c r="AW2067" t="s">
        <v>45</v>
      </c>
      <c r="AX2067" t="s">
        <v>2491</v>
      </c>
      <c r="AY2067" t="s">
        <v>7001</v>
      </c>
      <c r="AZ2067">
        <v>24.99999999767169</v>
      </c>
      <c r="BA2067">
        <v>0</v>
      </c>
      <c r="BB2067">
        <v>0</v>
      </c>
      <c r="BC2067">
        <v>0.03</v>
      </c>
      <c r="BD2067">
        <v>0</v>
      </c>
      <c r="BE2067">
        <f t="shared" si="329"/>
        <v>0</v>
      </c>
    </row>
    <row r="2068" spans="1:57" x14ac:dyDescent="0.25">
      <c r="A2068" t="s">
        <v>39</v>
      </c>
      <c r="B2068" t="s">
        <v>6840</v>
      </c>
      <c r="C2068">
        <v>73.400000000000006</v>
      </c>
      <c r="D2068">
        <v>64.400000000000006</v>
      </c>
      <c r="G2068">
        <f t="shared" si="320"/>
        <v>0</v>
      </c>
      <c r="H2068">
        <f t="shared" si="321"/>
        <v>0</v>
      </c>
      <c r="I2068">
        <f t="shared" si="322"/>
        <v>0</v>
      </c>
      <c r="J2068">
        <v>70.3</v>
      </c>
      <c r="K2068">
        <v>73.400000000000006</v>
      </c>
      <c r="L2068">
        <v>64.400000000000006</v>
      </c>
      <c r="M2068">
        <v>70.3</v>
      </c>
      <c r="N2068">
        <v>57.7</v>
      </c>
      <c r="O2068">
        <v>64.7</v>
      </c>
      <c r="S2068">
        <f t="shared" si="323"/>
        <v>0</v>
      </c>
      <c r="T2068">
        <f t="shared" si="324"/>
        <v>0</v>
      </c>
      <c r="U2068">
        <f t="shared" si="325"/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31.1</v>
      </c>
      <c r="AC2068">
        <v>20.8</v>
      </c>
      <c r="AG2068">
        <f t="shared" si="326"/>
        <v>1</v>
      </c>
      <c r="AH2068">
        <f t="shared" si="327"/>
        <v>1</v>
      </c>
      <c r="AI2068">
        <f t="shared" si="328"/>
        <v>0</v>
      </c>
      <c r="AJ2068">
        <v>311.7</v>
      </c>
      <c r="AK2068">
        <v>1019.2</v>
      </c>
      <c r="AL2068">
        <v>32.4</v>
      </c>
      <c r="AM2068">
        <v>6.2</v>
      </c>
      <c r="AN2068">
        <v>193.7</v>
      </c>
      <c r="AO2068">
        <v>16.7</v>
      </c>
      <c r="AP2068">
        <v>7</v>
      </c>
      <c r="AQ2068">
        <v>0</v>
      </c>
      <c r="AR2068" t="s">
        <v>6841</v>
      </c>
      <c r="AS2068" t="s">
        <v>6842</v>
      </c>
      <c r="AT2068">
        <v>0.81</v>
      </c>
      <c r="AU2068" t="s">
        <v>43</v>
      </c>
      <c r="AV2068" t="s">
        <v>44</v>
      </c>
      <c r="AW2068" t="s">
        <v>45</v>
      </c>
      <c r="AX2068" t="s">
        <v>2587</v>
      </c>
      <c r="AY2068" t="s">
        <v>7002</v>
      </c>
      <c r="AZ2068">
        <v>265.00000000465661</v>
      </c>
      <c r="BA2068">
        <v>0</v>
      </c>
      <c r="BB2068">
        <v>0</v>
      </c>
      <c r="BC2068">
        <v>1</v>
      </c>
      <c r="BD2068">
        <v>0</v>
      </c>
      <c r="BE2068">
        <f t="shared" si="329"/>
        <v>0</v>
      </c>
    </row>
    <row r="2069" spans="1:57" x14ac:dyDescent="0.25">
      <c r="A2069" t="s">
        <v>39</v>
      </c>
      <c r="B2069" t="s">
        <v>7003</v>
      </c>
      <c r="C2069">
        <v>68.099999999999994</v>
      </c>
      <c r="D2069">
        <v>50</v>
      </c>
      <c r="G2069">
        <f t="shared" si="320"/>
        <v>0</v>
      </c>
      <c r="H2069">
        <f t="shared" si="321"/>
        <v>0</v>
      </c>
      <c r="I2069">
        <f t="shared" si="322"/>
        <v>0</v>
      </c>
      <c r="J2069">
        <v>58.9</v>
      </c>
      <c r="K2069">
        <v>68.099999999999994</v>
      </c>
      <c r="L2069">
        <v>46.7</v>
      </c>
      <c r="M2069">
        <v>58.7</v>
      </c>
      <c r="N2069">
        <v>46.3</v>
      </c>
      <c r="O2069">
        <v>63.8</v>
      </c>
      <c r="S2069">
        <f t="shared" si="323"/>
        <v>0</v>
      </c>
      <c r="T2069">
        <f t="shared" si="324"/>
        <v>0</v>
      </c>
      <c r="U2069">
        <f t="shared" si="325"/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13.6</v>
      </c>
      <c r="AC2069">
        <v>8.1</v>
      </c>
      <c r="AG2069">
        <f t="shared" si="326"/>
        <v>1</v>
      </c>
      <c r="AH2069">
        <f t="shared" si="327"/>
        <v>0</v>
      </c>
      <c r="AI2069">
        <f t="shared" si="328"/>
        <v>1</v>
      </c>
      <c r="AJ2069">
        <v>148.69999999999999</v>
      </c>
      <c r="AK2069">
        <v>1014.5</v>
      </c>
      <c r="AL2069">
        <v>5.4</v>
      </c>
      <c r="AM2069">
        <v>6.2</v>
      </c>
      <c r="AN2069">
        <v>285.10000000000002</v>
      </c>
      <c r="AO2069">
        <v>24.7</v>
      </c>
      <c r="AP2069">
        <v>9</v>
      </c>
      <c r="AQ2069">
        <v>0</v>
      </c>
      <c r="AR2069" t="s">
        <v>7004</v>
      </c>
      <c r="AS2069" t="s">
        <v>7005</v>
      </c>
      <c r="AT2069">
        <v>0.66</v>
      </c>
      <c r="AU2069" t="s">
        <v>74</v>
      </c>
      <c r="AV2069" t="s">
        <v>2955</v>
      </c>
      <c r="AW2069" t="s">
        <v>75</v>
      </c>
      <c r="AX2069" t="s">
        <v>7006</v>
      </c>
      <c r="AY2069" t="s">
        <v>7007</v>
      </c>
      <c r="AZ2069">
        <v>65.999999995110556</v>
      </c>
      <c r="BA2069">
        <v>0</v>
      </c>
      <c r="BB2069">
        <v>0</v>
      </c>
      <c r="BC2069">
        <v>0.1</v>
      </c>
      <c r="BD2069">
        <v>0</v>
      </c>
      <c r="BE2069">
        <f t="shared" si="329"/>
        <v>0</v>
      </c>
    </row>
    <row r="2070" spans="1:57" x14ac:dyDescent="0.25">
      <c r="A2070" t="s">
        <v>39</v>
      </c>
      <c r="B2070" t="s">
        <v>7008</v>
      </c>
      <c r="C2070">
        <v>66.099999999999994</v>
      </c>
      <c r="D2070">
        <v>55.4</v>
      </c>
      <c r="G2070">
        <f t="shared" si="320"/>
        <v>0</v>
      </c>
      <c r="H2070">
        <f t="shared" si="321"/>
        <v>0</v>
      </c>
      <c r="I2070">
        <f t="shared" si="322"/>
        <v>0</v>
      </c>
      <c r="J2070">
        <v>61.3</v>
      </c>
      <c r="K2070">
        <v>66.099999999999994</v>
      </c>
      <c r="L2070">
        <v>55.4</v>
      </c>
      <c r="M2070">
        <v>61.3</v>
      </c>
      <c r="N2070">
        <v>54.9</v>
      </c>
      <c r="O2070">
        <v>81.7</v>
      </c>
      <c r="S2070">
        <f t="shared" si="323"/>
        <v>1</v>
      </c>
      <c r="T2070">
        <f t="shared" si="324"/>
        <v>1</v>
      </c>
      <c r="U2070">
        <f t="shared" si="325"/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19.7</v>
      </c>
      <c r="AC2070">
        <v>13.9</v>
      </c>
      <c r="AG2070">
        <f t="shared" si="326"/>
        <v>1</v>
      </c>
      <c r="AH2070">
        <f t="shared" si="327"/>
        <v>0</v>
      </c>
      <c r="AI2070">
        <f t="shared" si="328"/>
        <v>1</v>
      </c>
      <c r="AJ2070">
        <v>187.6</v>
      </c>
      <c r="AK2070">
        <v>1010.3</v>
      </c>
      <c r="AL2070">
        <v>51.2</v>
      </c>
      <c r="AM2070">
        <v>6</v>
      </c>
      <c r="AN2070">
        <v>223.6</v>
      </c>
      <c r="AO2070">
        <v>19.399999999999999</v>
      </c>
      <c r="AP2070">
        <v>7</v>
      </c>
      <c r="AQ2070">
        <v>0</v>
      </c>
      <c r="AR2070" t="s">
        <v>7009</v>
      </c>
      <c r="AS2070" t="s">
        <v>7010</v>
      </c>
      <c r="AT2070">
        <v>0.85</v>
      </c>
      <c r="AU2070" t="s">
        <v>43</v>
      </c>
      <c r="AV2070" t="s">
        <v>44</v>
      </c>
      <c r="AW2070" t="s">
        <v>45</v>
      </c>
      <c r="AX2070" t="s">
        <v>7011</v>
      </c>
      <c r="AY2070" t="s">
        <v>7012</v>
      </c>
      <c r="AZ2070">
        <v>36.000000002095483</v>
      </c>
      <c r="BA2070">
        <v>0</v>
      </c>
      <c r="BB2070">
        <v>0</v>
      </c>
      <c r="BC2070">
        <v>0.05</v>
      </c>
      <c r="BD2070">
        <v>0</v>
      </c>
      <c r="BE2070">
        <f t="shared" si="329"/>
        <v>0</v>
      </c>
    </row>
    <row r="2071" spans="1:57" x14ac:dyDescent="0.25">
      <c r="A2071" t="s">
        <v>39</v>
      </c>
      <c r="B2071" t="s">
        <v>7008</v>
      </c>
      <c r="C2071">
        <v>66.099999999999994</v>
      </c>
      <c r="D2071">
        <v>55.4</v>
      </c>
      <c r="G2071">
        <f t="shared" si="320"/>
        <v>0</v>
      </c>
      <c r="H2071">
        <f t="shared" si="321"/>
        <v>0</v>
      </c>
      <c r="I2071">
        <f t="shared" si="322"/>
        <v>0</v>
      </c>
      <c r="J2071">
        <v>61.3</v>
      </c>
      <c r="K2071">
        <v>66.099999999999994</v>
      </c>
      <c r="L2071">
        <v>55.4</v>
      </c>
      <c r="M2071">
        <v>61.3</v>
      </c>
      <c r="N2071">
        <v>54.9</v>
      </c>
      <c r="O2071">
        <v>81.7</v>
      </c>
      <c r="S2071">
        <f t="shared" si="323"/>
        <v>1</v>
      </c>
      <c r="T2071">
        <f t="shared" si="324"/>
        <v>1</v>
      </c>
      <c r="U2071">
        <f t="shared" si="325"/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19.7</v>
      </c>
      <c r="AC2071">
        <v>13.9</v>
      </c>
      <c r="AG2071">
        <f t="shared" si="326"/>
        <v>1</v>
      </c>
      <c r="AH2071">
        <f t="shared" si="327"/>
        <v>0</v>
      </c>
      <c r="AI2071">
        <f t="shared" si="328"/>
        <v>1</v>
      </c>
      <c r="AJ2071">
        <v>187.6</v>
      </c>
      <c r="AK2071">
        <v>1010.3</v>
      </c>
      <c r="AL2071">
        <v>51.2</v>
      </c>
      <c r="AM2071">
        <v>6</v>
      </c>
      <c r="AN2071">
        <v>223.6</v>
      </c>
      <c r="AO2071">
        <v>19.399999999999999</v>
      </c>
      <c r="AP2071">
        <v>7</v>
      </c>
      <c r="AQ2071">
        <v>0</v>
      </c>
      <c r="AR2071" t="s">
        <v>7009</v>
      </c>
      <c r="AS2071" t="s">
        <v>7010</v>
      </c>
      <c r="AT2071">
        <v>0.85</v>
      </c>
      <c r="AU2071" t="s">
        <v>43</v>
      </c>
      <c r="AV2071" t="s">
        <v>44</v>
      </c>
      <c r="AW2071" t="s">
        <v>45</v>
      </c>
      <c r="AX2071" t="s">
        <v>7013</v>
      </c>
      <c r="AY2071" t="s">
        <v>7014</v>
      </c>
      <c r="AZ2071">
        <v>29.000000000232831</v>
      </c>
      <c r="BA2071">
        <v>0</v>
      </c>
      <c r="BB2071">
        <v>0</v>
      </c>
      <c r="BC2071">
        <v>0.01</v>
      </c>
      <c r="BD2071">
        <v>0</v>
      </c>
      <c r="BE2071">
        <f t="shared" si="329"/>
        <v>0</v>
      </c>
    </row>
    <row r="2072" spans="1:57" x14ac:dyDescent="0.25">
      <c r="A2072" t="s">
        <v>39</v>
      </c>
      <c r="B2072" t="s">
        <v>7015</v>
      </c>
      <c r="C2072">
        <v>84.2</v>
      </c>
      <c r="D2072">
        <v>71.599999999999994</v>
      </c>
      <c r="G2072">
        <f t="shared" si="320"/>
        <v>0</v>
      </c>
      <c r="H2072">
        <f t="shared" si="321"/>
        <v>0</v>
      </c>
      <c r="I2072">
        <f t="shared" si="322"/>
        <v>0</v>
      </c>
      <c r="J2072">
        <v>79.5</v>
      </c>
      <c r="K2072">
        <v>90.9</v>
      </c>
      <c r="L2072">
        <v>71.599999999999994</v>
      </c>
      <c r="M2072">
        <v>81.8</v>
      </c>
      <c r="N2072">
        <v>70.8</v>
      </c>
      <c r="O2072">
        <v>75.3</v>
      </c>
      <c r="S2072">
        <f t="shared" si="323"/>
        <v>1</v>
      </c>
      <c r="T2072">
        <f t="shared" si="324"/>
        <v>1</v>
      </c>
      <c r="U2072">
        <f t="shared" si="325"/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23</v>
      </c>
      <c r="AC2072">
        <v>19.7</v>
      </c>
      <c r="AG2072">
        <f t="shared" si="326"/>
        <v>1</v>
      </c>
      <c r="AH2072">
        <f t="shared" si="327"/>
        <v>1</v>
      </c>
      <c r="AI2072">
        <f t="shared" si="328"/>
        <v>0</v>
      </c>
      <c r="AJ2072">
        <v>312.5</v>
      </c>
      <c r="AK2072">
        <v>1009.2</v>
      </c>
      <c r="AL2072">
        <v>27.8</v>
      </c>
      <c r="AM2072">
        <v>6.2</v>
      </c>
      <c r="AN2072">
        <v>304.3</v>
      </c>
      <c r="AO2072">
        <v>26.3</v>
      </c>
      <c r="AP2072">
        <v>9</v>
      </c>
      <c r="AQ2072">
        <v>0</v>
      </c>
      <c r="AR2072" t="s">
        <v>7016</v>
      </c>
      <c r="AS2072" t="s">
        <v>7017</v>
      </c>
      <c r="AT2072">
        <v>0.52</v>
      </c>
      <c r="AU2072" t="s">
        <v>43</v>
      </c>
      <c r="AV2072" t="s">
        <v>44</v>
      </c>
      <c r="AW2072" t="s">
        <v>45</v>
      </c>
      <c r="AX2072" t="s">
        <v>5758</v>
      </c>
      <c r="AY2072" t="s">
        <v>7018</v>
      </c>
      <c r="AZ2072">
        <v>1075.9999999974391</v>
      </c>
      <c r="BA2072">
        <v>1</v>
      </c>
      <c r="BB2072">
        <v>0</v>
      </c>
      <c r="BC2072">
        <v>1</v>
      </c>
      <c r="BD2072">
        <v>0</v>
      </c>
      <c r="BE2072">
        <f t="shared" si="329"/>
        <v>1</v>
      </c>
    </row>
    <row r="2073" spans="1:57" x14ac:dyDescent="0.25">
      <c r="A2073" t="s">
        <v>39</v>
      </c>
      <c r="B2073" t="s">
        <v>7019</v>
      </c>
      <c r="C2073">
        <v>80.599999999999994</v>
      </c>
      <c r="D2073">
        <v>68</v>
      </c>
      <c r="G2073">
        <f t="shared" si="320"/>
        <v>0</v>
      </c>
      <c r="H2073">
        <f t="shared" si="321"/>
        <v>0</v>
      </c>
      <c r="I2073">
        <f t="shared" si="322"/>
        <v>0</v>
      </c>
      <c r="J2073">
        <v>75.599999999999994</v>
      </c>
      <c r="K2073">
        <v>85.4</v>
      </c>
      <c r="L2073">
        <v>68</v>
      </c>
      <c r="M2073">
        <v>76.900000000000006</v>
      </c>
      <c r="N2073">
        <v>68.5</v>
      </c>
      <c r="O2073">
        <v>78.900000000000006</v>
      </c>
      <c r="S2073">
        <f t="shared" si="323"/>
        <v>1</v>
      </c>
      <c r="T2073">
        <f t="shared" si="324"/>
        <v>1</v>
      </c>
      <c r="U2073">
        <f t="shared" si="325"/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28.2</v>
      </c>
      <c r="AC2073">
        <v>16.100000000000001</v>
      </c>
      <c r="AG2073">
        <f t="shared" si="326"/>
        <v>0</v>
      </c>
      <c r="AH2073">
        <f t="shared" si="327"/>
        <v>0</v>
      </c>
      <c r="AI2073">
        <f t="shared" si="328"/>
        <v>0</v>
      </c>
      <c r="AJ2073">
        <v>295.8</v>
      </c>
      <c r="AK2073">
        <v>1016.5</v>
      </c>
      <c r="AL2073">
        <v>27.5</v>
      </c>
      <c r="AM2073">
        <v>6.2</v>
      </c>
      <c r="AN2073">
        <v>248.7</v>
      </c>
      <c r="AO2073">
        <v>21.6</v>
      </c>
      <c r="AP2073">
        <v>8</v>
      </c>
      <c r="AQ2073">
        <v>0</v>
      </c>
      <c r="AR2073" t="s">
        <v>7020</v>
      </c>
      <c r="AS2073" t="s">
        <v>7021</v>
      </c>
      <c r="AT2073">
        <v>0.22</v>
      </c>
      <c r="AU2073" t="s">
        <v>43</v>
      </c>
      <c r="AV2073" t="s">
        <v>44</v>
      </c>
      <c r="AW2073" t="s">
        <v>45</v>
      </c>
      <c r="AX2073" t="s">
        <v>6032</v>
      </c>
      <c r="AY2073" t="s">
        <v>7022</v>
      </c>
      <c r="AZ2073">
        <v>267.99999999348069</v>
      </c>
      <c r="BA2073">
        <v>0</v>
      </c>
      <c r="BB2073">
        <v>0.1</v>
      </c>
      <c r="BC2073">
        <v>0</v>
      </c>
      <c r="BD2073">
        <v>0</v>
      </c>
      <c r="BE2073">
        <f t="shared" si="329"/>
        <v>0</v>
      </c>
    </row>
    <row r="2074" spans="1:57" x14ac:dyDescent="0.25">
      <c r="A2074" t="s">
        <v>39</v>
      </c>
      <c r="B2074" t="s">
        <v>7023</v>
      </c>
      <c r="C2074">
        <v>53.6</v>
      </c>
      <c r="D2074">
        <v>51.8</v>
      </c>
      <c r="G2074">
        <f t="shared" si="320"/>
        <v>1</v>
      </c>
      <c r="H2074">
        <f t="shared" si="321"/>
        <v>0</v>
      </c>
      <c r="I2074">
        <f t="shared" si="322"/>
        <v>1</v>
      </c>
      <c r="J2074">
        <v>53.3</v>
      </c>
      <c r="K2074">
        <v>53.6</v>
      </c>
      <c r="L2074">
        <v>51.8</v>
      </c>
      <c r="M2074">
        <v>53.3</v>
      </c>
      <c r="N2074">
        <v>45.7</v>
      </c>
      <c r="O2074">
        <v>75.3</v>
      </c>
      <c r="S2074">
        <f t="shared" si="323"/>
        <v>1</v>
      </c>
      <c r="T2074">
        <f t="shared" si="324"/>
        <v>1</v>
      </c>
      <c r="U2074">
        <f t="shared" si="325"/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27.1</v>
      </c>
      <c r="AC2074">
        <v>19.600000000000001</v>
      </c>
      <c r="AG2074">
        <f t="shared" si="326"/>
        <v>0</v>
      </c>
      <c r="AH2074">
        <f t="shared" si="327"/>
        <v>0</v>
      </c>
      <c r="AI2074">
        <f t="shared" si="328"/>
        <v>0</v>
      </c>
      <c r="AJ2074">
        <v>335.2</v>
      </c>
      <c r="AK2074">
        <v>1020.8</v>
      </c>
      <c r="AL2074">
        <v>89.1</v>
      </c>
      <c r="AM2074">
        <v>6.2</v>
      </c>
      <c r="AN2074">
        <v>68.400000000000006</v>
      </c>
      <c r="AO2074">
        <v>5.9</v>
      </c>
      <c r="AP2074">
        <v>3</v>
      </c>
      <c r="AQ2074">
        <v>0</v>
      </c>
      <c r="AR2074" t="s">
        <v>7024</v>
      </c>
      <c r="AS2074" t="s">
        <v>7025</v>
      </c>
      <c r="AT2074">
        <v>0.7</v>
      </c>
      <c r="AU2074" t="s">
        <v>43</v>
      </c>
      <c r="AV2074" t="s">
        <v>44</v>
      </c>
      <c r="AW2074" t="s">
        <v>45</v>
      </c>
      <c r="AX2074" t="s">
        <v>7011</v>
      </c>
      <c r="AY2074" t="s">
        <v>7026</v>
      </c>
      <c r="AZ2074">
        <v>75.99999999627471</v>
      </c>
      <c r="BA2074">
        <v>0</v>
      </c>
      <c r="BB2074">
        <v>0</v>
      </c>
      <c r="BC2074">
        <v>0.1</v>
      </c>
      <c r="BD2074">
        <v>0</v>
      </c>
      <c r="BE2074">
        <f t="shared" si="329"/>
        <v>0</v>
      </c>
    </row>
    <row r="2075" spans="1:57" x14ac:dyDescent="0.25">
      <c r="A2075" t="s">
        <v>39</v>
      </c>
      <c r="B2075" t="s">
        <v>7027</v>
      </c>
      <c r="C2075">
        <v>64.400000000000006</v>
      </c>
      <c r="D2075">
        <v>50</v>
      </c>
      <c r="G2075">
        <f t="shared" si="320"/>
        <v>1</v>
      </c>
      <c r="H2075">
        <f t="shared" si="321"/>
        <v>1</v>
      </c>
      <c r="I2075">
        <f t="shared" si="322"/>
        <v>0</v>
      </c>
      <c r="J2075">
        <v>60.3</v>
      </c>
      <c r="K2075">
        <v>64.400000000000006</v>
      </c>
      <c r="L2075">
        <v>50</v>
      </c>
      <c r="M2075">
        <v>60.3</v>
      </c>
      <c r="N2075">
        <v>47.9</v>
      </c>
      <c r="O2075">
        <v>65.3</v>
      </c>
      <c r="S2075">
        <f t="shared" si="323"/>
        <v>0</v>
      </c>
      <c r="T2075">
        <f t="shared" si="324"/>
        <v>0</v>
      </c>
      <c r="U2075">
        <f t="shared" si="325"/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24.2</v>
      </c>
      <c r="AC2075">
        <v>17.2</v>
      </c>
      <c r="AG2075">
        <f t="shared" si="326"/>
        <v>0</v>
      </c>
      <c r="AH2075">
        <f t="shared" si="327"/>
        <v>0</v>
      </c>
      <c r="AI2075">
        <f t="shared" si="328"/>
        <v>0</v>
      </c>
      <c r="AJ2075">
        <v>283.3</v>
      </c>
      <c r="AK2075">
        <v>1011.2</v>
      </c>
      <c r="AL2075">
        <v>31.5</v>
      </c>
      <c r="AM2075">
        <v>6.2</v>
      </c>
      <c r="AN2075">
        <v>243.3</v>
      </c>
      <c r="AO2075">
        <v>20.9</v>
      </c>
      <c r="AP2075">
        <v>8</v>
      </c>
      <c r="AQ2075">
        <v>0</v>
      </c>
      <c r="AR2075" t="s">
        <v>7028</v>
      </c>
      <c r="AS2075" t="s">
        <v>7029</v>
      </c>
      <c r="AT2075">
        <v>0.1</v>
      </c>
      <c r="AU2075" t="s">
        <v>43</v>
      </c>
      <c r="AV2075" t="s">
        <v>44</v>
      </c>
      <c r="AW2075" t="s">
        <v>45</v>
      </c>
      <c r="AX2075" t="s">
        <v>4452</v>
      </c>
      <c r="AY2075" t="s">
        <v>7030</v>
      </c>
      <c r="AZ2075">
        <v>104.9999999965075</v>
      </c>
      <c r="BA2075">
        <v>0</v>
      </c>
      <c r="BB2075">
        <v>0</v>
      </c>
      <c r="BC2075">
        <v>1.5</v>
      </c>
      <c r="BD2075">
        <v>0</v>
      </c>
      <c r="BE2075">
        <f t="shared" si="329"/>
        <v>0</v>
      </c>
    </row>
    <row r="2076" spans="1:57" x14ac:dyDescent="0.25">
      <c r="A2076" t="s">
        <v>39</v>
      </c>
      <c r="B2076" t="s">
        <v>7031</v>
      </c>
      <c r="C2076">
        <v>80.599999999999994</v>
      </c>
      <c r="D2076">
        <v>62.6</v>
      </c>
      <c r="G2076">
        <f t="shared" si="320"/>
        <v>1</v>
      </c>
      <c r="H2076">
        <f t="shared" si="321"/>
        <v>1</v>
      </c>
      <c r="I2076">
        <f t="shared" si="322"/>
        <v>0</v>
      </c>
      <c r="J2076">
        <v>71.7</v>
      </c>
      <c r="K2076">
        <v>79.400000000000006</v>
      </c>
      <c r="L2076">
        <v>62.6</v>
      </c>
      <c r="M2076">
        <v>71.599999999999994</v>
      </c>
      <c r="N2076">
        <v>48.3</v>
      </c>
      <c r="O2076">
        <v>45.8</v>
      </c>
      <c r="S2076">
        <f t="shared" si="323"/>
        <v>1</v>
      </c>
      <c r="T2076">
        <f t="shared" si="324"/>
        <v>0</v>
      </c>
      <c r="U2076">
        <f t="shared" si="325"/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55.4</v>
      </c>
      <c r="AC2076">
        <v>43.7</v>
      </c>
      <c r="AG2076">
        <f t="shared" si="326"/>
        <v>1</v>
      </c>
      <c r="AH2076">
        <f t="shared" si="327"/>
        <v>1</v>
      </c>
      <c r="AI2076">
        <f t="shared" si="328"/>
        <v>0</v>
      </c>
      <c r="AJ2076">
        <v>182.6</v>
      </c>
      <c r="AK2076">
        <v>1002.8</v>
      </c>
      <c r="AL2076">
        <v>11.5</v>
      </c>
      <c r="AM2076">
        <v>3.7</v>
      </c>
      <c r="AN2076">
        <v>233</v>
      </c>
      <c r="AO2076">
        <v>19.899999999999999</v>
      </c>
      <c r="AP2076">
        <v>8</v>
      </c>
      <c r="AQ2076">
        <v>0</v>
      </c>
      <c r="AR2076" t="s">
        <v>7032</v>
      </c>
      <c r="AS2076" t="s">
        <v>7033</v>
      </c>
      <c r="AT2076">
        <v>0.17</v>
      </c>
      <c r="AU2076" t="s">
        <v>74</v>
      </c>
      <c r="AV2076" t="s">
        <v>2955</v>
      </c>
      <c r="AW2076" t="s">
        <v>419</v>
      </c>
      <c r="AX2076" t="s">
        <v>7006</v>
      </c>
      <c r="AY2076" t="s">
        <v>7034</v>
      </c>
      <c r="AZ2076">
        <v>225.99999999278231</v>
      </c>
      <c r="BA2076">
        <v>0</v>
      </c>
      <c r="BB2076">
        <v>0</v>
      </c>
      <c r="BC2076">
        <v>2</v>
      </c>
      <c r="BD2076">
        <v>0</v>
      </c>
      <c r="BE2076">
        <f t="shared" si="329"/>
        <v>1</v>
      </c>
    </row>
    <row r="2077" spans="1:57" x14ac:dyDescent="0.25">
      <c r="A2077" t="s">
        <v>39</v>
      </c>
      <c r="B2077" t="s">
        <v>7035</v>
      </c>
      <c r="C2077">
        <v>64.400000000000006</v>
      </c>
      <c r="D2077">
        <v>48.2</v>
      </c>
      <c r="G2077">
        <f t="shared" si="320"/>
        <v>1</v>
      </c>
      <c r="H2077">
        <f t="shared" si="321"/>
        <v>0</v>
      </c>
      <c r="I2077">
        <f t="shared" si="322"/>
        <v>1</v>
      </c>
      <c r="J2077">
        <v>58.4</v>
      </c>
      <c r="K2077">
        <v>64.400000000000006</v>
      </c>
      <c r="L2077">
        <v>45.6</v>
      </c>
      <c r="M2077">
        <v>58.2</v>
      </c>
      <c r="N2077">
        <v>48.9</v>
      </c>
      <c r="O2077">
        <v>71.7</v>
      </c>
      <c r="S2077">
        <f t="shared" si="323"/>
        <v>1</v>
      </c>
      <c r="T2077">
        <f t="shared" si="324"/>
        <v>1</v>
      </c>
      <c r="U2077">
        <f t="shared" si="325"/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25.5</v>
      </c>
      <c r="AC2077">
        <v>10.3</v>
      </c>
      <c r="AG2077">
        <f t="shared" si="326"/>
        <v>1</v>
      </c>
      <c r="AH2077">
        <f t="shared" si="327"/>
        <v>0</v>
      </c>
      <c r="AI2077">
        <f t="shared" si="328"/>
        <v>1</v>
      </c>
      <c r="AJ2077">
        <v>301</v>
      </c>
      <c r="AK2077">
        <v>1020</v>
      </c>
      <c r="AL2077">
        <v>14.6</v>
      </c>
      <c r="AM2077">
        <v>6.2</v>
      </c>
      <c r="AN2077">
        <v>280.7</v>
      </c>
      <c r="AO2077">
        <v>24.2</v>
      </c>
      <c r="AP2077">
        <v>9</v>
      </c>
      <c r="AQ2077">
        <v>0</v>
      </c>
      <c r="AR2077" t="s">
        <v>7036</v>
      </c>
      <c r="AS2077" t="s">
        <v>7037</v>
      </c>
      <c r="AT2077">
        <v>0.59</v>
      </c>
      <c r="AU2077" t="s">
        <v>74</v>
      </c>
      <c r="AV2077" t="s">
        <v>2955</v>
      </c>
      <c r="AW2077" t="s">
        <v>75</v>
      </c>
      <c r="AX2077" t="s">
        <v>6134</v>
      </c>
      <c r="AY2077" t="s">
        <v>7038</v>
      </c>
      <c r="AZ2077">
        <v>124.9999999988358</v>
      </c>
      <c r="BA2077">
        <v>0</v>
      </c>
      <c r="BB2077">
        <v>0</v>
      </c>
      <c r="BC2077">
        <v>4.5</v>
      </c>
      <c r="BD2077">
        <v>0</v>
      </c>
      <c r="BE2077">
        <f t="shared" si="329"/>
        <v>0</v>
      </c>
    </row>
    <row r="2078" spans="1:57" x14ac:dyDescent="0.25">
      <c r="A2078" t="s">
        <v>39</v>
      </c>
      <c r="B2078" t="s">
        <v>7039</v>
      </c>
      <c r="C2078">
        <v>69.8</v>
      </c>
      <c r="D2078">
        <v>55.4</v>
      </c>
      <c r="G2078">
        <f t="shared" si="320"/>
        <v>1</v>
      </c>
      <c r="H2078">
        <f t="shared" si="321"/>
        <v>1</v>
      </c>
      <c r="I2078">
        <f t="shared" si="322"/>
        <v>0</v>
      </c>
      <c r="J2078">
        <v>63</v>
      </c>
      <c r="K2078">
        <v>69.8</v>
      </c>
      <c r="L2078">
        <v>55.4</v>
      </c>
      <c r="M2078">
        <v>63</v>
      </c>
      <c r="N2078">
        <v>55.7</v>
      </c>
      <c r="O2078">
        <v>78.7</v>
      </c>
      <c r="S2078">
        <f t="shared" si="323"/>
        <v>1</v>
      </c>
      <c r="T2078">
        <f t="shared" si="324"/>
        <v>1</v>
      </c>
      <c r="U2078">
        <f t="shared" si="325"/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29.3</v>
      </c>
      <c r="AC2078">
        <v>23</v>
      </c>
      <c r="AG2078">
        <f t="shared" si="326"/>
        <v>1</v>
      </c>
      <c r="AH2078">
        <f t="shared" si="327"/>
        <v>1</v>
      </c>
      <c r="AI2078">
        <f t="shared" si="328"/>
        <v>0</v>
      </c>
      <c r="AJ2078">
        <v>296.39999999999998</v>
      </c>
      <c r="AK2078">
        <v>1018.7</v>
      </c>
      <c r="AL2078">
        <v>26</v>
      </c>
      <c r="AM2078">
        <v>5.7</v>
      </c>
      <c r="AN2078">
        <v>258.60000000000002</v>
      </c>
      <c r="AO2078">
        <v>22.4</v>
      </c>
      <c r="AP2078">
        <v>9</v>
      </c>
      <c r="AQ2078">
        <v>0</v>
      </c>
      <c r="AR2078" t="s">
        <v>7040</v>
      </c>
      <c r="AS2078" t="s">
        <v>7041</v>
      </c>
      <c r="AT2078">
        <v>0.12</v>
      </c>
      <c r="AU2078" t="s">
        <v>43</v>
      </c>
      <c r="AV2078" t="s">
        <v>44</v>
      </c>
      <c r="AW2078" t="s">
        <v>45</v>
      </c>
      <c r="AX2078" t="s">
        <v>2665</v>
      </c>
      <c r="AY2078" t="s">
        <v>7042</v>
      </c>
      <c r="AZ2078">
        <v>1679.999999996508</v>
      </c>
      <c r="BA2078">
        <v>1</v>
      </c>
      <c r="BB2078">
        <v>0</v>
      </c>
      <c r="BC2078">
        <v>15</v>
      </c>
      <c r="BD2078">
        <v>0</v>
      </c>
      <c r="BE2078">
        <f t="shared" si="329"/>
        <v>1</v>
      </c>
    </row>
    <row r="2079" spans="1:57" x14ac:dyDescent="0.25">
      <c r="A2079" t="s">
        <v>39</v>
      </c>
      <c r="B2079" t="s">
        <v>7043</v>
      </c>
      <c r="C2079">
        <v>75.3</v>
      </c>
      <c r="D2079">
        <v>57.2</v>
      </c>
      <c r="G2079">
        <f t="shared" si="320"/>
        <v>1</v>
      </c>
      <c r="H2079">
        <f t="shared" si="321"/>
        <v>1</v>
      </c>
      <c r="I2079">
        <f t="shared" si="322"/>
        <v>0</v>
      </c>
      <c r="J2079">
        <v>66.900000000000006</v>
      </c>
      <c r="K2079">
        <v>75.3</v>
      </c>
      <c r="L2079">
        <v>57.2</v>
      </c>
      <c r="M2079">
        <v>66.900000000000006</v>
      </c>
      <c r="N2079">
        <v>59</v>
      </c>
      <c r="O2079">
        <v>76.2</v>
      </c>
      <c r="S2079">
        <f t="shared" si="323"/>
        <v>1</v>
      </c>
      <c r="T2079">
        <f t="shared" si="324"/>
        <v>1</v>
      </c>
      <c r="U2079">
        <f t="shared" si="325"/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21.9</v>
      </c>
      <c r="AC2079">
        <v>8.1</v>
      </c>
      <c r="AG2079">
        <f t="shared" si="326"/>
        <v>1</v>
      </c>
      <c r="AH2079">
        <f t="shared" si="327"/>
        <v>0</v>
      </c>
      <c r="AI2079">
        <f t="shared" si="328"/>
        <v>1</v>
      </c>
      <c r="AJ2079">
        <v>207</v>
      </c>
      <c r="AK2079">
        <v>1011.5</v>
      </c>
      <c r="AL2079">
        <v>1.7</v>
      </c>
      <c r="AM2079">
        <v>6.2</v>
      </c>
      <c r="AN2079">
        <v>309.89999999999998</v>
      </c>
      <c r="AO2079">
        <v>26.6</v>
      </c>
      <c r="AP2079">
        <v>9</v>
      </c>
      <c r="AQ2079">
        <v>0</v>
      </c>
      <c r="AR2079" t="s">
        <v>7044</v>
      </c>
      <c r="AS2079" t="s">
        <v>7045</v>
      </c>
      <c r="AT2079">
        <v>0.4</v>
      </c>
      <c r="AU2079" t="s">
        <v>74</v>
      </c>
      <c r="AV2079" t="s">
        <v>2955</v>
      </c>
      <c r="AW2079" t="s">
        <v>75</v>
      </c>
      <c r="AX2079" t="s">
        <v>4452</v>
      </c>
      <c r="AY2079" t="s">
        <v>7046</v>
      </c>
      <c r="AZ2079">
        <v>364.99999999534339</v>
      </c>
      <c r="BA2079">
        <v>1</v>
      </c>
      <c r="BB2079">
        <v>0</v>
      </c>
      <c r="BC2079">
        <v>3</v>
      </c>
      <c r="BD2079">
        <v>0</v>
      </c>
      <c r="BE2079">
        <f t="shared" si="329"/>
        <v>1</v>
      </c>
    </row>
    <row r="2080" spans="1:57" x14ac:dyDescent="0.25">
      <c r="A2080" t="s">
        <v>39</v>
      </c>
      <c r="B2080" t="s">
        <v>7047</v>
      </c>
      <c r="C2080">
        <v>86</v>
      </c>
      <c r="D2080">
        <v>78.8</v>
      </c>
      <c r="G2080">
        <f t="shared" si="320"/>
        <v>1</v>
      </c>
      <c r="H2080">
        <f t="shared" si="321"/>
        <v>1</v>
      </c>
      <c r="I2080">
        <f t="shared" si="322"/>
        <v>0</v>
      </c>
      <c r="J2080">
        <v>82.3</v>
      </c>
      <c r="K2080">
        <v>87.5</v>
      </c>
      <c r="L2080">
        <v>78.8</v>
      </c>
      <c r="M2080">
        <v>84.1</v>
      </c>
      <c r="N2080">
        <v>66.5</v>
      </c>
      <c r="O2080">
        <v>59.6</v>
      </c>
      <c r="S2080">
        <f t="shared" si="323"/>
        <v>0</v>
      </c>
      <c r="T2080">
        <f t="shared" si="324"/>
        <v>0</v>
      </c>
      <c r="U2080">
        <f t="shared" si="325"/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33.1</v>
      </c>
      <c r="AC2080">
        <v>18.3</v>
      </c>
      <c r="AG2080">
        <f t="shared" si="326"/>
        <v>0</v>
      </c>
      <c r="AH2080">
        <f t="shared" si="327"/>
        <v>0</v>
      </c>
      <c r="AI2080">
        <f t="shared" si="328"/>
        <v>0</v>
      </c>
      <c r="AJ2080">
        <v>305.2</v>
      </c>
      <c r="AK2080">
        <v>1010.3</v>
      </c>
      <c r="AL2080">
        <v>1.5</v>
      </c>
      <c r="AM2080">
        <v>6.2</v>
      </c>
      <c r="AN2080">
        <v>333.6</v>
      </c>
      <c r="AO2080">
        <v>29</v>
      </c>
      <c r="AP2080">
        <v>10</v>
      </c>
      <c r="AQ2080">
        <v>0</v>
      </c>
      <c r="AR2080" t="s">
        <v>7048</v>
      </c>
      <c r="AS2080" t="s">
        <v>7049</v>
      </c>
      <c r="AT2080">
        <v>0.11</v>
      </c>
      <c r="AU2080" t="s">
        <v>74</v>
      </c>
      <c r="AV2080" t="s">
        <v>2955</v>
      </c>
      <c r="AW2080" t="s">
        <v>75</v>
      </c>
      <c r="AX2080" t="s">
        <v>4190</v>
      </c>
      <c r="AY2080" t="s">
        <v>7050</v>
      </c>
      <c r="AZ2080">
        <v>29.999999993015081</v>
      </c>
      <c r="BA2080">
        <v>0</v>
      </c>
      <c r="BB2080">
        <v>0</v>
      </c>
      <c r="BC2080">
        <v>0.1</v>
      </c>
      <c r="BD2080">
        <v>0</v>
      </c>
      <c r="BE2080">
        <f t="shared" si="329"/>
        <v>0</v>
      </c>
    </row>
    <row r="2081" spans="1:57" x14ac:dyDescent="0.25">
      <c r="A2081" t="s">
        <v>39</v>
      </c>
      <c r="B2081" t="s">
        <v>7051</v>
      </c>
      <c r="C2081">
        <v>84.2</v>
      </c>
      <c r="D2081">
        <v>71.599999999999994</v>
      </c>
      <c r="G2081">
        <f t="shared" si="320"/>
        <v>1</v>
      </c>
      <c r="H2081">
        <f t="shared" si="321"/>
        <v>1</v>
      </c>
      <c r="I2081">
        <f t="shared" si="322"/>
        <v>0</v>
      </c>
      <c r="J2081">
        <v>78.7</v>
      </c>
      <c r="K2081">
        <v>89.6</v>
      </c>
      <c r="L2081">
        <v>71.599999999999994</v>
      </c>
      <c r="M2081">
        <v>81.099999999999994</v>
      </c>
      <c r="N2081">
        <v>68.400000000000006</v>
      </c>
      <c r="O2081">
        <v>71.400000000000006</v>
      </c>
      <c r="S2081">
        <f t="shared" si="323"/>
        <v>1</v>
      </c>
      <c r="T2081">
        <f t="shared" si="324"/>
        <v>1</v>
      </c>
      <c r="U2081">
        <f t="shared" si="325"/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24.4</v>
      </c>
      <c r="AC2081">
        <v>20.8</v>
      </c>
      <c r="AG2081">
        <f t="shared" si="326"/>
        <v>1</v>
      </c>
      <c r="AH2081">
        <f t="shared" si="327"/>
        <v>1</v>
      </c>
      <c r="AI2081">
        <f t="shared" si="328"/>
        <v>0</v>
      </c>
      <c r="AJ2081">
        <v>291.2</v>
      </c>
      <c r="AK2081">
        <v>1008.7</v>
      </c>
      <c r="AL2081">
        <v>7.1</v>
      </c>
      <c r="AM2081">
        <v>6.2</v>
      </c>
      <c r="AN2081">
        <v>272.89999999999998</v>
      </c>
      <c r="AO2081">
        <v>23.6</v>
      </c>
      <c r="AP2081">
        <v>9</v>
      </c>
      <c r="AQ2081">
        <v>0</v>
      </c>
      <c r="AR2081" t="s">
        <v>7052</v>
      </c>
      <c r="AS2081" t="s">
        <v>7053</v>
      </c>
      <c r="AT2081">
        <v>0.85</v>
      </c>
      <c r="AU2081" t="s">
        <v>74</v>
      </c>
      <c r="AV2081" t="s">
        <v>2955</v>
      </c>
      <c r="AW2081" t="s">
        <v>75</v>
      </c>
      <c r="AX2081" t="s">
        <v>6522</v>
      </c>
      <c r="AY2081" t="s">
        <v>7054</v>
      </c>
      <c r="AZ2081">
        <v>1933.0000000039579</v>
      </c>
      <c r="BA2081">
        <v>1</v>
      </c>
      <c r="BB2081">
        <v>0</v>
      </c>
      <c r="BC2081">
        <v>25</v>
      </c>
      <c r="BD2081">
        <v>0</v>
      </c>
      <c r="BE2081">
        <f t="shared" si="329"/>
        <v>1</v>
      </c>
    </row>
    <row r="2082" spans="1:57" x14ac:dyDescent="0.25">
      <c r="A2082" t="s">
        <v>39</v>
      </c>
      <c r="B2082" t="s">
        <v>7055</v>
      </c>
      <c r="C2082">
        <v>80.599999999999994</v>
      </c>
      <c r="D2082">
        <v>53.6</v>
      </c>
      <c r="G2082">
        <f t="shared" si="320"/>
        <v>1</v>
      </c>
      <c r="H2082">
        <f t="shared" si="321"/>
        <v>1</v>
      </c>
      <c r="I2082">
        <f t="shared" si="322"/>
        <v>0</v>
      </c>
      <c r="J2082">
        <v>69</v>
      </c>
      <c r="K2082">
        <v>79.7</v>
      </c>
      <c r="L2082">
        <v>53.6</v>
      </c>
      <c r="M2082">
        <v>68.8</v>
      </c>
      <c r="N2082">
        <v>50.6</v>
      </c>
      <c r="O2082">
        <v>57.2</v>
      </c>
      <c r="S2082">
        <f t="shared" si="323"/>
        <v>1</v>
      </c>
      <c r="T2082">
        <f t="shared" si="324"/>
        <v>0</v>
      </c>
      <c r="U2082">
        <f t="shared" si="325"/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27.7</v>
      </c>
      <c r="AC2082">
        <v>17.2</v>
      </c>
      <c r="AG2082">
        <f t="shared" si="326"/>
        <v>0</v>
      </c>
      <c r="AH2082">
        <f t="shared" si="327"/>
        <v>0</v>
      </c>
      <c r="AI2082">
        <f t="shared" si="328"/>
        <v>0</v>
      </c>
      <c r="AJ2082">
        <v>161.69999999999999</v>
      </c>
      <c r="AK2082">
        <v>1008.9</v>
      </c>
      <c r="AL2082">
        <v>29.3</v>
      </c>
      <c r="AM2082">
        <v>6.2</v>
      </c>
      <c r="AN2082">
        <v>282.10000000000002</v>
      </c>
      <c r="AO2082">
        <v>24.4</v>
      </c>
      <c r="AP2082">
        <v>9</v>
      </c>
      <c r="AQ2082">
        <v>0</v>
      </c>
      <c r="AR2082" t="s">
        <v>7056</v>
      </c>
      <c r="AS2082" t="s">
        <v>7057</v>
      </c>
      <c r="AT2082">
        <v>0.88</v>
      </c>
      <c r="AU2082" t="s">
        <v>43</v>
      </c>
      <c r="AV2082" t="s">
        <v>44</v>
      </c>
      <c r="AW2082" t="s">
        <v>45</v>
      </c>
      <c r="AX2082" t="s">
        <v>4401</v>
      </c>
      <c r="AY2082" t="s">
        <v>7058</v>
      </c>
      <c r="AZ2082">
        <v>135</v>
      </c>
      <c r="BA2082">
        <v>0</v>
      </c>
      <c r="BB2082">
        <v>0</v>
      </c>
      <c r="BC2082">
        <v>1</v>
      </c>
      <c r="BD2082">
        <v>0</v>
      </c>
      <c r="BE2082">
        <f t="shared" si="329"/>
        <v>0</v>
      </c>
    </row>
    <row r="2083" spans="1:57" x14ac:dyDescent="0.25">
      <c r="A2083" t="s">
        <v>39</v>
      </c>
      <c r="B2083" t="s">
        <v>7059</v>
      </c>
      <c r="C2083">
        <v>84.2</v>
      </c>
      <c r="D2083">
        <v>69.8</v>
      </c>
      <c r="G2083">
        <f t="shared" si="320"/>
        <v>0</v>
      </c>
      <c r="H2083">
        <f t="shared" si="321"/>
        <v>0</v>
      </c>
      <c r="I2083">
        <f t="shared" si="322"/>
        <v>0</v>
      </c>
      <c r="J2083">
        <v>79.7</v>
      </c>
      <c r="K2083">
        <v>89.6</v>
      </c>
      <c r="L2083">
        <v>69.8</v>
      </c>
      <c r="M2083">
        <v>82</v>
      </c>
      <c r="N2083">
        <v>69</v>
      </c>
      <c r="O2083">
        <v>71.099999999999994</v>
      </c>
      <c r="S2083">
        <f t="shared" si="323"/>
        <v>1</v>
      </c>
      <c r="T2083">
        <f t="shared" si="324"/>
        <v>1</v>
      </c>
      <c r="U2083">
        <f t="shared" si="325"/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32.9</v>
      </c>
      <c r="AC2083">
        <v>19.7</v>
      </c>
      <c r="AG2083">
        <f t="shared" si="326"/>
        <v>1</v>
      </c>
      <c r="AH2083">
        <f t="shared" si="327"/>
        <v>1</v>
      </c>
      <c r="AI2083">
        <f t="shared" si="328"/>
        <v>0</v>
      </c>
      <c r="AJ2083">
        <v>295.8</v>
      </c>
      <c r="AK2083">
        <v>1011.3</v>
      </c>
      <c r="AL2083">
        <v>11.8</v>
      </c>
      <c r="AM2083">
        <v>6.2</v>
      </c>
      <c r="AN2083">
        <v>333.3</v>
      </c>
      <c r="AO2083">
        <v>28.8</v>
      </c>
      <c r="AP2083">
        <v>10</v>
      </c>
      <c r="AQ2083">
        <v>0</v>
      </c>
      <c r="AR2083" t="s">
        <v>7060</v>
      </c>
      <c r="AS2083" t="s">
        <v>7061</v>
      </c>
      <c r="AT2083">
        <v>0.98</v>
      </c>
      <c r="AU2083" t="s">
        <v>74</v>
      </c>
      <c r="AV2083" t="s">
        <v>2955</v>
      </c>
      <c r="AW2083" t="s">
        <v>75</v>
      </c>
      <c r="AX2083" t="s">
        <v>2393</v>
      </c>
      <c r="AY2083" t="s">
        <v>7062</v>
      </c>
      <c r="AZ2083">
        <v>1249.9999999988361</v>
      </c>
      <c r="BA2083">
        <v>1</v>
      </c>
      <c r="BB2083">
        <v>0</v>
      </c>
      <c r="BC2083">
        <v>3</v>
      </c>
      <c r="BD2083">
        <v>0</v>
      </c>
      <c r="BE2083">
        <f t="shared" si="329"/>
        <v>1</v>
      </c>
    </row>
    <row r="2084" spans="1:57" x14ac:dyDescent="0.25">
      <c r="A2084" t="s">
        <v>39</v>
      </c>
      <c r="B2084" t="s">
        <v>7063</v>
      </c>
      <c r="C2084">
        <v>86</v>
      </c>
      <c r="D2084">
        <v>75.2</v>
      </c>
      <c r="G2084">
        <f t="shared" si="320"/>
        <v>1</v>
      </c>
      <c r="H2084">
        <f t="shared" si="321"/>
        <v>1</v>
      </c>
      <c r="I2084">
        <f t="shared" si="322"/>
        <v>0</v>
      </c>
      <c r="J2084">
        <v>80.5</v>
      </c>
      <c r="K2084">
        <v>90.6</v>
      </c>
      <c r="L2084">
        <v>75.2</v>
      </c>
      <c r="M2084">
        <v>82.9</v>
      </c>
      <c r="N2084">
        <v>68.400000000000006</v>
      </c>
      <c r="O2084">
        <v>67.099999999999994</v>
      </c>
      <c r="S2084">
        <f t="shared" si="323"/>
        <v>0</v>
      </c>
      <c r="T2084">
        <f t="shared" si="324"/>
        <v>0</v>
      </c>
      <c r="U2084">
        <f t="shared" si="325"/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24.2</v>
      </c>
      <c r="AC2084">
        <v>18.3</v>
      </c>
      <c r="AG2084">
        <f t="shared" si="326"/>
        <v>1</v>
      </c>
      <c r="AH2084">
        <f t="shared" si="327"/>
        <v>1</v>
      </c>
      <c r="AI2084">
        <f t="shared" si="328"/>
        <v>0</v>
      </c>
      <c r="AJ2084">
        <v>302.8</v>
      </c>
      <c r="AK2084">
        <v>1009.9</v>
      </c>
      <c r="AL2084">
        <v>0.1</v>
      </c>
      <c r="AM2084">
        <v>6.2</v>
      </c>
      <c r="AN2084">
        <v>274.8</v>
      </c>
      <c r="AO2084">
        <v>23.7</v>
      </c>
      <c r="AP2084">
        <v>9</v>
      </c>
      <c r="AQ2084">
        <v>0</v>
      </c>
      <c r="AR2084" t="s">
        <v>7064</v>
      </c>
      <c r="AS2084" t="s">
        <v>7065</v>
      </c>
      <c r="AT2084">
        <v>0.75</v>
      </c>
      <c r="AU2084" t="s">
        <v>74</v>
      </c>
      <c r="AV2084" t="s">
        <v>2955</v>
      </c>
      <c r="AW2084" t="s">
        <v>75</v>
      </c>
      <c r="AX2084" t="s">
        <v>5214</v>
      </c>
      <c r="AY2084" t="s">
        <v>7066</v>
      </c>
      <c r="AZ2084">
        <v>987.00000000069849</v>
      </c>
      <c r="BA2084">
        <v>1</v>
      </c>
      <c r="BB2084">
        <v>0</v>
      </c>
      <c r="BC2084">
        <v>2</v>
      </c>
      <c r="BD2084">
        <v>0</v>
      </c>
      <c r="BE2084">
        <f t="shared" si="329"/>
        <v>1</v>
      </c>
    </row>
    <row r="2085" spans="1:57" x14ac:dyDescent="0.25">
      <c r="A2085" t="s">
        <v>39</v>
      </c>
      <c r="B2085" t="s">
        <v>7067</v>
      </c>
      <c r="C2085">
        <v>80.599999999999994</v>
      </c>
      <c r="D2085">
        <v>66.2</v>
      </c>
      <c r="G2085">
        <f t="shared" si="320"/>
        <v>0</v>
      </c>
      <c r="H2085">
        <f t="shared" si="321"/>
        <v>0</v>
      </c>
      <c r="I2085">
        <f t="shared" si="322"/>
        <v>0</v>
      </c>
      <c r="J2085">
        <v>73.900000000000006</v>
      </c>
      <c r="K2085">
        <v>84.6</v>
      </c>
      <c r="L2085">
        <v>66.2</v>
      </c>
      <c r="M2085">
        <v>74.2</v>
      </c>
      <c r="N2085">
        <v>68.5</v>
      </c>
      <c r="O2085">
        <v>83.8</v>
      </c>
      <c r="S2085">
        <f t="shared" si="323"/>
        <v>1</v>
      </c>
      <c r="T2085">
        <f t="shared" si="324"/>
        <v>1</v>
      </c>
      <c r="U2085">
        <f t="shared" si="325"/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23</v>
      </c>
      <c r="AC2085">
        <v>10.3</v>
      </c>
      <c r="AG2085">
        <f t="shared" si="326"/>
        <v>1</v>
      </c>
      <c r="AH2085">
        <f t="shared" si="327"/>
        <v>0</v>
      </c>
      <c r="AI2085">
        <f t="shared" si="328"/>
        <v>1</v>
      </c>
      <c r="AJ2085">
        <v>302.5</v>
      </c>
      <c r="AK2085">
        <v>1015.8</v>
      </c>
      <c r="AL2085">
        <v>34.299999999999997</v>
      </c>
      <c r="AM2085">
        <v>6.2</v>
      </c>
      <c r="AN2085">
        <v>249.7</v>
      </c>
      <c r="AO2085">
        <v>21.5</v>
      </c>
      <c r="AP2085">
        <v>8</v>
      </c>
      <c r="AQ2085">
        <v>0</v>
      </c>
      <c r="AR2085" t="s">
        <v>7068</v>
      </c>
      <c r="AS2085" t="s">
        <v>7069</v>
      </c>
      <c r="AT2085">
        <v>0.18</v>
      </c>
      <c r="AU2085" t="s">
        <v>43</v>
      </c>
      <c r="AV2085" t="s">
        <v>44</v>
      </c>
      <c r="AW2085" t="s">
        <v>45</v>
      </c>
      <c r="AX2085" t="s">
        <v>5721</v>
      </c>
      <c r="AY2085" t="s">
        <v>7070</v>
      </c>
      <c r="AZ2085">
        <v>24.99999999767169</v>
      </c>
      <c r="BA2085">
        <v>0</v>
      </c>
      <c r="BB2085">
        <v>0</v>
      </c>
      <c r="BC2085">
        <v>0.1</v>
      </c>
      <c r="BD2085">
        <v>0</v>
      </c>
      <c r="BE2085">
        <f t="shared" si="329"/>
        <v>0</v>
      </c>
    </row>
    <row r="2086" spans="1:57" x14ac:dyDescent="0.25">
      <c r="A2086" t="s">
        <v>39</v>
      </c>
      <c r="B2086" t="s">
        <v>7071</v>
      </c>
      <c r="C2086">
        <v>60.8</v>
      </c>
      <c r="D2086">
        <v>50</v>
      </c>
      <c r="G2086">
        <f t="shared" si="320"/>
        <v>0</v>
      </c>
      <c r="H2086">
        <f t="shared" si="321"/>
        <v>0</v>
      </c>
      <c r="I2086">
        <f t="shared" si="322"/>
        <v>0</v>
      </c>
      <c r="J2086">
        <v>56</v>
      </c>
      <c r="K2086">
        <v>60.8</v>
      </c>
      <c r="L2086">
        <v>50</v>
      </c>
      <c r="M2086">
        <v>56</v>
      </c>
      <c r="N2086">
        <v>47.8</v>
      </c>
      <c r="O2086">
        <v>74.400000000000006</v>
      </c>
      <c r="S2086">
        <f t="shared" si="323"/>
        <v>1</v>
      </c>
      <c r="T2086">
        <f t="shared" si="324"/>
        <v>1</v>
      </c>
      <c r="U2086">
        <f t="shared" si="325"/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17</v>
      </c>
      <c r="AC2086">
        <v>15</v>
      </c>
      <c r="AG2086">
        <f t="shared" si="326"/>
        <v>1</v>
      </c>
      <c r="AH2086">
        <f t="shared" si="327"/>
        <v>0</v>
      </c>
      <c r="AI2086">
        <f t="shared" si="328"/>
        <v>1</v>
      </c>
      <c r="AJ2086">
        <v>281.39999999999998</v>
      </c>
      <c r="AK2086">
        <v>1016.9</v>
      </c>
      <c r="AL2086">
        <v>29.7</v>
      </c>
      <c r="AM2086">
        <v>6.2</v>
      </c>
      <c r="AN2086">
        <v>186.5</v>
      </c>
      <c r="AO2086">
        <v>16.100000000000001</v>
      </c>
      <c r="AP2086">
        <v>7</v>
      </c>
      <c r="AQ2086">
        <v>0</v>
      </c>
      <c r="AR2086" t="s">
        <v>7072</v>
      </c>
      <c r="AS2086" t="s">
        <v>7073</v>
      </c>
      <c r="AT2086">
        <v>0.48</v>
      </c>
      <c r="AU2086" t="s">
        <v>43</v>
      </c>
      <c r="AV2086" t="s">
        <v>44</v>
      </c>
      <c r="AW2086" t="s">
        <v>45</v>
      </c>
      <c r="AX2086" t="s">
        <v>7074</v>
      </c>
      <c r="AY2086" t="s">
        <v>7075</v>
      </c>
      <c r="AZ2086">
        <v>56.000000004423782</v>
      </c>
      <c r="BA2086">
        <v>0</v>
      </c>
      <c r="BB2086">
        <v>0</v>
      </c>
      <c r="BC2086">
        <v>0.01</v>
      </c>
      <c r="BD2086">
        <v>0</v>
      </c>
      <c r="BE2086">
        <f t="shared" si="329"/>
        <v>0</v>
      </c>
    </row>
    <row r="2087" spans="1:57" x14ac:dyDescent="0.25">
      <c r="A2087" t="s">
        <v>39</v>
      </c>
      <c r="B2087" t="s">
        <v>7076</v>
      </c>
      <c r="C2087">
        <v>80.599999999999994</v>
      </c>
      <c r="D2087">
        <v>59</v>
      </c>
      <c r="G2087">
        <f t="shared" si="320"/>
        <v>1</v>
      </c>
      <c r="H2087">
        <f t="shared" si="321"/>
        <v>1</v>
      </c>
      <c r="I2087">
        <f t="shared" si="322"/>
        <v>0</v>
      </c>
      <c r="J2087">
        <v>69</v>
      </c>
      <c r="K2087">
        <v>80.5</v>
      </c>
      <c r="L2087">
        <v>59</v>
      </c>
      <c r="M2087">
        <v>69</v>
      </c>
      <c r="N2087">
        <v>51.6</v>
      </c>
      <c r="O2087">
        <v>56.4</v>
      </c>
      <c r="S2087">
        <f t="shared" si="323"/>
        <v>1</v>
      </c>
      <c r="T2087">
        <f t="shared" si="324"/>
        <v>0</v>
      </c>
      <c r="U2087">
        <f t="shared" si="325"/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34.4</v>
      </c>
      <c r="AC2087">
        <v>23</v>
      </c>
      <c r="AG2087">
        <f t="shared" si="326"/>
        <v>1</v>
      </c>
      <c r="AH2087">
        <f t="shared" si="327"/>
        <v>1</v>
      </c>
      <c r="AI2087">
        <f t="shared" si="328"/>
        <v>0</v>
      </c>
      <c r="AJ2087">
        <v>168.3</v>
      </c>
      <c r="AK2087">
        <v>1008.4</v>
      </c>
      <c r="AL2087">
        <v>26.3</v>
      </c>
      <c r="AM2087">
        <v>5.6</v>
      </c>
      <c r="AN2087">
        <v>196.4</v>
      </c>
      <c r="AO2087">
        <v>17.100000000000001</v>
      </c>
      <c r="AP2087">
        <v>7</v>
      </c>
      <c r="AQ2087">
        <v>0</v>
      </c>
      <c r="AR2087" t="s">
        <v>7077</v>
      </c>
      <c r="AS2087" t="s">
        <v>7078</v>
      </c>
      <c r="AT2087">
        <v>0.67</v>
      </c>
      <c r="AU2087" t="s">
        <v>43</v>
      </c>
      <c r="AV2087" t="s">
        <v>44</v>
      </c>
      <c r="AW2087" t="s">
        <v>45</v>
      </c>
      <c r="AX2087" t="s">
        <v>4426</v>
      </c>
      <c r="AY2087" t="s">
        <v>7079</v>
      </c>
      <c r="AZ2087">
        <v>734.99999999650754</v>
      </c>
      <c r="BA2087">
        <v>1</v>
      </c>
      <c r="BB2087">
        <v>0</v>
      </c>
      <c r="BC2087">
        <v>80</v>
      </c>
      <c r="BD2087">
        <v>0</v>
      </c>
      <c r="BE2087">
        <f t="shared" si="329"/>
        <v>1</v>
      </c>
    </row>
    <row r="2088" spans="1:57" x14ac:dyDescent="0.25">
      <c r="A2088" t="s">
        <v>39</v>
      </c>
      <c r="B2088" t="s">
        <v>7080</v>
      </c>
      <c r="C2088">
        <v>71.599999999999994</v>
      </c>
      <c r="D2088">
        <v>55.4</v>
      </c>
      <c r="G2088">
        <f t="shared" si="320"/>
        <v>1</v>
      </c>
      <c r="H2088">
        <f t="shared" si="321"/>
        <v>1</v>
      </c>
      <c r="I2088">
        <f t="shared" si="322"/>
        <v>0</v>
      </c>
      <c r="J2088">
        <v>63</v>
      </c>
      <c r="K2088">
        <v>71.599999999999994</v>
      </c>
      <c r="L2088">
        <v>55.4</v>
      </c>
      <c r="M2088">
        <v>63</v>
      </c>
      <c r="N2088">
        <v>52.8</v>
      </c>
      <c r="O2088">
        <v>70</v>
      </c>
      <c r="S2088">
        <f t="shared" si="323"/>
        <v>1</v>
      </c>
      <c r="T2088">
        <f t="shared" si="324"/>
        <v>1</v>
      </c>
      <c r="U2088">
        <f t="shared" si="325"/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41.4</v>
      </c>
      <c r="AC2088">
        <v>26.4</v>
      </c>
      <c r="AG2088">
        <f t="shared" si="326"/>
        <v>1</v>
      </c>
      <c r="AH2088">
        <f t="shared" si="327"/>
        <v>1</v>
      </c>
      <c r="AI2088">
        <f t="shared" si="328"/>
        <v>0</v>
      </c>
      <c r="AJ2088">
        <v>258.5</v>
      </c>
      <c r="AK2088">
        <v>1011.2</v>
      </c>
      <c r="AL2088">
        <v>36.700000000000003</v>
      </c>
      <c r="AM2088">
        <v>6.2</v>
      </c>
      <c r="AN2088">
        <v>227.9</v>
      </c>
      <c r="AO2088">
        <v>19.7</v>
      </c>
      <c r="AP2088">
        <v>8</v>
      </c>
      <c r="AQ2088">
        <v>0</v>
      </c>
      <c r="AR2088" t="s">
        <v>7081</v>
      </c>
      <c r="AS2088" t="s">
        <v>7082</v>
      </c>
      <c r="AT2088">
        <v>0.87</v>
      </c>
      <c r="AU2088" t="s">
        <v>43</v>
      </c>
      <c r="AV2088" t="s">
        <v>44</v>
      </c>
      <c r="AW2088" t="s">
        <v>45</v>
      </c>
      <c r="AX2088" t="s">
        <v>4157</v>
      </c>
      <c r="AY2088" t="s">
        <v>7083</v>
      </c>
      <c r="AZ2088">
        <v>219.99999999417921</v>
      </c>
      <c r="BA2088">
        <v>0</v>
      </c>
      <c r="BB2088">
        <v>0</v>
      </c>
      <c r="BC2088">
        <v>5</v>
      </c>
      <c r="BD2088">
        <v>0</v>
      </c>
      <c r="BE2088">
        <f t="shared" si="329"/>
        <v>1</v>
      </c>
    </row>
    <row r="2089" spans="1:57" x14ac:dyDescent="0.25">
      <c r="A2089" t="s">
        <v>39</v>
      </c>
      <c r="B2089" t="s">
        <v>7084</v>
      </c>
      <c r="C2089">
        <v>78.8</v>
      </c>
      <c r="D2089">
        <v>59</v>
      </c>
      <c r="G2089">
        <f t="shared" si="320"/>
        <v>1</v>
      </c>
      <c r="H2089">
        <f t="shared" si="321"/>
        <v>1</v>
      </c>
      <c r="I2089">
        <f t="shared" si="322"/>
        <v>0</v>
      </c>
      <c r="J2089">
        <v>67.400000000000006</v>
      </c>
      <c r="K2089">
        <v>78.8</v>
      </c>
      <c r="L2089">
        <v>59</v>
      </c>
      <c r="M2089">
        <v>67.400000000000006</v>
      </c>
      <c r="N2089">
        <v>46.3</v>
      </c>
      <c r="O2089">
        <v>48.7</v>
      </c>
      <c r="S2089">
        <f t="shared" si="323"/>
        <v>1</v>
      </c>
      <c r="T2089">
        <f t="shared" si="324"/>
        <v>0</v>
      </c>
      <c r="U2089">
        <f t="shared" si="325"/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57.5</v>
      </c>
      <c r="AC2089">
        <v>42.5</v>
      </c>
      <c r="AG2089">
        <f t="shared" si="326"/>
        <v>1</v>
      </c>
      <c r="AH2089">
        <f t="shared" si="327"/>
        <v>1</v>
      </c>
      <c r="AI2089">
        <f t="shared" si="328"/>
        <v>0</v>
      </c>
      <c r="AJ2089">
        <v>170.4</v>
      </c>
      <c r="AK2089">
        <v>1011.6</v>
      </c>
      <c r="AL2089">
        <v>66.400000000000006</v>
      </c>
      <c r="AM2089">
        <v>6.2</v>
      </c>
      <c r="AN2089">
        <v>228.4</v>
      </c>
      <c r="AO2089">
        <v>19.600000000000001</v>
      </c>
      <c r="AP2089">
        <v>8</v>
      </c>
      <c r="AQ2089">
        <v>0</v>
      </c>
      <c r="AR2089" t="s">
        <v>7085</v>
      </c>
      <c r="AS2089" t="s">
        <v>7086</v>
      </c>
      <c r="AT2089">
        <v>0</v>
      </c>
      <c r="AU2089" t="s">
        <v>43</v>
      </c>
      <c r="AV2089" t="s">
        <v>44</v>
      </c>
      <c r="AW2089" t="s">
        <v>419</v>
      </c>
      <c r="AX2089" t="s">
        <v>4624</v>
      </c>
      <c r="AY2089" t="s">
        <v>7087</v>
      </c>
      <c r="AZ2089">
        <v>3116.0000000044238</v>
      </c>
      <c r="BA2089">
        <v>1</v>
      </c>
      <c r="BB2089">
        <v>0</v>
      </c>
      <c r="BC2089">
        <v>100</v>
      </c>
      <c r="BD2089">
        <v>0</v>
      </c>
      <c r="BE2089">
        <f t="shared" si="329"/>
        <v>1</v>
      </c>
    </row>
    <row r="2090" spans="1:57" x14ac:dyDescent="0.25">
      <c r="A2090" t="s">
        <v>39</v>
      </c>
      <c r="B2090" t="s">
        <v>7027</v>
      </c>
      <c r="C2090">
        <v>64.400000000000006</v>
      </c>
      <c r="D2090">
        <v>50</v>
      </c>
      <c r="G2090">
        <f t="shared" si="320"/>
        <v>1</v>
      </c>
      <c r="H2090">
        <f t="shared" si="321"/>
        <v>1</v>
      </c>
      <c r="I2090">
        <f t="shared" si="322"/>
        <v>0</v>
      </c>
      <c r="J2090">
        <v>60.3</v>
      </c>
      <c r="K2090">
        <v>64.400000000000006</v>
      </c>
      <c r="L2090">
        <v>50</v>
      </c>
      <c r="M2090">
        <v>60.3</v>
      </c>
      <c r="N2090">
        <v>47.9</v>
      </c>
      <c r="O2090">
        <v>65.3</v>
      </c>
      <c r="S2090">
        <f t="shared" si="323"/>
        <v>0</v>
      </c>
      <c r="T2090">
        <f t="shared" si="324"/>
        <v>0</v>
      </c>
      <c r="U2090">
        <f t="shared" si="325"/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24.2</v>
      </c>
      <c r="AC2090">
        <v>17.2</v>
      </c>
      <c r="AG2090">
        <f t="shared" si="326"/>
        <v>0</v>
      </c>
      <c r="AH2090">
        <f t="shared" si="327"/>
        <v>0</v>
      </c>
      <c r="AI2090">
        <f t="shared" si="328"/>
        <v>0</v>
      </c>
      <c r="AJ2090">
        <v>283.3</v>
      </c>
      <c r="AK2090">
        <v>1011.2</v>
      </c>
      <c r="AL2090">
        <v>31.5</v>
      </c>
      <c r="AM2090">
        <v>6.2</v>
      </c>
      <c r="AN2090">
        <v>243.3</v>
      </c>
      <c r="AO2090">
        <v>20.9</v>
      </c>
      <c r="AP2090">
        <v>8</v>
      </c>
      <c r="AQ2090">
        <v>0</v>
      </c>
      <c r="AR2090" t="s">
        <v>7028</v>
      </c>
      <c r="AS2090" t="s">
        <v>7029</v>
      </c>
      <c r="AT2090">
        <v>0.1</v>
      </c>
      <c r="AU2090" t="s">
        <v>43</v>
      </c>
      <c r="AV2090" t="s">
        <v>44</v>
      </c>
      <c r="AW2090" t="s">
        <v>45</v>
      </c>
      <c r="AX2090" t="s">
        <v>4702</v>
      </c>
      <c r="AY2090" t="s">
        <v>7088</v>
      </c>
      <c r="AZ2090">
        <v>844.99999999883585</v>
      </c>
      <c r="BA2090">
        <v>1</v>
      </c>
      <c r="BB2090">
        <v>0</v>
      </c>
      <c r="BC2090">
        <v>10</v>
      </c>
      <c r="BD2090">
        <v>0</v>
      </c>
      <c r="BE2090">
        <f t="shared" si="329"/>
        <v>0</v>
      </c>
    </row>
    <row r="2091" spans="1:57" x14ac:dyDescent="0.25">
      <c r="A2091" t="s">
        <v>39</v>
      </c>
      <c r="B2091" t="s">
        <v>7089</v>
      </c>
      <c r="C2091">
        <v>89.6</v>
      </c>
      <c r="D2091">
        <v>73.400000000000006</v>
      </c>
      <c r="G2091">
        <f t="shared" si="320"/>
        <v>1</v>
      </c>
      <c r="H2091">
        <f t="shared" si="321"/>
        <v>1</v>
      </c>
      <c r="I2091">
        <f t="shared" si="322"/>
        <v>0</v>
      </c>
      <c r="J2091">
        <v>80.900000000000006</v>
      </c>
      <c r="K2091">
        <v>94.2</v>
      </c>
      <c r="L2091">
        <v>73.400000000000006</v>
      </c>
      <c r="M2091">
        <v>83.6</v>
      </c>
      <c r="N2091">
        <v>67.599999999999994</v>
      </c>
      <c r="O2091">
        <v>64.7</v>
      </c>
      <c r="S2091">
        <f t="shared" si="323"/>
        <v>1</v>
      </c>
      <c r="T2091">
        <f t="shared" si="324"/>
        <v>1</v>
      </c>
      <c r="U2091">
        <f t="shared" si="325"/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27.3</v>
      </c>
      <c r="AC2091">
        <v>18.3</v>
      </c>
      <c r="AG2091">
        <f t="shared" si="326"/>
        <v>0</v>
      </c>
      <c r="AH2091">
        <f t="shared" si="327"/>
        <v>0</v>
      </c>
      <c r="AI2091">
        <f t="shared" si="328"/>
        <v>0</v>
      </c>
      <c r="AJ2091">
        <v>294.3</v>
      </c>
      <c r="AK2091">
        <v>1009.7</v>
      </c>
      <c r="AL2091">
        <v>0.1</v>
      </c>
      <c r="AM2091">
        <v>6.2</v>
      </c>
      <c r="AN2091">
        <v>341.5</v>
      </c>
      <c r="AO2091">
        <v>29.5</v>
      </c>
      <c r="AP2091">
        <v>10</v>
      </c>
      <c r="AQ2091">
        <v>0</v>
      </c>
      <c r="AR2091" t="s">
        <v>7090</v>
      </c>
      <c r="AS2091" t="s">
        <v>7091</v>
      </c>
      <c r="AT2091">
        <v>0.74</v>
      </c>
      <c r="AU2091" t="s">
        <v>74</v>
      </c>
      <c r="AV2091" t="s">
        <v>2955</v>
      </c>
      <c r="AW2091" t="s">
        <v>75</v>
      </c>
      <c r="AX2091" t="s">
        <v>7092</v>
      </c>
      <c r="AY2091" t="s">
        <v>7093</v>
      </c>
      <c r="AZ2091">
        <v>6658.0000000039581</v>
      </c>
      <c r="BA2091">
        <v>1</v>
      </c>
      <c r="BB2091">
        <v>0</v>
      </c>
      <c r="BC2091">
        <v>40</v>
      </c>
      <c r="BD2091">
        <v>0</v>
      </c>
      <c r="BE2091">
        <f t="shared" si="329"/>
        <v>1</v>
      </c>
    </row>
    <row r="2092" spans="1:57" x14ac:dyDescent="0.25">
      <c r="A2092" t="s">
        <v>39</v>
      </c>
      <c r="B2092" t="s">
        <v>7094</v>
      </c>
      <c r="C2092">
        <v>86</v>
      </c>
      <c r="D2092">
        <v>78.8</v>
      </c>
      <c r="G2092">
        <f t="shared" si="320"/>
        <v>1</v>
      </c>
      <c r="H2092">
        <f t="shared" si="321"/>
        <v>1</v>
      </c>
      <c r="I2092">
        <f t="shared" si="322"/>
        <v>0</v>
      </c>
      <c r="J2092">
        <v>82.5</v>
      </c>
      <c r="K2092">
        <v>93.5</v>
      </c>
      <c r="L2092">
        <v>78.8</v>
      </c>
      <c r="M2092">
        <v>86.9</v>
      </c>
      <c r="N2092">
        <v>70.7</v>
      </c>
      <c r="O2092">
        <v>68.099999999999994</v>
      </c>
      <c r="S2092">
        <f t="shared" si="323"/>
        <v>1</v>
      </c>
      <c r="T2092">
        <f t="shared" si="324"/>
        <v>1</v>
      </c>
      <c r="U2092">
        <f t="shared" si="325"/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28.2</v>
      </c>
      <c r="AC2092">
        <v>23</v>
      </c>
      <c r="AG2092">
        <f t="shared" si="326"/>
        <v>1</v>
      </c>
      <c r="AH2092">
        <f t="shared" si="327"/>
        <v>1</v>
      </c>
      <c r="AI2092">
        <f t="shared" si="328"/>
        <v>0</v>
      </c>
      <c r="AJ2092">
        <v>308.3</v>
      </c>
      <c r="AK2092">
        <v>1002.1</v>
      </c>
      <c r="AL2092">
        <v>27.7</v>
      </c>
      <c r="AM2092">
        <v>6.2</v>
      </c>
      <c r="AN2092">
        <v>311.2</v>
      </c>
      <c r="AO2092">
        <v>26.9</v>
      </c>
      <c r="AP2092">
        <v>9</v>
      </c>
      <c r="AQ2092">
        <v>0</v>
      </c>
      <c r="AR2092" t="s">
        <v>7095</v>
      </c>
      <c r="AS2092" t="s">
        <v>7096</v>
      </c>
      <c r="AT2092">
        <v>0.38</v>
      </c>
      <c r="AU2092" t="s">
        <v>43</v>
      </c>
      <c r="AV2092" t="s">
        <v>44</v>
      </c>
      <c r="AW2092" t="s">
        <v>45</v>
      </c>
      <c r="AX2092" t="s">
        <v>7097</v>
      </c>
      <c r="AY2092" t="s">
        <v>7098</v>
      </c>
      <c r="AZ2092">
        <v>46.999999996041879</v>
      </c>
      <c r="BA2092">
        <v>0</v>
      </c>
      <c r="BB2092">
        <v>0</v>
      </c>
      <c r="BC2092">
        <v>0.01</v>
      </c>
      <c r="BD2092">
        <v>0</v>
      </c>
      <c r="BE2092">
        <f t="shared" si="329"/>
        <v>1</v>
      </c>
    </row>
    <row r="2093" spans="1:57" x14ac:dyDescent="0.25">
      <c r="A2093" t="s">
        <v>39</v>
      </c>
      <c r="B2093" t="s">
        <v>7099</v>
      </c>
      <c r="C2093">
        <v>71.599999999999994</v>
      </c>
      <c r="D2093">
        <v>68</v>
      </c>
      <c r="G2093">
        <f t="shared" si="320"/>
        <v>1</v>
      </c>
      <c r="H2093">
        <f t="shared" si="321"/>
        <v>0</v>
      </c>
      <c r="I2093">
        <f t="shared" si="322"/>
        <v>1</v>
      </c>
      <c r="J2093">
        <v>69.400000000000006</v>
      </c>
      <c r="K2093">
        <v>71.599999999999994</v>
      </c>
      <c r="L2093">
        <v>68</v>
      </c>
      <c r="M2093">
        <v>69.400000000000006</v>
      </c>
      <c r="N2093">
        <v>61.3</v>
      </c>
      <c r="O2093">
        <v>75.8</v>
      </c>
      <c r="S2093">
        <f t="shared" si="323"/>
        <v>1</v>
      </c>
      <c r="T2093">
        <f t="shared" si="324"/>
        <v>1</v>
      </c>
      <c r="U2093">
        <f t="shared" si="325"/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28</v>
      </c>
      <c r="AC2093">
        <v>20.8</v>
      </c>
      <c r="AG2093">
        <f t="shared" si="326"/>
        <v>1</v>
      </c>
      <c r="AH2093">
        <f t="shared" si="327"/>
        <v>1</v>
      </c>
      <c r="AI2093">
        <f t="shared" si="328"/>
        <v>0</v>
      </c>
      <c r="AJ2093">
        <v>337.8</v>
      </c>
      <c r="AK2093">
        <v>1015.1</v>
      </c>
      <c r="AL2093">
        <v>89.1</v>
      </c>
      <c r="AM2093">
        <v>6.2</v>
      </c>
      <c r="AN2093">
        <v>92.7</v>
      </c>
      <c r="AO2093">
        <v>8</v>
      </c>
      <c r="AP2093">
        <v>4</v>
      </c>
      <c r="AQ2093">
        <v>0</v>
      </c>
      <c r="AR2093" t="s">
        <v>7100</v>
      </c>
      <c r="AS2093" t="s">
        <v>7101</v>
      </c>
      <c r="AT2093">
        <v>0.57999999999999996</v>
      </c>
      <c r="AU2093" t="s">
        <v>43</v>
      </c>
      <c r="AV2093" t="s">
        <v>44</v>
      </c>
      <c r="AW2093" t="s">
        <v>45</v>
      </c>
      <c r="AX2093" t="s">
        <v>4726</v>
      </c>
      <c r="AY2093" t="s">
        <v>7102</v>
      </c>
      <c r="AZ2093">
        <v>209.99999999301511</v>
      </c>
      <c r="BA2093">
        <v>0</v>
      </c>
      <c r="BB2093">
        <v>0</v>
      </c>
      <c r="BC2093">
        <v>0.05</v>
      </c>
      <c r="BD2093">
        <v>0</v>
      </c>
      <c r="BE2093">
        <f t="shared" si="329"/>
        <v>1</v>
      </c>
    </row>
    <row r="2094" spans="1:57" x14ac:dyDescent="0.25">
      <c r="A2094" t="s">
        <v>39</v>
      </c>
      <c r="B2094" t="s">
        <v>7103</v>
      </c>
      <c r="C2094">
        <v>69.8</v>
      </c>
      <c r="D2094">
        <v>64.400000000000006</v>
      </c>
      <c r="G2094">
        <f t="shared" si="320"/>
        <v>1</v>
      </c>
      <c r="H2094">
        <f t="shared" si="321"/>
        <v>1</v>
      </c>
      <c r="I2094">
        <f t="shared" si="322"/>
        <v>0</v>
      </c>
      <c r="J2094">
        <v>66.900000000000006</v>
      </c>
      <c r="K2094">
        <v>69.8</v>
      </c>
      <c r="L2094">
        <v>64.400000000000006</v>
      </c>
      <c r="M2094">
        <v>66.900000000000006</v>
      </c>
      <c r="N2094">
        <v>60.6</v>
      </c>
      <c r="O2094">
        <v>80.5</v>
      </c>
      <c r="S2094">
        <f t="shared" si="323"/>
        <v>1</v>
      </c>
      <c r="T2094">
        <f t="shared" si="324"/>
        <v>1</v>
      </c>
      <c r="U2094">
        <f t="shared" si="325"/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25.7</v>
      </c>
      <c r="AC2094">
        <v>12.8</v>
      </c>
      <c r="AG2094">
        <f t="shared" si="326"/>
        <v>1</v>
      </c>
      <c r="AH2094">
        <f t="shared" si="327"/>
        <v>0</v>
      </c>
      <c r="AI2094">
        <f t="shared" si="328"/>
        <v>1</v>
      </c>
      <c r="AJ2094">
        <v>323.2</v>
      </c>
      <c r="AK2094">
        <v>1016.5</v>
      </c>
      <c r="AL2094">
        <v>66.3</v>
      </c>
      <c r="AM2094">
        <v>6.2</v>
      </c>
      <c r="AN2094">
        <v>134.1</v>
      </c>
      <c r="AO2094">
        <v>11.7</v>
      </c>
      <c r="AP2094">
        <v>5</v>
      </c>
      <c r="AQ2094">
        <v>0</v>
      </c>
      <c r="AR2094" t="s">
        <v>7104</v>
      </c>
      <c r="AS2094" t="s">
        <v>7105</v>
      </c>
      <c r="AT2094">
        <v>0.96</v>
      </c>
      <c r="AU2094" t="s">
        <v>43</v>
      </c>
      <c r="AV2094" t="s">
        <v>44</v>
      </c>
      <c r="AW2094" t="s">
        <v>45</v>
      </c>
      <c r="AX2094" t="s">
        <v>5269</v>
      </c>
      <c r="AY2094" t="s">
        <v>7106</v>
      </c>
      <c r="AZ2094">
        <v>124.9999999988358</v>
      </c>
      <c r="BA2094">
        <v>0</v>
      </c>
      <c r="BB2094">
        <v>0</v>
      </c>
      <c r="BC2094">
        <v>0.01</v>
      </c>
      <c r="BD2094">
        <v>0</v>
      </c>
      <c r="BE2094">
        <f t="shared" si="329"/>
        <v>1</v>
      </c>
    </row>
    <row r="2095" spans="1:57" x14ac:dyDescent="0.25">
      <c r="A2095" t="s">
        <v>39</v>
      </c>
      <c r="B2095" t="s">
        <v>7107</v>
      </c>
      <c r="C2095">
        <v>71.599999999999994</v>
      </c>
      <c r="D2095">
        <v>53.6</v>
      </c>
      <c r="G2095">
        <f t="shared" si="320"/>
        <v>1</v>
      </c>
      <c r="H2095">
        <f t="shared" si="321"/>
        <v>1</v>
      </c>
      <c r="I2095">
        <f t="shared" si="322"/>
        <v>0</v>
      </c>
      <c r="J2095">
        <v>62.4</v>
      </c>
      <c r="K2095">
        <v>71.599999999999994</v>
      </c>
      <c r="L2095">
        <v>53.6</v>
      </c>
      <c r="M2095">
        <v>62.4</v>
      </c>
      <c r="N2095">
        <v>52.1</v>
      </c>
      <c r="O2095">
        <v>71.2</v>
      </c>
      <c r="S2095">
        <f t="shared" si="323"/>
        <v>1</v>
      </c>
      <c r="T2095">
        <f t="shared" si="324"/>
        <v>1</v>
      </c>
      <c r="U2095">
        <f t="shared" si="325"/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30</v>
      </c>
      <c r="AC2095">
        <v>19.7</v>
      </c>
      <c r="AG2095">
        <f t="shared" si="326"/>
        <v>1</v>
      </c>
      <c r="AH2095">
        <f t="shared" si="327"/>
        <v>1</v>
      </c>
      <c r="AI2095">
        <f t="shared" si="328"/>
        <v>0</v>
      </c>
      <c r="AJ2095">
        <v>175.2</v>
      </c>
      <c r="AK2095">
        <v>1007.5</v>
      </c>
      <c r="AL2095">
        <v>33.9</v>
      </c>
      <c r="AM2095">
        <v>6.2</v>
      </c>
      <c r="AN2095">
        <v>199.5</v>
      </c>
      <c r="AO2095">
        <v>17</v>
      </c>
      <c r="AP2095">
        <v>7</v>
      </c>
      <c r="AQ2095">
        <v>0</v>
      </c>
      <c r="AR2095" t="s">
        <v>7108</v>
      </c>
      <c r="AS2095" t="s">
        <v>7109</v>
      </c>
      <c r="AT2095">
        <v>0.64</v>
      </c>
      <c r="AU2095" t="s">
        <v>43</v>
      </c>
      <c r="AV2095" t="s">
        <v>2026</v>
      </c>
      <c r="AW2095" t="s">
        <v>45</v>
      </c>
      <c r="AX2095" t="s">
        <v>2413</v>
      </c>
      <c r="AY2095" t="s">
        <v>7110</v>
      </c>
      <c r="AZ2095">
        <v>135</v>
      </c>
      <c r="BA2095">
        <v>0</v>
      </c>
      <c r="BB2095">
        <v>0</v>
      </c>
      <c r="BC2095">
        <v>0.1</v>
      </c>
      <c r="BD2095">
        <v>0</v>
      </c>
      <c r="BE2095">
        <f t="shared" si="329"/>
        <v>1</v>
      </c>
    </row>
    <row r="2096" spans="1:57" x14ac:dyDescent="0.25">
      <c r="A2096" t="s">
        <v>39</v>
      </c>
      <c r="B2096" t="s">
        <v>7027</v>
      </c>
      <c r="C2096">
        <v>64.400000000000006</v>
      </c>
      <c r="D2096">
        <v>50</v>
      </c>
      <c r="G2096">
        <f t="shared" si="320"/>
        <v>1</v>
      </c>
      <c r="H2096">
        <f t="shared" si="321"/>
        <v>1</v>
      </c>
      <c r="I2096">
        <f t="shared" si="322"/>
        <v>0</v>
      </c>
      <c r="J2096">
        <v>60.3</v>
      </c>
      <c r="K2096">
        <v>64.400000000000006</v>
      </c>
      <c r="L2096">
        <v>50</v>
      </c>
      <c r="M2096">
        <v>60.3</v>
      </c>
      <c r="N2096">
        <v>47.9</v>
      </c>
      <c r="O2096">
        <v>65.3</v>
      </c>
      <c r="S2096">
        <f t="shared" si="323"/>
        <v>0</v>
      </c>
      <c r="T2096">
        <f t="shared" si="324"/>
        <v>0</v>
      </c>
      <c r="U2096">
        <f t="shared" si="325"/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24.2</v>
      </c>
      <c r="AC2096">
        <v>17.2</v>
      </c>
      <c r="AG2096">
        <f t="shared" si="326"/>
        <v>0</v>
      </c>
      <c r="AH2096">
        <f t="shared" si="327"/>
        <v>0</v>
      </c>
      <c r="AI2096">
        <f t="shared" si="328"/>
        <v>0</v>
      </c>
      <c r="AJ2096">
        <v>283.3</v>
      </c>
      <c r="AK2096">
        <v>1011.2</v>
      </c>
      <c r="AL2096">
        <v>31.5</v>
      </c>
      <c r="AM2096">
        <v>6.2</v>
      </c>
      <c r="AN2096">
        <v>243.3</v>
      </c>
      <c r="AO2096">
        <v>20.9</v>
      </c>
      <c r="AP2096">
        <v>8</v>
      </c>
      <c r="AQ2096">
        <v>0</v>
      </c>
      <c r="AR2096" t="s">
        <v>7028</v>
      </c>
      <c r="AS2096" t="s">
        <v>7029</v>
      </c>
      <c r="AT2096">
        <v>0.1</v>
      </c>
      <c r="AU2096" t="s">
        <v>43</v>
      </c>
      <c r="AV2096" t="s">
        <v>44</v>
      </c>
      <c r="AW2096" t="s">
        <v>45</v>
      </c>
      <c r="AX2096" t="s">
        <v>6735</v>
      </c>
      <c r="AY2096" t="s">
        <v>7111</v>
      </c>
      <c r="AZ2096">
        <v>235.00000000116421</v>
      </c>
      <c r="BA2096">
        <v>0</v>
      </c>
      <c r="BB2096">
        <v>0</v>
      </c>
      <c r="BC2096">
        <v>1</v>
      </c>
      <c r="BD2096">
        <v>0</v>
      </c>
      <c r="BE2096">
        <f t="shared" si="329"/>
        <v>0</v>
      </c>
    </row>
    <row r="2097" spans="1:57" x14ac:dyDescent="0.25">
      <c r="A2097" t="s">
        <v>39</v>
      </c>
      <c r="B2097" t="s">
        <v>7112</v>
      </c>
      <c r="C2097">
        <v>66.2</v>
      </c>
      <c r="D2097">
        <v>48.2</v>
      </c>
      <c r="G2097">
        <f t="shared" si="320"/>
        <v>0</v>
      </c>
      <c r="H2097">
        <f t="shared" si="321"/>
        <v>0</v>
      </c>
      <c r="I2097">
        <f t="shared" si="322"/>
        <v>0</v>
      </c>
      <c r="J2097">
        <v>57.4</v>
      </c>
      <c r="K2097">
        <v>66.2</v>
      </c>
      <c r="L2097">
        <v>45.1</v>
      </c>
      <c r="M2097">
        <v>57.1</v>
      </c>
      <c r="N2097">
        <v>49.6</v>
      </c>
      <c r="O2097">
        <v>75.7</v>
      </c>
      <c r="S2097">
        <f t="shared" si="323"/>
        <v>1</v>
      </c>
      <c r="T2097">
        <f t="shared" si="324"/>
        <v>1</v>
      </c>
      <c r="U2097">
        <f t="shared" si="325"/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19.899999999999999</v>
      </c>
      <c r="AC2097">
        <v>8.1</v>
      </c>
      <c r="AG2097">
        <f t="shared" si="326"/>
        <v>1</v>
      </c>
      <c r="AH2097">
        <f t="shared" si="327"/>
        <v>0</v>
      </c>
      <c r="AI2097">
        <f t="shared" si="328"/>
        <v>1</v>
      </c>
      <c r="AJ2097">
        <v>265</v>
      </c>
      <c r="AK2097">
        <v>1019.8</v>
      </c>
      <c r="AL2097">
        <v>16.100000000000001</v>
      </c>
      <c r="AM2097">
        <v>6.2</v>
      </c>
      <c r="AN2097">
        <v>281.89999999999998</v>
      </c>
      <c r="AO2097">
        <v>24.3</v>
      </c>
      <c r="AP2097">
        <v>9</v>
      </c>
      <c r="AQ2097">
        <v>0</v>
      </c>
      <c r="AR2097" t="s">
        <v>7113</v>
      </c>
      <c r="AS2097" t="s">
        <v>7114</v>
      </c>
      <c r="AT2097">
        <v>0.62</v>
      </c>
      <c r="AU2097" t="s">
        <v>74</v>
      </c>
      <c r="AV2097" t="s">
        <v>2955</v>
      </c>
      <c r="AW2097" t="s">
        <v>75</v>
      </c>
      <c r="AX2097" t="s">
        <v>2433</v>
      </c>
      <c r="AY2097" t="s">
        <v>7115</v>
      </c>
      <c r="AZ2097">
        <v>1689.9999999976719</v>
      </c>
      <c r="BA2097">
        <v>1</v>
      </c>
      <c r="BB2097">
        <v>0</v>
      </c>
      <c r="BC2097">
        <v>1</v>
      </c>
      <c r="BD2097">
        <v>0</v>
      </c>
      <c r="BE2097">
        <f t="shared" si="329"/>
        <v>0</v>
      </c>
    </row>
    <row r="2098" spans="1:57" x14ac:dyDescent="0.25">
      <c r="A2098" t="s">
        <v>39</v>
      </c>
      <c r="B2098" t="s">
        <v>7047</v>
      </c>
      <c r="C2098">
        <v>86</v>
      </c>
      <c r="D2098">
        <v>78.8</v>
      </c>
      <c r="G2098">
        <f t="shared" si="320"/>
        <v>1</v>
      </c>
      <c r="H2098">
        <f t="shared" si="321"/>
        <v>1</v>
      </c>
      <c r="I2098">
        <f t="shared" si="322"/>
        <v>0</v>
      </c>
      <c r="J2098">
        <v>82.3</v>
      </c>
      <c r="K2098">
        <v>87.5</v>
      </c>
      <c r="L2098">
        <v>78.8</v>
      </c>
      <c r="M2098">
        <v>84.1</v>
      </c>
      <c r="N2098">
        <v>66.5</v>
      </c>
      <c r="O2098">
        <v>59.6</v>
      </c>
      <c r="S2098">
        <f t="shared" si="323"/>
        <v>0</v>
      </c>
      <c r="T2098">
        <f t="shared" si="324"/>
        <v>0</v>
      </c>
      <c r="U2098">
        <f t="shared" si="325"/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33.1</v>
      </c>
      <c r="AC2098">
        <v>18.3</v>
      </c>
      <c r="AG2098">
        <f t="shared" si="326"/>
        <v>0</v>
      </c>
      <c r="AH2098">
        <f t="shared" si="327"/>
        <v>0</v>
      </c>
      <c r="AI2098">
        <f t="shared" si="328"/>
        <v>0</v>
      </c>
      <c r="AJ2098">
        <v>305.2</v>
      </c>
      <c r="AK2098">
        <v>1010.3</v>
      </c>
      <c r="AL2098">
        <v>1.5</v>
      </c>
      <c r="AM2098">
        <v>6.2</v>
      </c>
      <c r="AN2098">
        <v>333.6</v>
      </c>
      <c r="AO2098">
        <v>29</v>
      </c>
      <c r="AP2098">
        <v>10</v>
      </c>
      <c r="AQ2098">
        <v>0</v>
      </c>
      <c r="AR2098" t="s">
        <v>7048</v>
      </c>
      <c r="AS2098" t="s">
        <v>7049</v>
      </c>
      <c r="AT2098">
        <v>0.11</v>
      </c>
      <c r="AU2098" t="s">
        <v>74</v>
      </c>
      <c r="AV2098" t="s">
        <v>2955</v>
      </c>
      <c r="AW2098" t="s">
        <v>75</v>
      </c>
      <c r="AX2098" t="s">
        <v>6861</v>
      </c>
      <c r="AY2098" t="s">
        <v>7116</v>
      </c>
      <c r="AZ2098">
        <v>946.99999999604188</v>
      </c>
      <c r="BA2098">
        <v>1</v>
      </c>
      <c r="BB2098">
        <v>0</v>
      </c>
      <c r="BC2098">
        <v>5</v>
      </c>
      <c r="BD2098">
        <v>0</v>
      </c>
      <c r="BE2098">
        <f t="shared" si="329"/>
        <v>0</v>
      </c>
    </row>
    <row r="2099" spans="1:57" x14ac:dyDescent="0.25">
      <c r="A2099" t="s">
        <v>39</v>
      </c>
      <c r="B2099" t="s">
        <v>7099</v>
      </c>
      <c r="C2099">
        <v>71.599999999999994</v>
      </c>
      <c r="D2099">
        <v>68</v>
      </c>
      <c r="G2099">
        <f t="shared" si="320"/>
        <v>1</v>
      </c>
      <c r="H2099">
        <f t="shared" si="321"/>
        <v>0</v>
      </c>
      <c r="I2099">
        <f t="shared" si="322"/>
        <v>1</v>
      </c>
      <c r="J2099">
        <v>69.400000000000006</v>
      </c>
      <c r="K2099">
        <v>71.599999999999994</v>
      </c>
      <c r="L2099">
        <v>68</v>
      </c>
      <c r="M2099">
        <v>69.400000000000006</v>
      </c>
      <c r="N2099">
        <v>61.3</v>
      </c>
      <c r="O2099">
        <v>75.8</v>
      </c>
      <c r="S2099">
        <f t="shared" si="323"/>
        <v>1</v>
      </c>
      <c r="T2099">
        <f t="shared" si="324"/>
        <v>1</v>
      </c>
      <c r="U2099">
        <f t="shared" si="325"/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28</v>
      </c>
      <c r="AC2099">
        <v>20.8</v>
      </c>
      <c r="AG2099">
        <f t="shared" si="326"/>
        <v>1</v>
      </c>
      <c r="AH2099">
        <f t="shared" si="327"/>
        <v>1</v>
      </c>
      <c r="AI2099">
        <f t="shared" si="328"/>
        <v>0</v>
      </c>
      <c r="AJ2099">
        <v>337.8</v>
      </c>
      <c r="AK2099">
        <v>1015.1</v>
      </c>
      <c r="AL2099">
        <v>89.1</v>
      </c>
      <c r="AM2099">
        <v>6.2</v>
      </c>
      <c r="AN2099">
        <v>92.7</v>
      </c>
      <c r="AO2099">
        <v>8</v>
      </c>
      <c r="AP2099">
        <v>4</v>
      </c>
      <c r="AQ2099">
        <v>0</v>
      </c>
      <c r="AR2099" t="s">
        <v>7100</v>
      </c>
      <c r="AS2099" t="s">
        <v>7101</v>
      </c>
      <c r="AT2099">
        <v>0.57999999999999996</v>
      </c>
      <c r="AU2099" t="s">
        <v>43</v>
      </c>
      <c r="AV2099" t="s">
        <v>44</v>
      </c>
      <c r="AW2099" t="s">
        <v>45</v>
      </c>
      <c r="AX2099" t="s">
        <v>4143</v>
      </c>
      <c r="AY2099" t="s">
        <v>7117</v>
      </c>
      <c r="AZ2099">
        <v>270</v>
      </c>
      <c r="BA2099">
        <v>0</v>
      </c>
      <c r="BB2099">
        <v>0</v>
      </c>
      <c r="BC2099">
        <v>2</v>
      </c>
      <c r="BD2099">
        <v>0</v>
      </c>
      <c r="BE2099">
        <f t="shared" si="329"/>
        <v>1</v>
      </c>
    </row>
    <row r="2100" spans="1:57" x14ac:dyDescent="0.25">
      <c r="A2100" t="s">
        <v>39</v>
      </c>
      <c r="B2100" t="s">
        <v>7118</v>
      </c>
      <c r="C2100">
        <v>66.2</v>
      </c>
      <c r="D2100">
        <v>64.400000000000006</v>
      </c>
      <c r="G2100">
        <f t="shared" si="320"/>
        <v>0</v>
      </c>
      <c r="H2100">
        <f t="shared" si="321"/>
        <v>0</v>
      </c>
      <c r="I2100">
        <f t="shared" si="322"/>
        <v>0</v>
      </c>
      <c r="J2100">
        <v>64.7</v>
      </c>
      <c r="K2100">
        <v>66.2</v>
      </c>
      <c r="L2100">
        <v>64.400000000000006</v>
      </c>
      <c r="M2100">
        <v>64.7</v>
      </c>
      <c r="N2100">
        <v>56.5</v>
      </c>
      <c r="O2100">
        <v>75</v>
      </c>
      <c r="S2100">
        <f t="shared" si="323"/>
        <v>1</v>
      </c>
      <c r="T2100">
        <f t="shared" si="324"/>
        <v>1</v>
      </c>
      <c r="U2100">
        <f t="shared" si="325"/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38.700000000000003</v>
      </c>
      <c r="AC2100">
        <v>25.3</v>
      </c>
      <c r="AG2100">
        <f t="shared" si="326"/>
        <v>1</v>
      </c>
      <c r="AH2100">
        <f t="shared" si="327"/>
        <v>1</v>
      </c>
      <c r="AI2100">
        <f t="shared" si="328"/>
        <v>0</v>
      </c>
      <c r="AJ2100">
        <v>333.9</v>
      </c>
      <c r="AK2100">
        <v>1021</v>
      </c>
      <c r="AL2100">
        <v>67.900000000000006</v>
      </c>
      <c r="AM2100">
        <v>6.2</v>
      </c>
      <c r="AN2100">
        <v>107.2</v>
      </c>
      <c r="AO2100">
        <v>9.4</v>
      </c>
      <c r="AP2100">
        <v>4</v>
      </c>
      <c r="AQ2100">
        <v>0</v>
      </c>
      <c r="AR2100" t="s">
        <v>7119</v>
      </c>
      <c r="AS2100" t="s">
        <v>7120</v>
      </c>
      <c r="AT2100">
        <v>0.18</v>
      </c>
      <c r="AU2100" t="s">
        <v>43</v>
      </c>
      <c r="AV2100" t="s">
        <v>44</v>
      </c>
      <c r="AW2100" t="s">
        <v>45</v>
      </c>
      <c r="AX2100" t="s">
        <v>4039</v>
      </c>
      <c r="AY2100" t="s">
        <v>7121</v>
      </c>
      <c r="AZ2100">
        <v>204.99999999767169</v>
      </c>
      <c r="BA2100">
        <v>0</v>
      </c>
      <c r="BB2100">
        <v>0</v>
      </c>
      <c r="BC2100">
        <v>1</v>
      </c>
      <c r="BD2100">
        <v>0</v>
      </c>
      <c r="BE2100">
        <f t="shared" si="329"/>
        <v>0</v>
      </c>
    </row>
    <row r="2101" spans="1:57" x14ac:dyDescent="0.25">
      <c r="A2101" t="s">
        <v>39</v>
      </c>
      <c r="B2101" t="s">
        <v>7122</v>
      </c>
      <c r="C2101">
        <v>64.400000000000006</v>
      </c>
      <c r="D2101">
        <v>46.4</v>
      </c>
      <c r="G2101">
        <f t="shared" si="320"/>
        <v>1</v>
      </c>
      <c r="H2101">
        <f t="shared" si="321"/>
        <v>1</v>
      </c>
      <c r="I2101">
        <f t="shared" si="322"/>
        <v>0</v>
      </c>
      <c r="J2101">
        <v>55.9</v>
      </c>
      <c r="K2101">
        <v>64.400000000000006</v>
      </c>
      <c r="L2101">
        <v>42.4</v>
      </c>
      <c r="M2101">
        <v>55.5</v>
      </c>
      <c r="N2101">
        <v>50.2</v>
      </c>
      <c r="O2101">
        <v>81.900000000000006</v>
      </c>
      <c r="S2101">
        <f t="shared" si="323"/>
        <v>1</v>
      </c>
      <c r="T2101">
        <f t="shared" si="324"/>
        <v>1</v>
      </c>
      <c r="U2101">
        <f t="shared" si="325"/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30</v>
      </c>
      <c r="AC2101">
        <v>17.2</v>
      </c>
      <c r="AG2101">
        <f t="shared" si="326"/>
        <v>1</v>
      </c>
      <c r="AH2101">
        <f t="shared" si="327"/>
        <v>0</v>
      </c>
      <c r="AI2101">
        <f t="shared" si="328"/>
        <v>1</v>
      </c>
      <c r="AJ2101">
        <v>198.8</v>
      </c>
      <c r="AK2101">
        <v>1013</v>
      </c>
      <c r="AL2101">
        <v>40.799999999999997</v>
      </c>
      <c r="AM2101">
        <v>6.2</v>
      </c>
      <c r="AN2101">
        <v>81.2</v>
      </c>
      <c r="AO2101">
        <v>6.7</v>
      </c>
      <c r="AP2101">
        <v>4</v>
      </c>
      <c r="AQ2101">
        <v>0</v>
      </c>
      <c r="AR2101" t="s">
        <v>7123</v>
      </c>
      <c r="AS2101" t="s">
        <v>7124</v>
      </c>
      <c r="AT2101">
        <v>0.5</v>
      </c>
      <c r="AU2101" t="s">
        <v>43</v>
      </c>
      <c r="AV2101" t="s">
        <v>44</v>
      </c>
      <c r="AW2101" t="s">
        <v>45</v>
      </c>
      <c r="AX2101" t="s">
        <v>6428</v>
      </c>
      <c r="AY2101" t="s">
        <v>7125</v>
      </c>
      <c r="AZ2101">
        <v>53.999999997904517</v>
      </c>
      <c r="BA2101">
        <v>0</v>
      </c>
      <c r="BB2101">
        <v>0</v>
      </c>
      <c r="BC2101">
        <v>0.5</v>
      </c>
      <c r="BD2101">
        <v>0</v>
      </c>
      <c r="BE2101">
        <f t="shared" si="329"/>
        <v>1</v>
      </c>
    </row>
    <row r="2102" spans="1:57" x14ac:dyDescent="0.25">
      <c r="A2102" t="s">
        <v>39</v>
      </c>
      <c r="B2102" t="s">
        <v>7126</v>
      </c>
      <c r="C2102">
        <v>57.2</v>
      </c>
      <c r="D2102">
        <v>50</v>
      </c>
      <c r="G2102">
        <f t="shared" si="320"/>
        <v>0</v>
      </c>
      <c r="H2102">
        <f t="shared" si="321"/>
        <v>0</v>
      </c>
      <c r="I2102">
        <f t="shared" si="322"/>
        <v>0</v>
      </c>
      <c r="J2102">
        <v>54.5</v>
      </c>
      <c r="K2102">
        <v>57.2</v>
      </c>
      <c r="L2102">
        <v>50</v>
      </c>
      <c r="M2102">
        <v>54.5</v>
      </c>
      <c r="N2102">
        <v>48.8</v>
      </c>
      <c r="O2102">
        <v>81.3</v>
      </c>
      <c r="S2102">
        <f t="shared" si="323"/>
        <v>1</v>
      </c>
      <c r="T2102">
        <f t="shared" si="324"/>
        <v>1</v>
      </c>
      <c r="U2102">
        <f t="shared" si="325"/>
        <v>0</v>
      </c>
      <c r="V2102">
        <v>3.1E-2</v>
      </c>
      <c r="W2102">
        <v>100</v>
      </c>
      <c r="X2102">
        <v>4.17</v>
      </c>
      <c r="Y2102" t="s">
        <v>103</v>
      </c>
      <c r="Z2102">
        <v>0</v>
      </c>
      <c r="AA2102">
        <v>0</v>
      </c>
      <c r="AB2102">
        <v>26.4</v>
      </c>
      <c r="AC2102">
        <v>16.100000000000001</v>
      </c>
      <c r="AG2102">
        <f t="shared" si="326"/>
        <v>1</v>
      </c>
      <c r="AH2102">
        <f t="shared" si="327"/>
        <v>0</v>
      </c>
      <c r="AI2102">
        <f t="shared" si="328"/>
        <v>1</v>
      </c>
      <c r="AJ2102">
        <v>243</v>
      </c>
      <c r="AK2102">
        <v>1009.4</v>
      </c>
      <c r="AL2102">
        <v>67.900000000000006</v>
      </c>
      <c r="AM2102">
        <v>6.2</v>
      </c>
      <c r="AN2102">
        <v>98.9</v>
      </c>
      <c r="AO2102">
        <v>8.4</v>
      </c>
      <c r="AP2102">
        <v>4</v>
      </c>
      <c r="AQ2102">
        <v>0</v>
      </c>
      <c r="AR2102" t="s">
        <v>7127</v>
      </c>
      <c r="AS2102" t="s">
        <v>7128</v>
      </c>
      <c r="AT2102">
        <v>0.54</v>
      </c>
      <c r="AU2102" t="s">
        <v>106</v>
      </c>
      <c r="AV2102" t="s">
        <v>438</v>
      </c>
      <c r="AW2102" t="s">
        <v>103</v>
      </c>
      <c r="AX2102" t="s">
        <v>4333</v>
      </c>
      <c r="AY2102" t="s">
        <v>7129</v>
      </c>
      <c r="AZ2102">
        <v>46.000000003259629</v>
      </c>
      <c r="BA2102">
        <v>0</v>
      </c>
      <c r="BB2102">
        <v>0</v>
      </c>
      <c r="BC2102">
        <v>0.5</v>
      </c>
      <c r="BD2102">
        <v>0</v>
      </c>
      <c r="BE2102">
        <f t="shared" si="329"/>
        <v>0</v>
      </c>
    </row>
    <row r="2103" spans="1:57" x14ac:dyDescent="0.25">
      <c r="A2103" t="s">
        <v>39</v>
      </c>
      <c r="B2103" t="s">
        <v>7130</v>
      </c>
      <c r="C2103">
        <v>64.400000000000006</v>
      </c>
      <c r="D2103">
        <v>55.4</v>
      </c>
      <c r="G2103">
        <f t="shared" si="320"/>
        <v>1</v>
      </c>
      <c r="H2103">
        <f t="shared" si="321"/>
        <v>1</v>
      </c>
      <c r="I2103">
        <f t="shared" si="322"/>
        <v>0</v>
      </c>
      <c r="J2103">
        <v>58.9</v>
      </c>
      <c r="K2103">
        <v>64.400000000000006</v>
      </c>
      <c r="L2103">
        <v>55.4</v>
      </c>
      <c r="M2103">
        <v>58.9</v>
      </c>
      <c r="N2103">
        <v>51.4</v>
      </c>
      <c r="O2103">
        <v>76.5</v>
      </c>
      <c r="S2103">
        <f t="shared" si="323"/>
        <v>1</v>
      </c>
      <c r="T2103">
        <f t="shared" si="324"/>
        <v>1</v>
      </c>
      <c r="U2103">
        <f t="shared" si="325"/>
        <v>0</v>
      </c>
      <c r="V2103">
        <v>0.02</v>
      </c>
      <c r="W2103">
        <v>100</v>
      </c>
      <c r="X2103">
        <v>4.17</v>
      </c>
      <c r="Y2103" t="s">
        <v>103</v>
      </c>
      <c r="Z2103">
        <v>0</v>
      </c>
      <c r="AA2103">
        <v>0</v>
      </c>
      <c r="AB2103">
        <v>41.4</v>
      </c>
      <c r="AC2103">
        <v>27.7</v>
      </c>
      <c r="AG2103">
        <f t="shared" si="326"/>
        <v>1</v>
      </c>
      <c r="AH2103">
        <f t="shared" si="327"/>
        <v>1</v>
      </c>
      <c r="AI2103">
        <f t="shared" si="328"/>
        <v>0</v>
      </c>
      <c r="AJ2103">
        <v>174.9</v>
      </c>
      <c r="AK2103">
        <v>1008.5</v>
      </c>
      <c r="AL2103">
        <v>50.7</v>
      </c>
      <c r="AM2103">
        <v>5.8</v>
      </c>
      <c r="AN2103">
        <v>126</v>
      </c>
      <c r="AO2103">
        <v>10.8</v>
      </c>
      <c r="AP2103">
        <v>5</v>
      </c>
      <c r="AQ2103">
        <v>0</v>
      </c>
      <c r="AR2103" t="s">
        <v>7131</v>
      </c>
      <c r="AS2103" t="s">
        <v>7132</v>
      </c>
      <c r="AT2103">
        <v>0.15</v>
      </c>
      <c r="AU2103" t="s">
        <v>106</v>
      </c>
      <c r="AV2103" t="s">
        <v>438</v>
      </c>
      <c r="AW2103" t="s">
        <v>103</v>
      </c>
      <c r="AX2103" t="s">
        <v>5380</v>
      </c>
      <c r="AY2103" t="s">
        <v>7133</v>
      </c>
      <c r="AZ2103">
        <v>55.000000001164153</v>
      </c>
      <c r="BA2103">
        <v>0</v>
      </c>
      <c r="BB2103">
        <v>0</v>
      </c>
      <c r="BC2103">
        <v>0.02</v>
      </c>
      <c r="BD2103">
        <v>0</v>
      </c>
      <c r="BE2103">
        <f t="shared" si="329"/>
        <v>1</v>
      </c>
    </row>
    <row r="2104" spans="1:57" x14ac:dyDescent="0.25">
      <c r="A2104" t="s">
        <v>39</v>
      </c>
      <c r="B2104" t="s">
        <v>7134</v>
      </c>
      <c r="C2104">
        <v>50</v>
      </c>
      <c r="D2104">
        <v>46.4</v>
      </c>
      <c r="G2104">
        <f t="shared" si="320"/>
        <v>1</v>
      </c>
      <c r="H2104">
        <f t="shared" si="321"/>
        <v>0</v>
      </c>
      <c r="I2104">
        <f t="shared" si="322"/>
        <v>1</v>
      </c>
      <c r="J2104">
        <v>48</v>
      </c>
      <c r="K2104">
        <v>50</v>
      </c>
      <c r="L2104">
        <v>36.9</v>
      </c>
      <c r="M2104">
        <v>40.6</v>
      </c>
      <c r="N2104">
        <v>40.299999999999997</v>
      </c>
      <c r="O2104">
        <v>74.900000000000006</v>
      </c>
      <c r="S2104">
        <f t="shared" si="323"/>
        <v>1</v>
      </c>
      <c r="T2104">
        <f t="shared" si="324"/>
        <v>1</v>
      </c>
      <c r="U2104">
        <f t="shared" si="325"/>
        <v>0</v>
      </c>
      <c r="V2104">
        <v>8.3000000000000004E-2</v>
      </c>
      <c r="W2104">
        <v>100</v>
      </c>
      <c r="X2104">
        <v>8.33</v>
      </c>
      <c r="Y2104" t="s">
        <v>103</v>
      </c>
      <c r="Z2104">
        <v>0</v>
      </c>
      <c r="AA2104">
        <v>0</v>
      </c>
      <c r="AB2104">
        <v>55</v>
      </c>
      <c r="AC2104">
        <v>34.299999999999997</v>
      </c>
      <c r="AG2104">
        <f t="shared" si="326"/>
        <v>1</v>
      </c>
      <c r="AH2104">
        <f t="shared" si="327"/>
        <v>1</v>
      </c>
      <c r="AI2104">
        <f t="shared" si="328"/>
        <v>0</v>
      </c>
      <c r="AJ2104">
        <v>326.60000000000002</v>
      </c>
      <c r="AK2104">
        <v>1022</v>
      </c>
      <c r="AL2104">
        <v>89.1</v>
      </c>
      <c r="AM2104">
        <v>6.2</v>
      </c>
      <c r="AN2104">
        <v>59</v>
      </c>
      <c r="AO2104">
        <v>4.9000000000000004</v>
      </c>
      <c r="AP2104">
        <v>2</v>
      </c>
      <c r="AQ2104">
        <v>0</v>
      </c>
      <c r="AR2104" t="s">
        <v>7135</v>
      </c>
      <c r="AS2104" t="s">
        <v>7136</v>
      </c>
      <c r="AT2104">
        <v>0.25</v>
      </c>
      <c r="AU2104" t="s">
        <v>106</v>
      </c>
      <c r="AV2104" t="s">
        <v>257</v>
      </c>
      <c r="AW2104" t="s">
        <v>103</v>
      </c>
      <c r="AX2104" t="s">
        <v>7137</v>
      </c>
      <c r="AY2104" t="s">
        <v>7138</v>
      </c>
      <c r="AZ2104">
        <v>108.99999999906871</v>
      </c>
      <c r="BA2104">
        <v>0</v>
      </c>
      <c r="BB2104">
        <v>0</v>
      </c>
      <c r="BC2104">
        <v>5</v>
      </c>
      <c r="BD2104">
        <v>0</v>
      </c>
      <c r="BE2104">
        <f t="shared" si="329"/>
        <v>1</v>
      </c>
    </row>
    <row r="2105" spans="1:57" x14ac:dyDescent="0.25">
      <c r="A2105" t="s">
        <v>39</v>
      </c>
      <c r="B2105" t="s">
        <v>7139</v>
      </c>
      <c r="C2105">
        <v>59</v>
      </c>
      <c r="D2105">
        <v>48.2</v>
      </c>
      <c r="G2105">
        <f t="shared" si="320"/>
        <v>0</v>
      </c>
      <c r="H2105">
        <f t="shared" si="321"/>
        <v>0</v>
      </c>
      <c r="I2105">
        <f t="shared" si="322"/>
        <v>0</v>
      </c>
      <c r="J2105">
        <v>54.9</v>
      </c>
      <c r="K2105">
        <v>59</v>
      </c>
      <c r="L2105">
        <v>45.6</v>
      </c>
      <c r="M2105">
        <v>54.7</v>
      </c>
      <c r="N2105">
        <v>47.1</v>
      </c>
      <c r="O2105">
        <v>75.3</v>
      </c>
      <c r="S2105">
        <f t="shared" si="323"/>
        <v>1</v>
      </c>
      <c r="T2105">
        <f t="shared" si="324"/>
        <v>1</v>
      </c>
      <c r="U2105">
        <f t="shared" si="325"/>
        <v>0</v>
      </c>
      <c r="V2105">
        <v>8.0000000000000002E-3</v>
      </c>
      <c r="W2105">
        <v>100</v>
      </c>
      <c r="X2105">
        <v>4.17</v>
      </c>
      <c r="Y2105" t="s">
        <v>103</v>
      </c>
      <c r="Z2105">
        <v>0</v>
      </c>
      <c r="AA2105">
        <v>0</v>
      </c>
      <c r="AB2105">
        <v>15</v>
      </c>
      <c r="AC2105">
        <v>8</v>
      </c>
      <c r="AG2105">
        <f t="shared" si="326"/>
        <v>1</v>
      </c>
      <c r="AH2105">
        <f t="shared" si="327"/>
        <v>0</v>
      </c>
      <c r="AI2105">
        <f t="shared" si="328"/>
        <v>1</v>
      </c>
      <c r="AJ2105">
        <v>195.9</v>
      </c>
      <c r="AK2105">
        <v>1015</v>
      </c>
      <c r="AL2105">
        <v>63.3</v>
      </c>
      <c r="AM2105">
        <v>6.2</v>
      </c>
      <c r="AN2105">
        <v>108.8</v>
      </c>
      <c r="AO2105">
        <v>9.4</v>
      </c>
      <c r="AP2105">
        <v>4</v>
      </c>
      <c r="AQ2105">
        <v>0</v>
      </c>
      <c r="AR2105" t="s">
        <v>7140</v>
      </c>
      <c r="AS2105" t="s">
        <v>7141</v>
      </c>
      <c r="AT2105">
        <v>0.79</v>
      </c>
      <c r="AU2105" t="s">
        <v>106</v>
      </c>
      <c r="AV2105" t="s">
        <v>438</v>
      </c>
      <c r="AW2105" t="s">
        <v>103</v>
      </c>
      <c r="AX2105" t="s">
        <v>2373</v>
      </c>
      <c r="AY2105" t="s">
        <v>7142</v>
      </c>
      <c r="AZ2105">
        <v>180</v>
      </c>
      <c r="BA2105">
        <v>0</v>
      </c>
      <c r="BB2105">
        <v>0</v>
      </c>
      <c r="BC2105">
        <v>3</v>
      </c>
      <c r="BD2105">
        <v>0</v>
      </c>
      <c r="BE2105">
        <f t="shared" si="329"/>
        <v>0</v>
      </c>
    </row>
    <row r="2106" spans="1:57" x14ac:dyDescent="0.25">
      <c r="A2106" t="s">
        <v>39</v>
      </c>
      <c r="B2106" t="s">
        <v>7143</v>
      </c>
      <c r="C2106">
        <v>77</v>
      </c>
      <c r="D2106">
        <v>60.8</v>
      </c>
      <c r="G2106">
        <f t="shared" si="320"/>
        <v>1</v>
      </c>
      <c r="H2106">
        <f t="shared" si="321"/>
        <v>1</v>
      </c>
      <c r="I2106">
        <f t="shared" si="322"/>
        <v>0</v>
      </c>
      <c r="J2106">
        <v>68.3</v>
      </c>
      <c r="K2106">
        <v>77</v>
      </c>
      <c r="L2106">
        <v>60.8</v>
      </c>
      <c r="M2106">
        <v>68.3</v>
      </c>
      <c r="N2106">
        <v>49.4</v>
      </c>
      <c r="O2106">
        <v>53.3</v>
      </c>
      <c r="S2106">
        <f t="shared" si="323"/>
        <v>1</v>
      </c>
      <c r="T2106">
        <f t="shared" si="324"/>
        <v>0</v>
      </c>
      <c r="U2106">
        <f t="shared" si="325"/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31.1</v>
      </c>
      <c r="AC2106">
        <v>28.9</v>
      </c>
      <c r="AG2106">
        <f t="shared" si="326"/>
        <v>1</v>
      </c>
      <c r="AH2106">
        <f t="shared" si="327"/>
        <v>1</v>
      </c>
      <c r="AI2106">
        <f t="shared" si="328"/>
        <v>0</v>
      </c>
      <c r="AJ2106">
        <v>163.69999999999999</v>
      </c>
      <c r="AK2106">
        <v>1001.8</v>
      </c>
      <c r="AL2106">
        <v>41.9</v>
      </c>
      <c r="AM2106">
        <v>5.9</v>
      </c>
      <c r="AN2106">
        <v>168.6</v>
      </c>
      <c r="AO2106">
        <v>14.5</v>
      </c>
      <c r="AP2106">
        <v>6</v>
      </c>
      <c r="AQ2106">
        <v>0</v>
      </c>
      <c r="AR2106" t="s">
        <v>7144</v>
      </c>
      <c r="AS2106" t="s">
        <v>7145</v>
      </c>
      <c r="AT2106">
        <v>0.61</v>
      </c>
      <c r="AU2106" t="s">
        <v>43</v>
      </c>
      <c r="AV2106" t="s">
        <v>44</v>
      </c>
      <c r="AW2106" t="s">
        <v>45</v>
      </c>
      <c r="AX2106" t="s">
        <v>5835</v>
      </c>
      <c r="AY2106" t="s">
        <v>7146</v>
      </c>
      <c r="AZ2106">
        <v>66.000000005587935</v>
      </c>
      <c r="BA2106">
        <v>0</v>
      </c>
      <c r="BB2106">
        <v>0</v>
      </c>
      <c r="BC2106">
        <v>0.2</v>
      </c>
      <c r="BD2106">
        <v>0</v>
      </c>
      <c r="BE2106">
        <f t="shared" si="329"/>
        <v>1</v>
      </c>
    </row>
    <row r="2107" spans="1:57" x14ac:dyDescent="0.25">
      <c r="A2107" t="s">
        <v>39</v>
      </c>
      <c r="B2107" t="s">
        <v>7147</v>
      </c>
      <c r="C2107">
        <v>66.2</v>
      </c>
      <c r="D2107">
        <v>50</v>
      </c>
      <c r="G2107">
        <f t="shared" si="320"/>
        <v>1</v>
      </c>
      <c r="H2107">
        <f t="shared" si="321"/>
        <v>1</v>
      </c>
      <c r="I2107">
        <f t="shared" si="322"/>
        <v>0</v>
      </c>
      <c r="J2107">
        <v>58.5</v>
      </c>
      <c r="K2107">
        <v>66.2</v>
      </c>
      <c r="L2107">
        <v>50</v>
      </c>
      <c r="M2107">
        <v>58.5</v>
      </c>
      <c r="N2107">
        <v>47.5</v>
      </c>
      <c r="O2107">
        <v>67.900000000000006</v>
      </c>
      <c r="S2107">
        <f t="shared" si="323"/>
        <v>1</v>
      </c>
      <c r="T2107">
        <f t="shared" si="324"/>
        <v>1</v>
      </c>
      <c r="U2107">
        <f t="shared" si="325"/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22.6</v>
      </c>
      <c r="AC2107">
        <v>20.7</v>
      </c>
      <c r="AG2107">
        <f t="shared" si="326"/>
        <v>1</v>
      </c>
      <c r="AH2107">
        <f t="shared" si="327"/>
        <v>1</v>
      </c>
      <c r="AI2107">
        <f t="shared" si="328"/>
        <v>0</v>
      </c>
      <c r="AJ2107">
        <v>242.6</v>
      </c>
      <c r="AK2107">
        <v>1012.8</v>
      </c>
      <c r="AL2107">
        <v>29.7</v>
      </c>
      <c r="AM2107">
        <v>6.2</v>
      </c>
      <c r="AN2107">
        <v>224.9</v>
      </c>
      <c r="AO2107">
        <v>19.3</v>
      </c>
      <c r="AP2107">
        <v>8</v>
      </c>
      <c r="AQ2107">
        <v>0</v>
      </c>
      <c r="AR2107" t="s">
        <v>7148</v>
      </c>
      <c r="AS2107" t="s">
        <v>7149</v>
      </c>
      <c r="AT2107">
        <v>0.9</v>
      </c>
      <c r="AU2107" t="s">
        <v>43</v>
      </c>
      <c r="AV2107" t="s">
        <v>44</v>
      </c>
      <c r="AW2107" t="s">
        <v>45</v>
      </c>
      <c r="AX2107" t="s">
        <v>4054</v>
      </c>
      <c r="AY2107" t="s">
        <v>7150</v>
      </c>
      <c r="AZ2107">
        <v>36.000000002095483</v>
      </c>
      <c r="BA2107">
        <v>0</v>
      </c>
      <c r="BB2107">
        <v>0</v>
      </c>
      <c r="BC2107">
        <v>0.5</v>
      </c>
      <c r="BD2107">
        <v>0</v>
      </c>
      <c r="BE2107">
        <f t="shared" si="329"/>
        <v>1</v>
      </c>
    </row>
    <row r="2108" spans="1:57" x14ac:dyDescent="0.25">
      <c r="A2108" t="s">
        <v>39</v>
      </c>
      <c r="B2108" t="s">
        <v>7084</v>
      </c>
      <c r="C2108">
        <v>78.8</v>
      </c>
      <c r="D2108">
        <v>59</v>
      </c>
      <c r="G2108">
        <f t="shared" si="320"/>
        <v>1</v>
      </c>
      <c r="H2108">
        <f t="shared" si="321"/>
        <v>1</v>
      </c>
      <c r="I2108">
        <f t="shared" si="322"/>
        <v>0</v>
      </c>
      <c r="J2108">
        <v>67.400000000000006</v>
      </c>
      <c r="K2108">
        <v>78.8</v>
      </c>
      <c r="L2108">
        <v>59</v>
      </c>
      <c r="M2108">
        <v>67.400000000000006</v>
      </c>
      <c r="N2108">
        <v>46.3</v>
      </c>
      <c r="O2108">
        <v>48.7</v>
      </c>
      <c r="S2108">
        <f t="shared" si="323"/>
        <v>1</v>
      </c>
      <c r="T2108">
        <f t="shared" si="324"/>
        <v>0</v>
      </c>
      <c r="U2108">
        <f t="shared" si="325"/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57.5</v>
      </c>
      <c r="AC2108">
        <v>42.5</v>
      </c>
      <c r="AG2108">
        <f t="shared" si="326"/>
        <v>1</v>
      </c>
      <c r="AH2108">
        <f t="shared" si="327"/>
        <v>1</v>
      </c>
      <c r="AI2108">
        <f t="shared" si="328"/>
        <v>0</v>
      </c>
      <c r="AJ2108">
        <v>170.4</v>
      </c>
      <c r="AK2108">
        <v>1011.6</v>
      </c>
      <c r="AL2108">
        <v>66.400000000000006</v>
      </c>
      <c r="AM2108">
        <v>6.2</v>
      </c>
      <c r="AN2108">
        <v>228.4</v>
      </c>
      <c r="AO2108">
        <v>19.600000000000001</v>
      </c>
      <c r="AP2108">
        <v>8</v>
      </c>
      <c r="AQ2108">
        <v>0</v>
      </c>
      <c r="AR2108" t="s">
        <v>7085</v>
      </c>
      <c r="AS2108" t="s">
        <v>7086</v>
      </c>
      <c r="AT2108">
        <v>0</v>
      </c>
      <c r="AU2108" t="s">
        <v>43</v>
      </c>
      <c r="AV2108" t="s">
        <v>44</v>
      </c>
      <c r="AW2108" t="s">
        <v>419</v>
      </c>
      <c r="AX2108" t="s">
        <v>7151</v>
      </c>
      <c r="AY2108" t="s">
        <v>7152</v>
      </c>
      <c r="AZ2108">
        <v>71.000000000931323</v>
      </c>
      <c r="BA2108">
        <v>0</v>
      </c>
      <c r="BB2108">
        <v>0</v>
      </c>
      <c r="BC2108">
        <v>26</v>
      </c>
      <c r="BD2108">
        <v>0</v>
      </c>
      <c r="BE2108">
        <f t="shared" si="329"/>
        <v>1</v>
      </c>
    </row>
    <row r="2109" spans="1:57" x14ac:dyDescent="0.25">
      <c r="A2109" t="s">
        <v>39</v>
      </c>
      <c r="B2109" t="s">
        <v>7084</v>
      </c>
      <c r="C2109">
        <v>78.8</v>
      </c>
      <c r="D2109">
        <v>59</v>
      </c>
      <c r="G2109">
        <f t="shared" si="320"/>
        <v>1</v>
      </c>
      <c r="H2109">
        <f t="shared" si="321"/>
        <v>1</v>
      </c>
      <c r="I2109">
        <f t="shared" si="322"/>
        <v>0</v>
      </c>
      <c r="J2109">
        <v>67.400000000000006</v>
      </c>
      <c r="K2109">
        <v>78.8</v>
      </c>
      <c r="L2109">
        <v>59</v>
      </c>
      <c r="M2109">
        <v>67.400000000000006</v>
      </c>
      <c r="N2109">
        <v>46.3</v>
      </c>
      <c r="O2109">
        <v>48.7</v>
      </c>
      <c r="S2109">
        <f t="shared" si="323"/>
        <v>1</v>
      </c>
      <c r="T2109">
        <f t="shared" si="324"/>
        <v>0</v>
      </c>
      <c r="U2109">
        <f t="shared" si="325"/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57.5</v>
      </c>
      <c r="AC2109">
        <v>42.5</v>
      </c>
      <c r="AG2109">
        <f t="shared" si="326"/>
        <v>1</v>
      </c>
      <c r="AH2109">
        <f t="shared" si="327"/>
        <v>1</v>
      </c>
      <c r="AI2109">
        <f t="shared" si="328"/>
        <v>0</v>
      </c>
      <c r="AJ2109">
        <v>170.4</v>
      </c>
      <c r="AK2109">
        <v>1011.6</v>
      </c>
      <c r="AL2109">
        <v>66.400000000000006</v>
      </c>
      <c r="AM2109">
        <v>6.2</v>
      </c>
      <c r="AN2109">
        <v>228.4</v>
      </c>
      <c r="AO2109">
        <v>19.600000000000001</v>
      </c>
      <c r="AP2109">
        <v>8</v>
      </c>
      <c r="AQ2109">
        <v>0</v>
      </c>
      <c r="AR2109" t="s">
        <v>7085</v>
      </c>
      <c r="AS2109" t="s">
        <v>7086</v>
      </c>
      <c r="AT2109">
        <v>0</v>
      </c>
      <c r="AU2109" t="s">
        <v>43</v>
      </c>
      <c r="AV2109" t="s">
        <v>44</v>
      </c>
      <c r="AW2109" t="s">
        <v>419</v>
      </c>
      <c r="AX2109" t="s">
        <v>7153</v>
      </c>
      <c r="AY2109" t="s">
        <v>7154</v>
      </c>
      <c r="AZ2109">
        <v>61.999999992549419</v>
      </c>
      <c r="BA2109">
        <v>0</v>
      </c>
      <c r="BB2109">
        <v>0</v>
      </c>
      <c r="BC2109">
        <v>0.5</v>
      </c>
      <c r="BD2109">
        <v>0</v>
      </c>
      <c r="BE2109">
        <f t="shared" si="329"/>
        <v>1</v>
      </c>
    </row>
    <row r="2110" spans="1:57" x14ac:dyDescent="0.25">
      <c r="A2110" t="s">
        <v>39</v>
      </c>
      <c r="B2110" t="s">
        <v>7155</v>
      </c>
      <c r="C2110">
        <v>75.2</v>
      </c>
      <c r="D2110">
        <v>48.2</v>
      </c>
      <c r="G2110">
        <f t="shared" si="320"/>
        <v>1</v>
      </c>
      <c r="H2110">
        <f t="shared" si="321"/>
        <v>1</v>
      </c>
      <c r="I2110">
        <f t="shared" si="322"/>
        <v>0</v>
      </c>
      <c r="J2110">
        <v>62.1</v>
      </c>
      <c r="K2110">
        <v>75.2</v>
      </c>
      <c r="L2110">
        <v>45.1</v>
      </c>
      <c r="M2110">
        <v>61.6</v>
      </c>
      <c r="N2110">
        <v>43.7</v>
      </c>
      <c r="O2110">
        <v>54.8</v>
      </c>
      <c r="S2110">
        <f t="shared" si="323"/>
        <v>1</v>
      </c>
      <c r="T2110">
        <f t="shared" si="324"/>
        <v>0</v>
      </c>
      <c r="U2110">
        <f t="shared" si="325"/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31.1</v>
      </c>
      <c r="AC2110">
        <v>25.2</v>
      </c>
      <c r="AG2110">
        <f t="shared" si="326"/>
        <v>1</v>
      </c>
      <c r="AH2110">
        <f t="shared" si="327"/>
        <v>1</v>
      </c>
      <c r="AI2110">
        <f t="shared" si="328"/>
        <v>0</v>
      </c>
      <c r="AJ2110">
        <v>159.9</v>
      </c>
      <c r="AK2110">
        <v>1015.1</v>
      </c>
      <c r="AL2110">
        <v>42.9</v>
      </c>
      <c r="AM2110">
        <v>6.2</v>
      </c>
      <c r="AN2110">
        <v>251.2</v>
      </c>
      <c r="AO2110">
        <v>21.6</v>
      </c>
      <c r="AP2110">
        <v>8</v>
      </c>
      <c r="AQ2110">
        <v>0</v>
      </c>
      <c r="AR2110" t="s">
        <v>7156</v>
      </c>
      <c r="AS2110" t="s">
        <v>7157</v>
      </c>
      <c r="AT2110">
        <v>0.14000000000000001</v>
      </c>
      <c r="AU2110" t="s">
        <v>43</v>
      </c>
      <c r="AV2110" t="s">
        <v>44</v>
      </c>
      <c r="AW2110" t="s">
        <v>45</v>
      </c>
      <c r="AX2110" t="s">
        <v>7158</v>
      </c>
      <c r="AY2110" t="s">
        <v>7159</v>
      </c>
      <c r="AZ2110">
        <v>52.999999994644902</v>
      </c>
      <c r="BA2110">
        <v>0</v>
      </c>
      <c r="BB2110">
        <v>0</v>
      </c>
      <c r="BC2110">
        <v>0.4</v>
      </c>
      <c r="BD2110">
        <v>0</v>
      </c>
      <c r="BE2110">
        <f t="shared" si="329"/>
        <v>1</v>
      </c>
    </row>
    <row r="2111" spans="1:57" x14ac:dyDescent="0.25">
      <c r="A2111" t="s">
        <v>39</v>
      </c>
      <c r="B2111" t="s">
        <v>7035</v>
      </c>
      <c r="C2111">
        <v>64.400000000000006</v>
      </c>
      <c r="D2111">
        <v>48.2</v>
      </c>
      <c r="G2111">
        <f t="shared" si="320"/>
        <v>1</v>
      </c>
      <c r="H2111">
        <f t="shared" si="321"/>
        <v>0</v>
      </c>
      <c r="I2111">
        <f t="shared" si="322"/>
        <v>1</v>
      </c>
      <c r="J2111">
        <v>58.4</v>
      </c>
      <c r="K2111">
        <v>64.400000000000006</v>
      </c>
      <c r="L2111">
        <v>45.6</v>
      </c>
      <c r="M2111">
        <v>58.2</v>
      </c>
      <c r="N2111">
        <v>48.9</v>
      </c>
      <c r="O2111">
        <v>71.7</v>
      </c>
      <c r="S2111">
        <f t="shared" si="323"/>
        <v>1</v>
      </c>
      <c r="T2111">
        <f t="shared" si="324"/>
        <v>1</v>
      </c>
      <c r="U2111">
        <f t="shared" si="325"/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25.5</v>
      </c>
      <c r="AC2111">
        <v>10.3</v>
      </c>
      <c r="AG2111">
        <f t="shared" si="326"/>
        <v>1</v>
      </c>
      <c r="AH2111">
        <f t="shared" si="327"/>
        <v>0</v>
      </c>
      <c r="AI2111">
        <f t="shared" si="328"/>
        <v>1</v>
      </c>
      <c r="AJ2111">
        <v>301</v>
      </c>
      <c r="AK2111">
        <v>1020</v>
      </c>
      <c r="AL2111">
        <v>14.6</v>
      </c>
      <c r="AM2111">
        <v>6.2</v>
      </c>
      <c r="AN2111">
        <v>280.7</v>
      </c>
      <c r="AO2111">
        <v>24.2</v>
      </c>
      <c r="AP2111">
        <v>9</v>
      </c>
      <c r="AQ2111">
        <v>0</v>
      </c>
      <c r="AR2111" t="s">
        <v>7036</v>
      </c>
      <c r="AS2111" t="s">
        <v>7037</v>
      </c>
      <c r="AT2111">
        <v>0.59</v>
      </c>
      <c r="AU2111" t="s">
        <v>74</v>
      </c>
      <c r="AV2111" t="s">
        <v>2955</v>
      </c>
      <c r="AW2111" t="s">
        <v>75</v>
      </c>
      <c r="AX2111" t="s">
        <v>4085</v>
      </c>
      <c r="AY2111" t="s">
        <v>7160</v>
      </c>
      <c r="AZ2111">
        <v>464.99999999650748</v>
      </c>
      <c r="BA2111">
        <v>1</v>
      </c>
      <c r="BB2111">
        <v>0</v>
      </c>
      <c r="BC2111">
        <v>20</v>
      </c>
      <c r="BD2111">
        <v>0</v>
      </c>
      <c r="BE2111">
        <f t="shared" si="329"/>
        <v>1</v>
      </c>
    </row>
    <row r="2112" spans="1:57" x14ac:dyDescent="0.25">
      <c r="A2112" t="s">
        <v>39</v>
      </c>
      <c r="B2112" t="s">
        <v>7161</v>
      </c>
      <c r="C2112">
        <v>75.2</v>
      </c>
      <c r="D2112">
        <v>59</v>
      </c>
      <c r="G2112">
        <f t="shared" si="320"/>
        <v>1</v>
      </c>
      <c r="H2112">
        <f t="shared" si="321"/>
        <v>1</v>
      </c>
      <c r="I2112">
        <f t="shared" si="322"/>
        <v>0</v>
      </c>
      <c r="J2112">
        <v>66.5</v>
      </c>
      <c r="K2112">
        <v>75.2</v>
      </c>
      <c r="L2112">
        <v>59</v>
      </c>
      <c r="M2112">
        <v>66.5</v>
      </c>
      <c r="N2112">
        <v>57.4</v>
      </c>
      <c r="O2112">
        <v>75.2</v>
      </c>
      <c r="S2112">
        <f t="shared" si="323"/>
        <v>1</v>
      </c>
      <c r="T2112">
        <f t="shared" si="324"/>
        <v>1</v>
      </c>
      <c r="U2112">
        <f t="shared" si="325"/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18.3</v>
      </c>
      <c r="AC2112">
        <v>10.3</v>
      </c>
      <c r="AG2112">
        <f t="shared" si="326"/>
        <v>1</v>
      </c>
      <c r="AH2112">
        <f t="shared" si="327"/>
        <v>0</v>
      </c>
      <c r="AI2112">
        <f t="shared" si="328"/>
        <v>1</v>
      </c>
      <c r="AJ2112">
        <v>338.4</v>
      </c>
      <c r="AK2112">
        <v>1011.8</v>
      </c>
      <c r="AL2112">
        <v>30.2</v>
      </c>
      <c r="AM2112">
        <v>5.3</v>
      </c>
      <c r="AN2112">
        <v>287.89999999999998</v>
      </c>
      <c r="AO2112">
        <v>24.9</v>
      </c>
      <c r="AP2112">
        <v>9</v>
      </c>
      <c r="AQ2112">
        <v>0</v>
      </c>
      <c r="AR2112" t="s">
        <v>7162</v>
      </c>
      <c r="AS2112" t="s">
        <v>7163</v>
      </c>
      <c r="AT2112">
        <v>0.91</v>
      </c>
      <c r="AU2112" t="s">
        <v>43</v>
      </c>
      <c r="AV2112" t="s">
        <v>80</v>
      </c>
      <c r="AW2112" t="s">
        <v>45</v>
      </c>
      <c r="AX2112" t="s">
        <v>5758</v>
      </c>
      <c r="AY2112" t="s">
        <v>7164</v>
      </c>
      <c r="AZ2112">
        <v>60.999999999767169</v>
      </c>
      <c r="BA2112">
        <v>0</v>
      </c>
      <c r="BB2112">
        <v>0</v>
      </c>
      <c r="BC2112">
        <v>0.03</v>
      </c>
      <c r="BD2112">
        <v>0</v>
      </c>
      <c r="BE2112">
        <f t="shared" si="329"/>
        <v>1</v>
      </c>
    </row>
    <row r="2113" spans="1:57" x14ac:dyDescent="0.25">
      <c r="A2113" t="s">
        <v>39</v>
      </c>
      <c r="B2113" t="s">
        <v>7165</v>
      </c>
      <c r="C2113">
        <v>77</v>
      </c>
      <c r="D2113">
        <v>55.4</v>
      </c>
      <c r="G2113">
        <f t="shared" si="320"/>
        <v>1</v>
      </c>
      <c r="H2113">
        <f t="shared" si="321"/>
        <v>1</v>
      </c>
      <c r="I2113">
        <f t="shared" si="322"/>
        <v>0</v>
      </c>
      <c r="J2113">
        <v>66.5</v>
      </c>
      <c r="K2113">
        <v>77</v>
      </c>
      <c r="L2113">
        <v>55.4</v>
      </c>
      <c r="M2113">
        <v>66.5</v>
      </c>
      <c r="N2113">
        <v>51.7</v>
      </c>
      <c r="O2113">
        <v>61.1</v>
      </c>
      <c r="S2113">
        <f t="shared" si="323"/>
        <v>1</v>
      </c>
      <c r="T2113">
        <f t="shared" si="324"/>
        <v>0</v>
      </c>
      <c r="U2113">
        <f t="shared" si="325"/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23.9</v>
      </c>
      <c r="AC2113">
        <v>9.1999999999999993</v>
      </c>
      <c r="AG2113">
        <f t="shared" si="326"/>
        <v>1</v>
      </c>
      <c r="AH2113">
        <f t="shared" si="327"/>
        <v>0</v>
      </c>
      <c r="AI2113">
        <f t="shared" si="328"/>
        <v>1</v>
      </c>
      <c r="AJ2113">
        <v>165.9</v>
      </c>
      <c r="AK2113">
        <v>1014.7</v>
      </c>
      <c r="AL2113">
        <v>1.3</v>
      </c>
      <c r="AM2113">
        <v>6.2</v>
      </c>
      <c r="AN2113">
        <v>311.10000000000002</v>
      </c>
      <c r="AO2113">
        <v>27</v>
      </c>
      <c r="AP2113">
        <v>10</v>
      </c>
      <c r="AQ2113">
        <v>0</v>
      </c>
      <c r="AR2113" t="s">
        <v>7166</v>
      </c>
      <c r="AS2113" t="s">
        <v>7167</v>
      </c>
      <c r="AT2113">
        <v>0.33</v>
      </c>
      <c r="AU2113" t="s">
        <v>74</v>
      </c>
      <c r="AV2113" t="s">
        <v>2955</v>
      </c>
      <c r="AW2113" t="s">
        <v>75</v>
      </c>
      <c r="AX2113" t="s">
        <v>7168</v>
      </c>
      <c r="AY2113" t="s">
        <v>7169</v>
      </c>
      <c r="AZ2113">
        <v>113.0000000016298</v>
      </c>
      <c r="BA2113">
        <v>0</v>
      </c>
      <c r="BB2113">
        <v>0</v>
      </c>
      <c r="BC2113">
        <v>6</v>
      </c>
      <c r="BD2113">
        <v>0</v>
      </c>
      <c r="BE2113">
        <f t="shared" si="329"/>
        <v>1</v>
      </c>
    </row>
    <row r="2114" spans="1:57" x14ac:dyDescent="0.25">
      <c r="A2114" t="s">
        <v>39</v>
      </c>
      <c r="B2114" t="s">
        <v>7170</v>
      </c>
      <c r="C2114">
        <v>77</v>
      </c>
      <c r="D2114">
        <v>54.8</v>
      </c>
      <c r="G2114">
        <f t="shared" si="320"/>
        <v>1</v>
      </c>
      <c r="H2114">
        <f t="shared" si="321"/>
        <v>1</v>
      </c>
      <c r="I2114">
        <f t="shared" si="322"/>
        <v>0</v>
      </c>
      <c r="J2114">
        <v>68.900000000000006</v>
      </c>
      <c r="K2114">
        <v>77</v>
      </c>
      <c r="L2114">
        <v>54.8</v>
      </c>
      <c r="M2114">
        <v>68.900000000000006</v>
      </c>
      <c r="N2114">
        <v>60</v>
      </c>
      <c r="O2114">
        <v>73.900000000000006</v>
      </c>
      <c r="S2114">
        <f t="shared" si="323"/>
        <v>1</v>
      </c>
      <c r="T2114">
        <f t="shared" si="324"/>
        <v>1</v>
      </c>
      <c r="U2114">
        <f t="shared" si="325"/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18.3</v>
      </c>
      <c r="AC2114">
        <v>9.1999999999999993</v>
      </c>
      <c r="AG2114">
        <f t="shared" si="326"/>
        <v>1</v>
      </c>
      <c r="AH2114">
        <f t="shared" si="327"/>
        <v>0</v>
      </c>
      <c r="AI2114">
        <f t="shared" si="328"/>
        <v>1</v>
      </c>
      <c r="AJ2114">
        <v>134</v>
      </c>
      <c r="AK2114">
        <v>1012.7</v>
      </c>
      <c r="AL2114">
        <v>13.6</v>
      </c>
      <c r="AM2114">
        <v>6.2</v>
      </c>
      <c r="AN2114">
        <v>312.10000000000002</v>
      </c>
      <c r="AO2114">
        <v>27.1</v>
      </c>
      <c r="AP2114">
        <v>10</v>
      </c>
      <c r="AQ2114">
        <v>0</v>
      </c>
      <c r="AR2114" t="s">
        <v>7171</v>
      </c>
      <c r="AS2114" t="s">
        <v>7172</v>
      </c>
      <c r="AT2114">
        <v>0.44</v>
      </c>
      <c r="AU2114" t="s">
        <v>74</v>
      </c>
      <c r="AV2114" t="s">
        <v>2955</v>
      </c>
      <c r="AW2114" t="s">
        <v>75</v>
      </c>
      <c r="AX2114" t="s">
        <v>5656</v>
      </c>
      <c r="AY2114" t="s">
        <v>7173</v>
      </c>
      <c r="AZ2114">
        <v>125.9999999916181</v>
      </c>
      <c r="BA2114">
        <v>0</v>
      </c>
      <c r="BB2114">
        <v>0</v>
      </c>
      <c r="BC2114">
        <v>1</v>
      </c>
      <c r="BD2114">
        <v>0</v>
      </c>
      <c r="BE2114">
        <f t="shared" si="329"/>
        <v>1</v>
      </c>
    </row>
    <row r="2115" spans="1:57" x14ac:dyDescent="0.25">
      <c r="A2115" t="s">
        <v>39</v>
      </c>
      <c r="B2115" t="s">
        <v>7174</v>
      </c>
      <c r="C2115">
        <v>87.8</v>
      </c>
      <c r="D2115">
        <v>71.599999999999994</v>
      </c>
      <c r="G2115">
        <f t="shared" ref="G2115:G2178" si="330">IF(ABS(C2115-INDEX($F$2:$F$13,MONTH(B2115)))&gt;1.8,1,0)</f>
        <v>1</v>
      </c>
      <c r="H2115">
        <f t="shared" ref="H2115:H2178" si="331">IF(C2115&gt;=INDEX($F$2:$F$13,MONTH(B2115))+1.8,1,0)</f>
        <v>1</v>
      </c>
      <c r="I2115">
        <f t="shared" ref="I2115:I2178" si="332">IF(C2115&lt;=INDEX($F$2:$F$13,MONTH(B2115))-1.8,1,0)</f>
        <v>0</v>
      </c>
      <c r="J2115">
        <v>79.099999999999994</v>
      </c>
      <c r="K2115">
        <v>92</v>
      </c>
      <c r="L2115">
        <v>71.599999999999994</v>
      </c>
      <c r="M2115">
        <v>81.099999999999994</v>
      </c>
      <c r="N2115">
        <v>68.099999999999994</v>
      </c>
      <c r="O2115">
        <v>70.400000000000006</v>
      </c>
      <c r="S2115">
        <f t="shared" ref="S2115:S2178" si="333">IF(OR(O2115&lt;INDEX($Q$2:$Q$13,MONTH(B2115)),O2115&gt;INDEX($R$2:$R$13,MONTH(B2115))),1,0)</f>
        <v>1</v>
      </c>
      <c r="T2115">
        <f t="shared" ref="T2115:T2178" si="334">IF(O2115&gt;INDEX($R$2:$R$13,MONTH(B2115)),1,0)</f>
        <v>1</v>
      </c>
      <c r="U2115">
        <f t="shared" ref="U2115:U2178" si="335">IF(O2115&lt;INDEX($Q$2:$Q$13,MONTH(B2115)),1,0)</f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23.3</v>
      </c>
      <c r="AC2115">
        <v>21.9</v>
      </c>
      <c r="AG2115">
        <f t="shared" ref="AG2115:AG2178" si="336">IF(OR(AC2115&lt;INDEX($AE$2:$AE$13,MONTH(B2115)),AC2115&gt;INDEX($AF$2:$AF$13,MONTH(B2115))),1,0)</f>
        <v>1</v>
      </c>
      <c r="AH2115">
        <f t="shared" ref="AH2115:AH2178" si="337">IF(AC2115&gt;INDEX($AF$2:$AF$13,MONTH(B2115)),1,0)</f>
        <v>1</v>
      </c>
      <c r="AI2115">
        <f t="shared" ref="AI2115:AI2178" si="338">IF(AC2115&lt;INDEX($AE$2:$AE$13,MONTH(B2115)),1,0)</f>
        <v>0</v>
      </c>
      <c r="AJ2115">
        <v>296.89999999999998</v>
      </c>
      <c r="AK2115">
        <v>1008.9</v>
      </c>
      <c r="AL2115">
        <v>0.1</v>
      </c>
      <c r="AM2115">
        <v>6.2</v>
      </c>
      <c r="AN2115">
        <v>279.60000000000002</v>
      </c>
      <c r="AO2115">
        <v>24.1</v>
      </c>
      <c r="AP2115">
        <v>9</v>
      </c>
      <c r="AQ2115">
        <v>0</v>
      </c>
      <c r="AR2115" t="s">
        <v>7175</v>
      </c>
      <c r="AS2115" t="s">
        <v>7176</v>
      </c>
      <c r="AT2115">
        <v>0.81</v>
      </c>
      <c r="AU2115" t="s">
        <v>74</v>
      </c>
      <c r="AV2115" t="s">
        <v>2955</v>
      </c>
      <c r="AW2115" t="s">
        <v>75</v>
      </c>
      <c r="AX2115" t="s">
        <v>7177</v>
      </c>
      <c r="AY2115" t="s">
        <v>7178</v>
      </c>
      <c r="AZ2115">
        <v>2055.9999999962752</v>
      </c>
      <c r="BA2115">
        <v>1</v>
      </c>
      <c r="BB2115">
        <v>0</v>
      </c>
      <c r="BC2115">
        <v>80</v>
      </c>
      <c r="BD2115">
        <v>0</v>
      </c>
      <c r="BE2115">
        <f t="shared" ref="BE2115:BE2178" si="339">IF((3*AH2115+3*H2115+2*U2115+2*BA2115-(2*(1-T2115)+2*(1-I2115)+2*(1-AI2115)))&gt;=1,1,0)</f>
        <v>1</v>
      </c>
    </row>
    <row r="2116" spans="1:57" x14ac:dyDescent="0.25">
      <c r="A2116" t="s">
        <v>39</v>
      </c>
      <c r="B2116" t="s">
        <v>7179</v>
      </c>
      <c r="C2116">
        <v>80.599999999999994</v>
      </c>
      <c r="D2116">
        <v>66.2</v>
      </c>
      <c r="G2116">
        <f t="shared" si="330"/>
        <v>0</v>
      </c>
      <c r="H2116">
        <f t="shared" si="331"/>
        <v>0</v>
      </c>
      <c r="I2116">
        <f t="shared" si="332"/>
        <v>0</v>
      </c>
      <c r="J2116">
        <v>73.3</v>
      </c>
      <c r="K2116">
        <v>85.4</v>
      </c>
      <c r="L2116">
        <v>66.2</v>
      </c>
      <c r="M2116">
        <v>74</v>
      </c>
      <c r="N2116">
        <v>66.099999999999994</v>
      </c>
      <c r="O2116">
        <v>78.2</v>
      </c>
      <c r="S2116">
        <f t="shared" si="333"/>
        <v>1</v>
      </c>
      <c r="T2116">
        <f t="shared" si="334"/>
        <v>1</v>
      </c>
      <c r="U2116">
        <f t="shared" si="335"/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32.700000000000003</v>
      </c>
      <c r="AC2116">
        <v>21.9</v>
      </c>
      <c r="AG2116">
        <f t="shared" si="336"/>
        <v>1</v>
      </c>
      <c r="AH2116">
        <f t="shared" si="337"/>
        <v>1</v>
      </c>
      <c r="AI2116">
        <f t="shared" si="338"/>
        <v>0</v>
      </c>
      <c r="AJ2116">
        <v>314</v>
      </c>
      <c r="AK2116">
        <v>1014.2</v>
      </c>
      <c r="AL2116">
        <v>28.1</v>
      </c>
      <c r="AM2116">
        <v>6.2</v>
      </c>
      <c r="AN2116">
        <v>220.5</v>
      </c>
      <c r="AO2116">
        <v>19</v>
      </c>
      <c r="AP2116">
        <v>8</v>
      </c>
      <c r="AQ2116">
        <v>0</v>
      </c>
      <c r="AR2116" t="s">
        <v>7180</v>
      </c>
      <c r="AS2116" t="s">
        <v>7181</v>
      </c>
      <c r="AT2116">
        <v>0.5</v>
      </c>
      <c r="AU2116" t="s">
        <v>43</v>
      </c>
      <c r="AV2116" t="s">
        <v>44</v>
      </c>
      <c r="AW2116" t="s">
        <v>45</v>
      </c>
      <c r="AX2116" t="s">
        <v>7182</v>
      </c>
      <c r="AY2116" t="s">
        <v>7183</v>
      </c>
      <c r="AZ2116">
        <v>2040.9999999997669</v>
      </c>
      <c r="BA2116">
        <v>1</v>
      </c>
      <c r="BB2116">
        <v>0</v>
      </c>
      <c r="BC2116">
        <v>30</v>
      </c>
      <c r="BD2116">
        <v>0</v>
      </c>
      <c r="BE2116">
        <f t="shared" si="339"/>
        <v>1</v>
      </c>
    </row>
    <row r="2117" spans="1:57" x14ac:dyDescent="0.25">
      <c r="A2117" t="s">
        <v>39</v>
      </c>
      <c r="B2117" t="s">
        <v>7184</v>
      </c>
      <c r="C2117">
        <v>71.599999999999994</v>
      </c>
      <c r="D2117">
        <v>66.2</v>
      </c>
      <c r="G2117">
        <f t="shared" si="330"/>
        <v>1</v>
      </c>
      <c r="H2117">
        <f t="shared" si="331"/>
        <v>0</v>
      </c>
      <c r="I2117">
        <f t="shared" si="332"/>
        <v>1</v>
      </c>
      <c r="J2117">
        <v>69.2</v>
      </c>
      <c r="K2117">
        <v>71.599999999999994</v>
      </c>
      <c r="L2117">
        <v>66.2</v>
      </c>
      <c r="M2117">
        <v>69.2</v>
      </c>
      <c r="N2117">
        <v>61.2</v>
      </c>
      <c r="O2117">
        <v>75.900000000000006</v>
      </c>
      <c r="S2117">
        <f t="shared" si="333"/>
        <v>1</v>
      </c>
      <c r="T2117">
        <f t="shared" si="334"/>
        <v>1</v>
      </c>
      <c r="U2117">
        <f t="shared" si="335"/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41.2</v>
      </c>
      <c r="AC2117">
        <v>24.2</v>
      </c>
      <c r="AG2117">
        <f t="shared" si="336"/>
        <v>1</v>
      </c>
      <c r="AH2117">
        <f t="shared" si="337"/>
        <v>1</v>
      </c>
      <c r="AI2117">
        <f t="shared" si="338"/>
        <v>0</v>
      </c>
      <c r="AJ2117">
        <v>327.3</v>
      </c>
      <c r="AK2117">
        <v>1018.3</v>
      </c>
      <c r="AL2117">
        <v>77.7</v>
      </c>
      <c r="AM2117">
        <v>6.2</v>
      </c>
      <c r="AN2117">
        <v>185.6</v>
      </c>
      <c r="AO2117">
        <v>16</v>
      </c>
      <c r="AP2117">
        <v>7</v>
      </c>
      <c r="AQ2117">
        <v>0</v>
      </c>
      <c r="AR2117" t="s">
        <v>7185</v>
      </c>
      <c r="AS2117" t="s">
        <v>7186</v>
      </c>
      <c r="AT2117">
        <v>0.54</v>
      </c>
      <c r="AU2117" t="s">
        <v>43</v>
      </c>
      <c r="AV2117" t="s">
        <v>44</v>
      </c>
      <c r="AW2117" t="s">
        <v>45</v>
      </c>
      <c r="AX2117" t="s">
        <v>7187</v>
      </c>
      <c r="AY2117" t="s">
        <v>7188</v>
      </c>
      <c r="AZ2117">
        <v>997.00000000186265</v>
      </c>
      <c r="BA2117">
        <v>1</v>
      </c>
      <c r="BB2117">
        <v>0</v>
      </c>
      <c r="BC2117">
        <v>10</v>
      </c>
      <c r="BD2117">
        <v>0</v>
      </c>
      <c r="BE2117">
        <f t="shared" si="339"/>
        <v>1</v>
      </c>
    </row>
    <row r="2118" spans="1:57" x14ac:dyDescent="0.25">
      <c r="A2118" t="s">
        <v>39</v>
      </c>
      <c r="B2118" t="s">
        <v>7099</v>
      </c>
      <c r="C2118">
        <v>71.599999999999994</v>
      </c>
      <c r="D2118">
        <v>68</v>
      </c>
      <c r="G2118">
        <f t="shared" si="330"/>
        <v>1</v>
      </c>
      <c r="H2118">
        <f t="shared" si="331"/>
        <v>0</v>
      </c>
      <c r="I2118">
        <f t="shared" si="332"/>
        <v>1</v>
      </c>
      <c r="J2118">
        <v>69.400000000000006</v>
      </c>
      <c r="K2118">
        <v>71.599999999999994</v>
      </c>
      <c r="L2118">
        <v>68</v>
      </c>
      <c r="M2118">
        <v>69.400000000000006</v>
      </c>
      <c r="N2118">
        <v>61.3</v>
      </c>
      <c r="O2118">
        <v>75.8</v>
      </c>
      <c r="S2118">
        <f t="shared" si="333"/>
        <v>1</v>
      </c>
      <c r="T2118">
        <f t="shared" si="334"/>
        <v>1</v>
      </c>
      <c r="U2118">
        <f t="shared" si="335"/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28</v>
      </c>
      <c r="AC2118">
        <v>20.8</v>
      </c>
      <c r="AG2118">
        <f t="shared" si="336"/>
        <v>1</v>
      </c>
      <c r="AH2118">
        <f t="shared" si="337"/>
        <v>1</v>
      </c>
      <c r="AI2118">
        <f t="shared" si="338"/>
        <v>0</v>
      </c>
      <c r="AJ2118">
        <v>337.8</v>
      </c>
      <c r="AK2118">
        <v>1015.1</v>
      </c>
      <c r="AL2118">
        <v>89.1</v>
      </c>
      <c r="AM2118">
        <v>6.2</v>
      </c>
      <c r="AN2118">
        <v>92.7</v>
      </c>
      <c r="AO2118">
        <v>8</v>
      </c>
      <c r="AP2118">
        <v>4</v>
      </c>
      <c r="AQ2118">
        <v>0</v>
      </c>
      <c r="AR2118" t="s">
        <v>7100</v>
      </c>
      <c r="AS2118" t="s">
        <v>7101</v>
      </c>
      <c r="AT2118">
        <v>0.57999999999999996</v>
      </c>
      <c r="AU2118" t="s">
        <v>43</v>
      </c>
      <c r="AV2118" t="s">
        <v>44</v>
      </c>
      <c r="AW2118" t="s">
        <v>45</v>
      </c>
      <c r="AX2118" t="s">
        <v>2788</v>
      </c>
      <c r="AY2118" t="s">
        <v>7189</v>
      </c>
      <c r="AZ2118">
        <v>634.99999999534339</v>
      </c>
      <c r="BA2118">
        <v>1</v>
      </c>
      <c r="BB2118">
        <v>0</v>
      </c>
      <c r="BC2118">
        <v>100</v>
      </c>
      <c r="BD2118">
        <v>0</v>
      </c>
      <c r="BE2118">
        <f t="shared" si="339"/>
        <v>1</v>
      </c>
    </row>
    <row r="2119" spans="1:57" x14ac:dyDescent="0.25">
      <c r="A2119" t="s">
        <v>39</v>
      </c>
      <c r="B2119" t="s">
        <v>7190</v>
      </c>
      <c r="C2119">
        <v>55.4</v>
      </c>
      <c r="D2119">
        <v>51.8</v>
      </c>
      <c r="G2119">
        <f t="shared" si="330"/>
        <v>1</v>
      </c>
      <c r="H2119">
        <f t="shared" si="331"/>
        <v>0</v>
      </c>
      <c r="I2119">
        <f t="shared" si="332"/>
        <v>1</v>
      </c>
      <c r="J2119">
        <v>53.5</v>
      </c>
      <c r="K2119">
        <v>55.4</v>
      </c>
      <c r="L2119">
        <v>51.8</v>
      </c>
      <c r="M2119">
        <v>53.5</v>
      </c>
      <c r="N2119">
        <v>45.7</v>
      </c>
      <c r="O2119">
        <v>75.099999999999994</v>
      </c>
      <c r="S2119">
        <f t="shared" si="333"/>
        <v>1</v>
      </c>
      <c r="T2119">
        <f t="shared" si="334"/>
        <v>1</v>
      </c>
      <c r="U2119">
        <f t="shared" si="335"/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42.7</v>
      </c>
      <c r="AC2119">
        <v>31.1</v>
      </c>
      <c r="AG2119">
        <f t="shared" si="336"/>
        <v>1</v>
      </c>
      <c r="AH2119">
        <f t="shared" si="337"/>
        <v>1</v>
      </c>
      <c r="AI2119">
        <f t="shared" si="338"/>
        <v>0</v>
      </c>
      <c r="AJ2119">
        <v>324.7</v>
      </c>
      <c r="AK2119">
        <v>1018.3</v>
      </c>
      <c r="AL2119">
        <v>82.6</v>
      </c>
      <c r="AM2119">
        <v>6.2</v>
      </c>
      <c r="AN2119">
        <v>88.2</v>
      </c>
      <c r="AO2119">
        <v>7.7</v>
      </c>
      <c r="AP2119">
        <v>4</v>
      </c>
      <c r="AQ2119">
        <v>0</v>
      </c>
      <c r="AR2119" t="s">
        <v>7191</v>
      </c>
      <c r="AS2119" t="s">
        <v>7192</v>
      </c>
      <c r="AT2119">
        <v>0</v>
      </c>
      <c r="AU2119" t="s">
        <v>43</v>
      </c>
      <c r="AV2119" t="s">
        <v>44</v>
      </c>
      <c r="AW2119" t="s">
        <v>419</v>
      </c>
      <c r="AX2119" t="s">
        <v>6419</v>
      </c>
      <c r="AY2119" t="s">
        <v>7193</v>
      </c>
      <c r="AZ2119">
        <v>110.9999999951106</v>
      </c>
      <c r="BA2119">
        <v>0</v>
      </c>
      <c r="BB2119">
        <v>0</v>
      </c>
      <c r="BC2119">
        <v>100</v>
      </c>
      <c r="BD2119">
        <v>0</v>
      </c>
      <c r="BE2119">
        <f t="shared" si="339"/>
        <v>1</v>
      </c>
    </row>
    <row r="2120" spans="1:57" x14ac:dyDescent="0.25">
      <c r="A2120" t="s">
        <v>39</v>
      </c>
      <c r="B2120" t="s">
        <v>7194</v>
      </c>
      <c r="C2120">
        <v>68</v>
      </c>
      <c r="D2120">
        <v>51.8</v>
      </c>
      <c r="G2120">
        <f t="shared" si="330"/>
        <v>1</v>
      </c>
      <c r="H2120">
        <f t="shared" si="331"/>
        <v>0</v>
      </c>
      <c r="I2120">
        <f t="shared" si="332"/>
        <v>1</v>
      </c>
      <c r="J2120">
        <v>61.4</v>
      </c>
      <c r="K2120">
        <v>68</v>
      </c>
      <c r="L2120">
        <v>51.8</v>
      </c>
      <c r="M2120">
        <v>61.4</v>
      </c>
      <c r="N2120">
        <v>51.9</v>
      </c>
      <c r="O2120">
        <v>71.400000000000006</v>
      </c>
      <c r="S2120">
        <f t="shared" si="333"/>
        <v>1</v>
      </c>
      <c r="T2120">
        <f t="shared" si="334"/>
        <v>1</v>
      </c>
      <c r="U2120">
        <f t="shared" si="335"/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19.7</v>
      </c>
      <c r="AC2120">
        <v>15</v>
      </c>
      <c r="AG2120">
        <f t="shared" si="336"/>
        <v>1</v>
      </c>
      <c r="AH2120">
        <f t="shared" si="337"/>
        <v>0</v>
      </c>
      <c r="AI2120">
        <f t="shared" si="338"/>
        <v>1</v>
      </c>
      <c r="AJ2120">
        <v>305.3</v>
      </c>
      <c r="AK2120">
        <v>1019.3</v>
      </c>
      <c r="AL2120">
        <v>10.4</v>
      </c>
      <c r="AM2120">
        <v>6.2</v>
      </c>
      <c r="AN2120">
        <v>183.9</v>
      </c>
      <c r="AO2120">
        <v>15.9</v>
      </c>
      <c r="AP2120">
        <v>7</v>
      </c>
      <c r="AQ2120">
        <v>0</v>
      </c>
      <c r="AR2120" t="s">
        <v>7195</v>
      </c>
      <c r="AS2120" t="s">
        <v>7196</v>
      </c>
      <c r="AT2120">
        <v>0.56000000000000005</v>
      </c>
      <c r="AU2120" t="s">
        <v>74</v>
      </c>
      <c r="AV2120" t="s">
        <v>2955</v>
      </c>
      <c r="AW2120" t="s">
        <v>75</v>
      </c>
      <c r="AX2120" t="s">
        <v>2454</v>
      </c>
      <c r="AY2120" t="s">
        <v>7197</v>
      </c>
      <c r="AZ2120">
        <v>79.999999998835847</v>
      </c>
      <c r="BA2120">
        <v>0</v>
      </c>
      <c r="BB2120">
        <v>0.1</v>
      </c>
      <c r="BC2120">
        <v>0</v>
      </c>
      <c r="BD2120">
        <v>0</v>
      </c>
      <c r="BE2120">
        <f t="shared" si="339"/>
        <v>0</v>
      </c>
    </row>
    <row r="2121" spans="1:57" x14ac:dyDescent="0.25">
      <c r="A2121" t="s">
        <v>39</v>
      </c>
      <c r="B2121" t="s">
        <v>7198</v>
      </c>
      <c r="C2121">
        <v>86</v>
      </c>
      <c r="D2121">
        <v>71.599999999999994</v>
      </c>
      <c r="G2121">
        <f t="shared" si="330"/>
        <v>1</v>
      </c>
      <c r="H2121">
        <f t="shared" si="331"/>
        <v>1</v>
      </c>
      <c r="I2121">
        <f t="shared" si="332"/>
        <v>0</v>
      </c>
      <c r="J2121">
        <v>80.3</v>
      </c>
      <c r="K2121">
        <v>93.5</v>
      </c>
      <c r="L2121">
        <v>71.599999999999994</v>
      </c>
      <c r="M2121">
        <v>83.4</v>
      </c>
      <c r="N2121">
        <v>70.2</v>
      </c>
      <c r="O2121">
        <v>71.8</v>
      </c>
      <c r="S2121">
        <f t="shared" si="333"/>
        <v>1</v>
      </c>
      <c r="T2121">
        <f t="shared" si="334"/>
        <v>1</v>
      </c>
      <c r="U2121">
        <f t="shared" si="335"/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26.6</v>
      </c>
      <c r="AC2121">
        <v>12.8</v>
      </c>
      <c r="AG2121">
        <f t="shared" si="336"/>
        <v>1</v>
      </c>
      <c r="AH2121">
        <f t="shared" si="337"/>
        <v>0</v>
      </c>
      <c r="AI2121">
        <f t="shared" si="338"/>
        <v>1</v>
      </c>
      <c r="AJ2121">
        <v>319.10000000000002</v>
      </c>
      <c r="AK2121">
        <v>1010.2</v>
      </c>
      <c r="AL2121">
        <v>10.3</v>
      </c>
      <c r="AM2121">
        <v>6.2</v>
      </c>
      <c r="AN2121">
        <v>296</v>
      </c>
      <c r="AO2121">
        <v>25.5</v>
      </c>
      <c r="AP2121">
        <v>9</v>
      </c>
      <c r="AQ2121">
        <v>0</v>
      </c>
      <c r="AR2121" t="s">
        <v>7199</v>
      </c>
      <c r="AS2121" t="s">
        <v>7200</v>
      </c>
      <c r="AT2121">
        <v>0.16</v>
      </c>
      <c r="AU2121" t="s">
        <v>74</v>
      </c>
      <c r="AV2121" t="s">
        <v>2955</v>
      </c>
      <c r="AW2121" t="s">
        <v>75</v>
      </c>
      <c r="AX2121" t="s">
        <v>2454</v>
      </c>
      <c r="AY2121" t="s">
        <v>7201</v>
      </c>
      <c r="AZ2121">
        <v>959.99999999650754</v>
      </c>
      <c r="BA2121">
        <v>1</v>
      </c>
      <c r="BB2121">
        <v>2</v>
      </c>
      <c r="BC2121">
        <v>0</v>
      </c>
      <c r="BD2121">
        <v>0</v>
      </c>
      <c r="BE2121">
        <f t="shared" si="339"/>
        <v>1</v>
      </c>
    </row>
    <row r="2122" spans="1:57" x14ac:dyDescent="0.25">
      <c r="A2122" t="s">
        <v>39</v>
      </c>
      <c r="B2122" t="s">
        <v>7047</v>
      </c>
      <c r="C2122">
        <v>86</v>
      </c>
      <c r="D2122">
        <v>78.8</v>
      </c>
      <c r="G2122">
        <f t="shared" si="330"/>
        <v>1</v>
      </c>
      <c r="H2122">
        <f t="shared" si="331"/>
        <v>1</v>
      </c>
      <c r="I2122">
        <f t="shared" si="332"/>
        <v>0</v>
      </c>
      <c r="J2122">
        <v>82.3</v>
      </c>
      <c r="K2122">
        <v>87.5</v>
      </c>
      <c r="L2122">
        <v>78.8</v>
      </c>
      <c r="M2122">
        <v>84.1</v>
      </c>
      <c r="N2122">
        <v>66.5</v>
      </c>
      <c r="O2122">
        <v>59.6</v>
      </c>
      <c r="S2122">
        <f t="shared" si="333"/>
        <v>0</v>
      </c>
      <c r="T2122">
        <f t="shared" si="334"/>
        <v>0</v>
      </c>
      <c r="U2122">
        <f t="shared" si="335"/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33.1</v>
      </c>
      <c r="AC2122">
        <v>18.3</v>
      </c>
      <c r="AG2122">
        <f t="shared" si="336"/>
        <v>0</v>
      </c>
      <c r="AH2122">
        <f t="shared" si="337"/>
        <v>0</v>
      </c>
      <c r="AI2122">
        <f t="shared" si="338"/>
        <v>0</v>
      </c>
      <c r="AJ2122">
        <v>305.2</v>
      </c>
      <c r="AK2122">
        <v>1010.3</v>
      </c>
      <c r="AL2122">
        <v>1.5</v>
      </c>
      <c r="AM2122">
        <v>6.2</v>
      </c>
      <c r="AN2122">
        <v>333.6</v>
      </c>
      <c r="AO2122">
        <v>29</v>
      </c>
      <c r="AP2122">
        <v>10</v>
      </c>
      <c r="AQ2122">
        <v>0</v>
      </c>
      <c r="AR2122" t="s">
        <v>7048</v>
      </c>
      <c r="AS2122" t="s">
        <v>7049</v>
      </c>
      <c r="AT2122">
        <v>0.11</v>
      </c>
      <c r="AU2122" t="s">
        <v>74</v>
      </c>
      <c r="AV2122" t="s">
        <v>2955</v>
      </c>
      <c r="AW2122" t="s">
        <v>75</v>
      </c>
      <c r="AX2122" t="s">
        <v>4788</v>
      </c>
      <c r="AY2122" t="s">
        <v>7202</v>
      </c>
      <c r="AZ2122">
        <v>1339.9999999988361</v>
      </c>
      <c r="BA2122">
        <v>1</v>
      </c>
      <c r="BB2122">
        <v>20</v>
      </c>
      <c r="BC2122">
        <v>0</v>
      </c>
      <c r="BD2122">
        <v>0</v>
      </c>
      <c r="BE2122">
        <f t="shared" si="339"/>
        <v>0</v>
      </c>
    </row>
    <row r="2123" spans="1:57" x14ac:dyDescent="0.25">
      <c r="A2123" t="s">
        <v>39</v>
      </c>
      <c r="B2123" t="s">
        <v>7031</v>
      </c>
      <c r="C2123">
        <v>80.599999999999994</v>
      </c>
      <c r="D2123">
        <v>62.6</v>
      </c>
      <c r="G2123">
        <f t="shared" si="330"/>
        <v>1</v>
      </c>
      <c r="H2123">
        <f t="shared" si="331"/>
        <v>1</v>
      </c>
      <c r="I2123">
        <f t="shared" si="332"/>
        <v>0</v>
      </c>
      <c r="J2123">
        <v>71.7</v>
      </c>
      <c r="K2123">
        <v>79.400000000000006</v>
      </c>
      <c r="L2123">
        <v>62.6</v>
      </c>
      <c r="M2123">
        <v>71.599999999999994</v>
      </c>
      <c r="N2123">
        <v>48.3</v>
      </c>
      <c r="O2123">
        <v>45.8</v>
      </c>
      <c r="S2123">
        <f t="shared" si="333"/>
        <v>1</v>
      </c>
      <c r="T2123">
        <f t="shared" si="334"/>
        <v>0</v>
      </c>
      <c r="U2123">
        <f t="shared" si="335"/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55.4</v>
      </c>
      <c r="AC2123">
        <v>43.7</v>
      </c>
      <c r="AG2123">
        <f t="shared" si="336"/>
        <v>1</v>
      </c>
      <c r="AH2123">
        <f t="shared" si="337"/>
        <v>1</v>
      </c>
      <c r="AI2123">
        <f t="shared" si="338"/>
        <v>0</v>
      </c>
      <c r="AJ2123">
        <v>182.6</v>
      </c>
      <c r="AK2123">
        <v>1002.8</v>
      </c>
      <c r="AL2123">
        <v>11.5</v>
      </c>
      <c r="AM2123">
        <v>3.7</v>
      </c>
      <c r="AN2123">
        <v>233</v>
      </c>
      <c r="AO2123">
        <v>19.899999999999999</v>
      </c>
      <c r="AP2123">
        <v>8</v>
      </c>
      <c r="AQ2123">
        <v>0</v>
      </c>
      <c r="AR2123" t="s">
        <v>7032</v>
      </c>
      <c r="AS2123" t="s">
        <v>7033</v>
      </c>
      <c r="AT2123">
        <v>0.17</v>
      </c>
      <c r="AU2123" t="s">
        <v>74</v>
      </c>
      <c r="AV2123" t="s">
        <v>2955</v>
      </c>
      <c r="AW2123" t="s">
        <v>419</v>
      </c>
      <c r="AX2123" t="s">
        <v>7203</v>
      </c>
      <c r="AY2123" t="s">
        <v>7204</v>
      </c>
      <c r="AZ2123">
        <v>291.99999999837019</v>
      </c>
      <c r="BA2123">
        <v>0</v>
      </c>
      <c r="BB2123">
        <v>0</v>
      </c>
      <c r="BC2123">
        <v>1.5</v>
      </c>
      <c r="BD2123">
        <v>0</v>
      </c>
      <c r="BE2123">
        <f t="shared" si="339"/>
        <v>1</v>
      </c>
    </row>
    <row r="2124" spans="1:57" x14ac:dyDescent="0.25">
      <c r="A2124" t="s">
        <v>39</v>
      </c>
      <c r="B2124" t="s">
        <v>7205</v>
      </c>
      <c r="C2124">
        <v>66.2</v>
      </c>
      <c r="D2124">
        <v>57.2</v>
      </c>
      <c r="G2124">
        <f t="shared" si="330"/>
        <v>1</v>
      </c>
      <c r="H2124">
        <f t="shared" si="331"/>
        <v>1</v>
      </c>
      <c r="I2124">
        <f t="shared" si="332"/>
        <v>0</v>
      </c>
      <c r="J2124">
        <v>61.1</v>
      </c>
      <c r="K2124">
        <v>66.2</v>
      </c>
      <c r="L2124">
        <v>57.2</v>
      </c>
      <c r="M2124">
        <v>61.1</v>
      </c>
      <c r="N2124">
        <v>49.5</v>
      </c>
      <c r="O2124">
        <v>66.8</v>
      </c>
      <c r="S2124">
        <f t="shared" si="333"/>
        <v>1</v>
      </c>
      <c r="T2124">
        <f t="shared" si="334"/>
        <v>1</v>
      </c>
      <c r="U2124">
        <f t="shared" si="335"/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39.4</v>
      </c>
      <c r="AC2124">
        <v>19.7</v>
      </c>
      <c r="AG2124">
        <f t="shared" si="336"/>
        <v>1</v>
      </c>
      <c r="AH2124">
        <f t="shared" si="337"/>
        <v>1</v>
      </c>
      <c r="AI2124">
        <f t="shared" si="338"/>
        <v>0</v>
      </c>
      <c r="AJ2124">
        <v>294.10000000000002</v>
      </c>
      <c r="AK2124">
        <v>1002.4</v>
      </c>
      <c r="AL2124">
        <v>33.6</v>
      </c>
      <c r="AM2124">
        <v>5.9</v>
      </c>
      <c r="AN2124">
        <v>203.1</v>
      </c>
      <c r="AO2124">
        <v>17.5</v>
      </c>
      <c r="AP2124">
        <v>7</v>
      </c>
      <c r="AQ2124">
        <v>0</v>
      </c>
      <c r="AR2124" t="s">
        <v>7206</v>
      </c>
      <c r="AS2124" t="s">
        <v>7207</v>
      </c>
      <c r="AT2124">
        <v>0.21</v>
      </c>
      <c r="AU2124" t="s">
        <v>43</v>
      </c>
      <c r="AV2124" t="s">
        <v>80</v>
      </c>
      <c r="AW2124" t="s">
        <v>45</v>
      </c>
      <c r="AX2124" t="s">
        <v>4049</v>
      </c>
      <c r="AY2124" t="s">
        <v>7208</v>
      </c>
      <c r="AZ2124">
        <v>235.00000000116421</v>
      </c>
      <c r="BA2124">
        <v>0</v>
      </c>
      <c r="BB2124">
        <v>0</v>
      </c>
      <c r="BC2124">
        <v>2.5</v>
      </c>
      <c r="BD2124">
        <v>0</v>
      </c>
      <c r="BE2124">
        <f t="shared" si="339"/>
        <v>1</v>
      </c>
    </row>
    <row r="2125" spans="1:57" x14ac:dyDescent="0.25">
      <c r="A2125" t="s">
        <v>39</v>
      </c>
      <c r="B2125" t="s">
        <v>7209</v>
      </c>
      <c r="C2125">
        <v>73.400000000000006</v>
      </c>
      <c r="D2125">
        <v>68</v>
      </c>
      <c r="G2125">
        <f t="shared" si="330"/>
        <v>0</v>
      </c>
      <c r="H2125">
        <f t="shared" si="331"/>
        <v>0</v>
      </c>
      <c r="I2125">
        <f t="shared" si="332"/>
        <v>0</v>
      </c>
      <c r="J2125">
        <v>70.099999999999994</v>
      </c>
      <c r="K2125">
        <v>73.400000000000006</v>
      </c>
      <c r="L2125">
        <v>68</v>
      </c>
      <c r="M2125">
        <v>70.099999999999994</v>
      </c>
      <c r="N2125">
        <v>62.4</v>
      </c>
      <c r="O2125">
        <v>76.900000000000006</v>
      </c>
      <c r="S2125">
        <f t="shared" si="333"/>
        <v>1</v>
      </c>
      <c r="T2125">
        <f t="shared" si="334"/>
        <v>1</v>
      </c>
      <c r="U2125">
        <f t="shared" si="335"/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28.9</v>
      </c>
      <c r="AC2125">
        <v>18.3</v>
      </c>
      <c r="AG2125">
        <f t="shared" si="336"/>
        <v>1</v>
      </c>
      <c r="AH2125">
        <f t="shared" si="337"/>
        <v>1</v>
      </c>
      <c r="AI2125">
        <f t="shared" si="338"/>
        <v>0</v>
      </c>
      <c r="AJ2125">
        <v>312.7</v>
      </c>
      <c r="AK2125">
        <v>1020.4</v>
      </c>
      <c r="AL2125">
        <v>47.2</v>
      </c>
      <c r="AM2125">
        <v>6.2</v>
      </c>
      <c r="AN2125">
        <v>191.6</v>
      </c>
      <c r="AO2125">
        <v>16.5</v>
      </c>
      <c r="AP2125">
        <v>7</v>
      </c>
      <c r="AQ2125">
        <v>0</v>
      </c>
      <c r="AR2125" t="s">
        <v>7210</v>
      </c>
      <c r="AS2125" t="s">
        <v>7211</v>
      </c>
      <c r="AT2125">
        <v>0.9</v>
      </c>
      <c r="AU2125" t="s">
        <v>43</v>
      </c>
      <c r="AV2125" t="s">
        <v>44</v>
      </c>
      <c r="AW2125" t="s">
        <v>45</v>
      </c>
      <c r="AX2125" t="s">
        <v>5380</v>
      </c>
      <c r="AY2125" t="s">
        <v>7212</v>
      </c>
      <c r="AZ2125">
        <v>1779.9999999976719</v>
      </c>
      <c r="BA2125">
        <v>1</v>
      </c>
      <c r="BB2125">
        <v>10</v>
      </c>
      <c r="BC2125">
        <v>0</v>
      </c>
      <c r="BD2125">
        <v>0</v>
      </c>
      <c r="BE2125">
        <f t="shared" si="339"/>
        <v>1</v>
      </c>
    </row>
    <row r="2126" spans="1:57" x14ac:dyDescent="0.25">
      <c r="A2126" t="s">
        <v>39</v>
      </c>
      <c r="B2126" t="s">
        <v>7213</v>
      </c>
      <c r="C2126">
        <v>64.400000000000006</v>
      </c>
      <c r="D2126">
        <v>48.2</v>
      </c>
      <c r="G2126">
        <f t="shared" si="330"/>
        <v>1</v>
      </c>
      <c r="H2126">
        <f t="shared" si="331"/>
        <v>1</v>
      </c>
      <c r="I2126">
        <f t="shared" si="332"/>
        <v>0</v>
      </c>
      <c r="J2126">
        <v>57.6</v>
      </c>
      <c r="K2126">
        <v>64.400000000000006</v>
      </c>
      <c r="L2126">
        <v>44.5</v>
      </c>
      <c r="M2126">
        <v>57.4</v>
      </c>
      <c r="N2126">
        <v>48.9</v>
      </c>
      <c r="O2126">
        <v>73.2</v>
      </c>
      <c r="S2126">
        <f t="shared" si="333"/>
        <v>1</v>
      </c>
      <c r="T2126">
        <f t="shared" si="334"/>
        <v>1</v>
      </c>
      <c r="U2126">
        <f t="shared" si="335"/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19</v>
      </c>
      <c r="AC2126">
        <v>11.4</v>
      </c>
      <c r="AG2126">
        <f t="shared" si="336"/>
        <v>1</v>
      </c>
      <c r="AH2126">
        <f t="shared" si="337"/>
        <v>0</v>
      </c>
      <c r="AI2126">
        <f t="shared" si="338"/>
        <v>1</v>
      </c>
      <c r="AJ2126">
        <v>249</v>
      </c>
      <c r="AK2126">
        <v>1019</v>
      </c>
      <c r="AL2126">
        <v>28.5</v>
      </c>
      <c r="AM2126">
        <v>6.2</v>
      </c>
      <c r="AN2126">
        <v>271.10000000000002</v>
      </c>
      <c r="AO2126">
        <v>23.6</v>
      </c>
      <c r="AP2126">
        <v>9</v>
      </c>
      <c r="AQ2126">
        <v>0</v>
      </c>
      <c r="AR2126" t="s">
        <v>7214</v>
      </c>
      <c r="AS2126" t="s">
        <v>7215</v>
      </c>
      <c r="AT2126">
        <v>0.46</v>
      </c>
      <c r="AU2126" t="s">
        <v>43</v>
      </c>
      <c r="AV2126" t="s">
        <v>44</v>
      </c>
      <c r="AW2126" t="s">
        <v>45</v>
      </c>
      <c r="AX2126" t="s">
        <v>5805</v>
      </c>
      <c r="AY2126" t="s">
        <v>7216</v>
      </c>
      <c r="AZ2126">
        <v>734.99999999650754</v>
      </c>
      <c r="BA2126">
        <v>1</v>
      </c>
      <c r="BB2126">
        <v>0</v>
      </c>
      <c r="BC2126">
        <v>10</v>
      </c>
      <c r="BD2126">
        <v>0</v>
      </c>
      <c r="BE2126">
        <f t="shared" si="339"/>
        <v>1</v>
      </c>
    </row>
    <row r="2127" spans="1:57" x14ac:dyDescent="0.25">
      <c r="A2127" t="s">
        <v>39</v>
      </c>
      <c r="B2127" t="s">
        <v>7112</v>
      </c>
      <c r="C2127">
        <v>66.2</v>
      </c>
      <c r="D2127">
        <v>48.2</v>
      </c>
      <c r="G2127">
        <f t="shared" si="330"/>
        <v>0</v>
      </c>
      <c r="H2127">
        <f t="shared" si="331"/>
        <v>0</v>
      </c>
      <c r="I2127">
        <f t="shared" si="332"/>
        <v>0</v>
      </c>
      <c r="J2127">
        <v>57.4</v>
      </c>
      <c r="K2127">
        <v>66.2</v>
      </c>
      <c r="L2127">
        <v>45.1</v>
      </c>
      <c r="M2127">
        <v>57.1</v>
      </c>
      <c r="N2127">
        <v>49.6</v>
      </c>
      <c r="O2127">
        <v>75.7</v>
      </c>
      <c r="S2127">
        <f t="shared" si="333"/>
        <v>1</v>
      </c>
      <c r="T2127">
        <f t="shared" si="334"/>
        <v>1</v>
      </c>
      <c r="U2127">
        <f t="shared" si="335"/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19.899999999999999</v>
      </c>
      <c r="AC2127">
        <v>8.1</v>
      </c>
      <c r="AG2127">
        <f t="shared" si="336"/>
        <v>1</v>
      </c>
      <c r="AH2127">
        <f t="shared" si="337"/>
        <v>0</v>
      </c>
      <c r="AI2127">
        <f t="shared" si="338"/>
        <v>1</v>
      </c>
      <c r="AJ2127">
        <v>265</v>
      </c>
      <c r="AK2127">
        <v>1019.8</v>
      </c>
      <c r="AL2127">
        <v>16.100000000000001</v>
      </c>
      <c r="AM2127">
        <v>6.2</v>
      </c>
      <c r="AN2127">
        <v>281.89999999999998</v>
      </c>
      <c r="AO2127">
        <v>24.3</v>
      </c>
      <c r="AP2127">
        <v>9</v>
      </c>
      <c r="AQ2127">
        <v>0</v>
      </c>
      <c r="AR2127" t="s">
        <v>7113</v>
      </c>
      <c r="AS2127" t="s">
        <v>7114</v>
      </c>
      <c r="AT2127">
        <v>0.62</v>
      </c>
      <c r="AU2127" t="s">
        <v>74</v>
      </c>
      <c r="AV2127" t="s">
        <v>2955</v>
      </c>
      <c r="AW2127" t="s">
        <v>75</v>
      </c>
      <c r="AX2127" t="s">
        <v>2356</v>
      </c>
      <c r="AY2127" t="s">
        <v>7217</v>
      </c>
      <c r="AZ2127">
        <v>90</v>
      </c>
      <c r="BA2127">
        <v>0</v>
      </c>
      <c r="BB2127">
        <v>0</v>
      </c>
      <c r="BC2127">
        <v>0.05</v>
      </c>
      <c r="BD2127">
        <v>0</v>
      </c>
      <c r="BE2127">
        <f t="shared" si="339"/>
        <v>0</v>
      </c>
    </row>
    <row r="2128" spans="1:57" x14ac:dyDescent="0.25">
      <c r="A2128" t="s">
        <v>39</v>
      </c>
      <c r="B2128" t="s">
        <v>7218</v>
      </c>
      <c r="C2128">
        <v>75.2</v>
      </c>
      <c r="D2128">
        <v>69.8</v>
      </c>
      <c r="G2128">
        <f t="shared" si="330"/>
        <v>1</v>
      </c>
      <c r="H2128">
        <f t="shared" si="331"/>
        <v>1</v>
      </c>
      <c r="I2128">
        <f t="shared" si="332"/>
        <v>0</v>
      </c>
      <c r="J2128">
        <v>72.3</v>
      </c>
      <c r="K2128">
        <v>75.2</v>
      </c>
      <c r="L2128">
        <v>69.8</v>
      </c>
      <c r="M2128">
        <v>72.3</v>
      </c>
      <c r="N2128">
        <v>64.3</v>
      </c>
      <c r="O2128">
        <v>76.3</v>
      </c>
      <c r="S2128">
        <f t="shared" si="333"/>
        <v>1</v>
      </c>
      <c r="T2128">
        <f t="shared" si="334"/>
        <v>1</v>
      </c>
      <c r="U2128">
        <f t="shared" si="335"/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37.1</v>
      </c>
      <c r="AC2128">
        <v>20.8</v>
      </c>
      <c r="AG2128">
        <f t="shared" si="336"/>
        <v>1</v>
      </c>
      <c r="AH2128">
        <f t="shared" si="337"/>
        <v>1</v>
      </c>
      <c r="AI2128">
        <f t="shared" si="338"/>
        <v>0</v>
      </c>
      <c r="AJ2128">
        <v>302.8</v>
      </c>
      <c r="AK2128">
        <v>1013</v>
      </c>
      <c r="AL2128">
        <v>38</v>
      </c>
      <c r="AM2128">
        <v>6.2</v>
      </c>
      <c r="AN2128">
        <v>300.3</v>
      </c>
      <c r="AO2128">
        <v>25.8</v>
      </c>
      <c r="AP2128">
        <v>8</v>
      </c>
      <c r="AQ2128">
        <v>0</v>
      </c>
      <c r="AR2128" t="s">
        <v>7219</v>
      </c>
      <c r="AS2128" t="s">
        <v>7220</v>
      </c>
      <c r="AT2128">
        <v>0.5</v>
      </c>
      <c r="AU2128" t="s">
        <v>43</v>
      </c>
      <c r="AV2128" t="s">
        <v>44</v>
      </c>
      <c r="AW2128" t="s">
        <v>45</v>
      </c>
      <c r="AX2128" t="s">
        <v>7221</v>
      </c>
      <c r="AY2128" t="s">
        <v>7222</v>
      </c>
      <c r="AZ2128">
        <v>3079.9999999918509</v>
      </c>
      <c r="BA2128">
        <v>1</v>
      </c>
      <c r="BB2128">
        <v>0</v>
      </c>
      <c r="BC2128">
        <v>70</v>
      </c>
      <c r="BD2128">
        <v>0</v>
      </c>
      <c r="BE2128">
        <f t="shared" si="339"/>
        <v>1</v>
      </c>
    </row>
    <row r="2129" spans="1:57" x14ac:dyDescent="0.25">
      <c r="A2129" t="s">
        <v>39</v>
      </c>
      <c r="B2129" t="s">
        <v>7223</v>
      </c>
      <c r="C2129">
        <v>82.4</v>
      </c>
      <c r="D2129">
        <v>68</v>
      </c>
      <c r="G2129">
        <f t="shared" si="330"/>
        <v>1</v>
      </c>
      <c r="H2129">
        <f t="shared" si="331"/>
        <v>1</v>
      </c>
      <c r="I2129">
        <f t="shared" si="332"/>
        <v>0</v>
      </c>
      <c r="J2129">
        <v>76.2</v>
      </c>
      <c r="K2129">
        <v>86.2</v>
      </c>
      <c r="L2129">
        <v>68</v>
      </c>
      <c r="M2129">
        <v>77</v>
      </c>
      <c r="N2129">
        <v>65.400000000000006</v>
      </c>
      <c r="O2129">
        <v>70.2</v>
      </c>
      <c r="S2129">
        <f t="shared" si="333"/>
        <v>1</v>
      </c>
      <c r="T2129">
        <f t="shared" si="334"/>
        <v>1</v>
      </c>
      <c r="U2129">
        <f t="shared" si="335"/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30.6</v>
      </c>
      <c r="AC2129">
        <v>20.8</v>
      </c>
      <c r="AG2129">
        <f t="shared" si="336"/>
        <v>1</v>
      </c>
      <c r="AH2129">
        <f t="shared" si="337"/>
        <v>1</v>
      </c>
      <c r="AI2129">
        <f t="shared" si="338"/>
        <v>0</v>
      </c>
      <c r="AJ2129">
        <v>298.89999999999998</v>
      </c>
      <c r="AK2129">
        <v>1012.5</v>
      </c>
      <c r="AL2129">
        <v>1.3</v>
      </c>
      <c r="AM2129">
        <v>6.2</v>
      </c>
      <c r="AN2129">
        <v>341.6</v>
      </c>
      <c r="AO2129">
        <v>29.4</v>
      </c>
      <c r="AP2129">
        <v>10</v>
      </c>
      <c r="AQ2129">
        <v>0</v>
      </c>
      <c r="AR2129" t="s">
        <v>7224</v>
      </c>
      <c r="AS2129" t="s">
        <v>7225</v>
      </c>
      <c r="AT2129">
        <v>0.66</v>
      </c>
      <c r="AU2129" t="s">
        <v>74</v>
      </c>
      <c r="AV2129" t="s">
        <v>2955</v>
      </c>
      <c r="AW2129" t="s">
        <v>75</v>
      </c>
      <c r="AX2129" t="s">
        <v>7226</v>
      </c>
      <c r="AY2129" t="s">
        <v>7227</v>
      </c>
      <c r="AZ2129">
        <v>378.00000000628643</v>
      </c>
      <c r="BA2129">
        <v>1</v>
      </c>
      <c r="BB2129">
        <v>0</v>
      </c>
      <c r="BC2129">
        <v>1</v>
      </c>
      <c r="BD2129">
        <v>0</v>
      </c>
      <c r="BE2129">
        <f t="shared" si="339"/>
        <v>1</v>
      </c>
    </row>
    <row r="2130" spans="1:57" x14ac:dyDescent="0.25">
      <c r="A2130" t="s">
        <v>39</v>
      </c>
      <c r="B2130" t="s">
        <v>7228</v>
      </c>
      <c r="C2130">
        <v>89.6</v>
      </c>
      <c r="D2130">
        <v>68</v>
      </c>
      <c r="G2130">
        <f t="shared" si="330"/>
        <v>1</v>
      </c>
      <c r="H2130">
        <f t="shared" si="331"/>
        <v>1</v>
      </c>
      <c r="I2130">
        <f t="shared" si="332"/>
        <v>0</v>
      </c>
      <c r="J2130">
        <v>80.400000000000006</v>
      </c>
      <c r="K2130">
        <v>91.3</v>
      </c>
      <c r="L2130">
        <v>68</v>
      </c>
      <c r="M2130">
        <v>81</v>
      </c>
      <c r="N2130">
        <v>62.9</v>
      </c>
      <c r="O2130">
        <v>58.5</v>
      </c>
      <c r="S2130">
        <f t="shared" si="333"/>
        <v>1</v>
      </c>
      <c r="T2130">
        <f t="shared" si="334"/>
        <v>0</v>
      </c>
      <c r="U2130">
        <f t="shared" si="335"/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18.600000000000001</v>
      </c>
      <c r="AC2130">
        <v>11.4</v>
      </c>
      <c r="AG2130">
        <f t="shared" si="336"/>
        <v>1</v>
      </c>
      <c r="AH2130">
        <f t="shared" si="337"/>
        <v>0</v>
      </c>
      <c r="AI2130">
        <f t="shared" si="338"/>
        <v>1</v>
      </c>
      <c r="AJ2130">
        <v>144</v>
      </c>
      <c r="AK2130">
        <v>1012.1</v>
      </c>
      <c r="AL2130">
        <v>7.9</v>
      </c>
      <c r="AM2130">
        <v>6.2</v>
      </c>
      <c r="AN2130">
        <v>332.9</v>
      </c>
      <c r="AO2130">
        <v>28.8</v>
      </c>
      <c r="AP2130">
        <v>10</v>
      </c>
      <c r="AQ2130">
        <v>0</v>
      </c>
      <c r="AR2130" t="s">
        <v>7229</v>
      </c>
      <c r="AS2130" t="s">
        <v>7230</v>
      </c>
      <c r="AT2130">
        <v>0.75</v>
      </c>
      <c r="AU2130" t="s">
        <v>74</v>
      </c>
      <c r="AV2130" t="s">
        <v>2955</v>
      </c>
      <c r="AW2130" t="s">
        <v>75</v>
      </c>
      <c r="AX2130" t="s">
        <v>7231</v>
      </c>
      <c r="AY2130" t="s">
        <v>7232</v>
      </c>
      <c r="AZ2130">
        <v>50.999999998603023</v>
      </c>
      <c r="BA2130">
        <v>0</v>
      </c>
      <c r="BB2130">
        <v>0</v>
      </c>
      <c r="BC2130">
        <v>0</v>
      </c>
      <c r="BD2130">
        <v>0.1</v>
      </c>
      <c r="BE2130">
        <f t="shared" si="339"/>
        <v>1</v>
      </c>
    </row>
    <row r="2131" spans="1:57" x14ac:dyDescent="0.25">
      <c r="A2131" t="s">
        <v>39</v>
      </c>
      <c r="B2131" t="s">
        <v>7233</v>
      </c>
      <c r="C2131">
        <v>86</v>
      </c>
      <c r="D2131">
        <v>69.8</v>
      </c>
      <c r="G2131">
        <f t="shared" si="330"/>
        <v>1</v>
      </c>
      <c r="H2131">
        <f t="shared" si="331"/>
        <v>1</v>
      </c>
      <c r="I2131">
        <f t="shared" si="332"/>
        <v>0</v>
      </c>
      <c r="J2131">
        <v>79.7</v>
      </c>
      <c r="K2131">
        <v>88.4</v>
      </c>
      <c r="L2131">
        <v>69.8</v>
      </c>
      <c r="M2131">
        <v>80.8</v>
      </c>
      <c r="N2131">
        <v>64.5</v>
      </c>
      <c r="O2131">
        <v>61</v>
      </c>
      <c r="S2131">
        <f t="shared" si="333"/>
        <v>0</v>
      </c>
      <c r="T2131">
        <f t="shared" si="334"/>
        <v>0</v>
      </c>
      <c r="U2131">
        <f t="shared" si="335"/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28.9</v>
      </c>
      <c r="AC2131">
        <v>17.2</v>
      </c>
      <c r="AG2131">
        <f t="shared" si="336"/>
        <v>0</v>
      </c>
      <c r="AH2131">
        <f t="shared" si="337"/>
        <v>0</v>
      </c>
      <c r="AI2131">
        <f t="shared" si="338"/>
        <v>0</v>
      </c>
      <c r="AJ2131">
        <v>297.7</v>
      </c>
      <c r="AK2131">
        <v>1012.4</v>
      </c>
      <c r="AL2131">
        <v>0</v>
      </c>
      <c r="AM2131">
        <v>6.2</v>
      </c>
      <c r="AN2131">
        <v>342.1</v>
      </c>
      <c r="AO2131">
        <v>29.4</v>
      </c>
      <c r="AP2131">
        <v>10</v>
      </c>
      <c r="AQ2131">
        <v>0</v>
      </c>
      <c r="AR2131" t="s">
        <v>7234</v>
      </c>
      <c r="AS2131" t="s">
        <v>7235</v>
      </c>
      <c r="AT2131">
        <v>0.67</v>
      </c>
      <c r="AU2131" t="s">
        <v>74</v>
      </c>
      <c r="AV2131" t="s">
        <v>2955</v>
      </c>
      <c r="AW2131" t="s">
        <v>75</v>
      </c>
      <c r="AX2131" t="s">
        <v>5281</v>
      </c>
      <c r="AY2131" t="s">
        <v>7236</v>
      </c>
      <c r="AZ2131">
        <v>377.99999999580899</v>
      </c>
      <c r="BA2131">
        <v>1</v>
      </c>
      <c r="BB2131">
        <v>0</v>
      </c>
      <c r="BC2131">
        <v>3</v>
      </c>
      <c r="BD2131">
        <v>0</v>
      </c>
      <c r="BE2131">
        <f t="shared" si="339"/>
        <v>0</v>
      </c>
    </row>
    <row r="2132" spans="1:57" x14ac:dyDescent="0.25">
      <c r="A2132" t="s">
        <v>39</v>
      </c>
      <c r="B2132" t="s">
        <v>7233</v>
      </c>
      <c r="C2132">
        <v>86</v>
      </c>
      <c r="D2132">
        <v>69.8</v>
      </c>
      <c r="G2132">
        <f t="shared" si="330"/>
        <v>1</v>
      </c>
      <c r="H2132">
        <f t="shared" si="331"/>
        <v>1</v>
      </c>
      <c r="I2132">
        <f t="shared" si="332"/>
        <v>0</v>
      </c>
      <c r="J2132">
        <v>79.7</v>
      </c>
      <c r="K2132">
        <v>88.4</v>
      </c>
      <c r="L2132">
        <v>69.8</v>
      </c>
      <c r="M2132">
        <v>80.8</v>
      </c>
      <c r="N2132">
        <v>64.5</v>
      </c>
      <c r="O2132">
        <v>61</v>
      </c>
      <c r="S2132">
        <f t="shared" si="333"/>
        <v>0</v>
      </c>
      <c r="T2132">
        <f t="shared" si="334"/>
        <v>0</v>
      </c>
      <c r="U2132">
        <f t="shared" si="335"/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28.9</v>
      </c>
      <c r="AC2132">
        <v>17.2</v>
      </c>
      <c r="AG2132">
        <f t="shared" si="336"/>
        <v>0</v>
      </c>
      <c r="AH2132">
        <f t="shared" si="337"/>
        <v>0</v>
      </c>
      <c r="AI2132">
        <f t="shared" si="338"/>
        <v>0</v>
      </c>
      <c r="AJ2132">
        <v>297.7</v>
      </c>
      <c r="AK2132">
        <v>1012.4</v>
      </c>
      <c r="AL2132">
        <v>0</v>
      </c>
      <c r="AM2132">
        <v>6.2</v>
      </c>
      <c r="AN2132">
        <v>342.1</v>
      </c>
      <c r="AO2132">
        <v>29.4</v>
      </c>
      <c r="AP2132">
        <v>10</v>
      </c>
      <c r="AQ2132">
        <v>0</v>
      </c>
      <c r="AR2132" t="s">
        <v>7234</v>
      </c>
      <c r="AS2132" t="s">
        <v>7235</v>
      </c>
      <c r="AT2132">
        <v>0.67</v>
      </c>
      <c r="AU2132" t="s">
        <v>74</v>
      </c>
      <c r="AV2132" t="s">
        <v>2955</v>
      </c>
      <c r="AW2132" t="s">
        <v>75</v>
      </c>
      <c r="AX2132" t="s">
        <v>4975</v>
      </c>
      <c r="AY2132" t="s">
        <v>7237</v>
      </c>
      <c r="AZ2132">
        <v>2570.0000000058212</v>
      </c>
      <c r="BA2132">
        <v>1</v>
      </c>
      <c r="BB2132">
        <v>0</v>
      </c>
      <c r="BC2132">
        <v>5</v>
      </c>
      <c r="BD2132">
        <v>0</v>
      </c>
      <c r="BE2132">
        <f t="shared" si="339"/>
        <v>0</v>
      </c>
    </row>
    <row r="2133" spans="1:57" x14ac:dyDescent="0.25">
      <c r="A2133" t="s">
        <v>39</v>
      </c>
      <c r="B2133" t="s">
        <v>7094</v>
      </c>
      <c r="C2133">
        <v>86</v>
      </c>
      <c r="D2133">
        <v>78.8</v>
      </c>
      <c r="G2133">
        <f t="shared" si="330"/>
        <v>1</v>
      </c>
      <c r="H2133">
        <f t="shared" si="331"/>
        <v>1</v>
      </c>
      <c r="I2133">
        <f t="shared" si="332"/>
        <v>0</v>
      </c>
      <c r="J2133">
        <v>82.5</v>
      </c>
      <c r="K2133">
        <v>93.5</v>
      </c>
      <c r="L2133">
        <v>78.8</v>
      </c>
      <c r="M2133">
        <v>86.9</v>
      </c>
      <c r="N2133">
        <v>70.7</v>
      </c>
      <c r="O2133">
        <v>68.099999999999994</v>
      </c>
      <c r="S2133">
        <f t="shared" si="333"/>
        <v>1</v>
      </c>
      <c r="T2133">
        <f t="shared" si="334"/>
        <v>1</v>
      </c>
      <c r="U2133">
        <f t="shared" si="335"/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28.2</v>
      </c>
      <c r="AC2133">
        <v>23</v>
      </c>
      <c r="AG2133">
        <f t="shared" si="336"/>
        <v>1</v>
      </c>
      <c r="AH2133">
        <f t="shared" si="337"/>
        <v>1</v>
      </c>
      <c r="AI2133">
        <f t="shared" si="338"/>
        <v>0</v>
      </c>
      <c r="AJ2133">
        <v>308.3</v>
      </c>
      <c r="AK2133">
        <v>1002.1</v>
      </c>
      <c r="AL2133">
        <v>27.7</v>
      </c>
      <c r="AM2133">
        <v>6.2</v>
      </c>
      <c r="AN2133">
        <v>311.2</v>
      </c>
      <c r="AO2133">
        <v>26.9</v>
      </c>
      <c r="AP2133">
        <v>9</v>
      </c>
      <c r="AQ2133">
        <v>0</v>
      </c>
      <c r="AR2133" t="s">
        <v>7095</v>
      </c>
      <c r="AS2133" t="s">
        <v>7096</v>
      </c>
      <c r="AT2133">
        <v>0.38</v>
      </c>
      <c r="AU2133" t="s">
        <v>43</v>
      </c>
      <c r="AV2133" t="s">
        <v>44</v>
      </c>
      <c r="AW2133" t="s">
        <v>45</v>
      </c>
      <c r="AX2133" t="s">
        <v>7238</v>
      </c>
      <c r="AY2133" t="s">
        <v>7239</v>
      </c>
      <c r="AZ2133">
        <v>284.00000000372529</v>
      </c>
      <c r="BA2133">
        <v>0</v>
      </c>
      <c r="BB2133">
        <v>0</v>
      </c>
      <c r="BC2133">
        <v>4</v>
      </c>
      <c r="BD2133">
        <v>0</v>
      </c>
      <c r="BE2133">
        <f t="shared" si="339"/>
        <v>1</v>
      </c>
    </row>
    <row r="2134" spans="1:57" x14ac:dyDescent="0.25">
      <c r="A2134" t="s">
        <v>39</v>
      </c>
      <c r="B2134" t="s">
        <v>7240</v>
      </c>
      <c r="C2134">
        <v>84.2</v>
      </c>
      <c r="D2134">
        <v>75.2</v>
      </c>
      <c r="G2134">
        <f t="shared" si="330"/>
        <v>1</v>
      </c>
      <c r="H2134">
        <f t="shared" si="331"/>
        <v>1</v>
      </c>
      <c r="I2134">
        <f t="shared" si="332"/>
        <v>0</v>
      </c>
      <c r="J2134">
        <v>80</v>
      </c>
      <c r="K2134">
        <v>89.6</v>
      </c>
      <c r="L2134">
        <v>75.2</v>
      </c>
      <c r="M2134">
        <v>81.900000000000006</v>
      </c>
      <c r="N2134">
        <v>68.900000000000006</v>
      </c>
      <c r="O2134">
        <v>69.099999999999994</v>
      </c>
      <c r="S2134">
        <f t="shared" si="333"/>
        <v>1</v>
      </c>
      <c r="T2134">
        <f t="shared" si="334"/>
        <v>1</v>
      </c>
      <c r="U2134">
        <f t="shared" si="335"/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22.1</v>
      </c>
      <c r="AC2134">
        <v>18.3</v>
      </c>
      <c r="AG2134">
        <f t="shared" si="336"/>
        <v>1</v>
      </c>
      <c r="AH2134">
        <f t="shared" si="337"/>
        <v>1</v>
      </c>
      <c r="AI2134">
        <f t="shared" si="338"/>
        <v>0</v>
      </c>
      <c r="AJ2134">
        <v>294.3</v>
      </c>
      <c r="AK2134">
        <v>1009.3</v>
      </c>
      <c r="AL2134">
        <v>27.8</v>
      </c>
      <c r="AM2134">
        <v>6.2</v>
      </c>
      <c r="AN2134">
        <v>249.8</v>
      </c>
      <c r="AO2134">
        <v>21.8</v>
      </c>
      <c r="AP2134">
        <v>8</v>
      </c>
      <c r="AQ2134">
        <v>0</v>
      </c>
      <c r="AR2134" t="s">
        <v>7241</v>
      </c>
      <c r="AS2134" t="s">
        <v>7242</v>
      </c>
      <c r="AT2134">
        <v>0.88</v>
      </c>
      <c r="AU2134" t="s">
        <v>43</v>
      </c>
      <c r="AV2134" t="s">
        <v>44</v>
      </c>
      <c r="AW2134" t="s">
        <v>45</v>
      </c>
      <c r="AX2134" t="s">
        <v>5546</v>
      </c>
      <c r="AY2134" t="s">
        <v>7243</v>
      </c>
      <c r="AZ2134">
        <v>2020.9999999974391</v>
      </c>
      <c r="BA2134">
        <v>1</v>
      </c>
      <c r="BB2134">
        <v>0</v>
      </c>
      <c r="BC2134">
        <v>2</v>
      </c>
      <c r="BD2134">
        <v>0</v>
      </c>
      <c r="BE2134">
        <f t="shared" si="339"/>
        <v>1</v>
      </c>
    </row>
    <row r="2135" spans="1:57" x14ac:dyDescent="0.25">
      <c r="A2135" t="s">
        <v>39</v>
      </c>
      <c r="B2135" t="s">
        <v>7244</v>
      </c>
      <c r="C2135">
        <v>53.6</v>
      </c>
      <c r="D2135">
        <v>50</v>
      </c>
      <c r="G2135">
        <f t="shared" si="330"/>
        <v>1</v>
      </c>
      <c r="H2135">
        <f t="shared" si="331"/>
        <v>0</v>
      </c>
      <c r="I2135">
        <f t="shared" si="332"/>
        <v>1</v>
      </c>
      <c r="J2135">
        <v>50.6</v>
      </c>
      <c r="K2135">
        <v>53.6</v>
      </c>
      <c r="L2135">
        <v>42.7</v>
      </c>
      <c r="M2135">
        <v>48.6</v>
      </c>
      <c r="N2135">
        <v>42.6</v>
      </c>
      <c r="O2135">
        <v>74.2</v>
      </c>
      <c r="S2135">
        <f t="shared" si="333"/>
        <v>1</v>
      </c>
      <c r="T2135">
        <f t="shared" si="334"/>
        <v>1</v>
      </c>
      <c r="U2135">
        <f t="shared" si="335"/>
        <v>0</v>
      </c>
      <c r="V2135">
        <v>0.11799999999999999</v>
      </c>
      <c r="W2135">
        <v>100</v>
      </c>
      <c r="X2135">
        <v>4.17</v>
      </c>
      <c r="Y2135" t="s">
        <v>103</v>
      </c>
      <c r="Z2135">
        <v>0</v>
      </c>
      <c r="AA2135">
        <v>0</v>
      </c>
      <c r="AB2135">
        <v>41.8</v>
      </c>
      <c r="AC2135">
        <v>28.9</v>
      </c>
      <c r="AG2135">
        <f t="shared" si="336"/>
        <v>1</v>
      </c>
      <c r="AH2135">
        <f t="shared" si="337"/>
        <v>1</v>
      </c>
      <c r="AI2135">
        <f t="shared" si="338"/>
        <v>0</v>
      </c>
      <c r="AJ2135">
        <v>354.7</v>
      </c>
      <c r="AK2135">
        <v>1018.5</v>
      </c>
      <c r="AL2135">
        <v>85.8</v>
      </c>
      <c r="AM2135">
        <v>6.1</v>
      </c>
      <c r="AN2135">
        <v>91.5</v>
      </c>
      <c r="AO2135">
        <v>7.7</v>
      </c>
      <c r="AP2135">
        <v>3</v>
      </c>
      <c r="AQ2135">
        <v>0</v>
      </c>
      <c r="AR2135" t="s">
        <v>7245</v>
      </c>
      <c r="AS2135" t="s">
        <v>7246</v>
      </c>
      <c r="AT2135">
        <v>0.63</v>
      </c>
      <c r="AU2135" t="s">
        <v>106</v>
      </c>
      <c r="AV2135" t="s">
        <v>433</v>
      </c>
      <c r="AW2135" t="s">
        <v>103</v>
      </c>
      <c r="AX2135" t="s">
        <v>2631</v>
      </c>
      <c r="AY2135" t="s">
        <v>7247</v>
      </c>
      <c r="AZ2135">
        <v>90</v>
      </c>
      <c r="BA2135">
        <v>0</v>
      </c>
      <c r="BB2135">
        <v>0</v>
      </c>
      <c r="BC2135">
        <v>0.5</v>
      </c>
      <c r="BD2135">
        <v>0</v>
      </c>
      <c r="BE2135">
        <f t="shared" si="339"/>
        <v>1</v>
      </c>
    </row>
    <row r="2136" spans="1:57" x14ac:dyDescent="0.25">
      <c r="A2136" t="s">
        <v>39</v>
      </c>
      <c r="B2136" t="s">
        <v>7248</v>
      </c>
      <c r="C2136">
        <v>59</v>
      </c>
      <c r="D2136">
        <v>46.4</v>
      </c>
      <c r="G2136">
        <f t="shared" si="330"/>
        <v>0</v>
      </c>
      <c r="H2136">
        <f t="shared" si="331"/>
        <v>0</v>
      </c>
      <c r="I2136">
        <f t="shared" si="332"/>
        <v>0</v>
      </c>
      <c r="J2136">
        <v>52.3</v>
      </c>
      <c r="K2136">
        <v>59</v>
      </c>
      <c r="L2136">
        <v>42.4</v>
      </c>
      <c r="M2136">
        <v>51.3</v>
      </c>
      <c r="N2136">
        <v>46.2</v>
      </c>
      <c r="O2136">
        <v>80.2</v>
      </c>
      <c r="S2136">
        <f t="shared" si="333"/>
        <v>1</v>
      </c>
      <c r="T2136">
        <f t="shared" si="334"/>
        <v>1</v>
      </c>
      <c r="U2136">
        <f t="shared" si="335"/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13.4</v>
      </c>
      <c r="AC2136">
        <v>12.7</v>
      </c>
      <c r="AG2136">
        <f t="shared" si="336"/>
        <v>1</v>
      </c>
      <c r="AH2136">
        <f t="shared" si="337"/>
        <v>0</v>
      </c>
      <c r="AI2136">
        <f t="shared" si="338"/>
        <v>1</v>
      </c>
      <c r="AJ2136">
        <v>204.9</v>
      </c>
      <c r="AK2136">
        <v>1024.5</v>
      </c>
      <c r="AL2136">
        <v>12.2</v>
      </c>
      <c r="AM2136">
        <v>6.2</v>
      </c>
      <c r="AN2136">
        <v>164.4</v>
      </c>
      <c r="AO2136">
        <v>14.2</v>
      </c>
      <c r="AP2136">
        <v>6</v>
      </c>
      <c r="AQ2136">
        <v>0</v>
      </c>
      <c r="AR2136" t="s">
        <v>7249</v>
      </c>
      <c r="AS2136" t="s">
        <v>7250</v>
      </c>
      <c r="AT2136">
        <v>0.46</v>
      </c>
      <c r="AU2136" t="s">
        <v>74</v>
      </c>
      <c r="AV2136" t="s">
        <v>2955</v>
      </c>
      <c r="AW2136" t="s">
        <v>75</v>
      </c>
      <c r="AX2136" t="s">
        <v>7251</v>
      </c>
      <c r="AY2136" t="s">
        <v>7252</v>
      </c>
      <c r="AZ2136">
        <v>221.00000000791621</v>
      </c>
      <c r="BA2136">
        <v>0</v>
      </c>
      <c r="BB2136">
        <v>0</v>
      </c>
      <c r="BC2136">
        <v>5</v>
      </c>
      <c r="BD2136">
        <v>0</v>
      </c>
      <c r="BE2136">
        <f t="shared" si="339"/>
        <v>0</v>
      </c>
    </row>
    <row r="2137" spans="1:57" x14ac:dyDescent="0.25">
      <c r="A2137" t="s">
        <v>39</v>
      </c>
      <c r="B2137" t="s">
        <v>7253</v>
      </c>
      <c r="C2137">
        <v>71.599999999999994</v>
      </c>
      <c r="D2137">
        <v>59</v>
      </c>
      <c r="G2137">
        <f t="shared" si="330"/>
        <v>0</v>
      </c>
      <c r="H2137">
        <f t="shared" si="331"/>
        <v>0</v>
      </c>
      <c r="I2137">
        <f t="shared" si="332"/>
        <v>0</v>
      </c>
      <c r="J2137">
        <v>66.7</v>
      </c>
      <c r="K2137">
        <v>71.599999999999994</v>
      </c>
      <c r="L2137">
        <v>59</v>
      </c>
      <c r="M2137">
        <v>66.7</v>
      </c>
      <c r="N2137">
        <v>61.9</v>
      </c>
      <c r="O2137">
        <v>84.7</v>
      </c>
      <c r="S2137">
        <f t="shared" si="333"/>
        <v>1</v>
      </c>
      <c r="T2137">
        <f t="shared" si="334"/>
        <v>1</v>
      </c>
      <c r="U2137">
        <f t="shared" si="335"/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21.9</v>
      </c>
      <c r="AC2137">
        <v>17.2</v>
      </c>
      <c r="AG2137">
        <f t="shared" si="336"/>
        <v>0</v>
      </c>
      <c r="AH2137">
        <f t="shared" si="337"/>
        <v>0</v>
      </c>
      <c r="AI2137">
        <f t="shared" si="338"/>
        <v>0</v>
      </c>
      <c r="AJ2137">
        <v>303.8</v>
      </c>
      <c r="AK2137">
        <v>1009.7</v>
      </c>
      <c r="AL2137">
        <v>41.6</v>
      </c>
      <c r="AM2137">
        <v>6.2</v>
      </c>
      <c r="AN2137">
        <v>298.39999999999998</v>
      </c>
      <c r="AO2137">
        <v>25.7</v>
      </c>
      <c r="AP2137">
        <v>9</v>
      </c>
      <c r="AQ2137">
        <v>0</v>
      </c>
      <c r="AR2137" t="s">
        <v>7254</v>
      </c>
      <c r="AS2137" t="s">
        <v>7255</v>
      </c>
      <c r="AT2137">
        <v>0.7</v>
      </c>
      <c r="AU2137" t="s">
        <v>43</v>
      </c>
      <c r="AV2137" t="s">
        <v>44</v>
      </c>
      <c r="AW2137" t="s">
        <v>45</v>
      </c>
      <c r="AX2137" t="s">
        <v>4228</v>
      </c>
      <c r="AY2137" t="s">
        <v>7256</v>
      </c>
      <c r="AZ2137">
        <v>454.00000000256108</v>
      </c>
      <c r="BA2137">
        <v>1</v>
      </c>
      <c r="BB2137">
        <v>3</v>
      </c>
      <c r="BC2137">
        <v>0</v>
      </c>
      <c r="BD2137">
        <v>0</v>
      </c>
      <c r="BE2137">
        <f t="shared" si="339"/>
        <v>0</v>
      </c>
    </row>
    <row r="2138" spans="1:57" x14ac:dyDescent="0.25">
      <c r="A2138" t="s">
        <v>39</v>
      </c>
      <c r="B2138" t="s">
        <v>7257</v>
      </c>
      <c r="C2138">
        <v>80.599999999999994</v>
      </c>
      <c r="D2138">
        <v>71.599999999999994</v>
      </c>
      <c r="G2138">
        <f t="shared" si="330"/>
        <v>0</v>
      </c>
      <c r="H2138">
        <f t="shared" si="331"/>
        <v>0</v>
      </c>
      <c r="I2138">
        <f t="shared" si="332"/>
        <v>0</v>
      </c>
      <c r="J2138">
        <v>76.2</v>
      </c>
      <c r="K2138">
        <v>83.3</v>
      </c>
      <c r="L2138">
        <v>71.599999999999994</v>
      </c>
      <c r="M2138">
        <v>76.400000000000006</v>
      </c>
      <c r="N2138">
        <v>66.8</v>
      </c>
      <c r="O2138">
        <v>73.3</v>
      </c>
      <c r="S2138">
        <f t="shared" si="333"/>
        <v>1</v>
      </c>
      <c r="T2138">
        <f t="shared" si="334"/>
        <v>1</v>
      </c>
      <c r="U2138">
        <f t="shared" si="335"/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29.8</v>
      </c>
      <c r="AC2138">
        <v>28.9</v>
      </c>
      <c r="AG2138">
        <f t="shared" si="336"/>
        <v>1</v>
      </c>
      <c r="AH2138">
        <f t="shared" si="337"/>
        <v>1</v>
      </c>
      <c r="AI2138">
        <f t="shared" si="338"/>
        <v>0</v>
      </c>
      <c r="AJ2138">
        <v>285.7</v>
      </c>
      <c r="AK2138">
        <v>1007</v>
      </c>
      <c r="AL2138">
        <v>15</v>
      </c>
      <c r="AM2138">
        <v>6.2</v>
      </c>
      <c r="AN2138">
        <v>335</v>
      </c>
      <c r="AO2138">
        <v>28.9</v>
      </c>
      <c r="AP2138">
        <v>10</v>
      </c>
      <c r="AQ2138">
        <v>0</v>
      </c>
      <c r="AR2138" t="s">
        <v>7258</v>
      </c>
      <c r="AS2138" t="s">
        <v>7259</v>
      </c>
      <c r="AT2138">
        <v>0.89</v>
      </c>
      <c r="AU2138" t="s">
        <v>74</v>
      </c>
      <c r="AV2138" t="s">
        <v>2955</v>
      </c>
      <c r="AW2138" t="s">
        <v>75</v>
      </c>
      <c r="AX2138" t="s">
        <v>7260</v>
      </c>
      <c r="AY2138" t="s">
        <v>7261</v>
      </c>
      <c r="AZ2138">
        <v>170104.99999999531</v>
      </c>
      <c r="BA2138">
        <v>1</v>
      </c>
      <c r="BB2138">
        <v>0.03</v>
      </c>
      <c r="BC2138">
        <v>0</v>
      </c>
      <c r="BD2138">
        <v>0</v>
      </c>
      <c r="BE2138">
        <f t="shared" si="339"/>
        <v>1</v>
      </c>
    </row>
    <row r="2139" spans="1:57" x14ac:dyDescent="0.25">
      <c r="A2139" t="s">
        <v>39</v>
      </c>
      <c r="B2139" t="s">
        <v>7262</v>
      </c>
      <c r="C2139">
        <v>80.599999999999994</v>
      </c>
      <c r="D2139">
        <v>75.2</v>
      </c>
      <c r="G2139">
        <f t="shared" si="330"/>
        <v>0</v>
      </c>
      <c r="H2139">
        <f t="shared" si="331"/>
        <v>0</v>
      </c>
      <c r="I2139">
        <f t="shared" si="332"/>
        <v>0</v>
      </c>
      <c r="J2139">
        <v>78.099999999999994</v>
      </c>
      <c r="K2139">
        <v>83.3</v>
      </c>
      <c r="L2139">
        <v>75.2</v>
      </c>
      <c r="M2139">
        <v>78.7</v>
      </c>
      <c r="N2139">
        <v>64.7</v>
      </c>
      <c r="O2139">
        <v>63.8</v>
      </c>
      <c r="S2139">
        <f t="shared" si="333"/>
        <v>1</v>
      </c>
      <c r="T2139">
        <f t="shared" si="334"/>
        <v>1</v>
      </c>
      <c r="U2139">
        <f t="shared" si="335"/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33.1</v>
      </c>
      <c r="AC2139">
        <v>21.9</v>
      </c>
      <c r="AG2139">
        <f t="shared" si="336"/>
        <v>1</v>
      </c>
      <c r="AH2139">
        <f t="shared" si="337"/>
        <v>1</v>
      </c>
      <c r="AI2139">
        <f t="shared" si="338"/>
        <v>0</v>
      </c>
      <c r="AJ2139">
        <v>299.8</v>
      </c>
      <c r="AK2139">
        <v>1006.9</v>
      </c>
      <c r="AL2139">
        <v>17.399999999999999</v>
      </c>
      <c r="AM2139">
        <v>6.2</v>
      </c>
      <c r="AN2139">
        <v>341.9</v>
      </c>
      <c r="AO2139">
        <v>29.6</v>
      </c>
      <c r="AP2139">
        <v>10</v>
      </c>
      <c r="AQ2139">
        <v>0</v>
      </c>
      <c r="AR2139" t="s">
        <v>7263</v>
      </c>
      <c r="AS2139" t="s">
        <v>7264</v>
      </c>
      <c r="AT2139">
        <v>0.95</v>
      </c>
      <c r="AU2139" t="s">
        <v>74</v>
      </c>
      <c r="AV2139" t="s">
        <v>2955</v>
      </c>
      <c r="AW2139" t="s">
        <v>75</v>
      </c>
      <c r="AX2139" t="s">
        <v>2356</v>
      </c>
      <c r="AY2139" t="s">
        <v>7265</v>
      </c>
      <c r="AZ2139">
        <v>0</v>
      </c>
      <c r="BA2139">
        <v>0</v>
      </c>
      <c r="BB2139">
        <v>0.02</v>
      </c>
      <c r="BC2139">
        <v>0</v>
      </c>
      <c r="BD2139">
        <v>0</v>
      </c>
      <c r="BE2139">
        <f t="shared" si="339"/>
        <v>0</v>
      </c>
    </row>
    <row r="2140" spans="1:57" x14ac:dyDescent="0.25">
      <c r="A2140" t="s">
        <v>39</v>
      </c>
      <c r="B2140" t="s">
        <v>7266</v>
      </c>
      <c r="C2140">
        <v>87.8</v>
      </c>
      <c r="D2140">
        <v>71.599999999999994</v>
      </c>
      <c r="G2140">
        <f t="shared" si="330"/>
        <v>1</v>
      </c>
      <c r="H2140">
        <f t="shared" si="331"/>
        <v>1</v>
      </c>
      <c r="I2140">
        <f t="shared" si="332"/>
        <v>0</v>
      </c>
      <c r="J2140">
        <v>79.900000000000006</v>
      </c>
      <c r="K2140">
        <v>94.2</v>
      </c>
      <c r="L2140">
        <v>71.599999999999994</v>
      </c>
      <c r="M2140">
        <v>81.7</v>
      </c>
      <c r="N2140">
        <v>65.3</v>
      </c>
      <c r="O2140">
        <v>61.7</v>
      </c>
      <c r="S2140">
        <f t="shared" si="333"/>
        <v>0</v>
      </c>
      <c r="T2140">
        <f t="shared" si="334"/>
        <v>0</v>
      </c>
      <c r="U2140">
        <f t="shared" si="335"/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19</v>
      </c>
      <c r="AC2140">
        <v>12.7</v>
      </c>
      <c r="AG2140">
        <f t="shared" si="336"/>
        <v>1</v>
      </c>
      <c r="AH2140">
        <f t="shared" si="337"/>
        <v>0</v>
      </c>
      <c r="AI2140">
        <f t="shared" si="338"/>
        <v>1</v>
      </c>
      <c r="AJ2140">
        <v>115.6</v>
      </c>
      <c r="AK2140">
        <v>1004.1</v>
      </c>
      <c r="AL2140">
        <v>22.7</v>
      </c>
      <c r="AM2140">
        <v>6.2</v>
      </c>
      <c r="AN2140">
        <v>329.4</v>
      </c>
      <c r="AO2140">
        <v>28.6</v>
      </c>
      <c r="AP2140">
        <v>10</v>
      </c>
      <c r="AQ2140">
        <v>0</v>
      </c>
      <c r="AR2140" t="s">
        <v>7267</v>
      </c>
      <c r="AS2140" t="s">
        <v>7268</v>
      </c>
      <c r="AT2140">
        <v>0.02</v>
      </c>
      <c r="AU2140" t="s">
        <v>43</v>
      </c>
      <c r="AV2140" t="s">
        <v>44</v>
      </c>
      <c r="AW2140" t="s">
        <v>45</v>
      </c>
      <c r="AX2140" t="s">
        <v>4404</v>
      </c>
      <c r="AY2140" t="s">
        <v>7269</v>
      </c>
      <c r="AZ2140">
        <v>55.000000001164153</v>
      </c>
      <c r="BA2140">
        <v>0</v>
      </c>
      <c r="BB2140">
        <v>0.01</v>
      </c>
      <c r="BC2140">
        <v>0</v>
      </c>
      <c r="BD2140">
        <v>0</v>
      </c>
      <c r="BE2140">
        <f t="shared" si="339"/>
        <v>0</v>
      </c>
    </row>
    <row r="2141" spans="1:57" x14ac:dyDescent="0.25">
      <c r="A2141" t="s">
        <v>39</v>
      </c>
      <c r="B2141" t="s">
        <v>7270</v>
      </c>
      <c r="C2141">
        <v>87.8</v>
      </c>
      <c r="D2141">
        <v>75.2</v>
      </c>
      <c r="G2141">
        <f t="shared" si="330"/>
        <v>1</v>
      </c>
      <c r="H2141">
        <f t="shared" si="331"/>
        <v>1</v>
      </c>
      <c r="I2141">
        <f t="shared" si="332"/>
        <v>0</v>
      </c>
      <c r="J2141">
        <v>82.3</v>
      </c>
      <c r="K2141">
        <v>94.1</v>
      </c>
      <c r="L2141">
        <v>75.2</v>
      </c>
      <c r="M2141">
        <v>84.9</v>
      </c>
      <c r="N2141">
        <v>68.2</v>
      </c>
      <c r="O2141">
        <v>63.3</v>
      </c>
      <c r="S2141">
        <f t="shared" si="333"/>
        <v>1</v>
      </c>
      <c r="T2141">
        <f t="shared" si="334"/>
        <v>1</v>
      </c>
      <c r="U2141">
        <f t="shared" si="335"/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33.6</v>
      </c>
      <c r="AC2141">
        <v>21.9</v>
      </c>
      <c r="AG2141">
        <f t="shared" si="336"/>
        <v>1</v>
      </c>
      <c r="AH2141">
        <f t="shared" si="337"/>
        <v>1</v>
      </c>
      <c r="AI2141">
        <f t="shared" si="338"/>
        <v>0</v>
      </c>
      <c r="AJ2141">
        <v>294</v>
      </c>
      <c r="AK2141">
        <v>1011.5</v>
      </c>
      <c r="AL2141">
        <v>14.6</v>
      </c>
      <c r="AM2141">
        <v>6.2</v>
      </c>
      <c r="AN2141">
        <v>313.39999999999998</v>
      </c>
      <c r="AO2141">
        <v>27.1</v>
      </c>
      <c r="AP2141">
        <v>9</v>
      </c>
      <c r="AQ2141">
        <v>0</v>
      </c>
      <c r="AR2141" t="s">
        <v>7271</v>
      </c>
      <c r="AS2141" t="s">
        <v>7272</v>
      </c>
      <c r="AT2141">
        <v>0.9</v>
      </c>
      <c r="AU2141" t="s">
        <v>74</v>
      </c>
      <c r="AV2141" t="s">
        <v>2955</v>
      </c>
      <c r="AW2141" t="s">
        <v>75</v>
      </c>
      <c r="AX2141" t="s">
        <v>2486</v>
      </c>
      <c r="AY2141" t="s">
        <v>7273</v>
      </c>
      <c r="AZ2141">
        <v>509.00000000372529</v>
      </c>
      <c r="BA2141">
        <v>1</v>
      </c>
      <c r="BB2141">
        <v>0</v>
      </c>
      <c r="BC2141">
        <v>3</v>
      </c>
      <c r="BD2141">
        <v>0</v>
      </c>
      <c r="BE2141">
        <f t="shared" si="339"/>
        <v>1</v>
      </c>
    </row>
    <row r="2142" spans="1:57" x14ac:dyDescent="0.25">
      <c r="A2142" t="s">
        <v>39</v>
      </c>
      <c r="B2142" t="s">
        <v>7274</v>
      </c>
      <c r="C2142">
        <v>84.3</v>
      </c>
      <c r="D2142">
        <v>75.2</v>
      </c>
      <c r="G2142">
        <f t="shared" si="330"/>
        <v>0</v>
      </c>
      <c r="H2142">
        <f t="shared" si="331"/>
        <v>0</v>
      </c>
      <c r="I2142">
        <f t="shared" si="332"/>
        <v>0</v>
      </c>
      <c r="J2142">
        <v>79.5</v>
      </c>
      <c r="K2142">
        <v>88.6</v>
      </c>
      <c r="L2142">
        <v>75.2</v>
      </c>
      <c r="M2142">
        <v>81.400000000000006</v>
      </c>
      <c r="N2142">
        <v>69.400000000000006</v>
      </c>
      <c r="O2142">
        <v>71.5</v>
      </c>
      <c r="S2142">
        <f t="shared" si="333"/>
        <v>1</v>
      </c>
      <c r="T2142">
        <f t="shared" si="334"/>
        <v>1</v>
      </c>
      <c r="U2142">
        <f t="shared" si="335"/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27.1</v>
      </c>
      <c r="AC2142">
        <v>20.8</v>
      </c>
      <c r="AG2142">
        <f t="shared" si="336"/>
        <v>1</v>
      </c>
      <c r="AH2142">
        <f t="shared" si="337"/>
        <v>1</v>
      </c>
      <c r="AI2142">
        <f t="shared" si="338"/>
        <v>0</v>
      </c>
      <c r="AJ2142">
        <v>310.7</v>
      </c>
      <c r="AK2142">
        <v>1010.8</v>
      </c>
      <c r="AL2142">
        <v>26.6</v>
      </c>
      <c r="AM2142">
        <v>6.2</v>
      </c>
      <c r="AN2142">
        <v>279.7</v>
      </c>
      <c r="AO2142">
        <v>24.1</v>
      </c>
      <c r="AP2142">
        <v>9</v>
      </c>
      <c r="AQ2142">
        <v>0</v>
      </c>
      <c r="AR2142" t="s">
        <v>7275</v>
      </c>
      <c r="AS2142" t="s">
        <v>7276</v>
      </c>
      <c r="AT2142">
        <v>0.33</v>
      </c>
      <c r="AU2142" t="s">
        <v>43</v>
      </c>
      <c r="AV2142" t="s">
        <v>44</v>
      </c>
      <c r="AW2142" t="s">
        <v>45</v>
      </c>
      <c r="AX2142" t="s">
        <v>7277</v>
      </c>
      <c r="AY2142" t="s">
        <v>7278</v>
      </c>
      <c r="AZ2142">
        <v>1413.9999999990689</v>
      </c>
      <c r="BA2142">
        <v>1</v>
      </c>
      <c r="BB2142">
        <v>0</v>
      </c>
      <c r="BC2142">
        <v>0.2</v>
      </c>
      <c r="BD2142">
        <v>0</v>
      </c>
      <c r="BE2142">
        <f t="shared" si="339"/>
        <v>1</v>
      </c>
    </row>
    <row r="2143" spans="1:57" x14ac:dyDescent="0.25">
      <c r="A2143" t="s">
        <v>39</v>
      </c>
      <c r="B2143" t="s">
        <v>7279</v>
      </c>
      <c r="C2143">
        <v>64.400000000000006</v>
      </c>
      <c r="D2143">
        <v>60.8</v>
      </c>
      <c r="G2143">
        <f t="shared" si="330"/>
        <v>1</v>
      </c>
      <c r="H2143">
        <f t="shared" si="331"/>
        <v>0</v>
      </c>
      <c r="I2143">
        <f t="shared" si="332"/>
        <v>1</v>
      </c>
      <c r="J2143">
        <v>62.1</v>
      </c>
      <c r="K2143">
        <v>64.400000000000006</v>
      </c>
      <c r="L2143">
        <v>60.8</v>
      </c>
      <c r="M2143">
        <v>62.1</v>
      </c>
      <c r="N2143">
        <v>54.7</v>
      </c>
      <c r="O2143">
        <v>77</v>
      </c>
      <c r="S2143">
        <f t="shared" si="333"/>
        <v>1</v>
      </c>
      <c r="T2143">
        <f t="shared" si="334"/>
        <v>1</v>
      </c>
      <c r="U2143">
        <f t="shared" si="335"/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38.5</v>
      </c>
      <c r="AC2143">
        <v>24.2</v>
      </c>
      <c r="AG2143">
        <f t="shared" si="336"/>
        <v>1</v>
      </c>
      <c r="AH2143">
        <f t="shared" si="337"/>
        <v>1</v>
      </c>
      <c r="AI2143">
        <f t="shared" si="338"/>
        <v>0</v>
      </c>
      <c r="AJ2143">
        <v>333.5</v>
      </c>
      <c r="AK2143">
        <v>1017.9</v>
      </c>
      <c r="AL2143">
        <v>61.6</v>
      </c>
      <c r="AM2143">
        <v>6.2</v>
      </c>
      <c r="AN2143">
        <v>117.4</v>
      </c>
      <c r="AO2143">
        <v>10.199999999999999</v>
      </c>
      <c r="AP2143">
        <v>5</v>
      </c>
      <c r="AQ2143">
        <v>0</v>
      </c>
      <c r="AR2143" t="s">
        <v>7280</v>
      </c>
      <c r="AS2143" t="s">
        <v>7281</v>
      </c>
      <c r="AT2143">
        <v>0.25</v>
      </c>
      <c r="AU2143" t="s">
        <v>43</v>
      </c>
      <c r="AV2143" t="s">
        <v>44</v>
      </c>
      <c r="AW2143" t="s">
        <v>45</v>
      </c>
      <c r="AX2143" t="s">
        <v>6223</v>
      </c>
      <c r="AY2143" t="s">
        <v>7282</v>
      </c>
      <c r="AZ2143">
        <v>114.99999999767169</v>
      </c>
      <c r="BA2143">
        <v>0</v>
      </c>
      <c r="BB2143">
        <v>0</v>
      </c>
      <c r="BC2143">
        <v>0.02</v>
      </c>
      <c r="BD2143">
        <v>0</v>
      </c>
      <c r="BE2143">
        <f t="shared" si="339"/>
        <v>1</v>
      </c>
    </row>
    <row r="2144" spans="1:57" x14ac:dyDescent="0.25">
      <c r="A2144" t="s">
        <v>39</v>
      </c>
      <c r="B2144" t="s">
        <v>7228</v>
      </c>
      <c r="C2144">
        <v>89.6</v>
      </c>
      <c r="D2144">
        <v>68</v>
      </c>
      <c r="G2144">
        <f t="shared" si="330"/>
        <v>1</v>
      </c>
      <c r="H2144">
        <f t="shared" si="331"/>
        <v>1</v>
      </c>
      <c r="I2144">
        <f t="shared" si="332"/>
        <v>0</v>
      </c>
      <c r="J2144">
        <v>80.400000000000006</v>
      </c>
      <c r="K2144">
        <v>91.3</v>
      </c>
      <c r="L2144">
        <v>68</v>
      </c>
      <c r="M2144">
        <v>81</v>
      </c>
      <c r="N2144">
        <v>62.9</v>
      </c>
      <c r="O2144">
        <v>58.5</v>
      </c>
      <c r="S2144">
        <f t="shared" si="333"/>
        <v>1</v>
      </c>
      <c r="T2144">
        <f t="shared" si="334"/>
        <v>0</v>
      </c>
      <c r="U2144">
        <f t="shared" si="335"/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18.600000000000001</v>
      </c>
      <c r="AC2144">
        <v>11.4</v>
      </c>
      <c r="AG2144">
        <f t="shared" si="336"/>
        <v>1</v>
      </c>
      <c r="AH2144">
        <f t="shared" si="337"/>
        <v>0</v>
      </c>
      <c r="AI2144">
        <f t="shared" si="338"/>
        <v>1</v>
      </c>
      <c r="AJ2144">
        <v>144</v>
      </c>
      <c r="AK2144">
        <v>1012.1</v>
      </c>
      <c r="AL2144">
        <v>7.9</v>
      </c>
      <c r="AM2144">
        <v>6.2</v>
      </c>
      <c r="AN2144">
        <v>332.9</v>
      </c>
      <c r="AO2144">
        <v>28.8</v>
      </c>
      <c r="AP2144">
        <v>10</v>
      </c>
      <c r="AQ2144">
        <v>0</v>
      </c>
      <c r="AR2144" t="s">
        <v>7229</v>
      </c>
      <c r="AS2144" t="s">
        <v>7230</v>
      </c>
      <c r="AT2144">
        <v>0.75</v>
      </c>
      <c r="AU2144" t="s">
        <v>74</v>
      </c>
      <c r="AV2144" t="s">
        <v>2955</v>
      </c>
      <c r="AW2144" t="s">
        <v>75</v>
      </c>
      <c r="AX2144" t="s">
        <v>7283</v>
      </c>
      <c r="AY2144" t="s">
        <v>7284</v>
      </c>
      <c r="AZ2144">
        <v>1647.999999996973</v>
      </c>
      <c r="BA2144">
        <v>1</v>
      </c>
      <c r="BB2144">
        <v>0.5</v>
      </c>
      <c r="BC2144">
        <v>0</v>
      </c>
      <c r="BD2144">
        <v>0</v>
      </c>
      <c r="BE2144">
        <f t="shared" si="339"/>
        <v>1</v>
      </c>
    </row>
    <row r="2145" spans="1:57" x14ac:dyDescent="0.25">
      <c r="A2145" t="s">
        <v>39</v>
      </c>
      <c r="B2145" t="s">
        <v>7285</v>
      </c>
      <c r="C2145">
        <v>82.4</v>
      </c>
      <c r="D2145">
        <v>78.8</v>
      </c>
      <c r="G2145">
        <f t="shared" si="330"/>
        <v>0</v>
      </c>
      <c r="H2145">
        <f t="shared" si="331"/>
        <v>0</v>
      </c>
      <c r="I2145">
        <f t="shared" si="332"/>
        <v>0</v>
      </c>
      <c r="J2145">
        <v>80.099999999999994</v>
      </c>
      <c r="K2145">
        <v>86.2</v>
      </c>
      <c r="L2145">
        <v>78.8</v>
      </c>
      <c r="M2145">
        <v>82</v>
      </c>
      <c r="N2145">
        <v>69.7</v>
      </c>
      <c r="O2145">
        <v>70.900000000000006</v>
      </c>
      <c r="S2145">
        <f t="shared" si="333"/>
        <v>1</v>
      </c>
      <c r="T2145">
        <f t="shared" si="334"/>
        <v>1</v>
      </c>
      <c r="U2145">
        <f t="shared" si="335"/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32.9</v>
      </c>
      <c r="AC2145">
        <v>19.7</v>
      </c>
      <c r="AG2145">
        <f t="shared" si="336"/>
        <v>1</v>
      </c>
      <c r="AH2145">
        <f t="shared" si="337"/>
        <v>1</v>
      </c>
      <c r="AI2145">
        <f t="shared" si="338"/>
        <v>0</v>
      </c>
      <c r="AJ2145">
        <v>303.3</v>
      </c>
      <c r="AK2145">
        <v>1012.7</v>
      </c>
      <c r="AL2145">
        <v>36.700000000000003</v>
      </c>
      <c r="AM2145">
        <v>6.2</v>
      </c>
      <c r="AN2145">
        <v>289.39999999999998</v>
      </c>
      <c r="AO2145">
        <v>25</v>
      </c>
      <c r="AP2145">
        <v>9</v>
      </c>
      <c r="AQ2145">
        <v>0</v>
      </c>
      <c r="AR2145" t="s">
        <v>7286</v>
      </c>
      <c r="AS2145" t="s">
        <v>7287</v>
      </c>
      <c r="AT2145">
        <v>0</v>
      </c>
      <c r="AU2145" t="s">
        <v>43</v>
      </c>
      <c r="AV2145" t="s">
        <v>44</v>
      </c>
      <c r="AW2145" t="s">
        <v>45</v>
      </c>
      <c r="AX2145" t="s">
        <v>7288</v>
      </c>
      <c r="AY2145" t="s">
        <v>7289</v>
      </c>
      <c r="AZ2145">
        <v>2129.0000000037248</v>
      </c>
      <c r="BA2145">
        <v>1</v>
      </c>
      <c r="BB2145">
        <v>0</v>
      </c>
      <c r="BC2145">
        <v>3</v>
      </c>
      <c r="BD2145">
        <v>0</v>
      </c>
      <c r="BE2145">
        <f t="shared" si="339"/>
        <v>1</v>
      </c>
    </row>
    <row r="2146" spans="1:57" x14ac:dyDescent="0.25">
      <c r="A2146" t="s">
        <v>39</v>
      </c>
      <c r="B2146" t="s">
        <v>7103</v>
      </c>
      <c r="C2146">
        <v>69.8</v>
      </c>
      <c r="D2146">
        <v>64.400000000000006</v>
      </c>
      <c r="G2146">
        <f t="shared" si="330"/>
        <v>1</v>
      </c>
      <c r="H2146">
        <f t="shared" si="331"/>
        <v>1</v>
      </c>
      <c r="I2146">
        <f t="shared" si="332"/>
        <v>0</v>
      </c>
      <c r="J2146">
        <v>66.900000000000006</v>
      </c>
      <c r="K2146">
        <v>69.8</v>
      </c>
      <c r="L2146">
        <v>64.400000000000006</v>
      </c>
      <c r="M2146">
        <v>66.900000000000006</v>
      </c>
      <c r="N2146">
        <v>60.6</v>
      </c>
      <c r="O2146">
        <v>80.5</v>
      </c>
      <c r="S2146">
        <f t="shared" si="333"/>
        <v>1</v>
      </c>
      <c r="T2146">
        <f t="shared" si="334"/>
        <v>1</v>
      </c>
      <c r="U2146">
        <f t="shared" si="335"/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25.7</v>
      </c>
      <c r="AC2146">
        <v>12.8</v>
      </c>
      <c r="AG2146">
        <f t="shared" si="336"/>
        <v>1</v>
      </c>
      <c r="AH2146">
        <f t="shared" si="337"/>
        <v>0</v>
      </c>
      <c r="AI2146">
        <f t="shared" si="338"/>
        <v>1</v>
      </c>
      <c r="AJ2146">
        <v>323.2</v>
      </c>
      <c r="AK2146">
        <v>1016.5</v>
      </c>
      <c r="AL2146">
        <v>66.3</v>
      </c>
      <c r="AM2146">
        <v>6.2</v>
      </c>
      <c r="AN2146">
        <v>134.1</v>
      </c>
      <c r="AO2146">
        <v>11.7</v>
      </c>
      <c r="AP2146">
        <v>5</v>
      </c>
      <c r="AQ2146">
        <v>0</v>
      </c>
      <c r="AR2146" t="s">
        <v>7104</v>
      </c>
      <c r="AS2146" t="s">
        <v>7105</v>
      </c>
      <c r="AT2146">
        <v>0.96</v>
      </c>
      <c r="AU2146" t="s">
        <v>43</v>
      </c>
      <c r="AV2146" t="s">
        <v>44</v>
      </c>
      <c r="AW2146" t="s">
        <v>45</v>
      </c>
      <c r="AX2146" t="s">
        <v>6438</v>
      </c>
      <c r="AY2146" t="s">
        <v>7290</v>
      </c>
      <c r="AZ2146">
        <v>329.00000000372529</v>
      </c>
      <c r="BA2146">
        <v>0</v>
      </c>
      <c r="BB2146">
        <v>0</v>
      </c>
      <c r="BC2146">
        <v>10</v>
      </c>
      <c r="BD2146">
        <v>0</v>
      </c>
      <c r="BE2146">
        <f t="shared" si="339"/>
        <v>1</v>
      </c>
    </row>
    <row r="2147" spans="1:57" x14ac:dyDescent="0.25">
      <c r="A2147" t="s">
        <v>39</v>
      </c>
      <c r="B2147" t="s">
        <v>7291</v>
      </c>
      <c r="C2147">
        <v>60.8</v>
      </c>
      <c r="D2147">
        <v>48.2</v>
      </c>
      <c r="G2147">
        <f t="shared" si="330"/>
        <v>1</v>
      </c>
      <c r="H2147">
        <f t="shared" si="331"/>
        <v>1</v>
      </c>
      <c r="I2147">
        <f t="shared" si="332"/>
        <v>0</v>
      </c>
      <c r="J2147">
        <v>53.3</v>
      </c>
      <c r="K2147">
        <v>60.8</v>
      </c>
      <c r="L2147">
        <v>46.3</v>
      </c>
      <c r="M2147">
        <v>53.1</v>
      </c>
      <c r="N2147">
        <v>47.8</v>
      </c>
      <c r="O2147">
        <v>81.8</v>
      </c>
      <c r="S2147">
        <f t="shared" si="333"/>
        <v>1</v>
      </c>
      <c r="T2147">
        <f t="shared" si="334"/>
        <v>1</v>
      </c>
      <c r="U2147">
        <f t="shared" si="335"/>
        <v>0</v>
      </c>
      <c r="V2147">
        <v>5.6000000000000001E-2</v>
      </c>
      <c r="W2147">
        <v>100</v>
      </c>
      <c r="X2147">
        <v>12.5</v>
      </c>
      <c r="Y2147" t="s">
        <v>103</v>
      </c>
      <c r="Z2147">
        <v>0</v>
      </c>
      <c r="AA2147">
        <v>0</v>
      </c>
      <c r="AB2147">
        <v>45</v>
      </c>
      <c r="AC2147">
        <v>36.9</v>
      </c>
      <c r="AG2147">
        <f t="shared" si="336"/>
        <v>1</v>
      </c>
      <c r="AH2147">
        <f t="shared" si="337"/>
        <v>1</v>
      </c>
      <c r="AI2147">
        <f t="shared" si="338"/>
        <v>0</v>
      </c>
      <c r="AJ2147">
        <v>290.2</v>
      </c>
      <c r="AK2147">
        <v>1002.6</v>
      </c>
      <c r="AL2147">
        <v>69.099999999999994</v>
      </c>
      <c r="AM2147">
        <v>6</v>
      </c>
      <c r="AN2147">
        <v>126.3</v>
      </c>
      <c r="AO2147">
        <v>10.9</v>
      </c>
      <c r="AP2147">
        <v>5</v>
      </c>
      <c r="AQ2147">
        <v>0</v>
      </c>
      <c r="AR2147" t="s">
        <v>7292</v>
      </c>
      <c r="AS2147" t="s">
        <v>7293</v>
      </c>
      <c r="AT2147">
        <v>0.18</v>
      </c>
      <c r="AU2147" t="s">
        <v>106</v>
      </c>
      <c r="AV2147" t="s">
        <v>257</v>
      </c>
      <c r="AW2147" t="s">
        <v>103</v>
      </c>
      <c r="AX2147" t="s">
        <v>7294</v>
      </c>
      <c r="AY2147" t="s">
        <v>7295</v>
      </c>
      <c r="AZ2147">
        <v>121.9999999995343</v>
      </c>
      <c r="BA2147">
        <v>0</v>
      </c>
      <c r="BB2147">
        <v>0</v>
      </c>
      <c r="BC2147">
        <v>1</v>
      </c>
      <c r="BD2147">
        <v>0</v>
      </c>
      <c r="BE2147">
        <f t="shared" si="339"/>
        <v>1</v>
      </c>
    </row>
    <row r="2148" spans="1:57" x14ac:dyDescent="0.25">
      <c r="A2148" t="s">
        <v>39</v>
      </c>
      <c r="B2148" t="s">
        <v>7198</v>
      </c>
      <c r="C2148">
        <v>86</v>
      </c>
      <c r="D2148">
        <v>71.599999999999994</v>
      </c>
      <c r="G2148">
        <f t="shared" si="330"/>
        <v>1</v>
      </c>
      <c r="H2148">
        <f t="shared" si="331"/>
        <v>1</v>
      </c>
      <c r="I2148">
        <f t="shared" si="332"/>
        <v>0</v>
      </c>
      <c r="J2148">
        <v>80.3</v>
      </c>
      <c r="K2148">
        <v>93.5</v>
      </c>
      <c r="L2148">
        <v>71.599999999999994</v>
      </c>
      <c r="M2148">
        <v>83.4</v>
      </c>
      <c r="N2148">
        <v>70.2</v>
      </c>
      <c r="O2148">
        <v>71.8</v>
      </c>
      <c r="S2148">
        <f t="shared" si="333"/>
        <v>1</v>
      </c>
      <c r="T2148">
        <f t="shared" si="334"/>
        <v>1</v>
      </c>
      <c r="U2148">
        <f t="shared" si="335"/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26.6</v>
      </c>
      <c r="AC2148">
        <v>12.8</v>
      </c>
      <c r="AG2148">
        <f t="shared" si="336"/>
        <v>1</v>
      </c>
      <c r="AH2148">
        <f t="shared" si="337"/>
        <v>0</v>
      </c>
      <c r="AI2148">
        <f t="shared" si="338"/>
        <v>1</v>
      </c>
      <c r="AJ2148">
        <v>319.10000000000002</v>
      </c>
      <c r="AK2148">
        <v>1010.2</v>
      </c>
      <c r="AL2148">
        <v>10.3</v>
      </c>
      <c r="AM2148">
        <v>6.2</v>
      </c>
      <c r="AN2148">
        <v>296</v>
      </c>
      <c r="AO2148">
        <v>25.5</v>
      </c>
      <c r="AP2148">
        <v>9</v>
      </c>
      <c r="AQ2148">
        <v>0</v>
      </c>
      <c r="AR2148" t="s">
        <v>7199</v>
      </c>
      <c r="AS2148" t="s">
        <v>7200</v>
      </c>
      <c r="AT2148">
        <v>0.16</v>
      </c>
      <c r="AU2148" t="s">
        <v>74</v>
      </c>
      <c r="AV2148" t="s">
        <v>2955</v>
      </c>
      <c r="AW2148" t="s">
        <v>75</v>
      </c>
      <c r="AX2148" t="s">
        <v>7296</v>
      </c>
      <c r="AY2148" t="s">
        <v>7297</v>
      </c>
      <c r="AZ2148">
        <v>200.00000000232831</v>
      </c>
      <c r="BA2148">
        <v>0</v>
      </c>
      <c r="BB2148">
        <v>0</v>
      </c>
      <c r="BC2148">
        <v>0.5</v>
      </c>
      <c r="BD2148">
        <v>0</v>
      </c>
      <c r="BE2148">
        <f t="shared" si="339"/>
        <v>1</v>
      </c>
    </row>
    <row r="2149" spans="1:57" x14ac:dyDescent="0.25">
      <c r="A2149" t="s">
        <v>39</v>
      </c>
      <c r="B2149" t="s">
        <v>7298</v>
      </c>
      <c r="C2149">
        <v>86</v>
      </c>
      <c r="D2149">
        <v>75.2</v>
      </c>
      <c r="G2149">
        <f t="shared" si="330"/>
        <v>1</v>
      </c>
      <c r="H2149">
        <f t="shared" si="331"/>
        <v>1</v>
      </c>
      <c r="I2149">
        <f t="shared" si="332"/>
        <v>0</v>
      </c>
      <c r="J2149">
        <v>80.5</v>
      </c>
      <c r="K2149">
        <v>93.5</v>
      </c>
      <c r="L2149">
        <v>75.2</v>
      </c>
      <c r="M2149">
        <v>83.8</v>
      </c>
      <c r="N2149">
        <v>71.599999999999994</v>
      </c>
      <c r="O2149">
        <v>75</v>
      </c>
      <c r="S2149">
        <f t="shared" si="333"/>
        <v>1</v>
      </c>
      <c r="T2149">
        <f t="shared" si="334"/>
        <v>1</v>
      </c>
      <c r="U2149">
        <f t="shared" si="335"/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27.7</v>
      </c>
      <c r="AC2149">
        <v>25.3</v>
      </c>
      <c r="AG2149">
        <f t="shared" si="336"/>
        <v>1</v>
      </c>
      <c r="AH2149">
        <f t="shared" si="337"/>
        <v>1</v>
      </c>
      <c r="AI2149">
        <f t="shared" si="338"/>
        <v>0</v>
      </c>
      <c r="AJ2149">
        <v>288.89999999999998</v>
      </c>
      <c r="AK2149">
        <v>1008.1</v>
      </c>
      <c r="AL2149">
        <v>23.6</v>
      </c>
      <c r="AM2149">
        <v>6.2</v>
      </c>
      <c r="AN2149">
        <v>260.60000000000002</v>
      </c>
      <c r="AO2149">
        <v>22.5</v>
      </c>
      <c r="AP2149">
        <v>8</v>
      </c>
      <c r="AQ2149">
        <v>0</v>
      </c>
      <c r="AR2149" t="s">
        <v>7299</v>
      </c>
      <c r="AS2149" t="s">
        <v>7300</v>
      </c>
      <c r="AT2149">
        <v>0.5</v>
      </c>
      <c r="AU2149" t="s">
        <v>43</v>
      </c>
      <c r="AV2149" t="s">
        <v>44</v>
      </c>
      <c r="AW2149" t="s">
        <v>45</v>
      </c>
      <c r="AX2149" t="s">
        <v>4085</v>
      </c>
      <c r="AY2149" t="s">
        <v>7301</v>
      </c>
      <c r="AZ2149">
        <v>374.99999999650748</v>
      </c>
      <c r="BA2149">
        <v>1</v>
      </c>
      <c r="BB2149">
        <v>0</v>
      </c>
      <c r="BC2149">
        <v>1</v>
      </c>
      <c r="BD2149">
        <v>0</v>
      </c>
      <c r="BE2149">
        <f t="shared" si="339"/>
        <v>1</v>
      </c>
    </row>
    <row r="2150" spans="1:57" x14ac:dyDescent="0.25">
      <c r="A2150" t="s">
        <v>39</v>
      </c>
      <c r="B2150" t="s">
        <v>7051</v>
      </c>
      <c r="C2150">
        <v>84.2</v>
      </c>
      <c r="D2150">
        <v>71.599999999999994</v>
      </c>
      <c r="G2150">
        <f t="shared" si="330"/>
        <v>1</v>
      </c>
      <c r="H2150">
        <f t="shared" si="331"/>
        <v>1</v>
      </c>
      <c r="I2150">
        <f t="shared" si="332"/>
        <v>0</v>
      </c>
      <c r="J2150">
        <v>78.7</v>
      </c>
      <c r="K2150">
        <v>89.6</v>
      </c>
      <c r="L2150">
        <v>71.599999999999994</v>
      </c>
      <c r="M2150">
        <v>81.099999999999994</v>
      </c>
      <c r="N2150">
        <v>68.400000000000006</v>
      </c>
      <c r="O2150">
        <v>71.400000000000006</v>
      </c>
      <c r="S2150">
        <f t="shared" si="333"/>
        <v>1</v>
      </c>
      <c r="T2150">
        <f t="shared" si="334"/>
        <v>1</v>
      </c>
      <c r="U2150">
        <f t="shared" si="335"/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24.4</v>
      </c>
      <c r="AC2150">
        <v>20.8</v>
      </c>
      <c r="AG2150">
        <f t="shared" si="336"/>
        <v>1</v>
      </c>
      <c r="AH2150">
        <f t="shared" si="337"/>
        <v>1</v>
      </c>
      <c r="AI2150">
        <f t="shared" si="338"/>
        <v>0</v>
      </c>
      <c r="AJ2150">
        <v>291.2</v>
      </c>
      <c r="AK2150">
        <v>1008.7</v>
      </c>
      <c r="AL2150">
        <v>7.1</v>
      </c>
      <c r="AM2150">
        <v>6.2</v>
      </c>
      <c r="AN2150">
        <v>272.89999999999998</v>
      </c>
      <c r="AO2150">
        <v>23.6</v>
      </c>
      <c r="AP2150">
        <v>9</v>
      </c>
      <c r="AQ2150">
        <v>0</v>
      </c>
      <c r="AR2150" t="s">
        <v>7052</v>
      </c>
      <c r="AS2150" t="s">
        <v>7053</v>
      </c>
      <c r="AT2150">
        <v>0.85</v>
      </c>
      <c r="AU2150" t="s">
        <v>74</v>
      </c>
      <c r="AV2150" t="s">
        <v>2955</v>
      </c>
      <c r="AW2150" t="s">
        <v>75</v>
      </c>
      <c r="AX2150" t="s">
        <v>7302</v>
      </c>
      <c r="AY2150" t="s">
        <v>7303</v>
      </c>
      <c r="AZ2150">
        <v>697.99999999115244</v>
      </c>
      <c r="BA2150">
        <v>1</v>
      </c>
      <c r="BB2150">
        <v>0</v>
      </c>
      <c r="BC2150">
        <v>0.1</v>
      </c>
      <c r="BD2150">
        <v>0</v>
      </c>
      <c r="BE2150">
        <f t="shared" si="339"/>
        <v>1</v>
      </c>
    </row>
    <row r="2151" spans="1:57" x14ac:dyDescent="0.25">
      <c r="A2151" t="s">
        <v>39</v>
      </c>
      <c r="B2151" t="s">
        <v>7304</v>
      </c>
      <c r="C2151">
        <v>60.8</v>
      </c>
      <c r="D2151">
        <v>46.4</v>
      </c>
      <c r="G2151">
        <f t="shared" si="330"/>
        <v>1</v>
      </c>
      <c r="H2151">
        <f t="shared" si="331"/>
        <v>1</v>
      </c>
      <c r="I2151">
        <f t="shared" si="332"/>
        <v>0</v>
      </c>
      <c r="J2151">
        <v>52</v>
      </c>
      <c r="K2151">
        <v>60.8</v>
      </c>
      <c r="L2151">
        <v>42.3</v>
      </c>
      <c r="M2151">
        <v>50.2</v>
      </c>
      <c r="N2151">
        <v>47.1</v>
      </c>
      <c r="O2151">
        <v>83.9</v>
      </c>
      <c r="S2151">
        <f t="shared" si="333"/>
        <v>1</v>
      </c>
      <c r="T2151">
        <f t="shared" si="334"/>
        <v>1</v>
      </c>
      <c r="U2151">
        <f t="shared" si="335"/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15</v>
      </c>
      <c r="AC2151">
        <v>11.4</v>
      </c>
      <c r="AG2151">
        <f t="shared" si="336"/>
        <v>1</v>
      </c>
      <c r="AH2151">
        <f t="shared" si="337"/>
        <v>0</v>
      </c>
      <c r="AI2151">
        <f t="shared" si="338"/>
        <v>1</v>
      </c>
      <c r="AJ2151">
        <v>196</v>
      </c>
      <c r="AK2151">
        <v>1023.1</v>
      </c>
      <c r="AL2151">
        <v>40.799999999999997</v>
      </c>
      <c r="AM2151">
        <v>6.2</v>
      </c>
      <c r="AN2151">
        <v>153</v>
      </c>
      <c r="AO2151">
        <v>13.3</v>
      </c>
      <c r="AP2151">
        <v>6</v>
      </c>
      <c r="AQ2151">
        <v>0</v>
      </c>
      <c r="AR2151" t="s">
        <v>7305</v>
      </c>
      <c r="AS2151" t="s">
        <v>7306</v>
      </c>
      <c r="AT2151">
        <v>0.5</v>
      </c>
      <c r="AU2151" t="s">
        <v>43</v>
      </c>
      <c r="AV2151" t="s">
        <v>80</v>
      </c>
      <c r="AW2151" t="s">
        <v>45</v>
      </c>
      <c r="AX2151" t="s">
        <v>7307</v>
      </c>
      <c r="AY2151" t="s">
        <v>7308</v>
      </c>
      <c r="AZ2151">
        <v>47.999999999301508</v>
      </c>
      <c r="BA2151">
        <v>0</v>
      </c>
      <c r="BB2151">
        <v>0</v>
      </c>
      <c r="BC2151">
        <v>0.5</v>
      </c>
      <c r="BD2151">
        <v>0</v>
      </c>
      <c r="BE2151">
        <f t="shared" si="339"/>
        <v>1</v>
      </c>
    </row>
    <row r="2152" spans="1:57" x14ac:dyDescent="0.25">
      <c r="A2152" t="s">
        <v>39</v>
      </c>
      <c r="B2152" t="s">
        <v>7309</v>
      </c>
      <c r="C2152">
        <v>75.2</v>
      </c>
      <c r="D2152">
        <v>69.8</v>
      </c>
      <c r="G2152">
        <f t="shared" si="330"/>
        <v>1</v>
      </c>
      <c r="H2152">
        <f t="shared" si="331"/>
        <v>1</v>
      </c>
      <c r="I2152">
        <f t="shared" si="332"/>
        <v>0</v>
      </c>
      <c r="J2152">
        <v>72.3</v>
      </c>
      <c r="K2152">
        <v>75.2</v>
      </c>
      <c r="L2152">
        <v>69.8</v>
      </c>
      <c r="M2152">
        <v>72.3</v>
      </c>
      <c r="N2152">
        <v>67</v>
      </c>
      <c r="O2152">
        <v>83.7</v>
      </c>
      <c r="S2152">
        <f t="shared" si="333"/>
        <v>1</v>
      </c>
      <c r="T2152">
        <f t="shared" si="334"/>
        <v>1</v>
      </c>
      <c r="U2152">
        <f t="shared" si="335"/>
        <v>0</v>
      </c>
      <c r="V2152">
        <v>4.0000000000000001E-3</v>
      </c>
      <c r="W2152">
        <v>100</v>
      </c>
      <c r="X2152">
        <v>4.17</v>
      </c>
      <c r="Y2152" t="s">
        <v>103</v>
      </c>
      <c r="Z2152">
        <v>0</v>
      </c>
      <c r="AA2152">
        <v>0</v>
      </c>
      <c r="AB2152">
        <v>33.799999999999997</v>
      </c>
      <c r="AC2152">
        <v>19.7</v>
      </c>
      <c r="AG2152">
        <f t="shared" si="336"/>
        <v>1</v>
      </c>
      <c r="AH2152">
        <f t="shared" si="337"/>
        <v>1</v>
      </c>
      <c r="AI2152">
        <f t="shared" si="338"/>
        <v>0</v>
      </c>
      <c r="AJ2152">
        <v>302.89999999999998</v>
      </c>
      <c r="AK2152">
        <v>1010.8</v>
      </c>
      <c r="AL2152">
        <v>58.2</v>
      </c>
      <c r="AM2152">
        <v>6.1</v>
      </c>
      <c r="AN2152">
        <v>252.3</v>
      </c>
      <c r="AO2152">
        <v>21.9</v>
      </c>
      <c r="AP2152">
        <v>8</v>
      </c>
      <c r="AQ2152">
        <v>0</v>
      </c>
      <c r="AR2152" t="s">
        <v>7310</v>
      </c>
      <c r="AS2152" t="s">
        <v>7311</v>
      </c>
      <c r="AT2152">
        <v>0.39</v>
      </c>
      <c r="AU2152" t="s">
        <v>106</v>
      </c>
      <c r="AV2152" t="s">
        <v>438</v>
      </c>
      <c r="AW2152" t="s">
        <v>103</v>
      </c>
      <c r="AX2152" t="s">
        <v>4290</v>
      </c>
      <c r="AY2152" t="s">
        <v>7312</v>
      </c>
      <c r="AZ2152">
        <v>155.00000000232831</v>
      </c>
      <c r="BA2152">
        <v>0</v>
      </c>
      <c r="BB2152">
        <v>0</v>
      </c>
      <c r="BC2152">
        <v>0.6</v>
      </c>
      <c r="BD2152">
        <v>0</v>
      </c>
      <c r="BE2152">
        <f t="shared" si="339"/>
        <v>1</v>
      </c>
    </row>
    <row r="2153" spans="1:57" x14ac:dyDescent="0.25">
      <c r="A2153" t="s">
        <v>39</v>
      </c>
      <c r="B2153" t="s">
        <v>7313</v>
      </c>
      <c r="C2153">
        <v>87.8</v>
      </c>
      <c r="D2153">
        <v>71.599999999999994</v>
      </c>
      <c r="G2153">
        <f t="shared" si="330"/>
        <v>1</v>
      </c>
      <c r="H2153">
        <f t="shared" si="331"/>
        <v>1</v>
      </c>
      <c r="I2153">
        <f t="shared" si="332"/>
        <v>0</v>
      </c>
      <c r="J2153">
        <v>80.8</v>
      </c>
      <c r="K2153">
        <v>91.4</v>
      </c>
      <c r="L2153">
        <v>71.599999999999994</v>
      </c>
      <c r="M2153">
        <v>82.3</v>
      </c>
      <c r="N2153">
        <v>64</v>
      </c>
      <c r="O2153">
        <v>57.3</v>
      </c>
      <c r="S2153">
        <f t="shared" si="333"/>
        <v>1</v>
      </c>
      <c r="T2153">
        <f t="shared" si="334"/>
        <v>0</v>
      </c>
      <c r="U2153">
        <f t="shared" si="335"/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25.3</v>
      </c>
      <c r="AC2153">
        <v>18.3</v>
      </c>
      <c r="AG2153">
        <f t="shared" si="336"/>
        <v>0</v>
      </c>
      <c r="AH2153">
        <f t="shared" si="337"/>
        <v>0</v>
      </c>
      <c r="AI2153">
        <f t="shared" si="338"/>
        <v>0</v>
      </c>
      <c r="AJ2153">
        <v>292</v>
      </c>
      <c r="AK2153">
        <v>1010.8</v>
      </c>
      <c r="AL2153">
        <v>0</v>
      </c>
      <c r="AM2153">
        <v>6.2</v>
      </c>
      <c r="AN2153">
        <v>341</v>
      </c>
      <c r="AO2153">
        <v>29.3</v>
      </c>
      <c r="AP2153">
        <v>10</v>
      </c>
      <c r="AQ2153">
        <v>0</v>
      </c>
      <c r="AR2153" t="s">
        <v>7314</v>
      </c>
      <c r="AS2153" t="s">
        <v>7315</v>
      </c>
      <c r="AT2153">
        <v>0.71</v>
      </c>
      <c r="AU2153" t="s">
        <v>74</v>
      </c>
      <c r="AV2153" t="s">
        <v>2955</v>
      </c>
      <c r="AW2153" t="s">
        <v>75</v>
      </c>
      <c r="AX2153" t="s">
        <v>2651</v>
      </c>
      <c r="AY2153" t="s">
        <v>7316</v>
      </c>
      <c r="AZ2153">
        <v>1511.0000000009311</v>
      </c>
      <c r="BA2153">
        <v>1</v>
      </c>
      <c r="BB2153">
        <v>0</v>
      </c>
      <c r="BC2153">
        <v>2</v>
      </c>
      <c r="BD2153">
        <v>0</v>
      </c>
      <c r="BE2153">
        <f t="shared" si="339"/>
        <v>1</v>
      </c>
    </row>
    <row r="2154" spans="1:57" x14ac:dyDescent="0.25">
      <c r="A2154" t="s">
        <v>39</v>
      </c>
      <c r="B2154" t="s">
        <v>7179</v>
      </c>
      <c r="C2154">
        <v>80.599999999999994</v>
      </c>
      <c r="D2154">
        <v>66.2</v>
      </c>
      <c r="G2154">
        <f t="shared" si="330"/>
        <v>0</v>
      </c>
      <c r="H2154">
        <f t="shared" si="331"/>
        <v>0</v>
      </c>
      <c r="I2154">
        <f t="shared" si="332"/>
        <v>0</v>
      </c>
      <c r="J2154">
        <v>73.3</v>
      </c>
      <c r="K2154">
        <v>85.4</v>
      </c>
      <c r="L2154">
        <v>66.2</v>
      </c>
      <c r="M2154">
        <v>74</v>
      </c>
      <c r="N2154">
        <v>66.099999999999994</v>
      </c>
      <c r="O2154">
        <v>78.2</v>
      </c>
      <c r="S2154">
        <f t="shared" si="333"/>
        <v>1</v>
      </c>
      <c r="T2154">
        <f t="shared" si="334"/>
        <v>1</v>
      </c>
      <c r="U2154">
        <f t="shared" si="335"/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32.700000000000003</v>
      </c>
      <c r="AC2154">
        <v>21.9</v>
      </c>
      <c r="AG2154">
        <f t="shared" si="336"/>
        <v>1</v>
      </c>
      <c r="AH2154">
        <f t="shared" si="337"/>
        <v>1</v>
      </c>
      <c r="AI2154">
        <f t="shared" si="338"/>
        <v>0</v>
      </c>
      <c r="AJ2154">
        <v>314</v>
      </c>
      <c r="AK2154">
        <v>1014.2</v>
      </c>
      <c r="AL2154">
        <v>28.1</v>
      </c>
      <c r="AM2154">
        <v>6.2</v>
      </c>
      <c r="AN2154">
        <v>220.5</v>
      </c>
      <c r="AO2154">
        <v>19</v>
      </c>
      <c r="AP2154">
        <v>8</v>
      </c>
      <c r="AQ2154">
        <v>0</v>
      </c>
      <c r="AR2154" t="s">
        <v>7180</v>
      </c>
      <c r="AS2154" t="s">
        <v>7181</v>
      </c>
      <c r="AT2154">
        <v>0.5</v>
      </c>
      <c r="AU2154" t="s">
        <v>43</v>
      </c>
      <c r="AV2154" t="s">
        <v>44</v>
      </c>
      <c r="AW2154" t="s">
        <v>45</v>
      </c>
      <c r="AX2154" t="s">
        <v>7288</v>
      </c>
      <c r="AY2154" t="s">
        <v>7317</v>
      </c>
      <c r="AZ2154">
        <v>239.00000000372529</v>
      </c>
      <c r="BA2154">
        <v>0</v>
      </c>
      <c r="BB2154">
        <v>0</v>
      </c>
      <c r="BC2154">
        <v>0.5</v>
      </c>
      <c r="BD2154">
        <v>0</v>
      </c>
      <c r="BE2154">
        <f t="shared" si="339"/>
        <v>0</v>
      </c>
    </row>
    <row r="2155" spans="1:57" x14ac:dyDescent="0.25">
      <c r="A2155" t="s">
        <v>39</v>
      </c>
      <c r="B2155" t="s">
        <v>7318</v>
      </c>
      <c r="C2155">
        <v>66.2</v>
      </c>
      <c r="D2155">
        <v>55.4</v>
      </c>
      <c r="G2155">
        <f t="shared" si="330"/>
        <v>1</v>
      </c>
      <c r="H2155">
        <f t="shared" si="331"/>
        <v>1</v>
      </c>
      <c r="I2155">
        <f t="shared" si="332"/>
        <v>0</v>
      </c>
      <c r="J2155">
        <v>61.3</v>
      </c>
      <c r="K2155">
        <v>66.2</v>
      </c>
      <c r="L2155">
        <v>55.4</v>
      </c>
      <c r="M2155">
        <v>61.3</v>
      </c>
      <c r="N2155">
        <v>52.1</v>
      </c>
      <c r="O2155">
        <v>71.900000000000006</v>
      </c>
      <c r="S2155">
        <f t="shared" si="333"/>
        <v>1</v>
      </c>
      <c r="T2155">
        <f t="shared" si="334"/>
        <v>1</v>
      </c>
      <c r="U2155">
        <f t="shared" si="335"/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41.4</v>
      </c>
      <c r="AC2155">
        <v>33.200000000000003</v>
      </c>
      <c r="AG2155">
        <f t="shared" si="336"/>
        <v>1</v>
      </c>
      <c r="AH2155">
        <f t="shared" si="337"/>
        <v>1</v>
      </c>
      <c r="AI2155">
        <f t="shared" si="338"/>
        <v>0</v>
      </c>
      <c r="AJ2155">
        <v>158.69999999999999</v>
      </c>
      <c r="AK2155">
        <v>1013.9</v>
      </c>
      <c r="AL2155">
        <v>44.8</v>
      </c>
      <c r="AM2155">
        <v>6.2</v>
      </c>
      <c r="AN2155">
        <v>107.8</v>
      </c>
      <c r="AO2155">
        <v>9.6</v>
      </c>
      <c r="AP2155">
        <v>5</v>
      </c>
      <c r="AQ2155">
        <v>0</v>
      </c>
      <c r="AR2155" t="s">
        <v>7319</v>
      </c>
      <c r="AS2155" t="s">
        <v>7320</v>
      </c>
      <c r="AT2155">
        <v>0.63</v>
      </c>
      <c r="AU2155" t="s">
        <v>43</v>
      </c>
      <c r="AV2155" t="s">
        <v>44</v>
      </c>
      <c r="AW2155" t="s">
        <v>419</v>
      </c>
      <c r="AX2155" t="s">
        <v>7321</v>
      </c>
      <c r="AY2155" t="s">
        <v>7322</v>
      </c>
      <c r="AZ2155">
        <v>191.999999997206</v>
      </c>
      <c r="BA2155">
        <v>0</v>
      </c>
      <c r="BB2155">
        <v>0</v>
      </c>
      <c r="BC2155">
        <v>2</v>
      </c>
      <c r="BD2155">
        <v>0</v>
      </c>
      <c r="BE2155">
        <f t="shared" si="339"/>
        <v>1</v>
      </c>
    </row>
    <row r="2156" spans="1:57" x14ac:dyDescent="0.25">
      <c r="A2156" t="s">
        <v>39</v>
      </c>
      <c r="B2156" t="s">
        <v>7323</v>
      </c>
      <c r="C2156">
        <v>68</v>
      </c>
      <c r="D2156">
        <v>51.8</v>
      </c>
      <c r="G2156">
        <f t="shared" si="330"/>
        <v>1</v>
      </c>
      <c r="H2156">
        <f t="shared" si="331"/>
        <v>1</v>
      </c>
      <c r="I2156">
        <f t="shared" si="332"/>
        <v>0</v>
      </c>
      <c r="J2156">
        <v>59.9</v>
      </c>
      <c r="K2156">
        <v>68</v>
      </c>
      <c r="L2156">
        <v>51.8</v>
      </c>
      <c r="M2156">
        <v>59.9</v>
      </c>
      <c r="N2156">
        <v>47.1</v>
      </c>
      <c r="O2156">
        <v>63.5</v>
      </c>
      <c r="S2156">
        <f t="shared" si="333"/>
        <v>1</v>
      </c>
      <c r="T2156">
        <f t="shared" si="334"/>
        <v>0</v>
      </c>
      <c r="U2156">
        <f t="shared" si="335"/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40.5</v>
      </c>
      <c r="AC2156">
        <v>24.1</v>
      </c>
      <c r="AG2156">
        <f t="shared" si="336"/>
        <v>1</v>
      </c>
      <c r="AH2156">
        <f t="shared" si="337"/>
        <v>1</v>
      </c>
      <c r="AI2156">
        <f t="shared" si="338"/>
        <v>0</v>
      </c>
      <c r="AJ2156">
        <v>175.4</v>
      </c>
      <c r="AK2156">
        <v>1003.8</v>
      </c>
      <c r="AL2156">
        <v>62.6</v>
      </c>
      <c r="AM2156">
        <v>6.2</v>
      </c>
      <c r="AN2156">
        <v>114.7</v>
      </c>
      <c r="AO2156">
        <v>9.9</v>
      </c>
      <c r="AP2156">
        <v>4</v>
      </c>
      <c r="AQ2156">
        <v>0</v>
      </c>
      <c r="AR2156" t="s">
        <v>7324</v>
      </c>
      <c r="AS2156" t="s">
        <v>7325</v>
      </c>
      <c r="AT2156">
        <v>0.82</v>
      </c>
      <c r="AU2156" t="s">
        <v>43</v>
      </c>
      <c r="AV2156" t="s">
        <v>44</v>
      </c>
      <c r="AW2156" t="s">
        <v>45</v>
      </c>
      <c r="AX2156" t="s">
        <v>4296</v>
      </c>
      <c r="AY2156" t="s">
        <v>7326</v>
      </c>
      <c r="AZ2156">
        <v>94.999999995343387</v>
      </c>
      <c r="BA2156">
        <v>0</v>
      </c>
      <c r="BB2156">
        <v>0</v>
      </c>
      <c r="BC2156">
        <v>1</v>
      </c>
      <c r="BD2156">
        <v>0</v>
      </c>
      <c r="BE2156">
        <f t="shared" si="339"/>
        <v>1</v>
      </c>
    </row>
    <row r="2157" spans="1:57" x14ac:dyDescent="0.25">
      <c r="A2157" t="s">
        <v>39</v>
      </c>
      <c r="B2157" t="s">
        <v>7084</v>
      </c>
      <c r="C2157">
        <v>78.8</v>
      </c>
      <c r="D2157">
        <v>59</v>
      </c>
      <c r="G2157">
        <f t="shared" si="330"/>
        <v>1</v>
      </c>
      <c r="H2157">
        <f t="shared" si="331"/>
        <v>1</v>
      </c>
      <c r="I2157">
        <f t="shared" si="332"/>
        <v>0</v>
      </c>
      <c r="J2157">
        <v>67.400000000000006</v>
      </c>
      <c r="K2157">
        <v>78.8</v>
      </c>
      <c r="L2157">
        <v>59</v>
      </c>
      <c r="M2157">
        <v>67.400000000000006</v>
      </c>
      <c r="N2157">
        <v>46.3</v>
      </c>
      <c r="O2157">
        <v>48.7</v>
      </c>
      <c r="S2157">
        <f t="shared" si="333"/>
        <v>1</v>
      </c>
      <c r="T2157">
        <f t="shared" si="334"/>
        <v>0</v>
      </c>
      <c r="U2157">
        <f t="shared" si="335"/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57.5</v>
      </c>
      <c r="AC2157">
        <v>42.5</v>
      </c>
      <c r="AG2157">
        <f t="shared" si="336"/>
        <v>1</v>
      </c>
      <c r="AH2157">
        <f t="shared" si="337"/>
        <v>1</v>
      </c>
      <c r="AI2157">
        <f t="shared" si="338"/>
        <v>0</v>
      </c>
      <c r="AJ2157">
        <v>170.4</v>
      </c>
      <c r="AK2157">
        <v>1011.6</v>
      </c>
      <c r="AL2157">
        <v>66.400000000000006</v>
      </c>
      <c r="AM2157">
        <v>6.2</v>
      </c>
      <c r="AN2157">
        <v>228.4</v>
      </c>
      <c r="AO2157">
        <v>19.600000000000001</v>
      </c>
      <c r="AP2157">
        <v>8</v>
      </c>
      <c r="AQ2157">
        <v>0</v>
      </c>
      <c r="AR2157" t="s">
        <v>7085</v>
      </c>
      <c r="AS2157" t="s">
        <v>7086</v>
      </c>
      <c r="AT2157">
        <v>0</v>
      </c>
      <c r="AU2157" t="s">
        <v>43</v>
      </c>
      <c r="AV2157" t="s">
        <v>44</v>
      </c>
      <c r="AW2157" t="s">
        <v>419</v>
      </c>
      <c r="AX2157" t="s">
        <v>2408</v>
      </c>
      <c r="AY2157" t="s">
        <v>7327</v>
      </c>
      <c r="AZ2157">
        <v>745.00000000814907</v>
      </c>
      <c r="BA2157">
        <v>1</v>
      </c>
      <c r="BB2157">
        <v>0</v>
      </c>
      <c r="BC2157">
        <v>2</v>
      </c>
      <c r="BD2157">
        <v>0</v>
      </c>
      <c r="BE2157">
        <f t="shared" si="339"/>
        <v>1</v>
      </c>
    </row>
    <row r="2158" spans="1:57" x14ac:dyDescent="0.25">
      <c r="A2158" t="s">
        <v>39</v>
      </c>
      <c r="B2158" t="s">
        <v>7328</v>
      </c>
      <c r="C2158">
        <v>84.2</v>
      </c>
      <c r="D2158">
        <v>78.8</v>
      </c>
      <c r="G2158">
        <f t="shared" si="330"/>
        <v>0</v>
      </c>
      <c r="H2158">
        <f t="shared" si="331"/>
        <v>0</v>
      </c>
      <c r="I2158">
        <f t="shared" si="332"/>
        <v>0</v>
      </c>
      <c r="J2158">
        <v>81.7</v>
      </c>
      <c r="K2158">
        <v>89.6</v>
      </c>
      <c r="L2158">
        <v>78.8</v>
      </c>
      <c r="M2158">
        <v>84.9</v>
      </c>
      <c r="N2158">
        <v>69.900000000000006</v>
      </c>
      <c r="O2158">
        <v>67.900000000000006</v>
      </c>
      <c r="S2158">
        <f t="shared" si="333"/>
        <v>1</v>
      </c>
      <c r="T2158">
        <f t="shared" si="334"/>
        <v>1</v>
      </c>
      <c r="U2158">
        <f t="shared" si="335"/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40.299999999999997</v>
      </c>
      <c r="AC2158">
        <v>21.9</v>
      </c>
      <c r="AG2158">
        <f t="shared" si="336"/>
        <v>1</v>
      </c>
      <c r="AH2158">
        <f t="shared" si="337"/>
        <v>1</v>
      </c>
      <c r="AI2158">
        <f t="shared" si="338"/>
        <v>0</v>
      </c>
      <c r="AJ2158">
        <v>304.7</v>
      </c>
      <c r="AK2158">
        <v>1009.3</v>
      </c>
      <c r="AL2158">
        <v>24.4</v>
      </c>
      <c r="AM2158">
        <v>6.2</v>
      </c>
      <c r="AN2158">
        <v>333.3</v>
      </c>
      <c r="AO2158">
        <v>29</v>
      </c>
      <c r="AP2158">
        <v>10</v>
      </c>
      <c r="AQ2158">
        <v>0</v>
      </c>
      <c r="AR2158" t="s">
        <v>7329</v>
      </c>
      <c r="AS2158" t="s">
        <v>7330</v>
      </c>
      <c r="AT2158">
        <v>0.08</v>
      </c>
      <c r="AU2158" t="s">
        <v>43</v>
      </c>
      <c r="AV2158" t="s">
        <v>44</v>
      </c>
      <c r="AW2158" t="s">
        <v>45</v>
      </c>
      <c r="AX2158" t="s">
        <v>6564</v>
      </c>
      <c r="AY2158" t="s">
        <v>7331</v>
      </c>
      <c r="AZ2158">
        <v>1774.9999999918509</v>
      </c>
      <c r="BA2158">
        <v>1</v>
      </c>
      <c r="BB2158">
        <v>0</v>
      </c>
      <c r="BC2158">
        <v>1</v>
      </c>
      <c r="BD2158">
        <v>0</v>
      </c>
      <c r="BE2158">
        <f t="shared" si="339"/>
        <v>1</v>
      </c>
    </row>
    <row r="2159" spans="1:57" x14ac:dyDescent="0.25">
      <c r="A2159" t="s">
        <v>39</v>
      </c>
      <c r="B2159" t="s">
        <v>7332</v>
      </c>
      <c r="C2159">
        <v>71.599999999999994</v>
      </c>
      <c r="D2159">
        <v>57.2</v>
      </c>
      <c r="G2159">
        <f t="shared" si="330"/>
        <v>1</v>
      </c>
      <c r="H2159">
        <f t="shared" si="331"/>
        <v>1</v>
      </c>
      <c r="I2159">
        <f t="shared" si="332"/>
        <v>0</v>
      </c>
      <c r="J2159">
        <v>64.2</v>
      </c>
      <c r="K2159">
        <v>71.599999999999994</v>
      </c>
      <c r="L2159">
        <v>57.2</v>
      </c>
      <c r="M2159">
        <v>64.2</v>
      </c>
      <c r="N2159">
        <v>58.8</v>
      </c>
      <c r="O2159">
        <v>83.3</v>
      </c>
      <c r="S2159">
        <f t="shared" si="333"/>
        <v>1</v>
      </c>
      <c r="T2159">
        <f t="shared" si="334"/>
        <v>1</v>
      </c>
      <c r="U2159">
        <f t="shared" si="335"/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20.8</v>
      </c>
      <c r="AC2159">
        <v>12.8</v>
      </c>
      <c r="AG2159">
        <f t="shared" si="336"/>
        <v>1</v>
      </c>
      <c r="AH2159">
        <f t="shared" si="337"/>
        <v>0</v>
      </c>
      <c r="AI2159">
        <f t="shared" si="338"/>
        <v>1</v>
      </c>
      <c r="AJ2159">
        <v>272.5</v>
      </c>
      <c r="AK2159">
        <v>1017.2</v>
      </c>
      <c r="AL2159">
        <v>47.2</v>
      </c>
      <c r="AM2159">
        <v>6.2</v>
      </c>
      <c r="AN2159">
        <v>159.80000000000001</v>
      </c>
      <c r="AO2159">
        <v>13.8</v>
      </c>
      <c r="AP2159">
        <v>6</v>
      </c>
      <c r="AQ2159">
        <v>0</v>
      </c>
      <c r="AR2159" t="s">
        <v>7333</v>
      </c>
      <c r="AS2159" t="s">
        <v>7334</v>
      </c>
      <c r="AT2159">
        <v>0.92</v>
      </c>
      <c r="AU2159" t="s">
        <v>43</v>
      </c>
      <c r="AV2159" t="s">
        <v>44</v>
      </c>
      <c r="AW2159" t="s">
        <v>45</v>
      </c>
      <c r="AX2159" t="s">
        <v>6735</v>
      </c>
      <c r="AY2159" t="s">
        <v>7335</v>
      </c>
      <c r="AZ2159">
        <v>300.00000000349252</v>
      </c>
      <c r="BA2159">
        <v>0</v>
      </c>
      <c r="BB2159">
        <v>0</v>
      </c>
      <c r="BC2159">
        <v>2</v>
      </c>
      <c r="BD2159">
        <v>0</v>
      </c>
      <c r="BE2159">
        <f t="shared" si="339"/>
        <v>1</v>
      </c>
    </row>
    <row r="2160" spans="1:57" x14ac:dyDescent="0.25">
      <c r="A2160" t="s">
        <v>39</v>
      </c>
      <c r="B2160" t="s">
        <v>7336</v>
      </c>
      <c r="C2160">
        <v>71.599999999999994</v>
      </c>
      <c r="D2160">
        <v>59</v>
      </c>
      <c r="G2160">
        <f t="shared" si="330"/>
        <v>1</v>
      </c>
      <c r="H2160">
        <f t="shared" si="331"/>
        <v>1</v>
      </c>
      <c r="I2160">
        <f t="shared" si="332"/>
        <v>0</v>
      </c>
      <c r="J2160">
        <v>65.599999999999994</v>
      </c>
      <c r="K2160">
        <v>71.599999999999994</v>
      </c>
      <c r="L2160">
        <v>59</v>
      </c>
      <c r="M2160">
        <v>65.599999999999994</v>
      </c>
      <c r="N2160">
        <v>59</v>
      </c>
      <c r="O2160">
        <v>79.900000000000006</v>
      </c>
      <c r="S2160">
        <f t="shared" si="333"/>
        <v>1</v>
      </c>
      <c r="T2160">
        <f t="shared" si="334"/>
        <v>1</v>
      </c>
      <c r="U2160">
        <f t="shared" si="335"/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30</v>
      </c>
      <c r="AC2160">
        <v>15</v>
      </c>
      <c r="AG2160">
        <f t="shared" si="336"/>
        <v>1</v>
      </c>
      <c r="AH2160">
        <f t="shared" si="337"/>
        <v>0</v>
      </c>
      <c r="AI2160">
        <f t="shared" si="338"/>
        <v>1</v>
      </c>
      <c r="AJ2160">
        <v>175.1</v>
      </c>
      <c r="AK2160">
        <v>1013.9</v>
      </c>
      <c r="AL2160">
        <v>82.6</v>
      </c>
      <c r="AM2160">
        <v>6.2</v>
      </c>
      <c r="AN2160">
        <v>60.2</v>
      </c>
      <c r="AO2160">
        <v>5.2</v>
      </c>
      <c r="AP2160">
        <v>3</v>
      </c>
      <c r="AQ2160">
        <v>0</v>
      </c>
      <c r="AR2160" t="s">
        <v>7337</v>
      </c>
      <c r="AS2160" t="s">
        <v>7338</v>
      </c>
      <c r="AT2160">
        <v>0.35</v>
      </c>
      <c r="AU2160" t="s">
        <v>43</v>
      </c>
      <c r="AV2160" t="s">
        <v>44</v>
      </c>
      <c r="AW2160" t="s">
        <v>45</v>
      </c>
      <c r="AX2160" t="s">
        <v>6564</v>
      </c>
      <c r="AY2160" t="s">
        <v>7339</v>
      </c>
      <c r="AZ2160">
        <v>378.99999999906868</v>
      </c>
      <c r="BA2160">
        <v>1</v>
      </c>
      <c r="BB2160">
        <v>0</v>
      </c>
      <c r="BC2160">
        <v>50</v>
      </c>
      <c r="BD2160">
        <v>0</v>
      </c>
      <c r="BE2160">
        <f t="shared" si="339"/>
        <v>1</v>
      </c>
    </row>
    <row r="2161" spans="1:57" x14ac:dyDescent="0.25">
      <c r="A2161" t="s">
        <v>39</v>
      </c>
      <c r="B2161" t="s">
        <v>7340</v>
      </c>
      <c r="C2161">
        <v>75.2</v>
      </c>
      <c r="D2161">
        <v>59</v>
      </c>
      <c r="G2161">
        <f t="shared" si="330"/>
        <v>1</v>
      </c>
      <c r="H2161">
        <f t="shared" si="331"/>
        <v>1</v>
      </c>
      <c r="I2161">
        <f t="shared" si="332"/>
        <v>0</v>
      </c>
      <c r="J2161">
        <v>67.900000000000006</v>
      </c>
      <c r="K2161">
        <v>75.2</v>
      </c>
      <c r="L2161">
        <v>59</v>
      </c>
      <c r="M2161">
        <v>67.900000000000006</v>
      </c>
      <c r="N2161">
        <v>63.5</v>
      </c>
      <c r="O2161">
        <v>86</v>
      </c>
      <c r="S2161">
        <f t="shared" si="333"/>
        <v>1</v>
      </c>
      <c r="T2161">
        <f t="shared" si="334"/>
        <v>1</v>
      </c>
      <c r="U2161">
        <f t="shared" si="335"/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16.100000000000001</v>
      </c>
      <c r="AC2161">
        <v>8.1</v>
      </c>
      <c r="AG2161">
        <f t="shared" si="336"/>
        <v>1</v>
      </c>
      <c r="AH2161">
        <f t="shared" si="337"/>
        <v>0</v>
      </c>
      <c r="AI2161">
        <f t="shared" si="338"/>
        <v>1</v>
      </c>
      <c r="AJ2161">
        <v>87</v>
      </c>
      <c r="AK2161">
        <v>1011</v>
      </c>
      <c r="AL2161">
        <v>30.3</v>
      </c>
      <c r="AM2161">
        <v>6.1</v>
      </c>
      <c r="AN2161">
        <v>307.7</v>
      </c>
      <c r="AO2161">
        <v>26.5</v>
      </c>
      <c r="AP2161">
        <v>9</v>
      </c>
      <c r="AQ2161">
        <v>0</v>
      </c>
      <c r="AR2161" t="s">
        <v>7341</v>
      </c>
      <c r="AS2161" t="s">
        <v>7342</v>
      </c>
      <c r="AT2161">
        <v>0.54</v>
      </c>
      <c r="AU2161" t="s">
        <v>43</v>
      </c>
      <c r="AV2161" t="s">
        <v>44</v>
      </c>
      <c r="AW2161" t="s">
        <v>45</v>
      </c>
      <c r="AX2161" t="s">
        <v>5536</v>
      </c>
      <c r="AY2161" t="s">
        <v>7343</v>
      </c>
      <c r="AZ2161">
        <v>220.99999999743889</v>
      </c>
      <c r="BA2161">
        <v>0</v>
      </c>
      <c r="BB2161">
        <v>0</v>
      </c>
      <c r="BC2161">
        <v>0.5</v>
      </c>
      <c r="BD2161">
        <v>0</v>
      </c>
      <c r="BE2161">
        <f t="shared" si="339"/>
        <v>1</v>
      </c>
    </row>
    <row r="2162" spans="1:57" x14ac:dyDescent="0.25">
      <c r="A2162" t="s">
        <v>39</v>
      </c>
      <c r="B2162" t="s">
        <v>7328</v>
      </c>
      <c r="C2162">
        <v>84.2</v>
      </c>
      <c r="D2162">
        <v>78.8</v>
      </c>
      <c r="G2162">
        <f t="shared" si="330"/>
        <v>0</v>
      </c>
      <c r="H2162">
        <f t="shared" si="331"/>
        <v>0</v>
      </c>
      <c r="I2162">
        <f t="shared" si="332"/>
        <v>0</v>
      </c>
      <c r="J2162">
        <v>81.7</v>
      </c>
      <c r="K2162">
        <v>89.6</v>
      </c>
      <c r="L2162">
        <v>78.8</v>
      </c>
      <c r="M2162">
        <v>84.9</v>
      </c>
      <c r="N2162">
        <v>69.900000000000006</v>
      </c>
      <c r="O2162">
        <v>67.900000000000006</v>
      </c>
      <c r="S2162">
        <f t="shared" si="333"/>
        <v>1</v>
      </c>
      <c r="T2162">
        <f t="shared" si="334"/>
        <v>1</v>
      </c>
      <c r="U2162">
        <f t="shared" si="335"/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40.299999999999997</v>
      </c>
      <c r="AC2162">
        <v>21.9</v>
      </c>
      <c r="AG2162">
        <f t="shared" si="336"/>
        <v>1</v>
      </c>
      <c r="AH2162">
        <f t="shared" si="337"/>
        <v>1</v>
      </c>
      <c r="AI2162">
        <f t="shared" si="338"/>
        <v>0</v>
      </c>
      <c r="AJ2162">
        <v>304.7</v>
      </c>
      <c r="AK2162">
        <v>1009.3</v>
      </c>
      <c r="AL2162">
        <v>24.4</v>
      </c>
      <c r="AM2162">
        <v>6.2</v>
      </c>
      <c r="AN2162">
        <v>333.3</v>
      </c>
      <c r="AO2162">
        <v>29</v>
      </c>
      <c r="AP2162">
        <v>10</v>
      </c>
      <c r="AQ2162">
        <v>0</v>
      </c>
      <c r="AR2162" t="s">
        <v>7329</v>
      </c>
      <c r="AS2162" t="s">
        <v>7330</v>
      </c>
      <c r="AT2162">
        <v>0.08</v>
      </c>
      <c r="AU2162" t="s">
        <v>43</v>
      </c>
      <c r="AV2162" t="s">
        <v>44</v>
      </c>
      <c r="AW2162" t="s">
        <v>45</v>
      </c>
      <c r="AX2162" t="s">
        <v>2730</v>
      </c>
      <c r="AY2162" t="s">
        <v>7344</v>
      </c>
      <c r="AZ2162">
        <v>2904.9999999976721</v>
      </c>
      <c r="BA2162">
        <v>1</v>
      </c>
      <c r="BB2162">
        <v>0</v>
      </c>
      <c r="BC2162">
        <v>25</v>
      </c>
      <c r="BD2162">
        <v>0</v>
      </c>
      <c r="BE2162">
        <f t="shared" si="339"/>
        <v>1</v>
      </c>
    </row>
    <row r="2163" spans="1:57" x14ac:dyDescent="0.25">
      <c r="A2163" t="s">
        <v>39</v>
      </c>
      <c r="B2163" t="s">
        <v>7345</v>
      </c>
      <c r="C2163">
        <v>82.4</v>
      </c>
      <c r="D2163">
        <v>71.599999999999994</v>
      </c>
      <c r="G2163">
        <f t="shared" si="330"/>
        <v>0</v>
      </c>
      <c r="H2163">
        <f t="shared" si="331"/>
        <v>0</v>
      </c>
      <c r="I2163">
        <f t="shared" si="332"/>
        <v>0</v>
      </c>
      <c r="J2163">
        <v>78.599999999999994</v>
      </c>
      <c r="K2163">
        <v>87.2</v>
      </c>
      <c r="L2163">
        <v>71.599999999999994</v>
      </c>
      <c r="M2163">
        <v>80.3</v>
      </c>
      <c r="N2163">
        <v>67.900000000000006</v>
      </c>
      <c r="O2163">
        <v>70</v>
      </c>
      <c r="S2163">
        <f t="shared" si="333"/>
        <v>1</v>
      </c>
      <c r="T2163">
        <f t="shared" si="334"/>
        <v>1</v>
      </c>
      <c r="U2163">
        <f t="shared" si="335"/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26.4</v>
      </c>
      <c r="AC2163">
        <v>19.600000000000001</v>
      </c>
      <c r="AG2163">
        <f t="shared" si="336"/>
        <v>1</v>
      </c>
      <c r="AH2163">
        <f t="shared" si="337"/>
        <v>1</v>
      </c>
      <c r="AI2163">
        <f t="shared" si="338"/>
        <v>0</v>
      </c>
      <c r="AJ2163">
        <v>308.8</v>
      </c>
      <c r="AK2163">
        <v>1010.7</v>
      </c>
      <c r="AL2163">
        <v>19.3</v>
      </c>
      <c r="AM2163">
        <v>6.2</v>
      </c>
      <c r="AN2163">
        <v>291.2</v>
      </c>
      <c r="AO2163">
        <v>25.3</v>
      </c>
      <c r="AP2163">
        <v>9</v>
      </c>
      <c r="AQ2163">
        <v>0</v>
      </c>
      <c r="AR2163" t="s">
        <v>7346</v>
      </c>
      <c r="AS2163" t="s">
        <v>7347</v>
      </c>
      <c r="AT2163">
        <v>0.4</v>
      </c>
      <c r="AU2163" t="s">
        <v>74</v>
      </c>
      <c r="AV2163" t="s">
        <v>2955</v>
      </c>
      <c r="AW2163" t="s">
        <v>75</v>
      </c>
      <c r="AX2163" t="s">
        <v>7348</v>
      </c>
      <c r="AY2163" t="s">
        <v>7349</v>
      </c>
      <c r="AZ2163">
        <v>1948.0000000004659</v>
      </c>
      <c r="BA2163">
        <v>1</v>
      </c>
      <c r="BB2163">
        <v>0</v>
      </c>
      <c r="BC2163">
        <v>3</v>
      </c>
      <c r="BD2163">
        <v>0</v>
      </c>
      <c r="BE2163">
        <f t="shared" si="339"/>
        <v>1</v>
      </c>
    </row>
    <row r="2164" spans="1:57" x14ac:dyDescent="0.25">
      <c r="A2164" t="s">
        <v>39</v>
      </c>
      <c r="B2164" t="s">
        <v>7350</v>
      </c>
      <c r="C2164">
        <v>68</v>
      </c>
      <c r="D2164">
        <v>51.8</v>
      </c>
      <c r="G2164">
        <f t="shared" si="330"/>
        <v>1</v>
      </c>
      <c r="H2164">
        <f t="shared" si="331"/>
        <v>1</v>
      </c>
      <c r="I2164">
        <f t="shared" si="332"/>
        <v>0</v>
      </c>
      <c r="J2164">
        <v>61</v>
      </c>
      <c r="K2164">
        <v>68</v>
      </c>
      <c r="L2164">
        <v>51.8</v>
      </c>
      <c r="M2164">
        <v>61</v>
      </c>
      <c r="N2164">
        <v>50.2</v>
      </c>
      <c r="O2164">
        <v>69.8</v>
      </c>
      <c r="S2164">
        <f t="shared" si="333"/>
        <v>1</v>
      </c>
      <c r="T2164">
        <f t="shared" si="334"/>
        <v>1</v>
      </c>
      <c r="U2164">
        <f t="shared" si="335"/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35.799999999999997</v>
      </c>
      <c r="AC2164">
        <v>20.8</v>
      </c>
      <c r="AG2164">
        <f t="shared" si="336"/>
        <v>1</v>
      </c>
      <c r="AH2164">
        <f t="shared" si="337"/>
        <v>1</v>
      </c>
      <c r="AI2164">
        <f t="shared" si="338"/>
        <v>0</v>
      </c>
      <c r="AJ2164">
        <v>247.8</v>
      </c>
      <c r="AK2164">
        <v>1015.2</v>
      </c>
      <c r="AL2164">
        <v>27.9</v>
      </c>
      <c r="AM2164">
        <v>6.1</v>
      </c>
      <c r="AN2164">
        <v>143.19999999999999</v>
      </c>
      <c r="AO2164">
        <v>12.4</v>
      </c>
      <c r="AP2164">
        <v>6</v>
      </c>
      <c r="AQ2164">
        <v>0</v>
      </c>
      <c r="AR2164" t="s">
        <v>7351</v>
      </c>
      <c r="AS2164" t="s">
        <v>7352</v>
      </c>
      <c r="AT2164">
        <v>0.76</v>
      </c>
      <c r="AU2164" t="s">
        <v>43</v>
      </c>
      <c r="AV2164" t="s">
        <v>44</v>
      </c>
      <c r="AW2164" t="s">
        <v>45</v>
      </c>
      <c r="AX2164" t="s">
        <v>7353</v>
      </c>
      <c r="AY2164" t="s">
        <v>7354</v>
      </c>
      <c r="AZ2164">
        <v>71.999999993713573</v>
      </c>
      <c r="BA2164">
        <v>0</v>
      </c>
      <c r="BB2164">
        <v>0</v>
      </c>
      <c r="BC2164">
        <v>0.1</v>
      </c>
      <c r="BD2164">
        <v>0</v>
      </c>
      <c r="BE2164">
        <f t="shared" si="339"/>
        <v>1</v>
      </c>
    </row>
    <row r="2165" spans="1:57" x14ac:dyDescent="0.25">
      <c r="A2165" t="s">
        <v>39</v>
      </c>
      <c r="B2165" t="s">
        <v>7323</v>
      </c>
      <c r="C2165">
        <v>68</v>
      </c>
      <c r="D2165">
        <v>51.8</v>
      </c>
      <c r="G2165">
        <f t="shared" si="330"/>
        <v>1</v>
      </c>
      <c r="H2165">
        <f t="shared" si="331"/>
        <v>1</v>
      </c>
      <c r="I2165">
        <f t="shared" si="332"/>
        <v>0</v>
      </c>
      <c r="J2165">
        <v>59.9</v>
      </c>
      <c r="K2165">
        <v>68</v>
      </c>
      <c r="L2165">
        <v>51.8</v>
      </c>
      <c r="M2165">
        <v>59.9</v>
      </c>
      <c r="N2165">
        <v>47.1</v>
      </c>
      <c r="O2165">
        <v>63.5</v>
      </c>
      <c r="S2165">
        <f t="shared" si="333"/>
        <v>1</v>
      </c>
      <c r="T2165">
        <f t="shared" si="334"/>
        <v>0</v>
      </c>
      <c r="U2165">
        <f t="shared" si="335"/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40.5</v>
      </c>
      <c r="AC2165">
        <v>24.1</v>
      </c>
      <c r="AG2165">
        <f t="shared" si="336"/>
        <v>1</v>
      </c>
      <c r="AH2165">
        <f t="shared" si="337"/>
        <v>1</v>
      </c>
      <c r="AI2165">
        <f t="shared" si="338"/>
        <v>0</v>
      </c>
      <c r="AJ2165">
        <v>175.4</v>
      </c>
      <c r="AK2165">
        <v>1003.8</v>
      </c>
      <c r="AL2165">
        <v>62.6</v>
      </c>
      <c r="AM2165">
        <v>6.2</v>
      </c>
      <c r="AN2165">
        <v>114.7</v>
      </c>
      <c r="AO2165">
        <v>9.9</v>
      </c>
      <c r="AP2165">
        <v>4</v>
      </c>
      <c r="AQ2165">
        <v>0</v>
      </c>
      <c r="AR2165" t="s">
        <v>7324</v>
      </c>
      <c r="AS2165" t="s">
        <v>7325</v>
      </c>
      <c r="AT2165">
        <v>0.82</v>
      </c>
      <c r="AU2165" t="s">
        <v>43</v>
      </c>
      <c r="AV2165" t="s">
        <v>44</v>
      </c>
      <c r="AW2165" t="s">
        <v>45</v>
      </c>
      <c r="AX2165" t="s">
        <v>4148</v>
      </c>
      <c r="AY2165" t="s">
        <v>7355</v>
      </c>
      <c r="AZ2165">
        <v>503.00000000512227</v>
      </c>
      <c r="BA2165">
        <v>1</v>
      </c>
      <c r="BB2165">
        <v>0</v>
      </c>
      <c r="BC2165">
        <v>90</v>
      </c>
      <c r="BD2165">
        <v>0</v>
      </c>
      <c r="BE2165">
        <f t="shared" si="339"/>
        <v>1</v>
      </c>
    </row>
    <row r="2166" spans="1:57" x14ac:dyDescent="0.25">
      <c r="A2166" t="s">
        <v>39</v>
      </c>
      <c r="B2166" t="s">
        <v>7031</v>
      </c>
      <c r="C2166">
        <v>80.599999999999994</v>
      </c>
      <c r="D2166">
        <v>62.6</v>
      </c>
      <c r="G2166">
        <f t="shared" si="330"/>
        <v>1</v>
      </c>
      <c r="H2166">
        <f t="shared" si="331"/>
        <v>1</v>
      </c>
      <c r="I2166">
        <f t="shared" si="332"/>
        <v>0</v>
      </c>
      <c r="J2166">
        <v>71.7</v>
      </c>
      <c r="K2166">
        <v>79.400000000000006</v>
      </c>
      <c r="L2166">
        <v>62.6</v>
      </c>
      <c r="M2166">
        <v>71.599999999999994</v>
      </c>
      <c r="N2166">
        <v>48.3</v>
      </c>
      <c r="O2166">
        <v>45.8</v>
      </c>
      <c r="S2166">
        <f t="shared" si="333"/>
        <v>1</v>
      </c>
      <c r="T2166">
        <f t="shared" si="334"/>
        <v>0</v>
      </c>
      <c r="U2166">
        <f t="shared" si="335"/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55.4</v>
      </c>
      <c r="AC2166">
        <v>43.7</v>
      </c>
      <c r="AG2166">
        <f t="shared" si="336"/>
        <v>1</v>
      </c>
      <c r="AH2166">
        <f t="shared" si="337"/>
        <v>1</v>
      </c>
      <c r="AI2166">
        <f t="shared" si="338"/>
        <v>0</v>
      </c>
      <c r="AJ2166">
        <v>182.6</v>
      </c>
      <c r="AK2166">
        <v>1002.8</v>
      </c>
      <c r="AL2166">
        <v>11.5</v>
      </c>
      <c r="AM2166">
        <v>3.7</v>
      </c>
      <c r="AN2166">
        <v>233</v>
      </c>
      <c r="AO2166">
        <v>19.899999999999999</v>
      </c>
      <c r="AP2166">
        <v>8</v>
      </c>
      <c r="AQ2166">
        <v>0</v>
      </c>
      <c r="AR2166" t="s">
        <v>7032</v>
      </c>
      <c r="AS2166" t="s">
        <v>7033</v>
      </c>
      <c r="AT2166">
        <v>0.17</v>
      </c>
      <c r="AU2166" t="s">
        <v>74</v>
      </c>
      <c r="AV2166" t="s">
        <v>2955</v>
      </c>
      <c r="AW2166" t="s">
        <v>419</v>
      </c>
      <c r="AX2166" t="s">
        <v>7356</v>
      </c>
      <c r="AY2166" t="s">
        <v>7357</v>
      </c>
      <c r="AZ2166">
        <v>881.00000000093132</v>
      </c>
      <c r="BA2166">
        <v>1</v>
      </c>
      <c r="BB2166">
        <v>0</v>
      </c>
      <c r="BC2166">
        <v>15</v>
      </c>
      <c r="BD2166">
        <v>0</v>
      </c>
      <c r="BE2166">
        <f t="shared" si="339"/>
        <v>1</v>
      </c>
    </row>
    <row r="2167" spans="1:57" x14ac:dyDescent="0.25">
      <c r="A2167" t="s">
        <v>39</v>
      </c>
      <c r="B2167" t="s">
        <v>7228</v>
      </c>
      <c r="C2167">
        <v>89.6</v>
      </c>
      <c r="D2167">
        <v>68</v>
      </c>
      <c r="G2167">
        <f t="shared" si="330"/>
        <v>1</v>
      </c>
      <c r="H2167">
        <f t="shared" si="331"/>
        <v>1</v>
      </c>
      <c r="I2167">
        <f t="shared" si="332"/>
        <v>0</v>
      </c>
      <c r="J2167">
        <v>80.400000000000006</v>
      </c>
      <c r="K2167">
        <v>91.3</v>
      </c>
      <c r="L2167">
        <v>68</v>
      </c>
      <c r="M2167">
        <v>81</v>
      </c>
      <c r="N2167">
        <v>62.9</v>
      </c>
      <c r="O2167">
        <v>58.5</v>
      </c>
      <c r="S2167">
        <f t="shared" si="333"/>
        <v>1</v>
      </c>
      <c r="T2167">
        <f t="shared" si="334"/>
        <v>0</v>
      </c>
      <c r="U2167">
        <f t="shared" si="335"/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18.600000000000001</v>
      </c>
      <c r="AC2167">
        <v>11.4</v>
      </c>
      <c r="AG2167">
        <f t="shared" si="336"/>
        <v>1</v>
      </c>
      <c r="AH2167">
        <f t="shared" si="337"/>
        <v>0</v>
      </c>
      <c r="AI2167">
        <f t="shared" si="338"/>
        <v>1</v>
      </c>
      <c r="AJ2167">
        <v>144</v>
      </c>
      <c r="AK2167">
        <v>1012.1</v>
      </c>
      <c r="AL2167">
        <v>7.9</v>
      </c>
      <c r="AM2167">
        <v>6.2</v>
      </c>
      <c r="AN2167">
        <v>332.9</v>
      </c>
      <c r="AO2167">
        <v>28.8</v>
      </c>
      <c r="AP2167">
        <v>10</v>
      </c>
      <c r="AQ2167">
        <v>0</v>
      </c>
      <c r="AR2167" t="s">
        <v>7229</v>
      </c>
      <c r="AS2167" t="s">
        <v>7230</v>
      </c>
      <c r="AT2167">
        <v>0.75</v>
      </c>
      <c r="AU2167" t="s">
        <v>74</v>
      </c>
      <c r="AV2167" t="s">
        <v>2955</v>
      </c>
      <c r="AW2167" t="s">
        <v>75</v>
      </c>
      <c r="AX2167" t="s">
        <v>4941</v>
      </c>
      <c r="AY2167" t="s">
        <v>7358</v>
      </c>
      <c r="AZ2167">
        <v>1058.00000000163</v>
      </c>
      <c r="BA2167">
        <v>1</v>
      </c>
      <c r="BB2167">
        <v>0</v>
      </c>
      <c r="BC2167">
        <v>20</v>
      </c>
      <c r="BD2167">
        <v>0</v>
      </c>
      <c r="BE2167">
        <f t="shared" si="339"/>
        <v>1</v>
      </c>
    </row>
    <row r="2168" spans="1:57" x14ac:dyDescent="0.25">
      <c r="A2168" t="s">
        <v>39</v>
      </c>
      <c r="B2168" t="s">
        <v>7359</v>
      </c>
      <c r="C2168">
        <v>84.2</v>
      </c>
      <c r="D2168">
        <v>68</v>
      </c>
      <c r="G2168">
        <f t="shared" si="330"/>
        <v>0</v>
      </c>
      <c r="H2168">
        <f t="shared" si="331"/>
        <v>0</v>
      </c>
      <c r="I2168">
        <f t="shared" si="332"/>
        <v>0</v>
      </c>
      <c r="J2168">
        <v>77.3</v>
      </c>
      <c r="K2168">
        <v>88.5</v>
      </c>
      <c r="L2168">
        <v>68</v>
      </c>
      <c r="M2168">
        <v>78.8</v>
      </c>
      <c r="N2168">
        <v>67</v>
      </c>
      <c r="O2168">
        <v>71.599999999999994</v>
      </c>
      <c r="S2168">
        <f t="shared" si="333"/>
        <v>1</v>
      </c>
      <c r="T2168">
        <f t="shared" si="334"/>
        <v>1</v>
      </c>
      <c r="U2168">
        <f t="shared" si="335"/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26.6</v>
      </c>
      <c r="AC2168">
        <v>16.100000000000001</v>
      </c>
      <c r="AG2168">
        <f t="shared" si="336"/>
        <v>0</v>
      </c>
      <c r="AH2168">
        <f t="shared" si="337"/>
        <v>0</v>
      </c>
      <c r="AI2168">
        <f t="shared" si="338"/>
        <v>0</v>
      </c>
      <c r="AJ2168">
        <v>299.39999999999998</v>
      </c>
      <c r="AK2168">
        <v>1013</v>
      </c>
      <c r="AL2168">
        <v>0</v>
      </c>
      <c r="AM2168">
        <v>6.2</v>
      </c>
      <c r="AN2168">
        <v>338.6</v>
      </c>
      <c r="AO2168">
        <v>29.1</v>
      </c>
      <c r="AP2168">
        <v>10</v>
      </c>
      <c r="AQ2168">
        <v>0</v>
      </c>
      <c r="AR2168" t="s">
        <v>7360</v>
      </c>
      <c r="AS2168" t="s">
        <v>7361</v>
      </c>
      <c r="AT2168">
        <v>0.64</v>
      </c>
      <c r="AU2168" t="s">
        <v>74</v>
      </c>
      <c r="AV2168" t="s">
        <v>2955</v>
      </c>
      <c r="AW2168" t="s">
        <v>75</v>
      </c>
      <c r="AX2168" t="s">
        <v>7362</v>
      </c>
      <c r="AY2168" t="s">
        <v>7363</v>
      </c>
      <c r="AZ2168">
        <v>950.00000000582077</v>
      </c>
      <c r="BA2168">
        <v>1</v>
      </c>
      <c r="BB2168">
        <v>0</v>
      </c>
      <c r="BC2168">
        <v>34</v>
      </c>
      <c r="BD2168">
        <v>0</v>
      </c>
      <c r="BE2168">
        <f t="shared" si="339"/>
        <v>0</v>
      </c>
    </row>
    <row r="2169" spans="1:57" x14ac:dyDescent="0.25">
      <c r="A2169" t="s">
        <v>39</v>
      </c>
      <c r="B2169" t="s">
        <v>7364</v>
      </c>
      <c r="C2169">
        <v>86</v>
      </c>
      <c r="D2169">
        <v>78.8</v>
      </c>
      <c r="G2169">
        <f t="shared" si="330"/>
        <v>1</v>
      </c>
      <c r="H2169">
        <f t="shared" si="331"/>
        <v>1</v>
      </c>
      <c r="I2169">
        <f t="shared" si="332"/>
        <v>0</v>
      </c>
      <c r="J2169">
        <v>82.6</v>
      </c>
      <c r="K2169">
        <v>92</v>
      </c>
      <c r="L2169">
        <v>78.8</v>
      </c>
      <c r="M2169">
        <v>86</v>
      </c>
      <c r="N2169">
        <v>70.599999999999994</v>
      </c>
      <c r="O2169">
        <v>67.7</v>
      </c>
      <c r="S2169">
        <f t="shared" si="333"/>
        <v>1</v>
      </c>
      <c r="T2169">
        <f t="shared" si="334"/>
        <v>1</v>
      </c>
      <c r="U2169">
        <f t="shared" si="335"/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28</v>
      </c>
      <c r="AC2169">
        <v>18.3</v>
      </c>
      <c r="AG2169">
        <f t="shared" si="336"/>
        <v>0</v>
      </c>
      <c r="AH2169">
        <f t="shared" si="337"/>
        <v>0</v>
      </c>
      <c r="AI2169">
        <f t="shared" si="338"/>
        <v>0</v>
      </c>
      <c r="AJ2169">
        <v>301.3</v>
      </c>
      <c r="AK2169">
        <v>1010.3</v>
      </c>
      <c r="AL2169">
        <v>12.3</v>
      </c>
      <c r="AM2169">
        <v>6.2</v>
      </c>
      <c r="AN2169">
        <v>324.5</v>
      </c>
      <c r="AO2169">
        <v>28</v>
      </c>
      <c r="AP2169">
        <v>9</v>
      </c>
      <c r="AQ2169">
        <v>0</v>
      </c>
      <c r="AR2169" t="s">
        <v>7365</v>
      </c>
      <c r="AS2169" t="s">
        <v>7366</v>
      </c>
      <c r="AT2169">
        <v>0.28000000000000003</v>
      </c>
      <c r="AU2169" t="s">
        <v>74</v>
      </c>
      <c r="AV2169" t="s">
        <v>2955</v>
      </c>
      <c r="AW2169" t="s">
        <v>75</v>
      </c>
      <c r="AX2169" t="s">
        <v>6355</v>
      </c>
      <c r="AY2169" t="s">
        <v>7367</v>
      </c>
      <c r="AZ2169">
        <v>1897.9999999946449</v>
      </c>
      <c r="BA2169">
        <v>1</v>
      </c>
      <c r="BB2169">
        <v>0</v>
      </c>
      <c r="BC2169">
        <v>15</v>
      </c>
      <c r="BD2169">
        <v>0</v>
      </c>
      <c r="BE2169">
        <f t="shared" si="339"/>
        <v>1</v>
      </c>
    </row>
    <row r="2170" spans="1:57" x14ac:dyDescent="0.25">
      <c r="A2170" t="s">
        <v>39</v>
      </c>
      <c r="B2170" t="s">
        <v>7368</v>
      </c>
      <c r="C2170">
        <v>73.400000000000006</v>
      </c>
      <c r="D2170">
        <v>62.6</v>
      </c>
      <c r="G2170">
        <f t="shared" si="330"/>
        <v>1</v>
      </c>
      <c r="H2170">
        <f t="shared" si="331"/>
        <v>1</v>
      </c>
      <c r="I2170">
        <f t="shared" si="332"/>
        <v>0</v>
      </c>
      <c r="J2170">
        <v>68.599999999999994</v>
      </c>
      <c r="K2170">
        <v>73.400000000000006</v>
      </c>
      <c r="L2170">
        <v>62.6</v>
      </c>
      <c r="M2170">
        <v>68.599999999999994</v>
      </c>
      <c r="N2170">
        <v>66.599999999999994</v>
      </c>
      <c r="O2170">
        <v>93.6</v>
      </c>
      <c r="S2170">
        <f t="shared" si="333"/>
        <v>1</v>
      </c>
      <c r="T2170">
        <f t="shared" si="334"/>
        <v>1</v>
      </c>
      <c r="U2170">
        <f t="shared" si="335"/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20.8</v>
      </c>
      <c r="AC2170">
        <v>9.1999999999999993</v>
      </c>
      <c r="AG2170">
        <f t="shared" si="336"/>
        <v>1</v>
      </c>
      <c r="AH2170">
        <f t="shared" si="337"/>
        <v>0</v>
      </c>
      <c r="AI2170">
        <f t="shared" si="338"/>
        <v>1</v>
      </c>
      <c r="AJ2170">
        <v>288.39999999999998</v>
      </c>
      <c r="AK2170">
        <v>1022.4</v>
      </c>
      <c r="AL2170">
        <v>31.5</v>
      </c>
      <c r="AM2170">
        <v>6.2</v>
      </c>
      <c r="AN2170">
        <v>166.2</v>
      </c>
      <c r="AO2170">
        <v>14.3</v>
      </c>
      <c r="AP2170">
        <v>6</v>
      </c>
      <c r="AQ2170">
        <v>0</v>
      </c>
      <c r="AR2170" t="s">
        <v>7369</v>
      </c>
      <c r="AS2170" t="s">
        <v>7370</v>
      </c>
      <c r="AT2170">
        <v>0.78</v>
      </c>
      <c r="AU2170" t="s">
        <v>43</v>
      </c>
      <c r="AV2170" t="s">
        <v>44</v>
      </c>
      <c r="AW2170" t="s">
        <v>45</v>
      </c>
      <c r="AX2170" t="s">
        <v>4184</v>
      </c>
      <c r="AY2170" t="s">
        <v>7371</v>
      </c>
      <c r="AZ2170">
        <v>1845</v>
      </c>
      <c r="BA2170">
        <v>1</v>
      </c>
      <c r="BB2170">
        <v>0</v>
      </c>
      <c r="BC2170">
        <v>18</v>
      </c>
      <c r="BD2170">
        <v>0</v>
      </c>
      <c r="BE2170">
        <f t="shared" si="339"/>
        <v>1</v>
      </c>
    </row>
    <row r="2171" spans="1:57" x14ac:dyDescent="0.25">
      <c r="A2171" t="s">
        <v>39</v>
      </c>
      <c r="B2171" t="s">
        <v>7372</v>
      </c>
      <c r="C2171">
        <v>64.400000000000006</v>
      </c>
      <c r="D2171">
        <v>60.8</v>
      </c>
      <c r="G2171">
        <f t="shared" si="330"/>
        <v>1</v>
      </c>
      <c r="H2171">
        <f t="shared" si="331"/>
        <v>0</v>
      </c>
      <c r="I2171">
        <f t="shared" si="332"/>
        <v>1</v>
      </c>
      <c r="J2171">
        <v>62.6</v>
      </c>
      <c r="K2171">
        <v>64.400000000000006</v>
      </c>
      <c r="L2171">
        <v>60.8</v>
      </c>
      <c r="M2171">
        <v>62.6</v>
      </c>
      <c r="N2171">
        <v>54.7</v>
      </c>
      <c r="O2171">
        <v>75.5</v>
      </c>
      <c r="S2171">
        <f t="shared" si="333"/>
        <v>1</v>
      </c>
      <c r="T2171">
        <f t="shared" si="334"/>
        <v>1</v>
      </c>
      <c r="U2171">
        <f t="shared" si="335"/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36</v>
      </c>
      <c r="AC2171">
        <v>24.2</v>
      </c>
      <c r="AG2171">
        <f t="shared" si="336"/>
        <v>1</v>
      </c>
      <c r="AH2171">
        <f t="shared" si="337"/>
        <v>1</v>
      </c>
      <c r="AI2171">
        <f t="shared" si="338"/>
        <v>0</v>
      </c>
      <c r="AJ2171">
        <v>328.8</v>
      </c>
      <c r="AK2171">
        <v>1019.1</v>
      </c>
      <c r="AL2171">
        <v>75.7</v>
      </c>
      <c r="AM2171">
        <v>6.2</v>
      </c>
      <c r="AN2171">
        <v>112.9</v>
      </c>
      <c r="AO2171">
        <v>9.9</v>
      </c>
      <c r="AP2171">
        <v>4</v>
      </c>
      <c r="AQ2171">
        <v>0</v>
      </c>
      <c r="AR2171" t="s">
        <v>7373</v>
      </c>
      <c r="AS2171" t="s">
        <v>7374</v>
      </c>
      <c r="AT2171">
        <v>0.22</v>
      </c>
      <c r="AU2171" t="s">
        <v>43</v>
      </c>
      <c r="AV2171" t="s">
        <v>44</v>
      </c>
      <c r="AW2171" t="s">
        <v>45</v>
      </c>
      <c r="AX2171" t="s">
        <v>7375</v>
      </c>
      <c r="AY2171" t="s">
        <v>7376</v>
      </c>
      <c r="AZ2171">
        <v>281.99999999720598</v>
      </c>
      <c r="BA2171">
        <v>0</v>
      </c>
      <c r="BB2171">
        <v>0</v>
      </c>
      <c r="BC2171">
        <v>4</v>
      </c>
      <c r="BD2171">
        <v>0</v>
      </c>
      <c r="BE2171">
        <f t="shared" si="339"/>
        <v>1</v>
      </c>
    </row>
    <row r="2172" spans="1:57" x14ac:dyDescent="0.25">
      <c r="A2172" t="s">
        <v>39</v>
      </c>
      <c r="B2172" t="s">
        <v>7377</v>
      </c>
      <c r="C2172">
        <v>64.400000000000006</v>
      </c>
      <c r="D2172">
        <v>48.1</v>
      </c>
      <c r="G2172">
        <f t="shared" si="330"/>
        <v>1</v>
      </c>
      <c r="H2172">
        <f t="shared" si="331"/>
        <v>1</v>
      </c>
      <c r="I2172">
        <f t="shared" si="332"/>
        <v>0</v>
      </c>
      <c r="J2172">
        <v>56.4</v>
      </c>
      <c r="K2172">
        <v>64.400000000000006</v>
      </c>
      <c r="L2172">
        <v>43.3</v>
      </c>
      <c r="M2172">
        <v>55.8</v>
      </c>
      <c r="N2172">
        <v>48.4</v>
      </c>
      <c r="O2172">
        <v>75.400000000000006</v>
      </c>
      <c r="S2172">
        <f t="shared" si="333"/>
        <v>1</v>
      </c>
      <c r="T2172">
        <f t="shared" si="334"/>
        <v>1</v>
      </c>
      <c r="U2172">
        <f t="shared" si="335"/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12.8</v>
      </c>
      <c r="AC2172">
        <v>11.4</v>
      </c>
      <c r="AG2172">
        <f t="shared" si="336"/>
        <v>1</v>
      </c>
      <c r="AH2172">
        <f t="shared" si="337"/>
        <v>0</v>
      </c>
      <c r="AI2172">
        <f t="shared" si="338"/>
        <v>1</v>
      </c>
      <c r="AJ2172">
        <v>156.80000000000001</v>
      </c>
      <c r="AK2172">
        <v>1023</v>
      </c>
      <c r="AL2172">
        <v>38.1</v>
      </c>
      <c r="AM2172">
        <v>6.2</v>
      </c>
      <c r="AN2172">
        <v>230.3</v>
      </c>
      <c r="AO2172">
        <v>19.899999999999999</v>
      </c>
      <c r="AP2172">
        <v>8</v>
      </c>
      <c r="AQ2172">
        <v>0</v>
      </c>
      <c r="AR2172" t="s">
        <v>7378</v>
      </c>
      <c r="AS2172" t="s">
        <v>7379</v>
      </c>
      <c r="AT2172">
        <v>0.06</v>
      </c>
      <c r="AU2172" t="s">
        <v>43</v>
      </c>
      <c r="AV2172" t="s">
        <v>44</v>
      </c>
      <c r="AW2172" t="s">
        <v>45</v>
      </c>
      <c r="AX2172" t="s">
        <v>7380</v>
      </c>
      <c r="AY2172" t="s">
        <v>7381</v>
      </c>
      <c r="AZ2172">
        <v>94.999999995343387</v>
      </c>
      <c r="BA2172">
        <v>0</v>
      </c>
      <c r="BB2172">
        <v>0</v>
      </c>
      <c r="BC2172">
        <v>0.5</v>
      </c>
      <c r="BD2172">
        <v>0</v>
      </c>
      <c r="BE2172">
        <f t="shared" si="339"/>
        <v>1</v>
      </c>
    </row>
    <row r="2173" spans="1:57" x14ac:dyDescent="0.25">
      <c r="A2173" t="s">
        <v>39</v>
      </c>
      <c r="B2173" t="s">
        <v>7382</v>
      </c>
      <c r="C2173">
        <v>71.599999999999994</v>
      </c>
      <c r="D2173">
        <v>55.4</v>
      </c>
      <c r="G2173">
        <f t="shared" si="330"/>
        <v>1</v>
      </c>
      <c r="H2173">
        <f t="shared" si="331"/>
        <v>1</v>
      </c>
      <c r="I2173">
        <f t="shared" si="332"/>
        <v>0</v>
      </c>
      <c r="J2173">
        <v>63.3</v>
      </c>
      <c r="K2173">
        <v>71.599999999999994</v>
      </c>
      <c r="L2173">
        <v>55.4</v>
      </c>
      <c r="M2173">
        <v>63.3</v>
      </c>
      <c r="N2173">
        <v>41.9</v>
      </c>
      <c r="O2173">
        <v>46.3</v>
      </c>
      <c r="S2173">
        <f t="shared" si="333"/>
        <v>1</v>
      </c>
      <c r="T2173">
        <f t="shared" si="334"/>
        <v>0</v>
      </c>
      <c r="U2173">
        <f t="shared" si="335"/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26.4</v>
      </c>
      <c r="AC2173">
        <v>17.2</v>
      </c>
      <c r="AG2173">
        <f t="shared" si="336"/>
        <v>0</v>
      </c>
      <c r="AH2173">
        <f t="shared" si="337"/>
        <v>0</v>
      </c>
      <c r="AI2173">
        <f t="shared" si="338"/>
        <v>0</v>
      </c>
      <c r="AJ2173">
        <v>265.3</v>
      </c>
      <c r="AK2173">
        <v>1022.1</v>
      </c>
      <c r="AL2173">
        <v>5.8</v>
      </c>
      <c r="AM2173">
        <v>6.2</v>
      </c>
      <c r="AN2173">
        <v>237.6</v>
      </c>
      <c r="AO2173">
        <v>20.5</v>
      </c>
      <c r="AP2173">
        <v>8</v>
      </c>
      <c r="AQ2173">
        <v>0</v>
      </c>
      <c r="AR2173" t="s">
        <v>7383</v>
      </c>
      <c r="AS2173" t="s">
        <v>7384</v>
      </c>
      <c r="AT2173">
        <v>0.13</v>
      </c>
      <c r="AU2173" t="s">
        <v>74</v>
      </c>
      <c r="AV2173" t="s">
        <v>2955</v>
      </c>
      <c r="AW2173" t="s">
        <v>75</v>
      </c>
      <c r="AX2173" t="s">
        <v>2602</v>
      </c>
      <c r="AY2173" t="s">
        <v>7385</v>
      </c>
      <c r="AZ2173">
        <v>1190.999999995111</v>
      </c>
      <c r="BA2173">
        <v>1</v>
      </c>
      <c r="BB2173">
        <v>0</v>
      </c>
      <c r="BC2173">
        <v>2.5</v>
      </c>
      <c r="BD2173">
        <v>0</v>
      </c>
      <c r="BE2173">
        <f t="shared" si="339"/>
        <v>1</v>
      </c>
    </row>
    <row r="2174" spans="1:57" x14ac:dyDescent="0.25">
      <c r="A2174" t="s">
        <v>39</v>
      </c>
      <c r="B2174" t="s">
        <v>7386</v>
      </c>
      <c r="C2174">
        <v>62.6</v>
      </c>
      <c r="D2174">
        <v>51.7</v>
      </c>
      <c r="G2174">
        <f t="shared" si="330"/>
        <v>0</v>
      </c>
      <c r="H2174">
        <f t="shared" si="331"/>
        <v>0</v>
      </c>
      <c r="I2174">
        <f t="shared" si="332"/>
        <v>0</v>
      </c>
      <c r="J2174">
        <v>57.1</v>
      </c>
      <c r="K2174">
        <v>62.6</v>
      </c>
      <c r="L2174">
        <v>51.7</v>
      </c>
      <c r="M2174">
        <v>57.1</v>
      </c>
      <c r="N2174">
        <v>51.1</v>
      </c>
      <c r="O2174">
        <v>80.599999999999994</v>
      </c>
      <c r="S2174">
        <f t="shared" si="333"/>
        <v>1</v>
      </c>
      <c r="T2174">
        <f t="shared" si="334"/>
        <v>1</v>
      </c>
      <c r="U2174">
        <f t="shared" si="335"/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20.8</v>
      </c>
      <c r="AC2174">
        <v>12.8</v>
      </c>
      <c r="AG2174">
        <f t="shared" si="336"/>
        <v>1</v>
      </c>
      <c r="AH2174">
        <f t="shared" si="337"/>
        <v>0</v>
      </c>
      <c r="AI2174">
        <f t="shared" si="338"/>
        <v>1</v>
      </c>
      <c r="AJ2174">
        <v>147.1</v>
      </c>
      <c r="AK2174">
        <v>1017.8</v>
      </c>
      <c r="AL2174">
        <v>37.4</v>
      </c>
      <c r="AM2174">
        <v>6.2</v>
      </c>
      <c r="AN2174">
        <v>242.1</v>
      </c>
      <c r="AO2174">
        <v>20.9</v>
      </c>
      <c r="AP2174">
        <v>8</v>
      </c>
      <c r="AQ2174">
        <v>0</v>
      </c>
      <c r="AR2174" t="s">
        <v>7387</v>
      </c>
      <c r="AS2174" t="s">
        <v>7388</v>
      </c>
      <c r="AT2174">
        <v>0.41</v>
      </c>
      <c r="AU2174" t="s">
        <v>43</v>
      </c>
      <c r="AV2174" t="s">
        <v>80</v>
      </c>
      <c r="AW2174" t="s">
        <v>45</v>
      </c>
      <c r="AX2174" t="s">
        <v>7389</v>
      </c>
      <c r="AY2174" t="s">
        <v>7390</v>
      </c>
      <c r="AZ2174">
        <v>127.9999999981374</v>
      </c>
      <c r="BA2174">
        <v>0</v>
      </c>
      <c r="BB2174">
        <v>0</v>
      </c>
      <c r="BC2174">
        <v>0.5</v>
      </c>
      <c r="BD2174">
        <v>0</v>
      </c>
      <c r="BE2174">
        <f t="shared" si="339"/>
        <v>0</v>
      </c>
    </row>
    <row r="2175" spans="1:57" x14ac:dyDescent="0.25">
      <c r="A2175" t="s">
        <v>39</v>
      </c>
      <c r="B2175" t="s">
        <v>7391</v>
      </c>
      <c r="C2175">
        <v>62.6</v>
      </c>
      <c r="D2175">
        <v>57.2</v>
      </c>
      <c r="G2175">
        <f t="shared" si="330"/>
        <v>0</v>
      </c>
      <c r="H2175">
        <f t="shared" si="331"/>
        <v>0</v>
      </c>
      <c r="I2175">
        <f t="shared" si="332"/>
        <v>0</v>
      </c>
      <c r="J2175">
        <v>59.2</v>
      </c>
      <c r="K2175">
        <v>62.6</v>
      </c>
      <c r="L2175">
        <v>57.2</v>
      </c>
      <c r="M2175">
        <v>59.2</v>
      </c>
      <c r="N2175">
        <v>48.9</v>
      </c>
      <c r="O2175">
        <v>69.099999999999994</v>
      </c>
      <c r="S2175">
        <f t="shared" si="333"/>
        <v>1</v>
      </c>
      <c r="T2175">
        <f t="shared" si="334"/>
        <v>1</v>
      </c>
      <c r="U2175">
        <f t="shared" si="335"/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25.7</v>
      </c>
      <c r="AC2175">
        <v>17.2</v>
      </c>
      <c r="AG2175">
        <f t="shared" si="336"/>
        <v>0</v>
      </c>
      <c r="AH2175">
        <f t="shared" si="337"/>
        <v>0</v>
      </c>
      <c r="AI2175">
        <f t="shared" si="338"/>
        <v>0</v>
      </c>
      <c r="AJ2175">
        <v>307.2</v>
      </c>
      <c r="AK2175">
        <v>1016.6</v>
      </c>
      <c r="AL2175">
        <v>46.3</v>
      </c>
      <c r="AM2175">
        <v>6.2</v>
      </c>
      <c r="AN2175">
        <v>255.1</v>
      </c>
      <c r="AO2175">
        <v>22</v>
      </c>
      <c r="AP2175">
        <v>9</v>
      </c>
      <c r="AQ2175">
        <v>0</v>
      </c>
      <c r="AR2175" t="s">
        <v>7392</v>
      </c>
      <c r="AS2175" t="s">
        <v>7393</v>
      </c>
      <c r="AT2175">
        <v>0.57999999999999996</v>
      </c>
      <c r="AU2175" t="s">
        <v>43</v>
      </c>
      <c r="AV2175" t="s">
        <v>44</v>
      </c>
      <c r="AW2175" t="s">
        <v>45</v>
      </c>
      <c r="AX2175" t="s">
        <v>7394</v>
      </c>
      <c r="AY2175" t="s">
        <v>7395</v>
      </c>
      <c r="AZ2175">
        <v>121.9999999995343</v>
      </c>
      <c r="BA2175">
        <v>0</v>
      </c>
      <c r="BB2175">
        <v>0</v>
      </c>
      <c r="BC2175">
        <v>0.5</v>
      </c>
      <c r="BD2175">
        <v>0</v>
      </c>
      <c r="BE2175">
        <f t="shared" si="339"/>
        <v>0</v>
      </c>
    </row>
    <row r="2176" spans="1:57" x14ac:dyDescent="0.25">
      <c r="A2176" t="s">
        <v>39</v>
      </c>
      <c r="B2176" t="s">
        <v>7396</v>
      </c>
      <c r="C2176">
        <v>60.8</v>
      </c>
      <c r="D2176">
        <v>57.2</v>
      </c>
      <c r="G2176">
        <f t="shared" si="330"/>
        <v>0</v>
      </c>
      <c r="H2176">
        <f t="shared" si="331"/>
        <v>0</v>
      </c>
      <c r="I2176">
        <f t="shared" si="332"/>
        <v>0</v>
      </c>
      <c r="J2176">
        <v>59.2</v>
      </c>
      <c r="K2176">
        <v>60.8</v>
      </c>
      <c r="L2176">
        <v>57.2</v>
      </c>
      <c r="M2176">
        <v>59.2</v>
      </c>
      <c r="N2176">
        <v>42.7</v>
      </c>
      <c r="O2176">
        <v>55.5</v>
      </c>
      <c r="S2176">
        <f t="shared" si="333"/>
        <v>1</v>
      </c>
      <c r="T2176">
        <f t="shared" si="334"/>
        <v>0</v>
      </c>
      <c r="U2176">
        <f t="shared" si="335"/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44.3</v>
      </c>
      <c r="AC2176">
        <v>25.3</v>
      </c>
      <c r="AG2176">
        <f t="shared" si="336"/>
        <v>1</v>
      </c>
      <c r="AH2176">
        <f t="shared" si="337"/>
        <v>1</v>
      </c>
      <c r="AI2176">
        <f t="shared" si="338"/>
        <v>0</v>
      </c>
      <c r="AJ2176">
        <v>327.2</v>
      </c>
      <c r="AK2176">
        <v>1014.6</v>
      </c>
      <c r="AL2176">
        <v>40.700000000000003</v>
      </c>
      <c r="AM2176">
        <v>6.2</v>
      </c>
      <c r="AN2176">
        <v>265.5</v>
      </c>
      <c r="AO2176">
        <v>23</v>
      </c>
      <c r="AP2176">
        <v>9</v>
      </c>
      <c r="AQ2176">
        <v>0</v>
      </c>
      <c r="AR2176" t="s">
        <v>7397</v>
      </c>
      <c r="AS2176" t="s">
        <v>7398</v>
      </c>
      <c r="AT2176">
        <v>0.61</v>
      </c>
      <c r="AU2176" t="s">
        <v>43</v>
      </c>
      <c r="AV2176" t="s">
        <v>44</v>
      </c>
      <c r="AW2176" t="s">
        <v>45</v>
      </c>
      <c r="AX2176" t="s">
        <v>6871</v>
      </c>
      <c r="AY2176" t="s">
        <v>7399</v>
      </c>
      <c r="AZ2176">
        <v>75.00000000349246</v>
      </c>
      <c r="BA2176">
        <v>0</v>
      </c>
      <c r="BB2176">
        <v>0</v>
      </c>
      <c r="BC2176">
        <v>0.3</v>
      </c>
      <c r="BD2176">
        <v>0</v>
      </c>
      <c r="BE2176">
        <f t="shared" si="339"/>
        <v>0</v>
      </c>
    </row>
    <row r="2177" spans="1:57" x14ac:dyDescent="0.25">
      <c r="A2177" t="s">
        <v>39</v>
      </c>
      <c r="B2177" t="s">
        <v>7400</v>
      </c>
      <c r="C2177">
        <v>66.2</v>
      </c>
      <c r="D2177">
        <v>48.2</v>
      </c>
      <c r="G2177">
        <f t="shared" si="330"/>
        <v>1</v>
      </c>
      <c r="H2177">
        <f t="shared" si="331"/>
        <v>1</v>
      </c>
      <c r="I2177">
        <f t="shared" si="332"/>
        <v>0</v>
      </c>
      <c r="J2177">
        <v>57.9</v>
      </c>
      <c r="K2177">
        <v>66.2</v>
      </c>
      <c r="L2177">
        <v>43</v>
      </c>
      <c r="M2177">
        <v>57</v>
      </c>
      <c r="N2177">
        <v>44.2</v>
      </c>
      <c r="O2177">
        <v>61</v>
      </c>
      <c r="S2177">
        <f t="shared" si="333"/>
        <v>1</v>
      </c>
      <c r="T2177">
        <f t="shared" si="334"/>
        <v>0</v>
      </c>
      <c r="U2177">
        <f t="shared" si="335"/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24.6</v>
      </c>
      <c r="AC2177">
        <v>21.9</v>
      </c>
      <c r="AG2177">
        <f t="shared" si="336"/>
        <v>1</v>
      </c>
      <c r="AH2177">
        <f t="shared" si="337"/>
        <v>1</v>
      </c>
      <c r="AI2177">
        <f t="shared" si="338"/>
        <v>0</v>
      </c>
      <c r="AJ2177">
        <v>271.8</v>
      </c>
      <c r="AK2177">
        <v>1010.3</v>
      </c>
      <c r="AL2177">
        <v>25.5</v>
      </c>
      <c r="AM2177">
        <v>6.2</v>
      </c>
      <c r="AN2177">
        <v>264.39999999999998</v>
      </c>
      <c r="AO2177">
        <v>23.1</v>
      </c>
      <c r="AP2177">
        <v>9</v>
      </c>
      <c r="AQ2177">
        <v>0</v>
      </c>
      <c r="AR2177" t="s">
        <v>7401</v>
      </c>
      <c r="AS2177" t="s">
        <v>7402</v>
      </c>
      <c r="AT2177">
        <v>0.67</v>
      </c>
      <c r="AU2177" t="s">
        <v>43</v>
      </c>
      <c r="AV2177" t="s">
        <v>44</v>
      </c>
      <c r="AW2177" t="s">
        <v>45</v>
      </c>
      <c r="AX2177" t="s">
        <v>2393</v>
      </c>
      <c r="AY2177" t="s">
        <v>7403</v>
      </c>
      <c r="AZ2177">
        <v>49.000000002561137</v>
      </c>
      <c r="BA2177">
        <v>0</v>
      </c>
      <c r="BB2177">
        <v>0</v>
      </c>
      <c r="BC2177">
        <v>0.4</v>
      </c>
      <c r="BD2177">
        <v>0</v>
      </c>
      <c r="BE2177">
        <f t="shared" si="339"/>
        <v>1</v>
      </c>
    </row>
    <row r="2178" spans="1:57" x14ac:dyDescent="0.25">
      <c r="A2178" t="s">
        <v>39</v>
      </c>
      <c r="B2178" t="s">
        <v>7404</v>
      </c>
      <c r="C2178">
        <v>82.4</v>
      </c>
      <c r="D2178">
        <v>75.2</v>
      </c>
      <c r="G2178">
        <f t="shared" si="330"/>
        <v>1</v>
      </c>
      <c r="H2178">
        <f t="shared" si="331"/>
        <v>1</v>
      </c>
      <c r="I2178">
        <f t="shared" si="332"/>
        <v>0</v>
      </c>
      <c r="J2178">
        <v>79.7</v>
      </c>
      <c r="K2178">
        <v>85.4</v>
      </c>
      <c r="L2178">
        <v>75.2</v>
      </c>
      <c r="M2178">
        <v>80.900000000000006</v>
      </c>
      <c r="N2178">
        <v>65.5</v>
      </c>
      <c r="O2178">
        <v>62.2</v>
      </c>
      <c r="S2178">
        <f t="shared" si="333"/>
        <v>1</v>
      </c>
      <c r="T2178">
        <f t="shared" si="334"/>
        <v>1</v>
      </c>
      <c r="U2178">
        <f t="shared" si="335"/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37.6</v>
      </c>
      <c r="AC2178">
        <v>19.7</v>
      </c>
      <c r="AG2178">
        <f t="shared" si="336"/>
        <v>1</v>
      </c>
      <c r="AH2178">
        <f t="shared" si="337"/>
        <v>1</v>
      </c>
      <c r="AI2178">
        <f t="shared" si="338"/>
        <v>0</v>
      </c>
      <c r="AJ2178">
        <v>296.7</v>
      </c>
      <c r="AK2178">
        <v>1010</v>
      </c>
      <c r="AL2178">
        <v>21.3</v>
      </c>
      <c r="AM2178">
        <v>6.2</v>
      </c>
      <c r="AN2178">
        <v>325.2</v>
      </c>
      <c r="AO2178">
        <v>28.1</v>
      </c>
      <c r="AP2178">
        <v>9</v>
      </c>
      <c r="AQ2178">
        <v>0</v>
      </c>
      <c r="AR2178" t="s">
        <v>7405</v>
      </c>
      <c r="AS2178" t="s">
        <v>7406</v>
      </c>
      <c r="AT2178">
        <v>0.43</v>
      </c>
      <c r="AU2178" t="s">
        <v>43</v>
      </c>
      <c r="AV2178" t="s">
        <v>44</v>
      </c>
      <c r="AW2178" t="s">
        <v>45</v>
      </c>
      <c r="AX2178" t="s">
        <v>2443</v>
      </c>
      <c r="AY2178" t="s">
        <v>7407</v>
      </c>
      <c r="AZ2178">
        <v>72.999999996973202</v>
      </c>
      <c r="BA2178">
        <v>0</v>
      </c>
      <c r="BB2178">
        <v>0</v>
      </c>
      <c r="BC2178">
        <v>0.3</v>
      </c>
      <c r="BD2178">
        <v>0</v>
      </c>
      <c r="BE2178">
        <f t="shared" si="339"/>
        <v>1</v>
      </c>
    </row>
    <row r="2179" spans="1:57" x14ac:dyDescent="0.25">
      <c r="A2179" t="s">
        <v>39</v>
      </c>
      <c r="B2179" t="s">
        <v>7408</v>
      </c>
      <c r="C2179">
        <v>82.4</v>
      </c>
      <c r="D2179">
        <v>75.2</v>
      </c>
      <c r="G2179">
        <f t="shared" ref="G2179:G2242" si="340">IF(ABS(C2179-INDEX($F$2:$F$13,MONTH(B2179)))&gt;1.8,1,0)</f>
        <v>0</v>
      </c>
      <c r="H2179">
        <f t="shared" ref="H2179:H2242" si="341">IF(C2179&gt;=INDEX($F$2:$F$13,MONTH(B2179))+1.8,1,0)</f>
        <v>0</v>
      </c>
      <c r="I2179">
        <f t="shared" ref="I2179:I2242" si="342">IF(C2179&lt;=INDEX($F$2:$F$13,MONTH(B2179))-1.8,1,0)</f>
        <v>0</v>
      </c>
      <c r="J2179">
        <v>78.599999999999994</v>
      </c>
      <c r="K2179">
        <v>84.7</v>
      </c>
      <c r="L2179">
        <v>75.2</v>
      </c>
      <c r="M2179">
        <v>79.5</v>
      </c>
      <c r="N2179">
        <v>67.599999999999994</v>
      </c>
      <c r="O2179">
        <v>69.099999999999994</v>
      </c>
      <c r="S2179">
        <f t="shared" ref="S2179:S2242" si="343">IF(OR(O2179&lt;INDEX($Q$2:$Q$13,MONTH(B2179)),O2179&gt;INDEX($R$2:$R$13,MONTH(B2179))),1,0)</f>
        <v>1</v>
      </c>
      <c r="T2179">
        <f t="shared" ref="T2179:T2242" si="344">IF(O2179&gt;INDEX($R$2:$R$13,MONTH(B2179)),1,0)</f>
        <v>1</v>
      </c>
      <c r="U2179">
        <f t="shared" ref="U2179:U2242" si="345">IF(O2179&lt;INDEX($Q$2:$Q$13,MONTH(B2179)),1,0)</f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18.3</v>
      </c>
      <c r="AC2179">
        <v>11.4</v>
      </c>
      <c r="AG2179">
        <f t="shared" ref="AG2179:AG2242" si="346">IF(OR(AC2179&lt;INDEX($AE$2:$AE$13,MONTH(B2179)),AC2179&gt;INDEX($AF$2:$AF$13,MONTH(B2179))),1,0)</f>
        <v>1</v>
      </c>
      <c r="AH2179">
        <f t="shared" ref="AH2179:AH2242" si="347">IF(AC2179&gt;INDEX($AF$2:$AF$13,MONTH(B2179)),1,0)</f>
        <v>0</v>
      </c>
      <c r="AI2179">
        <f t="shared" ref="AI2179:AI2242" si="348">IF(AC2179&lt;INDEX($AE$2:$AE$13,MONTH(B2179)),1,0)</f>
        <v>1</v>
      </c>
      <c r="AJ2179">
        <v>20</v>
      </c>
      <c r="AK2179">
        <v>1007.2</v>
      </c>
      <c r="AL2179">
        <v>36.200000000000003</v>
      </c>
      <c r="AM2179">
        <v>6.2</v>
      </c>
      <c r="AN2179">
        <v>311.8</v>
      </c>
      <c r="AO2179">
        <v>26.8</v>
      </c>
      <c r="AP2179">
        <v>9</v>
      </c>
      <c r="AQ2179">
        <v>0</v>
      </c>
      <c r="AR2179" t="s">
        <v>7409</v>
      </c>
      <c r="AS2179" t="s">
        <v>7410</v>
      </c>
      <c r="AT2179">
        <v>0.45</v>
      </c>
      <c r="AU2179" t="s">
        <v>43</v>
      </c>
      <c r="AV2179" t="s">
        <v>44</v>
      </c>
      <c r="AW2179" t="s">
        <v>45</v>
      </c>
      <c r="AX2179" t="s">
        <v>4223</v>
      </c>
      <c r="AY2179" t="s">
        <v>7411</v>
      </c>
      <c r="AZ2179">
        <v>299.99999999301508</v>
      </c>
      <c r="BA2179">
        <v>0</v>
      </c>
      <c r="BB2179">
        <v>0</v>
      </c>
      <c r="BC2179">
        <v>15</v>
      </c>
      <c r="BD2179">
        <v>0</v>
      </c>
      <c r="BE2179">
        <f t="shared" ref="BE2179:BE2242" si="349">IF((3*AH2179+3*H2179+2*U2179+2*BA2179-(2*(1-T2179)+2*(1-I2179)+2*(1-AI2179)))&gt;=1,1,0)</f>
        <v>0</v>
      </c>
    </row>
    <row r="2180" spans="1:57" x14ac:dyDescent="0.25">
      <c r="A2180" t="s">
        <v>39</v>
      </c>
      <c r="B2180" t="s">
        <v>7412</v>
      </c>
      <c r="C2180">
        <v>80.599999999999994</v>
      </c>
      <c r="D2180">
        <v>69.8</v>
      </c>
      <c r="G2180">
        <f t="shared" si="340"/>
        <v>0</v>
      </c>
      <c r="H2180">
        <f t="shared" si="341"/>
        <v>0</v>
      </c>
      <c r="I2180">
        <f t="shared" si="342"/>
        <v>0</v>
      </c>
      <c r="J2180">
        <v>76.2</v>
      </c>
      <c r="K2180">
        <v>84.6</v>
      </c>
      <c r="L2180">
        <v>69.8</v>
      </c>
      <c r="M2180">
        <v>77.2</v>
      </c>
      <c r="N2180">
        <v>68.2</v>
      </c>
      <c r="O2180">
        <v>76.8</v>
      </c>
      <c r="S2180">
        <f t="shared" si="343"/>
        <v>1</v>
      </c>
      <c r="T2180">
        <f t="shared" si="344"/>
        <v>1</v>
      </c>
      <c r="U2180">
        <f t="shared" si="345"/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24.8</v>
      </c>
      <c r="AC2180">
        <v>17.2</v>
      </c>
      <c r="AG2180">
        <f t="shared" si="346"/>
        <v>0</v>
      </c>
      <c r="AH2180">
        <f t="shared" si="347"/>
        <v>0</v>
      </c>
      <c r="AI2180">
        <f t="shared" si="348"/>
        <v>0</v>
      </c>
      <c r="AJ2180">
        <v>306.7</v>
      </c>
      <c r="AK2180">
        <v>1011.2</v>
      </c>
      <c r="AL2180">
        <v>29.6</v>
      </c>
      <c r="AM2180">
        <v>6.2</v>
      </c>
      <c r="AN2180">
        <v>245</v>
      </c>
      <c r="AO2180">
        <v>21.3</v>
      </c>
      <c r="AP2180">
        <v>8</v>
      </c>
      <c r="AQ2180">
        <v>0</v>
      </c>
      <c r="AR2180" t="s">
        <v>7413</v>
      </c>
      <c r="AS2180" t="s">
        <v>7414</v>
      </c>
      <c r="AT2180">
        <v>0.25</v>
      </c>
      <c r="AU2180" t="s">
        <v>43</v>
      </c>
      <c r="AV2180" t="s">
        <v>44</v>
      </c>
      <c r="AW2180" t="s">
        <v>45</v>
      </c>
      <c r="AX2180" t="s">
        <v>4509</v>
      </c>
      <c r="AY2180" t="s">
        <v>7415</v>
      </c>
      <c r="AZ2180">
        <v>1727.999999995809</v>
      </c>
      <c r="BA2180">
        <v>1</v>
      </c>
      <c r="BB2180">
        <v>0</v>
      </c>
      <c r="BC2180">
        <v>4</v>
      </c>
      <c r="BD2180">
        <v>0</v>
      </c>
      <c r="BE2180">
        <f t="shared" si="349"/>
        <v>0</v>
      </c>
    </row>
    <row r="2181" spans="1:57" x14ac:dyDescent="0.25">
      <c r="A2181" t="s">
        <v>39</v>
      </c>
      <c r="B2181" t="s">
        <v>7416</v>
      </c>
      <c r="C2181">
        <v>82.4</v>
      </c>
      <c r="D2181">
        <v>75.2</v>
      </c>
      <c r="G2181">
        <f t="shared" si="340"/>
        <v>1</v>
      </c>
      <c r="H2181">
        <f t="shared" si="341"/>
        <v>1</v>
      </c>
      <c r="I2181">
        <f t="shared" si="342"/>
        <v>0</v>
      </c>
      <c r="J2181">
        <v>78.5</v>
      </c>
      <c r="K2181">
        <v>84</v>
      </c>
      <c r="L2181">
        <v>75.2</v>
      </c>
      <c r="M2181">
        <v>79</v>
      </c>
      <c r="N2181">
        <v>62.5</v>
      </c>
      <c r="O2181">
        <v>58.3</v>
      </c>
      <c r="S2181">
        <f t="shared" si="343"/>
        <v>1</v>
      </c>
      <c r="T2181">
        <f t="shared" si="344"/>
        <v>0</v>
      </c>
      <c r="U2181">
        <f t="shared" si="345"/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33.299999999999997</v>
      </c>
      <c r="AC2181">
        <v>19.7</v>
      </c>
      <c r="AG2181">
        <f t="shared" si="346"/>
        <v>1</v>
      </c>
      <c r="AH2181">
        <f t="shared" si="347"/>
        <v>1</v>
      </c>
      <c r="AI2181">
        <f t="shared" si="348"/>
        <v>0</v>
      </c>
      <c r="AJ2181">
        <v>299.39999999999998</v>
      </c>
      <c r="AK2181">
        <v>1013.9</v>
      </c>
      <c r="AL2181">
        <v>18.5</v>
      </c>
      <c r="AM2181">
        <v>6.2</v>
      </c>
      <c r="AN2181">
        <v>266.89999999999998</v>
      </c>
      <c r="AO2181">
        <v>23.1</v>
      </c>
      <c r="AP2181">
        <v>9</v>
      </c>
      <c r="AQ2181">
        <v>0</v>
      </c>
      <c r="AR2181" t="s">
        <v>7417</v>
      </c>
      <c r="AS2181" t="s">
        <v>7418</v>
      </c>
      <c r="AT2181">
        <v>0.3</v>
      </c>
      <c r="AU2181" t="s">
        <v>74</v>
      </c>
      <c r="AV2181" t="s">
        <v>2955</v>
      </c>
      <c r="AW2181" t="s">
        <v>75</v>
      </c>
      <c r="AX2181" t="s">
        <v>5513</v>
      </c>
      <c r="AY2181" t="s">
        <v>7419</v>
      </c>
      <c r="AZ2181">
        <v>5311.9999999960419</v>
      </c>
      <c r="BA2181">
        <v>1</v>
      </c>
      <c r="BB2181">
        <v>0</v>
      </c>
      <c r="BC2181">
        <v>80</v>
      </c>
      <c r="BD2181">
        <v>0</v>
      </c>
      <c r="BE2181">
        <f t="shared" si="349"/>
        <v>1</v>
      </c>
    </row>
    <row r="2182" spans="1:57" x14ac:dyDescent="0.25">
      <c r="A2182" t="s">
        <v>39</v>
      </c>
      <c r="B2182" t="s">
        <v>7420</v>
      </c>
      <c r="C2182">
        <v>75.2</v>
      </c>
      <c r="D2182">
        <v>62.6</v>
      </c>
      <c r="G2182">
        <f t="shared" si="340"/>
        <v>0</v>
      </c>
      <c r="H2182">
        <f t="shared" si="341"/>
        <v>0</v>
      </c>
      <c r="I2182">
        <f t="shared" si="342"/>
        <v>0</v>
      </c>
      <c r="J2182">
        <v>69.2</v>
      </c>
      <c r="K2182">
        <v>75.2</v>
      </c>
      <c r="L2182">
        <v>62.6</v>
      </c>
      <c r="M2182">
        <v>69.2</v>
      </c>
      <c r="N2182">
        <v>63.1</v>
      </c>
      <c r="O2182">
        <v>81.599999999999994</v>
      </c>
      <c r="S2182">
        <f t="shared" si="343"/>
        <v>1</v>
      </c>
      <c r="T2182">
        <f t="shared" si="344"/>
        <v>1</v>
      </c>
      <c r="U2182">
        <f t="shared" si="345"/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23</v>
      </c>
      <c r="AC2182">
        <v>18.3</v>
      </c>
      <c r="AG2182">
        <f t="shared" si="346"/>
        <v>1</v>
      </c>
      <c r="AH2182">
        <f t="shared" si="347"/>
        <v>1</v>
      </c>
      <c r="AI2182">
        <f t="shared" si="348"/>
        <v>0</v>
      </c>
      <c r="AJ2182">
        <v>303.7</v>
      </c>
      <c r="AK2182">
        <v>1018.2</v>
      </c>
      <c r="AL2182">
        <v>28.7</v>
      </c>
      <c r="AM2182">
        <v>6.2</v>
      </c>
      <c r="AN2182">
        <v>172.3</v>
      </c>
      <c r="AO2182">
        <v>15</v>
      </c>
      <c r="AP2182">
        <v>6</v>
      </c>
      <c r="AQ2182">
        <v>0</v>
      </c>
      <c r="AR2182" t="s">
        <v>7421</v>
      </c>
      <c r="AS2182" t="s">
        <v>7422</v>
      </c>
      <c r="AT2182">
        <v>0.75</v>
      </c>
      <c r="AU2182" t="s">
        <v>43</v>
      </c>
      <c r="AV2182" t="s">
        <v>44</v>
      </c>
      <c r="AW2182" t="s">
        <v>45</v>
      </c>
      <c r="AX2182" t="s">
        <v>7423</v>
      </c>
      <c r="AY2182" t="s">
        <v>7424</v>
      </c>
      <c r="AZ2182">
        <v>85.000000004656613</v>
      </c>
      <c r="BA2182">
        <v>0</v>
      </c>
      <c r="BB2182">
        <v>0</v>
      </c>
      <c r="BC2182">
        <v>0.1</v>
      </c>
      <c r="BD2182">
        <v>0</v>
      </c>
      <c r="BE2182">
        <f t="shared" si="349"/>
        <v>0</v>
      </c>
    </row>
    <row r="2183" spans="1:57" x14ac:dyDescent="0.25">
      <c r="A2183" t="s">
        <v>39</v>
      </c>
      <c r="B2183" t="s">
        <v>7425</v>
      </c>
      <c r="C2183">
        <v>53.6</v>
      </c>
      <c r="D2183">
        <v>48.2</v>
      </c>
      <c r="G2183">
        <f t="shared" si="340"/>
        <v>1</v>
      </c>
      <c r="H2183">
        <f t="shared" si="341"/>
        <v>0</v>
      </c>
      <c r="I2183">
        <f t="shared" si="342"/>
        <v>1</v>
      </c>
      <c r="J2183">
        <v>51.1</v>
      </c>
      <c r="K2183">
        <v>53.6</v>
      </c>
      <c r="L2183">
        <v>44.1</v>
      </c>
      <c r="M2183">
        <v>50.2</v>
      </c>
      <c r="N2183">
        <v>47.1</v>
      </c>
      <c r="O2183">
        <v>86.3</v>
      </c>
      <c r="S2183">
        <f t="shared" si="343"/>
        <v>1</v>
      </c>
      <c r="T2183">
        <f t="shared" si="344"/>
        <v>1</v>
      </c>
      <c r="U2183">
        <f t="shared" si="345"/>
        <v>0</v>
      </c>
      <c r="V2183">
        <v>1.859</v>
      </c>
      <c r="W2183">
        <v>100</v>
      </c>
      <c r="X2183">
        <v>16.670000000000002</v>
      </c>
      <c r="Y2183" t="s">
        <v>103</v>
      </c>
      <c r="Z2183">
        <v>0</v>
      </c>
      <c r="AA2183">
        <v>0</v>
      </c>
      <c r="AB2183">
        <v>25.3</v>
      </c>
      <c r="AC2183">
        <v>17.2</v>
      </c>
      <c r="AG2183">
        <f t="shared" si="346"/>
        <v>1</v>
      </c>
      <c r="AH2183">
        <f t="shared" si="347"/>
        <v>0</v>
      </c>
      <c r="AI2183">
        <f t="shared" si="348"/>
        <v>1</v>
      </c>
      <c r="AJ2183">
        <v>355.4</v>
      </c>
      <c r="AK2183">
        <v>1021.2</v>
      </c>
      <c r="AL2183">
        <v>61.5</v>
      </c>
      <c r="AM2183">
        <v>5.4</v>
      </c>
      <c r="AN2183">
        <v>119.8</v>
      </c>
      <c r="AO2183">
        <v>10.4</v>
      </c>
      <c r="AP2183">
        <v>5</v>
      </c>
      <c r="AQ2183">
        <v>0</v>
      </c>
      <c r="AR2183" t="s">
        <v>7426</v>
      </c>
      <c r="AS2183" t="s">
        <v>7427</v>
      </c>
      <c r="AT2183">
        <v>0.42</v>
      </c>
      <c r="AU2183" t="s">
        <v>106</v>
      </c>
      <c r="AV2183" t="s">
        <v>1783</v>
      </c>
      <c r="AW2183" t="s">
        <v>103</v>
      </c>
      <c r="AX2183" t="s">
        <v>5614</v>
      </c>
      <c r="AY2183" t="s">
        <v>7428</v>
      </c>
      <c r="AZ2183">
        <v>104.0000000037253</v>
      </c>
      <c r="BA2183">
        <v>0</v>
      </c>
      <c r="BB2183">
        <v>0</v>
      </c>
      <c r="BC2183">
        <v>0.3</v>
      </c>
      <c r="BD2183">
        <v>0</v>
      </c>
      <c r="BE2183">
        <f t="shared" si="349"/>
        <v>0</v>
      </c>
    </row>
    <row r="2184" spans="1:57" x14ac:dyDescent="0.25">
      <c r="A2184" t="s">
        <v>39</v>
      </c>
      <c r="B2184" t="s">
        <v>7429</v>
      </c>
      <c r="C2184">
        <v>86</v>
      </c>
      <c r="D2184">
        <v>78.8</v>
      </c>
      <c r="G2184">
        <f t="shared" si="340"/>
        <v>1</v>
      </c>
      <c r="H2184">
        <f t="shared" si="341"/>
        <v>1</v>
      </c>
      <c r="I2184">
        <f t="shared" si="342"/>
        <v>0</v>
      </c>
      <c r="J2184">
        <v>82.5</v>
      </c>
      <c r="K2184">
        <v>88.4</v>
      </c>
      <c r="L2184">
        <v>78.8</v>
      </c>
      <c r="M2184">
        <v>84</v>
      </c>
      <c r="N2184">
        <v>66</v>
      </c>
      <c r="O2184">
        <v>58</v>
      </c>
      <c r="S2184">
        <f t="shared" si="343"/>
        <v>1</v>
      </c>
      <c r="T2184">
        <f t="shared" si="344"/>
        <v>0</v>
      </c>
      <c r="U2184">
        <f t="shared" si="345"/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33.6</v>
      </c>
      <c r="AC2184">
        <v>19.7</v>
      </c>
      <c r="AG2184">
        <f t="shared" si="346"/>
        <v>1</v>
      </c>
      <c r="AH2184">
        <f t="shared" si="347"/>
        <v>1</v>
      </c>
      <c r="AI2184">
        <f t="shared" si="348"/>
        <v>0</v>
      </c>
      <c r="AJ2184">
        <v>293.5</v>
      </c>
      <c r="AK2184">
        <v>1008.2</v>
      </c>
      <c r="AL2184">
        <v>1.3</v>
      </c>
      <c r="AM2184">
        <v>6.2</v>
      </c>
      <c r="AN2184">
        <v>339</v>
      </c>
      <c r="AO2184">
        <v>29.2</v>
      </c>
      <c r="AP2184">
        <v>10</v>
      </c>
      <c r="AQ2184">
        <v>0</v>
      </c>
      <c r="AR2184" t="s">
        <v>7430</v>
      </c>
      <c r="AS2184" t="s">
        <v>7431</v>
      </c>
      <c r="AT2184">
        <v>0.86</v>
      </c>
      <c r="AU2184" t="s">
        <v>74</v>
      </c>
      <c r="AV2184" t="s">
        <v>2955</v>
      </c>
      <c r="AW2184" t="s">
        <v>75</v>
      </c>
      <c r="AX2184" t="s">
        <v>7432</v>
      </c>
      <c r="AY2184" t="s">
        <v>7433</v>
      </c>
      <c r="AZ2184">
        <v>95.000000005820766</v>
      </c>
      <c r="BA2184">
        <v>0</v>
      </c>
      <c r="BB2184">
        <v>0</v>
      </c>
      <c r="BC2184">
        <v>0.2</v>
      </c>
      <c r="BD2184">
        <v>0</v>
      </c>
      <c r="BE2184">
        <f t="shared" si="349"/>
        <v>1</v>
      </c>
    </row>
    <row r="2185" spans="1:57" x14ac:dyDescent="0.25">
      <c r="A2185" t="s">
        <v>39</v>
      </c>
      <c r="B2185" t="s">
        <v>7434</v>
      </c>
      <c r="C2185">
        <v>84.2</v>
      </c>
      <c r="D2185">
        <v>71.599999999999994</v>
      </c>
      <c r="G2185">
        <f t="shared" si="340"/>
        <v>0</v>
      </c>
      <c r="H2185">
        <f t="shared" si="341"/>
        <v>0</v>
      </c>
      <c r="I2185">
        <f t="shared" si="342"/>
        <v>0</v>
      </c>
      <c r="J2185">
        <v>79.5</v>
      </c>
      <c r="K2185">
        <v>89.6</v>
      </c>
      <c r="L2185">
        <v>71.599999999999994</v>
      </c>
      <c r="M2185">
        <v>81.599999999999994</v>
      </c>
      <c r="N2185">
        <v>68.3</v>
      </c>
      <c r="O2185">
        <v>69.2</v>
      </c>
      <c r="S2185">
        <f t="shared" si="343"/>
        <v>1</v>
      </c>
      <c r="T2185">
        <f t="shared" si="344"/>
        <v>1</v>
      </c>
      <c r="U2185">
        <f t="shared" si="345"/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22.8</v>
      </c>
      <c r="AC2185">
        <v>18.3</v>
      </c>
      <c r="AG2185">
        <f t="shared" si="346"/>
        <v>0</v>
      </c>
      <c r="AH2185">
        <f t="shared" si="347"/>
        <v>0</v>
      </c>
      <c r="AI2185">
        <f t="shared" si="348"/>
        <v>0</v>
      </c>
      <c r="AJ2185">
        <v>311.10000000000002</v>
      </c>
      <c r="AK2185">
        <v>1007.1</v>
      </c>
      <c r="AL2185">
        <v>0</v>
      </c>
      <c r="AM2185">
        <v>6.2</v>
      </c>
      <c r="AN2185">
        <v>307</v>
      </c>
      <c r="AO2185">
        <v>26.7</v>
      </c>
      <c r="AP2185">
        <v>9</v>
      </c>
      <c r="AQ2185">
        <v>0</v>
      </c>
      <c r="AR2185" t="s">
        <v>7435</v>
      </c>
      <c r="AS2185" t="s">
        <v>7436</v>
      </c>
      <c r="AT2185">
        <v>0.43</v>
      </c>
      <c r="AU2185" t="s">
        <v>74</v>
      </c>
      <c r="AV2185" t="s">
        <v>2955</v>
      </c>
      <c r="AW2185" t="s">
        <v>75</v>
      </c>
      <c r="AX2185" t="s">
        <v>7437</v>
      </c>
      <c r="AY2185" t="s">
        <v>7438</v>
      </c>
      <c r="AZ2185">
        <v>20.99999999511056</v>
      </c>
      <c r="BA2185">
        <v>0</v>
      </c>
      <c r="BB2185">
        <v>0</v>
      </c>
      <c r="BC2185">
        <v>0.1</v>
      </c>
      <c r="BD2185">
        <v>0</v>
      </c>
      <c r="BE2185">
        <f t="shared" si="349"/>
        <v>0</v>
      </c>
    </row>
    <row r="2186" spans="1:57" x14ac:dyDescent="0.25">
      <c r="A2186" t="s">
        <v>39</v>
      </c>
      <c r="B2186" t="s">
        <v>7439</v>
      </c>
      <c r="C2186">
        <v>77</v>
      </c>
      <c r="D2186">
        <v>73.400000000000006</v>
      </c>
      <c r="G2186">
        <f t="shared" si="340"/>
        <v>1</v>
      </c>
      <c r="H2186">
        <f t="shared" si="341"/>
        <v>0</v>
      </c>
      <c r="I2186">
        <f t="shared" si="342"/>
        <v>1</v>
      </c>
      <c r="J2186">
        <v>75.400000000000006</v>
      </c>
      <c r="K2186">
        <v>77</v>
      </c>
      <c r="L2186">
        <v>73.400000000000006</v>
      </c>
      <c r="M2186">
        <v>75.400000000000006</v>
      </c>
      <c r="N2186">
        <v>61.9</v>
      </c>
      <c r="O2186">
        <v>63.3</v>
      </c>
      <c r="S2186">
        <f t="shared" si="343"/>
        <v>1</v>
      </c>
      <c r="T2186">
        <f t="shared" si="344"/>
        <v>0</v>
      </c>
      <c r="U2186">
        <f t="shared" si="345"/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37.1</v>
      </c>
      <c r="AC2186">
        <v>23</v>
      </c>
      <c r="AG2186">
        <f t="shared" si="346"/>
        <v>1</v>
      </c>
      <c r="AH2186">
        <f t="shared" si="347"/>
        <v>1</v>
      </c>
      <c r="AI2186">
        <f t="shared" si="348"/>
        <v>0</v>
      </c>
      <c r="AJ2186">
        <v>318.39999999999998</v>
      </c>
      <c r="AK2186">
        <v>1014</v>
      </c>
      <c r="AL2186">
        <v>35.700000000000003</v>
      </c>
      <c r="AM2186">
        <v>6.2</v>
      </c>
      <c r="AN2186">
        <v>233.2</v>
      </c>
      <c r="AO2186">
        <v>20.100000000000001</v>
      </c>
      <c r="AP2186">
        <v>8</v>
      </c>
      <c r="AQ2186">
        <v>0</v>
      </c>
      <c r="AR2186" t="s">
        <v>7440</v>
      </c>
      <c r="AS2186" t="s">
        <v>7441</v>
      </c>
      <c r="AT2186">
        <v>0.5</v>
      </c>
      <c r="AU2186" t="s">
        <v>43</v>
      </c>
      <c r="AV2186" t="s">
        <v>44</v>
      </c>
      <c r="AW2186" t="s">
        <v>45</v>
      </c>
      <c r="AX2186" t="s">
        <v>7442</v>
      </c>
      <c r="AY2186" t="s">
        <v>7443</v>
      </c>
      <c r="AZ2186">
        <v>966.00000000558794</v>
      </c>
      <c r="BA2186">
        <v>1</v>
      </c>
      <c r="BB2186">
        <v>0</v>
      </c>
      <c r="BC2186">
        <v>0.2</v>
      </c>
      <c r="BD2186">
        <v>0</v>
      </c>
      <c r="BE2186">
        <f t="shared" si="349"/>
        <v>1</v>
      </c>
    </row>
    <row r="2187" spans="1:57" x14ac:dyDescent="0.25">
      <c r="A2187" t="s">
        <v>39</v>
      </c>
      <c r="B2187" t="s">
        <v>7444</v>
      </c>
      <c r="C2187">
        <v>73.400000000000006</v>
      </c>
      <c r="D2187">
        <v>66.2</v>
      </c>
      <c r="G2187">
        <f t="shared" si="340"/>
        <v>0</v>
      </c>
      <c r="H2187">
        <f t="shared" si="341"/>
        <v>0</v>
      </c>
      <c r="I2187">
        <f t="shared" si="342"/>
        <v>0</v>
      </c>
      <c r="J2187">
        <v>70.7</v>
      </c>
      <c r="K2187">
        <v>73.400000000000006</v>
      </c>
      <c r="L2187">
        <v>66.2</v>
      </c>
      <c r="M2187">
        <v>70.7</v>
      </c>
      <c r="N2187">
        <v>63</v>
      </c>
      <c r="O2187">
        <v>76.7</v>
      </c>
      <c r="S2187">
        <f t="shared" si="343"/>
        <v>1</v>
      </c>
      <c r="T2187">
        <f t="shared" si="344"/>
        <v>1</v>
      </c>
      <c r="U2187">
        <f t="shared" si="345"/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22.8</v>
      </c>
      <c r="AC2187">
        <v>16.100000000000001</v>
      </c>
      <c r="AG2187">
        <f t="shared" si="346"/>
        <v>0</v>
      </c>
      <c r="AH2187">
        <f t="shared" si="347"/>
        <v>0</v>
      </c>
      <c r="AI2187">
        <f t="shared" si="348"/>
        <v>0</v>
      </c>
      <c r="AJ2187">
        <v>317.5</v>
      </c>
      <c r="AK2187">
        <v>1015.8</v>
      </c>
      <c r="AL2187">
        <v>48.4</v>
      </c>
      <c r="AM2187">
        <v>6.2</v>
      </c>
      <c r="AN2187">
        <v>151.6</v>
      </c>
      <c r="AO2187">
        <v>13.1</v>
      </c>
      <c r="AP2187">
        <v>6</v>
      </c>
      <c r="AQ2187">
        <v>0</v>
      </c>
      <c r="AR2187" t="s">
        <v>7445</v>
      </c>
      <c r="AS2187" t="s">
        <v>7446</v>
      </c>
      <c r="AT2187">
        <v>0.83</v>
      </c>
      <c r="AU2187" t="s">
        <v>43</v>
      </c>
      <c r="AV2187" t="s">
        <v>44</v>
      </c>
      <c r="AW2187" t="s">
        <v>45</v>
      </c>
      <c r="AX2187" t="s">
        <v>4571</v>
      </c>
      <c r="AY2187" t="s">
        <v>7447</v>
      </c>
      <c r="AZ2187">
        <v>345.00000000349252</v>
      </c>
      <c r="BA2187">
        <v>0</v>
      </c>
      <c r="BB2187">
        <v>0</v>
      </c>
      <c r="BC2187">
        <v>4</v>
      </c>
      <c r="BD2187">
        <v>0</v>
      </c>
      <c r="BE2187">
        <f t="shared" si="349"/>
        <v>0</v>
      </c>
    </row>
    <row r="2188" spans="1:57" x14ac:dyDescent="0.25">
      <c r="A2188" t="s">
        <v>39</v>
      </c>
      <c r="B2188" t="s">
        <v>7386</v>
      </c>
      <c r="C2188">
        <v>62.6</v>
      </c>
      <c r="D2188">
        <v>51.7</v>
      </c>
      <c r="G2188">
        <f t="shared" si="340"/>
        <v>0</v>
      </c>
      <c r="H2188">
        <f t="shared" si="341"/>
        <v>0</v>
      </c>
      <c r="I2188">
        <f t="shared" si="342"/>
        <v>0</v>
      </c>
      <c r="J2188">
        <v>57.1</v>
      </c>
      <c r="K2188">
        <v>62.6</v>
      </c>
      <c r="L2188">
        <v>51.7</v>
      </c>
      <c r="M2188">
        <v>57.1</v>
      </c>
      <c r="N2188">
        <v>51.1</v>
      </c>
      <c r="O2188">
        <v>80.599999999999994</v>
      </c>
      <c r="S2188">
        <f t="shared" si="343"/>
        <v>1</v>
      </c>
      <c r="T2188">
        <f t="shared" si="344"/>
        <v>1</v>
      </c>
      <c r="U2188">
        <f t="shared" si="345"/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20.8</v>
      </c>
      <c r="AC2188">
        <v>12.8</v>
      </c>
      <c r="AG2188">
        <f t="shared" si="346"/>
        <v>1</v>
      </c>
      <c r="AH2188">
        <f t="shared" si="347"/>
        <v>0</v>
      </c>
      <c r="AI2188">
        <f t="shared" si="348"/>
        <v>1</v>
      </c>
      <c r="AJ2188">
        <v>147.1</v>
      </c>
      <c r="AK2188">
        <v>1017.8</v>
      </c>
      <c r="AL2188">
        <v>37.4</v>
      </c>
      <c r="AM2188">
        <v>6.2</v>
      </c>
      <c r="AN2188">
        <v>242.1</v>
      </c>
      <c r="AO2188">
        <v>20.9</v>
      </c>
      <c r="AP2188">
        <v>8</v>
      </c>
      <c r="AQ2188">
        <v>0</v>
      </c>
      <c r="AR2188" t="s">
        <v>7387</v>
      </c>
      <c r="AS2188" t="s">
        <v>7388</v>
      </c>
      <c r="AT2188">
        <v>0.41</v>
      </c>
      <c r="AU2188" t="s">
        <v>43</v>
      </c>
      <c r="AV2188" t="s">
        <v>80</v>
      </c>
      <c r="AW2188" t="s">
        <v>45</v>
      </c>
      <c r="AX2188" t="s">
        <v>7448</v>
      </c>
      <c r="AY2188" t="s">
        <v>7449</v>
      </c>
      <c r="AZ2188">
        <v>1207.0000000053551</v>
      </c>
      <c r="BA2188">
        <v>1</v>
      </c>
      <c r="BB2188">
        <v>0</v>
      </c>
      <c r="BC2188">
        <v>15</v>
      </c>
      <c r="BD2188">
        <v>0</v>
      </c>
      <c r="BE2188">
        <f t="shared" si="349"/>
        <v>0</v>
      </c>
    </row>
    <row r="2189" spans="1:57" x14ac:dyDescent="0.25">
      <c r="A2189" t="s">
        <v>39</v>
      </c>
      <c r="B2189" t="s">
        <v>7400</v>
      </c>
      <c r="C2189">
        <v>66.2</v>
      </c>
      <c r="D2189">
        <v>48.2</v>
      </c>
      <c r="G2189">
        <f t="shared" si="340"/>
        <v>1</v>
      </c>
      <c r="H2189">
        <f t="shared" si="341"/>
        <v>1</v>
      </c>
      <c r="I2189">
        <f t="shared" si="342"/>
        <v>0</v>
      </c>
      <c r="J2189">
        <v>57.9</v>
      </c>
      <c r="K2189">
        <v>66.2</v>
      </c>
      <c r="L2189">
        <v>43</v>
      </c>
      <c r="M2189">
        <v>57</v>
      </c>
      <c r="N2189">
        <v>44.2</v>
      </c>
      <c r="O2189">
        <v>61</v>
      </c>
      <c r="S2189">
        <f t="shared" si="343"/>
        <v>1</v>
      </c>
      <c r="T2189">
        <f t="shared" si="344"/>
        <v>0</v>
      </c>
      <c r="U2189">
        <f t="shared" si="345"/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24.6</v>
      </c>
      <c r="AC2189">
        <v>21.9</v>
      </c>
      <c r="AG2189">
        <f t="shared" si="346"/>
        <v>1</v>
      </c>
      <c r="AH2189">
        <f t="shared" si="347"/>
        <v>1</v>
      </c>
      <c r="AI2189">
        <f t="shared" si="348"/>
        <v>0</v>
      </c>
      <c r="AJ2189">
        <v>271.8</v>
      </c>
      <c r="AK2189">
        <v>1010.3</v>
      </c>
      <c r="AL2189">
        <v>25.5</v>
      </c>
      <c r="AM2189">
        <v>6.2</v>
      </c>
      <c r="AN2189">
        <v>264.39999999999998</v>
      </c>
      <c r="AO2189">
        <v>23.1</v>
      </c>
      <c r="AP2189">
        <v>9</v>
      </c>
      <c r="AQ2189">
        <v>0</v>
      </c>
      <c r="AR2189" t="s">
        <v>7401</v>
      </c>
      <c r="AS2189" t="s">
        <v>7402</v>
      </c>
      <c r="AT2189">
        <v>0.67</v>
      </c>
      <c r="AU2189" t="s">
        <v>43</v>
      </c>
      <c r="AV2189" t="s">
        <v>44</v>
      </c>
      <c r="AW2189" t="s">
        <v>45</v>
      </c>
      <c r="AX2189" t="s">
        <v>4712</v>
      </c>
      <c r="AY2189" t="s">
        <v>7450</v>
      </c>
      <c r="AZ2189">
        <v>140.00000000582079</v>
      </c>
      <c r="BA2189">
        <v>0</v>
      </c>
      <c r="BB2189">
        <v>0</v>
      </c>
      <c r="BC2189">
        <v>0.15</v>
      </c>
      <c r="BD2189">
        <v>0</v>
      </c>
      <c r="BE2189">
        <f t="shared" si="349"/>
        <v>1</v>
      </c>
    </row>
    <row r="2190" spans="1:57" x14ac:dyDescent="0.25">
      <c r="A2190" t="s">
        <v>39</v>
      </c>
      <c r="B2190" t="s">
        <v>7451</v>
      </c>
      <c r="C2190">
        <v>78.8</v>
      </c>
      <c r="D2190">
        <v>62.6</v>
      </c>
      <c r="G2190">
        <f t="shared" si="340"/>
        <v>1</v>
      </c>
      <c r="H2190">
        <f t="shared" si="341"/>
        <v>1</v>
      </c>
      <c r="I2190">
        <f t="shared" si="342"/>
        <v>0</v>
      </c>
      <c r="J2190">
        <v>71.8</v>
      </c>
      <c r="K2190">
        <v>78.8</v>
      </c>
      <c r="L2190">
        <v>62.6</v>
      </c>
      <c r="M2190">
        <v>71.8</v>
      </c>
      <c r="N2190">
        <v>61.6</v>
      </c>
      <c r="O2190">
        <v>70.599999999999994</v>
      </c>
      <c r="S2190">
        <f t="shared" si="343"/>
        <v>1</v>
      </c>
      <c r="T2190">
        <f t="shared" si="344"/>
        <v>1</v>
      </c>
      <c r="U2190">
        <f t="shared" si="345"/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19.899999999999999</v>
      </c>
      <c r="AC2190">
        <v>9.1999999999999993</v>
      </c>
      <c r="AG2190">
        <f t="shared" si="346"/>
        <v>1</v>
      </c>
      <c r="AH2190">
        <f t="shared" si="347"/>
        <v>0</v>
      </c>
      <c r="AI2190">
        <f t="shared" si="348"/>
        <v>1</v>
      </c>
      <c r="AJ2190">
        <v>246.1</v>
      </c>
      <c r="AK2190">
        <v>1014.7</v>
      </c>
      <c r="AL2190">
        <v>16.899999999999999</v>
      </c>
      <c r="AM2190">
        <v>6.2</v>
      </c>
      <c r="AN2190">
        <v>324.2</v>
      </c>
      <c r="AO2190">
        <v>28.1</v>
      </c>
      <c r="AP2190">
        <v>10</v>
      </c>
      <c r="AQ2190">
        <v>0</v>
      </c>
      <c r="AR2190" t="s">
        <v>7452</v>
      </c>
      <c r="AS2190" t="s">
        <v>7453</v>
      </c>
      <c r="AT2190">
        <v>0.9</v>
      </c>
      <c r="AU2190" t="s">
        <v>74</v>
      </c>
      <c r="AV2190" t="s">
        <v>2955</v>
      </c>
      <c r="AW2190" t="s">
        <v>75</v>
      </c>
      <c r="AX2190" t="s">
        <v>2459</v>
      </c>
      <c r="AY2190" t="s">
        <v>7454</v>
      </c>
      <c r="AZ2190">
        <v>55.000000001164153</v>
      </c>
      <c r="BA2190">
        <v>0</v>
      </c>
      <c r="BB2190">
        <v>0</v>
      </c>
      <c r="BC2190">
        <v>0.02</v>
      </c>
      <c r="BD2190">
        <v>0</v>
      </c>
      <c r="BE2190">
        <f t="shared" si="349"/>
        <v>1</v>
      </c>
    </row>
    <row r="2191" spans="1:57" x14ac:dyDescent="0.25">
      <c r="A2191" t="s">
        <v>39</v>
      </c>
      <c r="B2191" t="s">
        <v>7455</v>
      </c>
      <c r="C2191">
        <v>80.599999999999994</v>
      </c>
      <c r="D2191">
        <v>66.2</v>
      </c>
      <c r="G2191">
        <f t="shared" si="340"/>
        <v>0</v>
      </c>
      <c r="H2191">
        <f t="shared" si="341"/>
        <v>0</v>
      </c>
      <c r="I2191">
        <f t="shared" si="342"/>
        <v>0</v>
      </c>
      <c r="J2191">
        <v>74.099999999999994</v>
      </c>
      <c r="K2191">
        <v>84.6</v>
      </c>
      <c r="L2191">
        <v>66.2</v>
      </c>
      <c r="M2191">
        <v>74.7</v>
      </c>
      <c r="N2191">
        <v>67.3</v>
      </c>
      <c r="O2191">
        <v>80.099999999999994</v>
      </c>
      <c r="S2191">
        <f t="shared" si="343"/>
        <v>1</v>
      </c>
      <c r="T2191">
        <f t="shared" si="344"/>
        <v>1</v>
      </c>
      <c r="U2191">
        <f t="shared" si="345"/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22.8</v>
      </c>
      <c r="AC2191">
        <v>20.7</v>
      </c>
      <c r="AG2191">
        <f t="shared" si="346"/>
        <v>1</v>
      </c>
      <c r="AH2191">
        <f t="shared" si="347"/>
        <v>1</v>
      </c>
      <c r="AI2191">
        <f t="shared" si="348"/>
        <v>0</v>
      </c>
      <c r="AJ2191">
        <v>301.2</v>
      </c>
      <c r="AK2191">
        <v>1014.4</v>
      </c>
      <c r="AL2191">
        <v>29.2</v>
      </c>
      <c r="AM2191">
        <v>6.2</v>
      </c>
      <c r="AN2191">
        <v>242.5</v>
      </c>
      <c r="AO2191">
        <v>20.8</v>
      </c>
      <c r="AP2191">
        <v>8</v>
      </c>
      <c r="AQ2191">
        <v>0</v>
      </c>
      <c r="AR2191" t="s">
        <v>7456</v>
      </c>
      <c r="AS2191" t="s">
        <v>7457</v>
      </c>
      <c r="AT2191">
        <v>0.71</v>
      </c>
      <c r="AU2191" t="s">
        <v>43</v>
      </c>
      <c r="AV2191" t="s">
        <v>80</v>
      </c>
      <c r="AW2191" t="s">
        <v>45</v>
      </c>
      <c r="AX2191" t="s">
        <v>6658</v>
      </c>
      <c r="AY2191" t="s">
        <v>7458</v>
      </c>
      <c r="AZ2191">
        <v>175.99999999743889</v>
      </c>
      <c r="BA2191">
        <v>0</v>
      </c>
      <c r="BB2191">
        <v>0</v>
      </c>
      <c r="BC2191">
        <v>0.5</v>
      </c>
      <c r="BD2191">
        <v>0</v>
      </c>
      <c r="BE2191">
        <f t="shared" si="349"/>
        <v>0</v>
      </c>
    </row>
    <row r="2192" spans="1:57" x14ac:dyDescent="0.25">
      <c r="A2192" t="s">
        <v>39</v>
      </c>
      <c r="B2192" t="s">
        <v>7444</v>
      </c>
      <c r="C2192">
        <v>73.400000000000006</v>
      </c>
      <c r="D2192">
        <v>66.2</v>
      </c>
      <c r="G2192">
        <f t="shared" si="340"/>
        <v>0</v>
      </c>
      <c r="H2192">
        <f t="shared" si="341"/>
        <v>0</v>
      </c>
      <c r="I2192">
        <f t="shared" si="342"/>
        <v>0</v>
      </c>
      <c r="J2192">
        <v>70.7</v>
      </c>
      <c r="K2192">
        <v>73.400000000000006</v>
      </c>
      <c r="L2192">
        <v>66.2</v>
      </c>
      <c r="M2192">
        <v>70.7</v>
      </c>
      <c r="N2192">
        <v>63</v>
      </c>
      <c r="O2192">
        <v>76.7</v>
      </c>
      <c r="S2192">
        <f t="shared" si="343"/>
        <v>1</v>
      </c>
      <c r="T2192">
        <f t="shared" si="344"/>
        <v>1</v>
      </c>
      <c r="U2192">
        <f t="shared" si="345"/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22.8</v>
      </c>
      <c r="AC2192">
        <v>16.100000000000001</v>
      </c>
      <c r="AG2192">
        <f t="shared" si="346"/>
        <v>0</v>
      </c>
      <c r="AH2192">
        <f t="shared" si="347"/>
        <v>0</v>
      </c>
      <c r="AI2192">
        <f t="shared" si="348"/>
        <v>0</v>
      </c>
      <c r="AJ2192">
        <v>317.5</v>
      </c>
      <c r="AK2192">
        <v>1015.8</v>
      </c>
      <c r="AL2192">
        <v>48.4</v>
      </c>
      <c r="AM2192">
        <v>6.2</v>
      </c>
      <c r="AN2192">
        <v>151.6</v>
      </c>
      <c r="AO2192">
        <v>13.1</v>
      </c>
      <c r="AP2192">
        <v>6</v>
      </c>
      <c r="AQ2192">
        <v>0</v>
      </c>
      <c r="AR2192" t="s">
        <v>7445</v>
      </c>
      <c r="AS2192" t="s">
        <v>7446</v>
      </c>
      <c r="AT2192">
        <v>0.83</v>
      </c>
      <c r="AU2192" t="s">
        <v>43</v>
      </c>
      <c r="AV2192" t="s">
        <v>44</v>
      </c>
      <c r="AW2192" t="s">
        <v>45</v>
      </c>
      <c r="AX2192" t="s">
        <v>7459</v>
      </c>
      <c r="AY2192" t="s">
        <v>7460</v>
      </c>
      <c r="AZ2192">
        <v>58.000000000465661</v>
      </c>
      <c r="BA2192">
        <v>0</v>
      </c>
      <c r="BB2192">
        <v>0.5</v>
      </c>
      <c r="BC2192">
        <v>0</v>
      </c>
      <c r="BD2192">
        <v>0</v>
      </c>
      <c r="BE2192">
        <f t="shared" si="349"/>
        <v>0</v>
      </c>
    </row>
    <row r="2193" spans="1:57" x14ac:dyDescent="0.25">
      <c r="A2193" t="s">
        <v>39</v>
      </c>
      <c r="B2193" t="s">
        <v>7461</v>
      </c>
      <c r="C2193">
        <v>69.8</v>
      </c>
      <c r="D2193">
        <v>51.8</v>
      </c>
      <c r="G2193">
        <f t="shared" si="340"/>
        <v>1</v>
      </c>
      <c r="H2193">
        <f t="shared" si="341"/>
        <v>1</v>
      </c>
      <c r="I2193">
        <f t="shared" si="342"/>
        <v>0</v>
      </c>
      <c r="J2193">
        <v>60.6</v>
      </c>
      <c r="K2193">
        <v>69.8</v>
      </c>
      <c r="L2193">
        <v>51.8</v>
      </c>
      <c r="M2193">
        <v>60.6</v>
      </c>
      <c r="N2193">
        <v>53.2</v>
      </c>
      <c r="O2193">
        <v>77.5</v>
      </c>
      <c r="S2193">
        <f t="shared" si="343"/>
        <v>1</v>
      </c>
      <c r="T2193">
        <f t="shared" si="344"/>
        <v>1</v>
      </c>
      <c r="U2193">
        <f t="shared" si="345"/>
        <v>0</v>
      </c>
      <c r="V2193">
        <v>8.0000000000000002E-3</v>
      </c>
      <c r="W2193">
        <v>100</v>
      </c>
      <c r="X2193">
        <v>4.17</v>
      </c>
      <c r="Y2193" t="s">
        <v>103</v>
      </c>
      <c r="Z2193">
        <v>0</v>
      </c>
      <c r="AA2193">
        <v>0</v>
      </c>
      <c r="AB2193">
        <v>21.9</v>
      </c>
      <c r="AC2193">
        <v>23</v>
      </c>
      <c r="AG2193">
        <f t="shared" si="346"/>
        <v>1</v>
      </c>
      <c r="AH2193">
        <f t="shared" si="347"/>
        <v>1</v>
      </c>
      <c r="AI2193">
        <f t="shared" si="348"/>
        <v>0</v>
      </c>
      <c r="AJ2193">
        <v>47.1</v>
      </c>
      <c r="AK2193">
        <v>1017.5</v>
      </c>
      <c r="AL2193">
        <v>57.2</v>
      </c>
      <c r="AM2193">
        <v>6.2</v>
      </c>
      <c r="AN2193">
        <v>126</v>
      </c>
      <c r="AO2193">
        <v>10.9</v>
      </c>
      <c r="AP2193">
        <v>5</v>
      </c>
      <c r="AQ2193">
        <v>0</v>
      </c>
      <c r="AR2193" t="s">
        <v>7462</v>
      </c>
      <c r="AS2193" t="s">
        <v>7463</v>
      </c>
      <c r="AT2193">
        <v>0.25</v>
      </c>
      <c r="AU2193" t="s">
        <v>106</v>
      </c>
      <c r="AV2193" t="s">
        <v>7464</v>
      </c>
      <c r="AW2193" t="s">
        <v>103</v>
      </c>
      <c r="AX2193" t="s">
        <v>7465</v>
      </c>
      <c r="AY2193" t="s">
        <v>7466</v>
      </c>
      <c r="AZ2193">
        <v>1.9999999960418791</v>
      </c>
      <c r="BA2193">
        <v>0</v>
      </c>
      <c r="BB2193">
        <v>0</v>
      </c>
      <c r="BC2193">
        <v>5</v>
      </c>
      <c r="BD2193">
        <v>0</v>
      </c>
      <c r="BE2193">
        <f t="shared" si="349"/>
        <v>1</v>
      </c>
    </row>
    <row r="2194" spans="1:57" x14ac:dyDescent="0.25">
      <c r="A2194" t="s">
        <v>39</v>
      </c>
      <c r="B2194" t="s">
        <v>7467</v>
      </c>
      <c r="C2194">
        <v>60.8</v>
      </c>
      <c r="D2194">
        <v>57.2</v>
      </c>
      <c r="G2194">
        <f t="shared" si="340"/>
        <v>0</v>
      </c>
      <c r="H2194">
        <f t="shared" si="341"/>
        <v>0</v>
      </c>
      <c r="I2194">
        <f t="shared" si="342"/>
        <v>0</v>
      </c>
      <c r="J2194">
        <v>59.6</v>
      </c>
      <c r="K2194">
        <v>60.8</v>
      </c>
      <c r="L2194">
        <v>57.2</v>
      </c>
      <c r="M2194">
        <v>59.6</v>
      </c>
      <c r="N2194">
        <v>47.6</v>
      </c>
      <c r="O2194">
        <v>64.8</v>
      </c>
      <c r="S2194">
        <f t="shared" si="343"/>
        <v>1</v>
      </c>
      <c r="T2194">
        <f t="shared" si="344"/>
        <v>0</v>
      </c>
      <c r="U2194">
        <f t="shared" si="345"/>
        <v>1</v>
      </c>
      <c r="V2194">
        <v>0.77900000000000003</v>
      </c>
      <c r="W2194">
        <v>100</v>
      </c>
      <c r="X2194">
        <v>4.17</v>
      </c>
      <c r="Y2194" t="s">
        <v>103</v>
      </c>
      <c r="Z2194">
        <v>0</v>
      </c>
      <c r="AA2194">
        <v>0</v>
      </c>
      <c r="AB2194">
        <v>30</v>
      </c>
      <c r="AC2194">
        <v>19.600000000000001</v>
      </c>
      <c r="AG2194">
        <f t="shared" si="346"/>
        <v>0</v>
      </c>
      <c r="AH2194">
        <f t="shared" si="347"/>
        <v>0</v>
      </c>
      <c r="AI2194">
        <f t="shared" si="348"/>
        <v>0</v>
      </c>
      <c r="AJ2194">
        <v>337.3</v>
      </c>
      <c r="AK2194">
        <v>1023.7</v>
      </c>
      <c r="AL2194">
        <v>61.5</v>
      </c>
      <c r="AM2194">
        <v>6.2</v>
      </c>
      <c r="AN2194">
        <v>91</v>
      </c>
      <c r="AO2194">
        <v>7.9</v>
      </c>
      <c r="AP2194">
        <v>4</v>
      </c>
      <c r="AQ2194">
        <v>0</v>
      </c>
      <c r="AR2194" t="s">
        <v>7468</v>
      </c>
      <c r="AS2194" t="s">
        <v>7469</v>
      </c>
      <c r="AT2194">
        <v>0.28000000000000003</v>
      </c>
      <c r="AU2194" t="s">
        <v>106</v>
      </c>
      <c r="AV2194" t="s">
        <v>433</v>
      </c>
      <c r="AW2194" t="s">
        <v>103</v>
      </c>
      <c r="AX2194" t="s">
        <v>2443</v>
      </c>
      <c r="AY2194" t="s">
        <v>7470</v>
      </c>
      <c r="AZ2194">
        <v>194.99999999650751</v>
      </c>
      <c r="BA2194">
        <v>0</v>
      </c>
      <c r="BB2194">
        <v>0</v>
      </c>
      <c r="BC2194">
        <v>0.01</v>
      </c>
      <c r="BD2194">
        <v>0</v>
      </c>
      <c r="BE2194">
        <f t="shared" si="349"/>
        <v>0</v>
      </c>
    </row>
    <row r="2195" spans="1:57" x14ac:dyDescent="0.25">
      <c r="A2195" t="s">
        <v>39</v>
      </c>
      <c r="B2195" t="s">
        <v>7471</v>
      </c>
      <c r="C2195">
        <v>82.4</v>
      </c>
      <c r="D2195">
        <v>68</v>
      </c>
      <c r="G2195">
        <f t="shared" si="340"/>
        <v>1</v>
      </c>
      <c r="H2195">
        <f t="shared" si="341"/>
        <v>1</v>
      </c>
      <c r="I2195">
        <f t="shared" si="342"/>
        <v>0</v>
      </c>
      <c r="J2195">
        <v>77.5</v>
      </c>
      <c r="K2195">
        <v>87.2</v>
      </c>
      <c r="L2195">
        <v>68</v>
      </c>
      <c r="M2195">
        <v>79.2</v>
      </c>
      <c r="N2195">
        <v>65.3</v>
      </c>
      <c r="O2195">
        <v>66.5</v>
      </c>
      <c r="S2195">
        <f t="shared" si="343"/>
        <v>1</v>
      </c>
      <c r="T2195">
        <f t="shared" si="344"/>
        <v>1</v>
      </c>
      <c r="U2195">
        <f t="shared" si="345"/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23.7</v>
      </c>
      <c r="AC2195">
        <v>9.1999999999999993</v>
      </c>
      <c r="AG2195">
        <f t="shared" si="346"/>
        <v>1</v>
      </c>
      <c r="AH2195">
        <f t="shared" si="347"/>
        <v>0</v>
      </c>
      <c r="AI2195">
        <f t="shared" si="348"/>
        <v>1</v>
      </c>
      <c r="AJ2195">
        <v>318.8</v>
      </c>
      <c r="AK2195">
        <v>1010.8</v>
      </c>
      <c r="AL2195">
        <v>11.9</v>
      </c>
      <c r="AM2195">
        <v>6.2</v>
      </c>
      <c r="AN2195">
        <v>322.89999999999998</v>
      </c>
      <c r="AO2195">
        <v>27.8</v>
      </c>
      <c r="AP2195">
        <v>9</v>
      </c>
      <c r="AQ2195">
        <v>0</v>
      </c>
      <c r="AR2195" t="s">
        <v>7472</v>
      </c>
      <c r="AS2195" t="s">
        <v>7473</v>
      </c>
      <c r="AT2195">
        <v>0.6</v>
      </c>
      <c r="AU2195" t="s">
        <v>74</v>
      </c>
      <c r="AV2195" t="s">
        <v>2955</v>
      </c>
      <c r="AW2195" t="s">
        <v>75</v>
      </c>
      <c r="AX2195" t="s">
        <v>7474</v>
      </c>
      <c r="AY2195" t="s">
        <v>7475</v>
      </c>
      <c r="AZ2195">
        <v>1624.9999999953429</v>
      </c>
      <c r="BA2195">
        <v>1</v>
      </c>
      <c r="BB2195">
        <v>0</v>
      </c>
      <c r="BC2195">
        <v>4.5</v>
      </c>
      <c r="BD2195">
        <v>0</v>
      </c>
      <c r="BE2195">
        <f t="shared" si="349"/>
        <v>1</v>
      </c>
    </row>
    <row r="2196" spans="1:57" x14ac:dyDescent="0.25">
      <c r="A2196" t="s">
        <v>39</v>
      </c>
      <c r="B2196" t="s">
        <v>7476</v>
      </c>
      <c r="C2196">
        <v>86</v>
      </c>
      <c r="D2196">
        <v>75.2</v>
      </c>
      <c r="G2196">
        <f t="shared" si="340"/>
        <v>1</v>
      </c>
      <c r="H2196">
        <f t="shared" si="341"/>
        <v>1</v>
      </c>
      <c r="I2196">
        <f t="shared" si="342"/>
        <v>0</v>
      </c>
      <c r="J2196">
        <v>81</v>
      </c>
      <c r="K2196">
        <v>90.6</v>
      </c>
      <c r="L2196">
        <v>75.2</v>
      </c>
      <c r="M2196">
        <v>83</v>
      </c>
      <c r="N2196">
        <v>66.400000000000006</v>
      </c>
      <c r="O2196">
        <v>61.7</v>
      </c>
      <c r="S2196">
        <f t="shared" si="343"/>
        <v>0</v>
      </c>
      <c r="T2196">
        <f t="shared" si="344"/>
        <v>0</v>
      </c>
      <c r="U2196">
        <f t="shared" si="345"/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24.8</v>
      </c>
      <c r="AC2196">
        <v>21.9</v>
      </c>
      <c r="AG2196">
        <f t="shared" si="346"/>
        <v>1</v>
      </c>
      <c r="AH2196">
        <f t="shared" si="347"/>
        <v>1</v>
      </c>
      <c r="AI2196">
        <f t="shared" si="348"/>
        <v>0</v>
      </c>
      <c r="AJ2196">
        <v>299.39999999999998</v>
      </c>
      <c r="AK2196">
        <v>1008.1</v>
      </c>
      <c r="AL2196">
        <v>0</v>
      </c>
      <c r="AM2196">
        <v>6.2</v>
      </c>
      <c r="AN2196">
        <v>314.7</v>
      </c>
      <c r="AO2196">
        <v>27.1</v>
      </c>
      <c r="AP2196">
        <v>9</v>
      </c>
      <c r="AQ2196">
        <v>0</v>
      </c>
      <c r="AR2196" t="s">
        <v>7477</v>
      </c>
      <c r="AS2196" t="s">
        <v>7478</v>
      </c>
      <c r="AT2196">
        <v>0.32</v>
      </c>
      <c r="AU2196" t="s">
        <v>74</v>
      </c>
      <c r="AV2196" t="s">
        <v>2955</v>
      </c>
      <c r="AW2196" t="s">
        <v>75</v>
      </c>
      <c r="AX2196" t="s">
        <v>7479</v>
      </c>
      <c r="AY2196" t="s">
        <v>7480</v>
      </c>
      <c r="AZ2196">
        <v>7404.9999999976717</v>
      </c>
      <c r="BA2196">
        <v>1</v>
      </c>
      <c r="BB2196">
        <v>0</v>
      </c>
      <c r="BC2196">
        <v>3700</v>
      </c>
      <c r="BD2196">
        <v>0</v>
      </c>
      <c r="BE2196">
        <f t="shared" si="349"/>
        <v>1</v>
      </c>
    </row>
    <row r="2197" spans="1:57" x14ac:dyDescent="0.25">
      <c r="A2197" t="s">
        <v>39</v>
      </c>
      <c r="B2197" t="s">
        <v>7481</v>
      </c>
      <c r="C2197">
        <v>84.2</v>
      </c>
      <c r="D2197">
        <v>73.400000000000006</v>
      </c>
      <c r="G2197">
        <f t="shared" si="340"/>
        <v>0</v>
      </c>
      <c r="H2197">
        <f t="shared" si="341"/>
        <v>0</v>
      </c>
      <c r="I2197">
        <f t="shared" si="342"/>
        <v>0</v>
      </c>
      <c r="J2197">
        <v>79.599999999999994</v>
      </c>
      <c r="K2197">
        <v>91</v>
      </c>
      <c r="L2197">
        <v>73.400000000000006</v>
      </c>
      <c r="M2197">
        <v>82.3</v>
      </c>
      <c r="N2197">
        <v>69.099999999999994</v>
      </c>
      <c r="O2197">
        <v>70.7</v>
      </c>
      <c r="S2197">
        <f t="shared" si="343"/>
        <v>1</v>
      </c>
      <c r="T2197">
        <f t="shared" si="344"/>
        <v>1</v>
      </c>
      <c r="U2197">
        <f t="shared" si="345"/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23.3</v>
      </c>
      <c r="AC2197">
        <v>21.9</v>
      </c>
      <c r="AG2197">
        <f t="shared" si="346"/>
        <v>1</v>
      </c>
      <c r="AH2197">
        <f t="shared" si="347"/>
        <v>1</v>
      </c>
      <c r="AI2197">
        <f t="shared" si="348"/>
        <v>0</v>
      </c>
      <c r="AJ2197">
        <v>301.8</v>
      </c>
      <c r="AK2197">
        <v>1011</v>
      </c>
      <c r="AL2197">
        <v>8.3000000000000007</v>
      </c>
      <c r="AM2197">
        <v>6.2</v>
      </c>
      <c r="AN2197">
        <v>283.3</v>
      </c>
      <c r="AO2197">
        <v>24.5</v>
      </c>
      <c r="AP2197">
        <v>9</v>
      </c>
      <c r="AQ2197">
        <v>0</v>
      </c>
      <c r="AR2197" t="s">
        <v>7482</v>
      </c>
      <c r="AS2197" t="s">
        <v>7483</v>
      </c>
      <c r="AT2197">
        <v>0.83</v>
      </c>
      <c r="AU2197" t="s">
        <v>74</v>
      </c>
      <c r="AV2197" t="s">
        <v>2955</v>
      </c>
      <c r="AW2197" t="s">
        <v>75</v>
      </c>
      <c r="AX2197" t="s">
        <v>7484</v>
      </c>
      <c r="AY2197" t="s">
        <v>7485</v>
      </c>
      <c r="AZ2197">
        <v>969.00000000488944</v>
      </c>
      <c r="BA2197">
        <v>1</v>
      </c>
      <c r="BB2197">
        <v>0</v>
      </c>
      <c r="BC2197">
        <v>4</v>
      </c>
      <c r="BD2197">
        <v>0</v>
      </c>
      <c r="BE2197">
        <f t="shared" si="349"/>
        <v>1</v>
      </c>
    </row>
    <row r="2198" spans="1:57" x14ac:dyDescent="0.25">
      <c r="A2198" t="s">
        <v>39</v>
      </c>
      <c r="B2198" t="s">
        <v>7486</v>
      </c>
      <c r="C2198">
        <v>64.400000000000006</v>
      </c>
      <c r="D2198">
        <v>50</v>
      </c>
      <c r="G2198">
        <f t="shared" si="340"/>
        <v>1</v>
      </c>
      <c r="H2198">
        <f t="shared" si="341"/>
        <v>1</v>
      </c>
      <c r="I2198">
        <f t="shared" si="342"/>
        <v>0</v>
      </c>
      <c r="J2198">
        <v>58.3</v>
      </c>
      <c r="K2198">
        <v>64.400000000000006</v>
      </c>
      <c r="L2198">
        <v>50</v>
      </c>
      <c r="M2198">
        <v>58.3</v>
      </c>
      <c r="N2198">
        <v>48.2</v>
      </c>
      <c r="O2198">
        <v>69.599999999999994</v>
      </c>
      <c r="S2198">
        <f t="shared" si="343"/>
        <v>1</v>
      </c>
      <c r="T2198">
        <f t="shared" si="344"/>
        <v>1</v>
      </c>
      <c r="U2198">
        <f t="shared" si="345"/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28.4</v>
      </c>
      <c r="AC2198">
        <v>20.8</v>
      </c>
      <c r="AG2198">
        <f t="shared" si="346"/>
        <v>1</v>
      </c>
      <c r="AH2198">
        <f t="shared" si="347"/>
        <v>1</v>
      </c>
      <c r="AI2198">
        <f t="shared" si="348"/>
        <v>0</v>
      </c>
      <c r="AJ2198">
        <v>153.69999999999999</v>
      </c>
      <c r="AK2198">
        <v>1014.8</v>
      </c>
      <c r="AL2198">
        <v>28.8</v>
      </c>
      <c r="AM2198">
        <v>6.2</v>
      </c>
      <c r="AN2198">
        <v>130.9</v>
      </c>
      <c r="AO2198">
        <v>11.3</v>
      </c>
      <c r="AP2198">
        <v>5</v>
      </c>
      <c r="AQ2198">
        <v>0</v>
      </c>
      <c r="AR2198" t="s">
        <v>7487</v>
      </c>
      <c r="AS2198" t="s">
        <v>7488</v>
      </c>
      <c r="AT2198">
        <v>0</v>
      </c>
      <c r="AU2198" t="s">
        <v>43</v>
      </c>
      <c r="AV2198" t="s">
        <v>44</v>
      </c>
      <c r="AW2198" t="s">
        <v>45</v>
      </c>
      <c r="AX2198" t="s">
        <v>5758</v>
      </c>
      <c r="AY2198" t="s">
        <v>7489</v>
      </c>
      <c r="AZ2198">
        <v>61.999999992549419</v>
      </c>
      <c r="BA2198">
        <v>0</v>
      </c>
      <c r="BB2198">
        <v>0</v>
      </c>
      <c r="BC2198">
        <v>2</v>
      </c>
      <c r="BD2198">
        <v>0</v>
      </c>
      <c r="BE2198">
        <f t="shared" si="349"/>
        <v>1</v>
      </c>
    </row>
    <row r="2199" spans="1:57" x14ac:dyDescent="0.25">
      <c r="A2199" t="s">
        <v>39</v>
      </c>
      <c r="B2199" t="s">
        <v>7490</v>
      </c>
      <c r="C2199">
        <v>57.2</v>
      </c>
      <c r="D2199">
        <v>48.2</v>
      </c>
      <c r="G2199">
        <f t="shared" si="340"/>
        <v>0</v>
      </c>
      <c r="H2199">
        <f t="shared" si="341"/>
        <v>0</v>
      </c>
      <c r="I2199">
        <f t="shared" si="342"/>
        <v>0</v>
      </c>
      <c r="J2199">
        <v>53</v>
      </c>
      <c r="K2199">
        <v>57.2</v>
      </c>
      <c r="L2199">
        <v>44.5</v>
      </c>
      <c r="M2199">
        <v>52.7</v>
      </c>
      <c r="N2199">
        <v>42.9</v>
      </c>
      <c r="O2199">
        <v>68.900000000000006</v>
      </c>
      <c r="S2199">
        <f t="shared" si="343"/>
        <v>0</v>
      </c>
      <c r="T2199">
        <f t="shared" si="344"/>
        <v>0</v>
      </c>
      <c r="U2199">
        <f t="shared" si="345"/>
        <v>0</v>
      </c>
      <c r="V2199">
        <v>1E-3</v>
      </c>
      <c r="W2199">
        <v>100</v>
      </c>
      <c r="X2199">
        <v>4.17</v>
      </c>
      <c r="Y2199" t="s">
        <v>103</v>
      </c>
      <c r="Z2199">
        <v>0</v>
      </c>
      <c r="AA2199">
        <v>0</v>
      </c>
      <c r="AB2199">
        <v>20.8</v>
      </c>
      <c r="AC2199">
        <v>16.100000000000001</v>
      </c>
      <c r="AG2199">
        <f t="shared" si="346"/>
        <v>1</v>
      </c>
      <c r="AH2199">
        <f t="shared" si="347"/>
        <v>0</v>
      </c>
      <c r="AI2199">
        <f t="shared" si="348"/>
        <v>1</v>
      </c>
      <c r="AJ2199">
        <v>285.8</v>
      </c>
      <c r="AK2199">
        <v>1022.7</v>
      </c>
      <c r="AL2199">
        <v>54.9</v>
      </c>
      <c r="AM2199">
        <v>6.2</v>
      </c>
      <c r="AN2199">
        <v>142</v>
      </c>
      <c r="AO2199">
        <v>12.4</v>
      </c>
      <c r="AP2199">
        <v>5</v>
      </c>
      <c r="AQ2199">
        <v>0</v>
      </c>
      <c r="AR2199" t="s">
        <v>7491</v>
      </c>
      <c r="AS2199" t="s">
        <v>7492</v>
      </c>
      <c r="AT2199">
        <v>0.46</v>
      </c>
      <c r="AU2199" t="s">
        <v>106</v>
      </c>
      <c r="AV2199" t="s">
        <v>433</v>
      </c>
      <c r="AW2199" t="s">
        <v>103</v>
      </c>
      <c r="AX2199" t="s">
        <v>4039</v>
      </c>
      <c r="AY2199" t="s">
        <v>7493</v>
      </c>
      <c r="AZ2199">
        <v>45</v>
      </c>
      <c r="BA2199">
        <v>0</v>
      </c>
      <c r="BB2199">
        <v>0</v>
      </c>
      <c r="BC2199">
        <v>0.05</v>
      </c>
      <c r="BD2199">
        <v>0</v>
      </c>
      <c r="BE2199">
        <f t="shared" si="349"/>
        <v>0</v>
      </c>
    </row>
    <row r="2200" spans="1:57" x14ac:dyDescent="0.25">
      <c r="A2200" t="s">
        <v>39</v>
      </c>
      <c r="B2200" t="s">
        <v>7494</v>
      </c>
      <c r="C2200">
        <v>55.4</v>
      </c>
      <c r="D2200">
        <v>48.2</v>
      </c>
      <c r="G2200">
        <f t="shared" si="340"/>
        <v>1</v>
      </c>
      <c r="H2200">
        <f t="shared" si="341"/>
        <v>0</v>
      </c>
      <c r="I2200">
        <f t="shared" si="342"/>
        <v>1</v>
      </c>
      <c r="J2200">
        <v>51.3</v>
      </c>
      <c r="K2200">
        <v>55.4</v>
      </c>
      <c r="L2200">
        <v>42.2</v>
      </c>
      <c r="M2200">
        <v>49.8</v>
      </c>
      <c r="N2200">
        <v>35</v>
      </c>
      <c r="O2200">
        <v>54.5</v>
      </c>
      <c r="S2200">
        <f t="shared" si="343"/>
        <v>1</v>
      </c>
      <c r="T2200">
        <f t="shared" si="344"/>
        <v>0</v>
      </c>
      <c r="U2200">
        <f t="shared" si="345"/>
        <v>1</v>
      </c>
      <c r="V2200">
        <v>1E-3</v>
      </c>
      <c r="W2200">
        <v>100</v>
      </c>
      <c r="X2200">
        <v>4.17</v>
      </c>
      <c r="Y2200" t="s">
        <v>103</v>
      </c>
      <c r="Z2200">
        <v>0</v>
      </c>
      <c r="AA2200">
        <v>0</v>
      </c>
      <c r="AB2200">
        <v>40</v>
      </c>
      <c r="AC2200">
        <v>28.9</v>
      </c>
      <c r="AG2200">
        <f t="shared" si="346"/>
        <v>1</v>
      </c>
      <c r="AH2200">
        <f t="shared" si="347"/>
        <v>1</v>
      </c>
      <c r="AI2200">
        <f t="shared" si="348"/>
        <v>0</v>
      </c>
      <c r="AJ2200">
        <v>327.60000000000002</v>
      </c>
      <c r="AK2200">
        <v>1017.5</v>
      </c>
      <c r="AL2200">
        <v>43.6</v>
      </c>
      <c r="AM2200">
        <v>6.2</v>
      </c>
      <c r="AN2200">
        <v>169.5</v>
      </c>
      <c r="AO2200">
        <v>14.6</v>
      </c>
      <c r="AP2200">
        <v>6</v>
      </c>
      <c r="AQ2200">
        <v>0</v>
      </c>
      <c r="AR2200" t="s">
        <v>7495</v>
      </c>
      <c r="AS2200" t="s">
        <v>7496</v>
      </c>
      <c r="AT2200">
        <v>0.79</v>
      </c>
      <c r="AU2200" t="s">
        <v>106</v>
      </c>
      <c r="AV2200" t="s">
        <v>296</v>
      </c>
      <c r="AW2200" t="s">
        <v>103</v>
      </c>
      <c r="AX2200" t="s">
        <v>2754</v>
      </c>
      <c r="AY2200" t="s">
        <v>7497</v>
      </c>
      <c r="AZ2200">
        <v>52.999999994644902</v>
      </c>
      <c r="BA2200">
        <v>0</v>
      </c>
      <c r="BB2200">
        <v>0</v>
      </c>
      <c r="BC2200">
        <v>1</v>
      </c>
      <c r="BD2200">
        <v>0</v>
      </c>
      <c r="BE2200">
        <f t="shared" si="349"/>
        <v>1</v>
      </c>
    </row>
    <row r="2201" spans="1:57" x14ac:dyDescent="0.25">
      <c r="A2201" t="s">
        <v>39</v>
      </c>
      <c r="B2201" t="s">
        <v>7498</v>
      </c>
      <c r="C2201">
        <v>64.400000000000006</v>
      </c>
      <c r="D2201">
        <v>50</v>
      </c>
      <c r="G2201">
        <f t="shared" si="340"/>
        <v>1</v>
      </c>
      <c r="H2201">
        <f t="shared" si="341"/>
        <v>1</v>
      </c>
      <c r="I2201">
        <f t="shared" si="342"/>
        <v>0</v>
      </c>
      <c r="J2201">
        <v>56.8</v>
      </c>
      <c r="K2201">
        <v>64.400000000000006</v>
      </c>
      <c r="L2201">
        <v>50</v>
      </c>
      <c r="M2201">
        <v>56.8</v>
      </c>
      <c r="N2201">
        <v>50.2</v>
      </c>
      <c r="O2201">
        <v>79</v>
      </c>
      <c r="S2201">
        <f t="shared" si="343"/>
        <v>1</v>
      </c>
      <c r="T2201">
        <f t="shared" si="344"/>
        <v>1</v>
      </c>
      <c r="U2201">
        <f t="shared" si="345"/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23.1</v>
      </c>
      <c r="AC2201">
        <v>11.4</v>
      </c>
      <c r="AG2201">
        <f t="shared" si="346"/>
        <v>1</v>
      </c>
      <c r="AH2201">
        <f t="shared" si="347"/>
        <v>0</v>
      </c>
      <c r="AI2201">
        <f t="shared" si="348"/>
        <v>1</v>
      </c>
      <c r="AJ2201">
        <v>145.5</v>
      </c>
      <c r="AK2201">
        <v>1020.8</v>
      </c>
      <c r="AL2201">
        <v>27.8</v>
      </c>
      <c r="AM2201">
        <v>6.2</v>
      </c>
      <c r="AN2201">
        <v>220.5</v>
      </c>
      <c r="AO2201">
        <v>19.100000000000001</v>
      </c>
      <c r="AP2201">
        <v>8</v>
      </c>
      <c r="AQ2201">
        <v>0</v>
      </c>
      <c r="AR2201" t="s">
        <v>7499</v>
      </c>
      <c r="AS2201" t="s">
        <v>7500</v>
      </c>
      <c r="AT2201">
        <v>0</v>
      </c>
      <c r="AU2201" t="s">
        <v>43</v>
      </c>
      <c r="AV2201" t="s">
        <v>44</v>
      </c>
      <c r="AW2201" t="s">
        <v>45</v>
      </c>
      <c r="AX2201" t="s">
        <v>7501</v>
      </c>
      <c r="AY2201" t="s">
        <v>7502</v>
      </c>
      <c r="AZ2201">
        <v>78.999999995576218</v>
      </c>
      <c r="BA2201">
        <v>0</v>
      </c>
      <c r="BB2201">
        <v>0</v>
      </c>
      <c r="BC2201">
        <v>0.2</v>
      </c>
      <c r="BD2201">
        <v>0</v>
      </c>
      <c r="BE2201">
        <f t="shared" si="349"/>
        <v>1</v>
      </c>
    </row>
    <row r="2202" spans="1:57" x14ac:dyDescent="0.25">
      <c r="A2202" t="s">
        <v>39</v>
      </c>
      <c r="B2202" t="s">
        <v>7503</v>
      </c>
      <c r="C2202">
        <v>62.6</v>
      </c>
      <c r="D2202">
        <v>51.8</v>
      </c>
      <c r="G2202">
        <f t="shared" si="340"/>
        <v>1</v>
      </c>
      <c r="H2202">
        <f t="shared" si="341"/>
        <v>0</v>
      </c>
      <c r="I2202">
        <f t="shared" si="342"/>
        <v>1</v>
      </c>
      <c r="J2202">
        <v>57.4</v>
      </c>
      <c r="K2202">
        <v>62.6</v>
      </c>
      <c r="L2202">
        <v>51.8</v>
      </c>
      <c r="M2202">
        <v>57.4</v>
      </c>
      <c r="N2202">
        <v>50.4</v>
      </c>
      <c r="O2202">
        <v>78.3</v>
      </c>
      <c r="S2202">
        <f t="shared" si="343"/>
        <v>1</v>
      </c>
      <c r="T2202">
        <f t="shared" si="344"/>
        <v>1</v>
      </c>
      <c r="U2202">
        <f t="shared" si="345"/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28.4</v>
      </c>
      <c r="AC2202">
        <v>21.8</v>
      </c>
      <c r="AG2202">
        <f t="shared" si="346"/>
        <v>1</v>
      </c>
      <c r="AH2202">
        <f t="shared" si="347"/>
        <v>1</v>
      </c>
      <c r="AI2202">
        <f t="shared" si="348"/>
        <v>0</v>
      </c>
      <c r="AJ2202">
        <v>170.9</v>
      </c>
      <c r="AK2202">
        <v>1011.8</v>
      </c>
      <c r="AL2202">
        <v>46.5</v>
      </c>
      <c r="AM2202">
        <v>6.1</v>
      </c>
      <c r="AN2202">
        <v>159.1</v>
      </c>
      <c r="AO2202">
        <v>13.6</v>
      </c>
      <c r="AP2202">
        <v>5</v>
      </c>
      <c r="AQ2202">
        <v>0</v>
      </c>
      <c r="AR2202" t="s">
        <v>7504</v>
      </c>
      <c r="AS2202" t="s">
        <v>7505</v>
      </c>
      <c r="AT2202">
        <v>0</v>
      </c>
      <c r="AU2202" t="s">
        <v>43</v>
      </c>
      <c r="AV2202" t="s">
        <v>44</v>
      </c>
      <c r="AW2202" t="s">
        <v>45</v>
      </c>
      <c r="AX2202" t="s">
        <v>7506</v>
      </c>
      <c r="AY2202" t="s">
        <v>7507</v>
      </c>
      <c r="AZ2202">
        <v>36.000000002095483</v>
      </c>
      <c r="BA2202">
        <v>0</v>
      </c>
      <c r="BB2202">
        <v>0</v>
      </c>
      <c r="BC2202">
        <v>0.01</v>
      </c>
      <c r="BD2202">
        <v>0</v>
      </c>
      <c r="BE2202">
        <f t="shared" si="349"/>
        <v>1</v>
      </c>
    </row>
    <row r="2203" spans="1:57" x14ac:dyDescent="0.25">
      <c r="A2203" t="s">
        <v>39</v>
      </c>
      <c r="B2203" t="s">
        <v>7508</v>
      </c>
      <c r="C2203">
        <v>68</v>
      </c>
      <c r="D2203">
        <v>50</v>
      </c>
      <c r="G2203">
        <f t="shared" si="340"/>
        <v>1</v>
      </c>
      <c r="H2203">
        <f t="shared" si="341"/>
        <v>0</v>
      </c>
      <c r="I2203">
        <f t="shared" si="342"/>
        <v>1</v>
      </c>
      <c r="J2203">
        <v>60.9</v>
      </c>
      <c r="K2203">
        <v>68</v>
      </c>
      <c r="L2203">
        <v>46</v>
      </c>
      <c r="M2203">
        <v>60.7</v>
      </c>
      <c r="N2203">
        <v>53.1</v>
      </c>
      <c r="O2203">
        <v>76</v>
      </c>
      <c r="S2203">
        <f t="shared" si="343"/>
        <v>1</v>
      </c>
      <c r="T2203">
        <f t="shared" si="344"/>
        <v>1</v>
      </c>
      <c r="U2203">
        <f t="shared" si="345"/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19.899999999999999</v>
      </c>
      <c r="AC2203">
        <v>16</v>
      </c>
      <c r="AG2203">
        <f t="shared" si="346"/>
        <v>0</v>
      </c>
      <c r="AH2203">
        <f t="shared" si="347"/>
        <v>0</v>
      </c>
      <c r="AI2203">
        <f t="shared" si="348"/>
        <v>0</v>
      </c>
      <c r="AJ2203">
        <v>296</v>
      </c>
      <c r="AK2203">
        <v>1015.4</v>
      </c>
      <c r="AL2203">
        <v>35.200000000000003</v>
      </c>
      <c r="AM2203">
        <v>6.2</v>
      </c>
      <c r="AN2203">
        <v>270.10000000000002</v>
      </c>
      <c r="AO2203">
        <v>23.3</v>
      </c>
      <c r="AP2203">
        <v>8</v>
      </c>
      <c r="AQ2203">
        <v>0</v>
      </c>
      <c r="AR2203" t="s">
        <v>7509</v>
      </c>
      <c r="AS2203" t="s">
        <v>7510</v>
      </c>
      <c r="AT2203">
        <v>0.12</v>
      </c>
      <c r="AU2203" t="s">
        <v>43</v>
      </c>
      <c r="AV2203" t="s">
        <v>44</v>
      </c>
      <c r="AW2203" t="s">
        <v>45</v>
      </c>
      <c r="AX2203" t="s">
        <v>7511</v>
      </c>
      <c r="AY2203" t="s">
        <v>7512</v>
      </c>
      <c r="AZ2203">
        <v>47.999999999301508</v>
      </c>
      <c r="BA2203">
        <v>0</v>
      </c>
      <c r="BB2203">
        <v>0</v>
      </c>
      <c r="BC2203">
        <v>0.02</v>
      </c>
      <c r="BD2203">
        <v>0</v>
      </c>
      <c r="BE2203">
        <f t="shared" si="349"/>
        <v>0</v>
      </c>
    </row>
    <row r="2204" spans="1:57" x14ac:dyDescent="0.25">
      <c r="A2204" t="s">
        <v>39</v>
      </c>
      <c r="B2204" t="s">
        <v>7513</v>
      </c>
      <c r="C2204">
        <v>71.599999999999994</v>
      </c>
      <c r="D2204">
        <v>55.4</v>
      </c>
      <c r="G2204">
        <f t="shared" si="340"/>
        <v>0</v>
      </c>
      <c r="H2204">
        <f t="shared" si="341"/>
        <v>0</v>
      </c>
      <c r="I2204">
        <f t="shared" si="342"/>
        <v>0</v>
      </c>
      <c r="J2204">
        <v>64</v>
      </c>
      <c r="K2204">
        <v>71.599999999999994</v>
      </c>
      <c r="L2204">
        <v>55.4</v>
      </c>
      <c r="M2204">
        <v>64</v>
      </c>
      <c r="N2204">
        <v>57.2</v>
      </c>
      <c r="O2204">
        <v>79.2</v>
      </c>
      <c r="S2204">
        <f t="shared" si="343"/>
        <v>1</v>
      </c>
      <c r="T2204">
        <f t="shared" si="344"/>
        <v>1</v>
      </c>
      <c r="U2204">
        <f t="shared" si="345"/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23</v>
      </c>
      <c r="AC2204">
        <v>13.9</v>
      </c>
      <c r="AG2204">
        <f t="shared" si="346"/>
        <v>1</v>
      </c>
      <c r="AH2204">
        <f t="shared" si="347"/>
        <v>0</v>
      </c>
      <c r="AI2204">
        <f t="shared" si="348"/>
        <v>1</v>
      </c>
      <c r="AJ2204">
        <v>106</v>
      </c>
      <c r="AK2204">
        <v>1011.2</v>
      </c>
      <c r="AL2204">
        <v>53.4</v>
      </c>
      <c r="AM2204">
        <v>6.2</v>
      </c>
      <c r="AN2204">
        <v>273.7</v>
      </c>
      <c r="AO2204">
        <v>23.7</v>
      </c>
      <c r="AP2204">
        <v>8</v>
      </c>
      <c r="AQ2204">
        <v>0</v>
      </c>
      <c r="AR2204" t="s">
        <v>7514</v>
      </c>
      <c r="AS2204" t="s">
        <v>7515</v>
      </c>
      <c r="AT2204">
        <v>0.19</v>
      </c>
      <c r="AU2204" t="s">
        <v>43</v>
      </c>
      <c r="AV2204" t="s">
        <v>44</v>
      </c>
      <c r="AW2204" t="s">
        <v>45</v>
      </c>
      <c r="AX2204" t="s">
        <v>7516</v>
      </c>
      <c r="AY2204" t="s">
        <v>7517</v>
      </c>
      <c r="AZ2204">
        <v>30.99999999627471</v>
      </c>
      <c r="BA2204">
        <v>0</v>
      </c>
      <c r="BB2204">
        <v>0</v>
      </c>
      <c r="BC2204">
        <v>0.02</v>
      </c>
      <c r="BD2204">
        <v>0</v>
      </c>
      <c r="BE2204">
        <f t="shared" si="349"/>
        <v>0</v>
      </c>
    </row>
    <row r="2205" spans="1:57" x14ac:dyDescent="0.25">
      <c r="A2205" t="s">
        <v>39</v>
      </c>
      <c r="B2205" t="s">
        <v>7518</v>
      </c>
      <c r="C2205">
        <v>82.4</v>
      </c>
      <c r="D2205">
        <v>69.8</v>
      </c>
      <c r="G2205">
        <f t="shared" si="340"/>
        <v>1</v>
      </c>
      <c r="H2205">
        <f t="shared" si="341"/>
        <v>1</v>
      </c>
      <c r="I2205">
        <f t="shared" si="342"/>
        <v>0</v>
      </c>
      <c r="J2205">
        <v>77.7</v>
      </c>
      <c r="K2205">
        <v>84</v>
      </c>
      <c r="L2205">
        <v>69.8</v>
      </c>
      <c r="M2205">
        <v>78.2</v>
      </c>
      <c r="N2205">
        <v>62.5</v>
      </c>
      <c r="O2205">
        <v>60.2</v>
      </c>
      <c r="S2205">
        <f t="shared" si="343"/>
        <v>0</v>
      </c>
      <c r="T2205">
        <f t="shared" si="344"/>
        <v>0</v>
      </c>
      <c r="U2205">
        <f t="shared" si="345"/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34.200000000000003</v>
      </c>
      <c r="AC2205">
        <v>19.7</v>
      </c>
      <c r="AG2205">
        <f t="shared" si="346"/>
        <v>1</v>
      </c>
      <c r="AH2205">
        <f t="shared" si="347"/>
        <v>1</v>
      </c>
      <c r="AI2205">
        <f t="shared" si="348"/>
        <v>0</v>
      </c>
      <c r="AJ2205">
        <v>299</v>
      </c>
      <c r="AK2205">
        <v>1015.3</v>
      </c>
      <c r="AL2205">
        <v>12.8</v>
      </c>
      <c r="AM2205">
        <v>6.2</v>
      </c>
      <c r="AN2205">
        <v>336.7</v>
      </c>
      <c r="AO2205">
        <v>29.2</v>
      </c>
      <c r="AP2205">
        <v>10</v>
      </c>
      <c r="AQ2205">
        <v>0</v>
      </c>
      <c r="AR2205" t="s">
        <v>7519</v>
      </c>
      <c r="AS2205" t="s">
        <v>7520</v>
      </c>
      <c r="AT2205">
        <v>0.18</v>
      </c>
      <c r="AU2205" t="s">
        <v>74</v>
      </c>
      <c r="AV2205" t="s">
        <v>2955</v>
      </c>
      <c r="AW2205" t="s">
        <v>75</v>
      </c>
      <c r="AX2205" t="s">
        <v>7521</v>
      </c>
      <c r="AY2205" t="s">
        <v>7522</v>
      </c>
      <c r="AZ2205">
        <v>116.00000000093129</v>
      </c>
      <c r="BA2205">
        <v>0</v>
      </c>
      <c r="BB2205">
        <v>0</v>
      </c>
      <c r="BC2205">
        <v>0.5</v>
      </c>
      <c r="BD2205">
        <v>0</v>
      </c>
      <c r="BE2205">
        <f t="shared" si="349"/>
        <v>0</v>
      </c>
    </row>
    <row r="2206" spans="1:57" x14ac:dyDescent="0.25">
      <c r="A2206" t="s">
        <v>39</v>
      </c>
      <c r="B2206" t="s">
        <v>7404</v>
      </c>
      <c r="C2206">
        <v>82.4</v>
      </c>
      <c r="D2206">
        <v>75.2</v>
      </c>
      <c r="G2206">
        <f t="shared" si="340"/>
        <v>1</v>
      </c>
      <c r="H2206">
        <f t="shared" si="341"/>
        <v>1</v>
      </c>
      <c r="I2206">
        <f t="shared" si="342"/>
        <v>0</v>
      </c>
      <c r="J2206">
        <v>79.7</v>
      </c>
      <c r="K2206">
        <v>85.4</v>
      </c>
      <c r="L2206">
        <v>75.2</v>
      </c>
      <c r="M2206">
        <v>80.900000000000006</v>
      </c>
      <c r="N2206">
        <v>65.5</v>
      </c>
      <c r="O2206">
        <v>62.2</v>
      </c>
      <c r="S2206">
        <f t="shared" si="343"/>
        <v>1</v>
      </c>
      <c r="T2206">
        <f t="shared" si="344"/>
        <v>1</v>
      </c>
      <c r="U2206">
        <f t="shared" si="345"/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37.6</v>
      </c>
      <c r="AC2206">
        <v>19.7</v>
      </c>
      <c r="AG2206">
        <f t="shared" si="346"/>
        <v>1</v>
      </c>
      <c r="AH2206">
        <f t="shared" si="347"/>
        <v>1</v>
      </c>
      <c r="AI2206">
        <f t="shared" si="348"/>
        <v>0</v>
      </c>
      <c r="AJ2206">
        <v>296.7</v>
      </c>
      <c r="AK2206">
        <v>1010</v>
      </c>
      <c r="AL2206">
        <v>21.3</v>
      </c>
      <c r="AM2206">
        <v>6.2</v>
      </c>
      <c r="AN2206">
        <v>325.2</v>
      </c>
      <c r="AO2206">
        <v>28.1</v>
      </c>
      <c r="AP2206">
        <v>9</v>
      </c>
      <c r="AQ2206">
        <v>0</v>
      </c>
      <c r="AR2206" t="s">
        <v>7405</v>
      </c>
      <c r="AS2206" t="s">
        <v>7406</v>
      </c>
      <c r="AT2206">
        <v>0.43</v>
      </c>
      <c r="AU2206" t="s">
        <v>43</v>
      </c>
      <c r="AV2206" t="s">
        <v>44</v>
      </c>
      <c r="AW2206" t="s">
        <v>45</v>
      </c>
      <c r="AX2206" t="s">
        <v>7151</v>
      </c>
      <c r="AY2206" t="s">
        <v>7523</v>
      </c>
      <c r="AZ2206">
        <v>161.00000000093129</v>
      </c>
      <c r="BA2206">
        <v>0</v>
      </c>
      <c r="BB2206">
        <v>0</v>
      </c>
      <c r="BC2206">
        <v>6</v>
      </c>
      <c r="BD2206">
        <v>0</v>
      </c>
      <c r="BE2206">
        <f t="shared" si="349"/>
        <v>1</v>
      </c>
    </row>
    <row r="2207" spans="1:57" x14ac:dyDescent="0.25">
      <c r="A2207" t="s">
        <v>39</v>
      </c>
      <c r="B2207" t="s">
        <v>7524</v>
      </c>
      <c r="C2207">
        <v>86</v>
      </c>
      <c r="D2207">
        <v>78.8</v>
      </c>
      <c r="G2207">
        <f t="shared" si="340"/>
        <v>1</v>
      </c>
      <c r="H2207">
        <f t="shared" si="341"/>
        <v>1</v>
      </c>
      <c r="I2207">
        <f t="shared" si="342"/>
        <v>0</v>
      </c>
      <c r="J2207">
        <v>82.6</v>
      </c>
      <c r="K2207">
        <v>89.4</v>
      </c>
      <c r="L2207">
        <v>78.8</v>
      </c>
      <c r="M2207">
        <v>84.4</v>
      </c>
      <c r="N2207">
        <v>66</v>
      </c>
      <c r="O2207">
        <v>57.7</v>
      </c>
      <c r="S2207">
        <f t="shared" si="343"/>
        <v>1</v>
      </c>
      <c r="T2207">
        <f t="shared" si="344"/>
        <v>0</v>
      </c>
      <c r="U2207">
        <f t="shared" si="345"/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32.9</v>
      </c>
      <c r="AC2207">
        <v>19.7</v>
      </c>
      <c r="AG2207">
        <f t="shared" si="346"/>
        <v>1</v>
      </c>
      <c r="AH2207">
        <f t="shared" si="347"/>
        <v>1</v>
      </c>
      <c r="AI2207">
        <f t="shared" si="348"/>
        <v>0</v>
      </c>
      <c r="AJ2207">
        <v>302.10000000000002</v>
      </c>
      <c r="AK2207">
        <v>1009.3</v>
      </c>
      <c r="AL2207">
        <v>13.1</v>
      </c>
      <c r="AM2207">
        <v>6.2</v>
      </c>
      <c r="AN2207">
        <v>334.9</v>
      </c>
      <c r="AO2207">
        <v>28.9</v>
      </c>
      <c r="AP2207">
        <v>10</v>
      </c>
      <c r="AQ2207">
        <v>0</v>
      </c>
      <c r="AR2207" t="s">
        <v>7525</v>
      </c>
      <c r="AS2207" t="s">
        <v>7526</v>
      </c>
      <c r="AT2207">
        <v>0.16</v>
      </c>
      <c r="AU2207" t="s">
        <v>74</v>
      </c>
      <c r="AV2207" t="s">
        <v>2955</v>
      </c>
      <c r="AW2207" t="s">
        <v>75</v>
      </c>
      <c r="AX2207" t="s">
        <v>2665</v>
      </c>
      <c r="AY2207" t="s">
        <v>7527</v>
      </c>
      <c r="AZ2207">
        <v>2373.000000002794</v>
      </c>
      <c r="BA2207">
        <v>1</v>
      </c>
      <c r="BB2207">
        <v>0</v>
      </c>
      <c r="BC2207">
        <v>110</v>
      </c>
      <c r="BD2207">
        <v>0</v>
      </c>
      <c r="BE2207">
        <f t="shared" si="349"/>
        <v>1</v>
      </c>
    </row>
    <row r="2208" spans="1:57" x14ac:dyDescent="0.25">
      <c r="A2208" t="s">
        <v>39</v>
      </c>
      <c r="B2208" t="s">
        <v>7528</v>
      </c>
      <c r="C2208">
        <v>87.8</v>
      </c>
      <c r="D2208">
        <v>73.400000000000006</v>
      </c>
      <c r="G2208">
        <f t="shared" si="340"/>
        <v>1</v>
      </c>
      <c r="H2208">
        <f t="shared" si="341"/>
        <v>1</v>
      </c>
      <c r="I2208">
        <f t="shared" si="342"/>
        <v>0</v>
      </c>
      <c r="J2208">
        <v>82.4</v>
      </c>
      <c r="K2208">
        <v>97.8</v>
      </c>
      <c r="L2208">
        <v>73.400000000000006</v>
      </c>
      <c r="M2208">
        <v>86.3</v>
      </c>
      <c r="N2208">
        <v>69</v>
      </c>
      <c r="O2208">
        <v>64.7</v>
      </c>
      <c r="S2208">
        <f t="shared" si="343"/>
        <v>1</v>
      </c>
      <c r="T2208">
        <f t="shared" si="344"/>
        <v>1</v>
      </c>
      <c r="U2208">
        <f t="shared" si="345"/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26.2</v>
      </c>
      <c r="AC2208">
        <v>14.9</v>
      </c>
      <c r="AG2208">
        <f t="shared" si="346"/>
        <v>1</v>
      </c>
      <c r="AH2208">
        <f t="shared" si="347"/>
        <v>0</v>
      </c>
      <c r="AI2208">
        <f t="shared" si="348"/>
        <v>1</v>
      </c>
      <c r="AJ2208">
        <v>271.39999999999998</v>
      </c>
      <c r="AK2208">
        <v>1008.3</v>
      </c>
      <c r="AL2208">
        <v>0</v>
      </c>
      <c r="AM2208">
        <v>6.2</v>
      </c>
      <c r="AN2208">
        <v>334.3</v>
      </c>
      <c r="AO2208">
        <v>28.9</v>
      </c>
      <c r="AP2208">
        <v>10</v>
      </c>
      <c r="AQ2208">
        <v>0</v>
      </c>
      <c r="AR2208" t="s">
        <v>7529</v>
      </c>
      <c r="AS2208" t="s">
        <v>7530</v>
      </c>
      <c r="AT2208">
        <v>0.27</v>
      </c>
      <c r="AU2208" t="s">
        <v>74</v>
      </c>
      <c r="AV2208" t="s">
        <v>2955</v>
      </c>
      <c r="AW2208" t="s">
        <v>75</v>
      </c>
      <c r="AX2208" t="s">
        <v>7531</v>
      </c>
      <c r="AY2208" t="s">
        <v>7532</v>
      </c>
      <c r="AZ2208">
        <v>3764.9999999930151</v>
      </c>
      <c r="BA2208">
        <v>1</v>
      </c>
      <c r="BB2208">
        <v>0</v>
      </c>
      <c r="BC2208">
        <v>1000</v>
      </c>
      <c r="BD2208">
        <v>0</v>
      </c>
      <c r="BE2208">
        <f t="shared" si="349"/>
        <v>1</v>
      </c>
    </row>
    <row r="2209" spans="1:57" x14ac:dyDescent="0.25">
      <c r="A2209" t="s">
        <v>39</v>
      </c>
      <c r="B2209" t="s">
        <v>7528</v>
      </c>
      <c r="C2209">
        <v>87.8</v>
      </c>
      <c r="D2209">
        <v>73.400000000000006</v>
      </c>
      <c r="G2209">
        <f t="shared" si="340"/>
        <v>1</v>
      </c>
      <c r="H2209">
        <f t="shared" si="341"/>
        <v>1</v>
      </c>
      <c r="I2209">
        <f t="shared" si="342"/>
        <v>0</v>
      </c>
      <c r="J2209">
        <v>82.4</v>
      </c>
      <c r="K2209">
        <v>97.8</v>
      </c>
      <c r="L2209">
        <v>73.400000000000006</v>
      </c>
      <c r="M2209">
        <v>86.3</v>
      </c>
      <c r="N2209">
        <v>69</v>
      </c>
      <c r="O2209">
        <v>64.7</v>
      </c>
      <c r="S2209">
        <f t="shared" si="343"/>
        <v>1</v>
      </c>
      <c r="T2209">
        <f t="shared" si="344"/>
        <v>1</v>
      </c>
      <c r="U2209">
        <f t="shared" si="345"/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26.2</v>
      </c>
      <c r="AC2209">
        <v>14.9</v>
      </c>
      <c r="AG2209">
        <f t="shared" si="346"/>
        <v>1</v>
      </c>
      <c r="AH2209">
        <f t="shared" si="347"/>
        <v>0</v>
      </c>
      <c r="AI2209">
        <f t="shared" si="348"/>
        <v>1</v>
      </c>
      <c r="AJ2209">
        <v>271.39999999999998</v>
      </c>
      <c r="AK2209">
        <v>1008.3</v>
      </c>
      <c r="AL2209">
        <v>0</v>
      </c>
      <c r="AM2209">
        <v>6.2</v>
      </c>
      <c r="AN2209">
        <v>334.3</v>
      </c>
      <c r="AO2209">
        <v>28.9</v>
      </c>
      <c r="AP2209">
        <v>10</v>
      </c>
      <c r="AQ2209">
        <v>0</v>
      </c>
      <c r="AR2209" t="s">
        <v>7529</v>
      </c>
      <c r="AS2209" t="s">
        <v>7530</v>
      </c>
      <c r="AT2209">
        <v>0.27</v>
      </c>
      <c r="AU2209" t="s">
        <v>74</v>
      </c>
      <c r="AV2209" t="s">
        <v>2955</v>
      </c>
      <c r="AW2209" t="s">
        <v>75</v>
      </c>
      <c r="AX2209" t="s">
        <v>7533</v>
      </c>
      <c r="AY2209" t="s">
        <v>7534</v>
      </c>
      <c r="AZ2209">
        <v>654.99999999767169</v>
      </c>
      <c r="BA2209">
        <v>1</v>
      </c>
      <c r="BB2209">
        <v>0</v>
      </c>
      <c r="BC2209">
        <v>5</v>
      </c>
      <c r="BD2209">
        <v>0</v>
      </c>
      <c r="BE2209">
        <f t="shared" si="349"/>
        <v>1</v>
      </c>
    </row>
    <row r="2210" spans="1:57" x14ac:dyDescent="0.25">
      <c r="A2210" t="s">
        <v>39</v>
      </c>
      <c r="B2210" t="s">
        <v>7535</v>
      </c>
      <c r="C2210">
        <v>78.8</v>
      </c>
      <c r="D2210">
        <v>62.6</v>
      </c>
      <c r="G2210">
        <f t="shared" si="340"/>
        <v>0</v>
      </c>
      <c r="H2210">
        <f t="shared" si="341"/>
        <v>0</v>
      </c>
      <c r="I2210">
        <f t="shared" si="342"/>
        <v>0</v>
      </c>
      <c r="J2210">
        <v>70.900000000000006</v>
      </c>
      <c r="K2210">
        <v>78.8</v>
      </c>
      <c r="L2210">
        <v>62.6</v>
      </c>
      <c r="M2210">
        <v>70.900000000000006</v>
      </c>
      <c r="N2210">
        <v>58.6</v>
      </c>
      <c r="O2210">
        <v>65.5</v>
      </c>
      <c r="S2210">
        <f t="shared" si="343"/>
        <v>0</v>
      </c>
      <c r="T2210">
        <f t="shared" si="344"/>
        <v>0</v>
      </c>
      <c r="U2210">
        <f t="shared" si="345"/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17.2</v>
      </c>
      <c r="AC2210">
        <v>9.1999999999999993</v>
      </c>
      <c r="AG2210">
        <f t="shared" si="346"/>
        <v>1</v>
      </c>
      <c r="AH2210">
        <f t="shared" si="347"/>
        <v>0</v>
      </c>
      <c r="AI2210">
        <f t="shared" si="348"/>
        <v>1</v>
      </c>
      <c r="AJ2210">
        <v>309.60000000000002</v>
      </c>
      <c r="AK2210">
        <v>1016.9</v>
      </c>
      <c r="AL2210">
        <v>16.2</v>
      </c>
      <c r="AM2210">
        <v>6.2</v>
      </c>
      <c r="AN2210">
        <v>244.2</v>
      </c>
      <c r="AO2210">
        <v>20.8</v>
      </c>
      <c r="AP2210">
        <v>8</v>
      </c>
      <c r="AQ2210">
        <v>0</v>
      </c>
      <c r="AR2210" t="s">
        <v>7536</v>
      </c>
      <c r="AS2210" t="s">
        <v>7537</v>
      </c>
      <c r="AT2210">
        <v>0.82</v>
      </c>
      <c r="AU2210" t="s">
        <v>74</v>
      </c>
      <c r="AV2210" t="s">
        <v>2955</v>
      </c>
      <c r="AW2210" t="s">
        <v>75</v>
      </c>
      <c r="AX2210" t="s">
        <v>2565</v>
      </c>
      <c r="AY2210" t="s">
        <v>7538</v>
      </c>
      <c r="AZ2210">
        <v>36.000000002095483</v>
      </c>
      <c r="BA2210">
        <v>0</v>
      </c>
      <c r="BB2210">
        <v>0</v>
      </c>
      <c r="BC2210">
        <v>0.04</v>
      </c>
      <c r="BD2210">
        <v>0</v>
      </c>
      <c r="BE2210">
        <f t="shared" si="349"/>
        <v>0</v>
      </c>
    </row>
    <row r="2211" spans="1:57" x14ac:dyDescent="0.25">
      <c r="A2211" t="s">
        <v>39</v>
      </c>
      <c r="B2211" t="s">
        <v>7539</v>
      </c>
      <c r="C2211">
        <v>87.8</v>
      </c>
      <c r="D2211">
        <v>68</v>
      </c>
      <c r="G2211">
        <f t="shared" si="340"/>
        <v>1</v>
      </c>
      <c r="H2211">
        <f t="shared" si="341"/>
        <v>1</v>
      </c>
      <c r="I2211">
        <f t="shared" si="342"/>
        <v>0</v>
      </c>
      <c r="J2211">
        <v>77.099999999999994</v>
      </c>
      <c r="K2211">
        <v>87.8</v>
      </c>
      <c r="L2211">
        <v>68</v>
      </c>
      <c r="M2211">
        <v>77.099999999999994</v>
      </c>
      <c r="N2211">
        <v>62.7</v>
      </c>
      <c r="O2211">
        <v>64.8</v>
      </c>
      <c r="S2211">
        <f t="shared" si="343"/>
        <v>0</v>
      </c>
      <c r="T2211">
        <f t="shared" si="344"/>
        <v>0</v>
      </c>
      <c r="U2211">
        <f t="shared" si="345"/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30</v>
      </c>
      <c r="AC2211">
        <v>20.8</v>
      </c>
      <c r="AG2211">
        <f t="shared" si="346"/>
        <v>1</v>
      </c>
      <c r="AH2211">
        <f t="shared" si="347"/>
        <v>1</v>
      </c>
      <c r="AI2211">
        <f t="shared" si="348"/>
        <v>0</v>
      </c>
      <c r="AJ2211">
        <v>175.9</v>
      </c>
      <c r="AK2211">
        <v>1010.5</v>
      </c>
      <c r="AL2211">
        <v>24.5</v>
      </c>
      <c r="AM2211">
        <v>6.2</v>
      </c>
      <c r="AN2211">
        <v>210.6</v>
      </c>
      <c r="AO2211">
        <v>18.399999999999999</v>
      </c>
      <c r="AP2211">
        <v>7</v>
      </c>
      <c r="AQ2211">
        <v>0</v>
      </c>
      <c r="AR2211" t="s">
        <v>7540</v>
      </c>
      <c r="AS2211" t="s">
        <v>7541</v>
      </c>
      <c r="AT2211">
        <v>0.15</v>
      </c>
      <c r="AU2211" t="s">
        <v>43</v>
      </c>
      <c r="AV2211" t="s">
        <v>44</v>
      </c>
      <c r="AW2211" t="s">
        <v>45</v>
      </c>
      <c r="AX2211" t="s">
        <v>4025</v>
      </c>
      <c r="AY2211" t="s">
        <v>7542</v>
      </c>
      <c r="AZ2211">
        <v>130.00000000465661</v>
      </c>
      <c r="BA2211">
        <v>0</v>
      </c>
      <c r="BB2211">
        <v>0</v>
      </c>
      <c r="BC2211">
        <v>0.03</v>
      </c>
      <c r="BD2211">
        <v>0</v>
      </c>
      <c r="BE2211">
        <f t="shared" si="349"/>
        <v>0</v>
      </c>
    </row>
    <row r="2212" spans="1:57" x14ac:dyDescent="0.25">
      <c r="A2212" t="s">
        <v>39</v>
      </c>
      <c r="B2212" t="s">
        <v>7543</v>
      </c>
      <c r="C2212">
        <v>71.599999999999994</v>
      </c>
      <c r="D2212">
        <v>62.6</v>
      </c>
      <c r="G2212">
        <f t="shared" si="340"/>
        <v>1</v>
      </c>
      <c r="H2212">
        <f t="shared" si="341"/>
        <v>1</v>
      </c>
      <c r="I2212">
        <f t="shared" si="342"/>
        <v>0</v>
      </c>
      <c r="J2212">
        <v>66.400000000000006</v>
      </c>
      <c r="K2212">
        <v>71.599999999999994</v>
      </c>
      <c r="L2212">
        <v>62.6</v>
      </c>
      <c r="M2212">
        <v>66.400000000000006</v>
      </c>
      <c r="N2212">
        <v>58.9</v>
      </c>
      <c r="O2212">
        <v>77.2</v>
      </c>
      <c r="S2212">
        <f t="shared" si="343"/>
        <v>1</v>
      </c>
      <c r="T2212">
        <f t="shared" si="344"/>
        <v>1</v>
      </c>
      <c r="U2212">
        <f t="shared" si="345"/>
        <v>0</v>
      </c>
      <c r="V2212">
        <v>6.0000000000000001E-3</v>
      </c>
      <c r="W2212">
        <v>100</v>
      </c>
      <c r="X2212">
        <v>4.17</v>
      </c>
      <c r="Y2212" t="s">
        <v>103</v>
      </c>
      <c r="Z2212">
        <v>0</v>
      </c>
      <c r="AA2212">
        <v>0</v>
      </c>
      <c r="AB2212">
        <v>25.3</v>
      </c>
      <c r="AC2212">
        <v>13.9</v>
      </c>
      <c r="AG2212">
        <f t="shared" si="346"/>
        <v>1</v>
      </c>
      <c r="AH2212">
        <f t="shared" si="347"/>
        <v>0</v>
      </c>
      <c r="AI2212">
        <f t="shared" si="348"/>
        <v>1</v>
      </c>
      <c r="AJ2212">
        <v>263.8</v>
      </c>
      <c r="AK2212">
        <v>1014.5</v>
      </c>
      <c r="AL2212">
        <v>54.3</v>
      </c>
      <c r="AM2212">
        <v>6.1</v>
      </c>
      <c r="AN2212">
        <v>115.6</v>
      </c>
      <c r="AO2212">
        <v>10</v>
      </c>
      <c r="AP2212">
        <v>5</v>
      </c>
      <c r="AQ2212">
        <v>0</v>
      </c>
      <c r="AR2212" t="s">
        <v>7544</v>
      </c>
      <c r="AS2212" t="s">
        <v>7545</v>
      </c>
      <c r="AT2212">
        <v>0.14000000000000001</v>
      </c>
      <c r="AU2212" t="s">
        <v>106</v>
      </c>
      <c r="AV2212" t="s">
        <v>433</v>
      </c>
      <c r="AW2212" t="s">
        <v>103</v>
      </c>
      <c r="AX2212" t="s">
        <v>7546</v>
      </c>
      <c r="AY2212" t="s">
        <v>7547</v>
      </c>
      <c r="AZ2212">
        <v>521.99999999371357</v>
      </c>
      <c r="BA2212">
        <v>1</v>
      </c>
      <c r="BB2212">
        <v>0</v>
      </c>
      <c r="BC2212">
        <v>200</v>
      </c>
      <c r="BD2212">
        <v>0</v>
      </c>
      <c r="BE2212">
        <f t="shared" si="349"/>
        <v>1</v>
      </c>
    </row>
    <row r="2213" spans="1:57" x14ac:dyDescent="0.25">
      <c r="A2213" t="s">
        <v>39</v>
      </c>
      <c r="B2213" t="s">
        <v>7548</v>
      </c>
      <c r="C2213">
        <v>64.400000000000006</v>
      </c>
      <c r="D2213">
        <v>59</v>
      </c>
      <c r="G2213">
        <f t="shared" si="340"/>
        <v>1</v>
      </c>
      <c r="H2213">
        <f t="shared" si="341"/>
        <v>1</v>
      </c>
      <c r="I2213">
        <f t="shared" si="342"/>
        <v>0</v>
      </c>
      <c r="J2213">
        <v>62.9</v>
      </c>
      <c r="K2213">
        <v>64.400000000000006</v>
      </c>
      <c r="L2213">
        <v>59</v>
      </c>
      <c r="M2213">
        <v>62.9</v>
      </c>
      <c r="N2213">
        <v>52.5</v>
      </c>
      <c r="O2213">
        <v>69.2</v>
      </c>
      <c r="S2213">
        <f t="shared" si="343"/>
        <v>0</v>
      </c>
      <c r="T2213">
        <f t="shared" si="344"/>
        <v>0</v>
      </c>
      <c r="U2213">
        <f t="shared" si="345"/>
        <v>0</v>
      </c>
      <c r="V2213">
        <v>4.7E-2</v>
      </c>
      <c r="W2213">
        <v>100</v>
      </c>
      <c r="X2213">
        <v>8.33</v>
      </c>
      <c r="Y2213" t="s">
        <v>103</v>
      </c>
      <c r="Z2213">
        <v>0</v>
      </c>
      <c r="AA2213">
        <v>0</v>
      </c>
      <c r="AB2213">
        <v>26.8</v>
      </c>
      <c r="AC2213">
        <v>20.8</v>
      </c>
      <c r="AG2213">
        <f t="shared" si="346"/>
        <v>1</v>
      </c>
      <c r="AH2213">
        <f t="shared" si="347"/>
        <v>1</v>
      </c>
      <c r="AI2213">
        <f t="shared" si="348"/>
        <v>0</v>
      </c>
      <c r="AJ2213">
        <v>349.3</v>
      </c>
      <c r="AK2213">
        <v>1018.1</v>
      </c>
      <c r="AL2213">
        <v>45.1</v>
      </c>
      <c r="AM2213">
        <v>6.2</v>
      </c>
      <c r="AN2213">
        <v>89.8</v>
      </c>
      <c r="AO2213">
        <v>7.8</v>
      </c>
      <c r="AP2213">
        <v>4</v>
      </c>
      <c r="AQ2213">
        <v>0</v>
      </c>
      <c r="AR2213" t="s">
        <v>7549</v>
      </c>
      <c r="AS2213" t="s">
        <v>7550</v>
      </c>
      <c r="AT2213">
        <v>0.15</v>
      </c>
      <c r="AU2213" t="s">
        <v>106</v>
      </c>
      <c r="AV2213" t="s">
        <v>107</v>
      </c>
      <c r="AW2213" t="s">
        <v>103</v>
      </c>
      <c r="AX2213" t="s">
        <v>4428</v>
      </c>
      <c r="AY2213" t="s">
        <v>7551</v>
      </c>
      <c r="AZ2213">
        <v>0</v>
      </c>
      <c r="BA2213">
        <v>0</v>
      </c>
      <c r="BB2213">
        <v>0</v>
      </c>
      <c r="BC2213">
        <v>0.01</v>
      </c>
      <c r="BD2213">
        <v>0</v>
      </c>
      <c r="BE2213">
        <f t="shared" si="349"/>
        <v>0</v>
      </c>
    </row>
    <row r="2214" spans="1:57" x14ac:dyDescent="0.25">
      <c r="A2214" t="s">
        <v>39</v>
      </c>
      <c r="B2214" t="s">
        <v>7552</v>
      </c>
      <c r="C2214">
        <v>91.4</v>
      </c>
      <c r="D2214">
        <v>77</v>
      </c>
      <c r="G2214">
        <f t="shared" si="340"/>
        <v>1</v>
      </c>
      <c r="H2214">
        <f t="shared" si="341"/>
        <v>1</v>
      </c>
      <c r="I2214">
        <f t="shared" si="342"/>
        <v>0</v>
      </c>
      <c r="J2214">
        <v>84.1</v>
      </c>
      <c r="K2214">
        <v>95.9</v>
      </c>
      <c r="L2214">
        <v>77</v>
      </c>
      <c r="M2214">
        <v>85.9</v>
      </c>
      <c r="N2214">
        <v>64.2</v>
      </c>
      <c r="O2214">
        <v>53</v>
      </c>
      <c r="S2214">
        <f t="shared" si="343"/>
        <v>1</v>
      </c>
      <c r="T2214">
        <f t="shared" si="344"/>
        <v>0</v>
      </c>
      <c r="U2214">
        <f t="shared" si="345"/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36.5</v>
      </c>
      <c r="AC2214">
        <v>26.3</v>
      </c>
      <c r="AG2214">
        <f t="shared" si="346"/>
        <v>1</v>
      </c>
      <c r="AH2214">
        <f t="shared" si="347"/>
        <v>1</v>
      </c>
      <c r="AI2214">
        <f t="shared" si="348"/>
        <v>0</v>
      </c>
      <c r="AJ2214">
        <v>300.2</v>
      </c>
      <c r="AK2214">
        <v>1005.6</v>
      </c>
      <c r="AL2214">
        <v>27</v>
      </c>
      <c r="AM2214">
        <v>6.2</v>
      </c>
      <c r="AN2214">
        <v>328.9</v>
      </c>
      <c r="AO2214">
        <v>28.5</v>
      </c>
      <c r="AP2214">
        <v>10</v>
      </c>
      <c r="AQ2214">
        <v>0</v>
      </c>
      <c r="AR2214" t="s">
        <v>7553</v>
      </c>
      <c r="AS2214" t="s">
        <v>7554</v>
      </c>
      <c r="AT2214">
        <v>0.3</v>
      </c>
      <c r="AU2214" t="s">
        <v>43</v>
      </c>
      <c r="AV2214" t="s">
        <v>44</v>
      </c>
      <c r="AW2214" t="s">
        <v>45</v>
      </c>
      <c r="AX2214" t="s">
        <v>2418</v>
      </c>
      <c r="AY2214" t="s">
        <v>7555</v>
      </c>
      <c r="AZ2214">
        <v>149.99999999650751</v>
      </c>
      <c r="BA2214">
        <v>0</v>
      </c>
      <c r="BB2214">
        <v>0</v>
      </c>
      <c r="BC2214">
        <v>0.2</v>
      </c>
      <c r="BD2214">
        <v>0</v>
      </c>
      <c r="BE2214">
        <f t="shared" si="349"/>
        <v>1</v>
      </c>
    </row>
    <row r="2215" spans="1:57" x14ac:dyDescent="0.25">
      <c r="A2215" t="s">
        <v>39</v>
      </c>
      <c r="B2215" t="s">
        <v>7556</v>
      </c>
      <c r="C2215">
        <v>87.8</v>
      </c>
      <c r="D2215">
        <v>69.8</v>
      </c>
      <c r="G2215">
        <f t="shared" si="340"/>
        <v>1</v>
      </c>
      <c r="H2215">
        <f t="shared" si="341"/>
        <v>1</v>
      </c>
      <c r="I2215">
        <f t="shared" si="342"/>
        <v>0</v>
      </c>
      <c r="J2215">
        <v>79.5</v>
      </c>
      <c r="K2215">
        <v>100</v>
      </c>
      <c r="L2215">
        <v>69.8</v>
      </c>
      <c r="M2215">
        <v>83.6</v>
      </c>
      <c r="N2215">
        <v>68.2</v>
      </c>
      <c r="O2215">
        <v>68.599999999999994</v>
      </c>
      <c r="S2215">
        <f t="shared" si="343"/>
        <v>1</v>
      </c>
      <c r="T2215">
        <f t="shared" si="344"/>
        <v>1</v>
      </c>
      <c r="U2215">
        <f t="shared" si="345"/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19</v>
      </c>
      <c r="AC2215">
        <v>10.199999999999999</v>
      </c>
      <c r="AG2215">
        <f t="shared" si="346"/>
        <v>1</v>
      </c>
      <c r="AH2215">
        <f t="shared" si="347"/>
        <v>0</v>
      </c>
      <c r="AI2215">
        <f t="shared" si="348"/>
        <v>1</v>
      </c>
      <c r="AJ2215">
        <v>202.4</v>
      </c>
      <c r="AK2215">
        <v>1006.9</v>
      </c>
      <c r="AL2215">
        <v>11.6</v>
      </c>
      <c r="AM2215">
        <v>6.2</v>
      </c>
      <c r="AN2215">
        <v>295.7</v>
      </c>
      <c r="AO2215">
        <v>25.7</v>
      </c>
      <c r="AP2215">
        <v>9</v>
      </c>
      <c r="AQ2215">
        <v>0</v>
      </c>
      <c r="AR2215" t="s">
        <v>7557</v>
      </c>
      <c r="AS2215" t="s">
        <v>7558</v>
      </c>
      <c r="AT2215">
        <v>0.5</v>
      </c>
      <c r="AU2215" t="s">
        <v>74</v>
      </c>
      <c r="AV2215" t="s">
        <v>2955</v>
      </c>
      <c r="AW2215" t="s">
        <v>75</v>
      </c>
      <c r="AX2215" t="s">
        <v>2486</v>
      </c>
      <c r="AY2215" t="s">
        <v>7559</v>
      </c>
      <c r="AZ2215">
        <v>480.00000000349252</v>
      </c>
      <c r="BA2215">
        <v>1</v>
      </c>
      <c r="BB2215">
        <v>0</v>
      </c>
      <c r="BC2215">
        <v>0.5</v>
      </c>
      <c r="BD2215">
        <v>0</v>
      </c>
      <c r="BE2215">
        <f t="shared" si="349"/>
        <v>1</v>
      </c>
    </row>
    <row r="2216" spans="1:57" x14ac:dyDescent="0.25">
      <c r="A2216" t="s">
        <v>39</v>
      </c>
      <c r="B2216" t="s">
        <v>7560</v>
      </c>
      <c r="C2216">
        <v>84.2</v>
      </c>
      <c r="D2216">
        <v>68</v>
      </c>
      <c r="G2216">
        <f t="shared" si="340"/>
        <v>1</v>
      </c>
      <c r="H2216">
        <f t="shared" si="341"/>
        <v>1</v>
      </c>
      <c r="I2216">
        <f t="shared" si="342"/>
        <v>0</v>
      </c>
      <c r="J2216">
        <v>74.099999999999994</v>
      </c>
      <c r="K2216">
        <v>83.9</v>
      </c>
      <c r="L2216">
        <v>68</v>
      </c>
      <c r="M2216">
        <v>74.099999999999994</v>
      </c>
      <c r="N2216">
        <v>60.9</v>
      </c>
      <c r="O2216">
        <v>64.900000000000006</v>
      </c>
      <c r="S2216">
        <f t="shared" si="343"/>
        <v>0</v>
      </c>
      <c r="T2216">
        <f t="shared" si="344"/>
        <v>0</v>
      </c>
      <c r="U2216">
        <f t="shared" si="345"/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24.2</v>
      </c>
      <c r="AC2216">
        <v>19.7</v>
      </c>
      <c r="AG2216">
        <f t="shared" si="346"/>
        <v>1</v>
      </c>
      <c r="AH2216">
        <f t="shared" si="347"/>
        <v>1</v>
      </c>
      <c r="AI2216">
        <f t="shared" si="348"/>
        <v>0</v>
      </c>
      <c r="AJ2216">
        <v>178.7</v>
      </c>
      <c r="AK2216">
        <v>1013.8</v>
      </c>
      <c r="AL2216">
        <v>30.4</v>
      </c>
      <c r="AM2216">
        <v>6.2</v>
      </c>
      <c r="AN2216">
        <v>149.19999999999999</v>
      </c>
      <c r="AO2216">
        <v>12.9</v>
      </c>
      <c r="AP2216">
        <v>6</v>
      </c>
      <c r="AQ2216">
        <v>0</v>
      </c>
      <c r="AR2216" t="s">
        <v>7561</v>
      </c>
      <c r="AS2216" t="s">
        <v>7562</v>
      </c>
      <c r="AT2216">
        <v>0.3</v>
      </c>
      <c r="AU2216" t="s">
        <v>43</v>
      </c>
      <c r="AV2216" t="s">
        <v>80</v>
      </c>
      <c r="AW2216" t="s">
        <v>45</v>
      </c>
      <c r="AX2216" t="s">
        <v>7563</v>
      </c>
      <c r="AY2216" t="s">
        <v>7564</v>
      </c>
      <c r="AZ2216">
        <v>296.00000000093132</v>
      </c>
      <c r="BA2216">
        <v>0</v>
      </c>
      <c r="BB2216">
        <v>0</v>
      </c>
      <c r="BC2216">
        <v>1.5</v>
      </c>
      <c r="BD2216">
        <v>0</v>
      </c>
      <c r="BE2216">
        <f t="shared" si="349"/>
        <v>0</v>
      </c>
    </row>
    <row r="2217" spans="1:57" x14ac:dyDescent="0.25">
      <c r="A2217" t="s">
        <v>39</v>
      </c>
      <c r="B2217" t="s">
        <v>7565</v>
      </c>
      <c r="C2217">
        <v>62.6</v>
      </c>
      <c r="D2217">
        <v>46.4</v>
      </c>
      <c r="G2217">
        <f t="shared" si="340"/>
        <v>1</v>
      </c>
      <c r="H2217">
        <f t="shared" si="341"/>
        <v>1</v>
      </c>
      <c r="I2217">
        <f t="shared" si="342"/>
        <v>0</v>
      </c>
      <c r="J2217">
        <v>55.1</v>
      </c>
      <c r="K2217">
        <v>62.6</v>
      </c>
      <c r="L2217">
        <v>42.9</v>
      </c>
      <c r="M2217">
        <v>54.4</v>
      </c>
      <c r="N2217">
        <v>45</v>
      </c>
      <c r="O2217">
        <v>69.2</v>
      </c>
      <c r="S2217">
        <f t="shared" si="343"/>
        <v>0</v>
      </c>
      <c r="T2217">
        <f t="shared" si="344"/>
        <v>0</v>
      </c>
      <c r="U2217">
        <f t="shared" si="345"/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24.2</v>
      </c>
      <c r="AC2217">
        <v>11.4</v>
      </c>
      <c r="AG2217">
        <f t="shared" si="346"/>
        <v>1</v>
      </c>
      <c r="AH2217">
        <f t="shared" si="347"/>
        <v>0</v>
      </c>
      <c r="AI2217">
        <f t="shared" si="348"/>
        <v>1</v>
      </c>
      <c r="AJ2217">
        <v>183.9</v>
      </c>
      <c r="AK2217">
        <v>1019.2</v>
      </c>
      <c r="AL2217">
        <v>30.1</v>
      </c>
      <c r="AM2217">
        <v>6.2</v>
      </c>
      <c r="AN2217">
        <v>153.30000000000001</v>
      </c>
      <c r="AO2217">
        <v>13.2</v>
      </c>
      <c r="AP2217">
        <v>6</v>
      </c>
      <c r="AQ2217">
        <v>0</v>
      </c>
      <c r="AR2217" t="s">
        <v>7566</v>
      </c>
      <c r="AS2217" t="s">
        <v>7567</v>
      </c>
      <c r="AT2217">
        <v>0.22</v>
      </c>
      <c r="AU2217" t="s">
        <v>43</v>
      </c>
      <c r="AV2217" t="s">
        <v>44</v>
      </c>
      <c r="AW2217" t="s">
        <v>45</v>
      </c>
      <c r="AX2217" t="s">
        <v>4063</v>
      </c>
      <c r="AY2217" t="s">
        <v>7568</v>
      </c>
      <c r="AZ2217">
        <v>200.00000000232831</v>
      </c>
      <c r="BA2217">
        <v>0</v>
      </c>
      <c r="BB2217">
        <v>0</v>
      </c>
      <c r="BC2217">
        <v>2</v>
      </c>
      <c r="BD2217">
        <v>0</v>
      </c>
      <c r="BE2217">
        <f t="shared" si="349"/>
        <v>0</v>
      </c>
    </row>
    <row r="2218" spans="1:57" x14ac:dyDescent="0.25">
      <c r="A2218" t="s">
        <v>39</v>
      </c>
      <c r="B2218" t="s">
        <v>7503</v>
      </c>
      <c r="C2218">
        <v>62.6</v>
      </c>
      <c r="D2218">
        <v>51.8</v>
      </c>
      <c r="G2218">
        <f t="shared" si="340"/>
        <v>1</v>
      </c>
      <c r="H2218">
        <f t="shared" si="341"/>
        <v>0</v>
      </c>
      <c r="I2218">
        <f t="shared" si="342"/>
        <v>1</v>
      </c>
      <c r="J2218">
        <v>57.4</v>
      </c>
      <c r="K2218">
        <v>62.6</v>
      </c>
      <c r="L2218">
        <v>51.8</v>
      </c>
      <c r="M2218">
        <v>57.4</v>
      </c>
      <c r="N2218">
        <v>50.4</v>
      </c>
      <c r="O2218">
        <v>78.3</v>
      </c>
      <c r="S2218">
        <f t="shared" si="343"/>
        <v>1</v>
      </c>
      <c r="T2218">
        <f t="shared" si="344"/>
        <v>1</v>
      </c>
      <c r="U2218">
        <f t="shared" si="345"/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28.4</v>
      </c>
      <c r="AC2218">
        <v>21.8</v>
      </c>
      <c r="AG2218">
        <f t="shared" si="346"/>
        <v>1</v>
      </c>
      <c r="AH2218">
        <f t="shared" si="347"/>
        <v>1</v>
      </c>
      <c r="AI2218">
        <f t="shared" si="348"/>
        <v>0</v>
      </c>
      <c r="AJ2218">
        <v>170.9</v>
      </c>
      <c r="AK2218">
        <v>1011.8</v>
      </c>
      <c r="AL2218">
        <v>46.5</v>
      </c>
      <c r="AM2218">
        <v>6.1</v>
      </c>
      <c r="AN2218">
        <v>159.1</v>
      </c>
      <c r="AO2218">
        <v>13.6</v>
      </c>
      <c r="AP2218">
        <v>5</v>
      </c>
      <c r="AQ2218">
        <v>0</v>
      </c>
      <c r="AR2218" t="s">
        <v>7504</v>
      </c>
      <c r="AS2218" t="s">
        <v>7505</v>
      </c>
      <c r="AT2218">
        <v>0</v>
      </c>
      <c r="AU2218" t="s">
        <v>43</v>
      </c>
      <c r="AV2218" t="s">
        <v>44</v>
      </c>
      <c r="AW2218" t="s">
        <v>45</v>
      </c>
      <c r="AX2218" t="s">
        <v>7569</v>
      </c>
      <c r="AY2218" t="s">
        <v>7570</v>
      </c>
      <c r="AZ2218">
        <v>69.999999997671694</v>
      </c>
      <c r="BA2218">
        <v>0</v>
      </c>
      <c r="BB2218">
        <v>0</v>
      </c>
      <c r="BC2218">
        <v>0</v>
      </c>
      <c r="BD2218">
        <v>0.1</v>
      </c>
      <c r="BE2218">
        <f t="shared" si="349"/>
        <v>1</v>
      </c>
    </row>
    <row r="2219" spans="1:57" x14ac:dyDescent="0.25">
      <c r="A2219" t="s">
        <v>39</v>
      </c>
      <c r="B2219" t="s">
        <v>7571</v>
      </c>
      <c r="C2219">
        <v>78.8</v>
      </c>
      <c r="D2219">
        <v>64.400000000000006</v>
      </c>
      <c r="G2219">
        <f t="shared" si="340"/>
        <v>1</v>
      </c>
      <c r="H2219">
        <f t="shared" si="341"/>
        <v>1</v>
      </c>
      <c r="I2219">
        <f t="shared" si="342"/>
        <v>0</v>
      </c>
      <c r="J2219">
        <v>72.400000000000006</v>
      </c>
      <c r="K2219">
        <v>78.8</v>
      </c>
      <c r="L2219">
        <v>64.400000000000006</v>
      </c>
      <c r="M2219">
        <v>72.400000000000006</v>
      </c>
      <c r="N2219">
        <v>43.9</v>
      </c>
      <c r="O2219">
        <v>39.200000000000003</v>
      </c>
      <c r="S2219">
        <f t="shared" si="343"/>
        <v>1</v>
      </c>
      <c r="T2219">
        <f t="shared" si="344"/>
        <v>0</v>
      </c>
      <c r="U2219">
        <f t="shared" si="345"/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45.1</v>
      </c>
      <c r="AC2219">
        <v>33.299999999999997</v>
      </c>
      <c r="AG2219">
        <f t="shared" si="346"/>
        <v>1</v>
      </c>
      <c r="AH2219">
        <f t="shared" si="347"/>
        <v>1</v>
      </c>
      <c r="AI2219">
        <f t="shared" si="348"/>
        <v>0</v>
      </c>
      <c r="AJ2219">
        <v>170.7</v>
      </c>
      <c r="AK2219">
        <v>1006.8</v>
      </c>
      <c r="AL2219">
        <v>48.2</v>
      </c>
      <c r="AM2219">
        <v>5.6</v>
      </c>
      <c r="AN2219">
        <v>264.39999999999998</v>
      </c>
      <c r="AO2219">
        <v>22.9</v>
      </c>
      <c r="AP2219">
        <v>9</v>
      </c>
      <c r="AQ2219">
        <v>0</v>
      </c>
      <c r="AR2219" t="s">
        <v>7572</v>
      </c>
      <c r="AS2219" t="s">
        <v>7573</v>
      </c>
      <c r="AT2219">
        <v>0</v>
      </c>
      <c r="AU2219" t="s">
        <v>43</v>
      </c>
      <c r="AV2219" t="s">
        <v>44</v>
      </c>
      <c r="AW2219" t="s">
        <v>419</v>
      </c>
      <c r="AX2219" t="s">
        <v>2582</v>
      </c>
      <c r="AY2219" t="s">
        <v>7574</v>
      </c>
      <c r="AZ2219">
        <v>445.00000000465661</v>
      </c>
      <c r="BA2219">
        <v>1</v>
      </c>
      <c r="BB2219">
        <v>0</v>
      </c>
      <c r="BC2219">
        <v>1</v>
      </c>
      <c r="BD2219">
        <v>0</v>
      </c>
      <c r="BE2219">
        <f t="shared" si="349"/>
        <v>1</v>
      </c>
    </row>
    <row r="2220" spans="1:57" x14ac:dyDescent="0.25">
      <c r="A2220" t="s">
        <v>39</v>
      </c>
      <c r="B2220" t="s">
        <v>7575</v>
      </c>
      <c r="C2220">
        <v>84.2</v>
      </c>
      <c r="D2220">
        <v>77</v>
      </c>
      <c r="G2220">
        <f t="shared" si="340"/>
        <v>0</v>
      </c>
      <c r="H2220">
        <f t="shared" si="341"/>
        <v>0</v>
      </c>
      <c r="I2220">
        <f t="shared" si="342"/>
        <v>0</v>
      </c>
      <c r="J2220">
        <v>80.099999999999994</v>
      </c>
      <c r="K2220">
        <v>83.9</v>
      </c>
      <c r="L2220">
        <v>77</v>
      </c>
      <c r="M2220">
        <v>80.2</v>
      </c>
      <c r="N2220">
        <v>60.8</v>
      </c>
      <c r="O2220">
        <v>52.3</v>
      </c>
      <c r="S2220">
        <f t="shared" si="343"/>
        <v>1</v>
      </c>
      <c r="T2220">
        <f t="shared" si="344"/>
        <v>0</v>
      </c>
      <c r="U2220">
        <f t="shared" si="345"/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40.700000000000003</v>
      </c>
      <c r="AC2220">
        <v>24.1</v>
      </c>
      <c r="AG2220">
        <f t="shared" si="346"/>
        <v>1</v>
      </c>
      <c r="AH2220">
        <f t="shared" si="347"/>
        <v>1</v>
      </c>
      <c r="AI2220">
        <f t="shared" si="348"/>
        <v>0</v>
      </c>
      <c r="AJ2220">
        <v>315.39999999999998</v>
      </c>
      <c r="AK2220">
        <v>1011.9</v>
      </c>
      <c r="AL2220">
        <v>21.3</v>
      </c>
      <c r="AM2220">
        <v>6.2</v>
      </c>
      <c r="AN2220">
        <v>318.8</v>
      </c>
      <c r="AO2220">
        <v>27.3</v>
      </c>
      <c r="AP2220">
        <v>10</v>
      </c>
      <c r="AQ2220">
        <v>0</v>
      </c>
      <c r="AR2220" t="s">
        <v>7576</v>
      </c>
      <c r="AS2220" t="s">
        <v>7577</v>
      </c>
      <c r="AT2220">
        <v>0.18</v>
      </c>
      <c r="AU2220" t="s">
        <v>43</v>
      </c>
      <c r="AV2220" t="s">
        <v>44</v>
      </c>
      <c r="AW2220" t="s">
        <v>45</v>
      </c>
      <c r="AX2220" t="s">
        <v>7578</v>
      </c>
      <c r="AY2220" t="s">
        <v>7579</v>
      </c>
      <c r="AZ2220">
        <v>618.00000000279397</v>
      </c>
      <c r="BA2220">
        <v>1</v>
      </c>
      <c r="BB2220">
        <v>0</v>
      </c>
      <c r="BC2220">
        <v>0.3</v>
      </c>
      <c r="BD2220">
        <v>0</v>
      </c>
      <c r="BE2220">
        <f t="shared" si="349"/>
        <v>1</v>
      </c>
    </row>
    <row r="2221" spans="1:57" x14ac:dyDescent="0.25">
      <c r="A2221" t="s">
        <v>39</v>
      </c>
      <c r="B2221" t="s">
        <v>7575</v>
      </c>
      <c r="C2221">
        <v>84.2</v>
      </c>
      <c r="D2221">
        <v>77</v>
      </c>
      <c r="G2221">
        <f t="shared" si="340"/>
        <v>0</v>
      </c>
      <c r="H2221">
        <f t="shared" si="341"/>
        <v>0</v>
      </c>
      <c r="I2221">
        <f t="shared" si="342"/>
        <v>0</v>
      </c>
      <c r="J2221">
        <v>80.099999999999994</v>
      </c>
      <c r="K2221">
        <v>83.9</v>
      </c>
      <c r="L2221">
        <v>77</v>
      </c>
      <c r="M2221">
        <v>80.2</v>
      </c>
      <c r="N2221">
        <v>60.8</v>
      </c>
      <c r="O2221">
        <v>52.3</v>
      </c>
      <c r="S2221">
        <f t="shared" si="343"/>
        <v>1</v>
      </c>
      <c r="T2221">
        <f t="shared" si="344"/>
        <v>0</v>
      </c>
      <c r="U2221">
        <f t="shared" si="345"/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40.700000000000003</v>
      </c>
      <c r="AC2221">
        <v>24.1</v>
      </c>
      <c r="AG2221">
        <f t="shared" si="346"/>
        <v>1</v>
      </c>
      <c r="AH2221">
        <f t="shared" si="347"/>
        <v>1</v>
      </c>
      <c r="AI2221">
        <f t="shared" si="348"/>
        <v>0</v>
      </c>
      <c r="AJ2221">
        <v>315.39999999999998</v>
      </c>
      <c r="AK2221">
        <v>1011.9</v>
      </c>
      <c r="AL2221">
        <v>21.3</v>
      </c>
      <c r="AM2221">
        <v>6.2</v>
      </c>
      <c r="AN2221">
        <v>318.8</v>
      </c>
      <c r="AO2221">
        <v>27.3</v>
      </c>
      <c r="AP2221">
        <v>10</v>
      </c>
      <c r="AQ2221">
        <v>0</v>
      </c>
      <c r="AR2221" t="s">
        <v>7576</v>
      </c>
      <c r="AS2221" t="s">
        <v>7577</v>
      </c>
      <c r="AT2221">
        <v>0.18</v>
      </c>
      <c r="AU2221" t="s">
        <v>43</v>
      </c>
      <c r="AV2221" t="s">
        <v>44</v>
      </c>
      <c r="AW2221" t="s">
        <v>45</v>
      </c>
      <c r="AX2221" t="s">
        <v>7580</v>
      </c>
      <c r="AY2221" t="s">
        <v>7581</v>
      </c>
      <c r="AZ2221">
        <v>4306.9999999995343</v>
      </c>
      <c r="BA2221">
        <v>1</v>
      </c>
      <c r="BB2221">
        <v>3</v>
      </c>
      <c r="BC2221">
        <v>0</v>
      </c>
      <c r="BD2221">
        <v>0</v>
      </c>
      <c r="BE2221">
        <f t="shared" si="349"/>
        <v>1</v>
      </c>
    </row>
    <row r="2222" spans="1:57" x14ac:dyDescent="0.25">
      <c r="A2222" t="s">
        <v>39</v>
      </c>
      <c r="B2222" t="s">
        <v>7582</v>
      </c>
      <c r="C2222">
        <v>78.8</v>
      </c>
      <c r="D2222">
        <v>64.400000000000006</v>
      </c>
      <c r="G2222">
        <f t="shared" si="340"/>
        <v>0</v>
      </c>
      <c r="H2222">
        <f t="shared" si="341"/>
        <v>0</v>
      </c>
      <c r="I2222">
        <f t="shared" si="342"/>
        <v>0</v>
      </c>
      <c r="J2222">
        <v>71.7</v>
      </c>
      <c r="K2222">
        <v>78.8</v>
      </c>
      <c r="L2222">
        <v>64.400000000000006</v>
      </c>
      <c r="M2222">
        <v>71.7</v>
      </c>
      <c r="N2222">
        <v>62.4</v>
      </c>
      <c r="O2222">
        <v>73.3</v>
      </c>
      <c r="S2222">
        <f t="shared" si="343"/>
        <v>1</v>
      </c>
      <c r="T2222">
        <f t="shared" si="344"/>
        <v>1</v>
      </c>
      <c r="U2222">
        <f t="shared" si="345"/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24.4</v>
      </c>
      <c r="AC2222">
        <v>12.8</v>
      </c>
      <c r="AG2222">
        <f t="shared" si="346"/>
        <v>1</v>
      </c>
      <c r="AH2222">
        <f t="shared" si="347"/>
        <v>0</v>
      </c>
      <c r="AI2222">
        <f t="shared" si="348"/>
        <v>1</v>
      </c>
      <c r="AJ2222">
        <v>289.8</v>
      </c>
      <c r="AK2222">
        <v>1015.3</v>
      </c>
      <c r="AL2222">
        <v>18.5</v>
      </c>
      <c r="AM2222">
        <v>6.2</v>
      </c>
      <c r="AN2222">
        <v>230.7</v>
      </c>
      <c r="AO2222">
        <v>19.8</v>
      </c>
      <c r="AP2222">
        <v>8</v>
      </c>
      <c r="AQ2222">
        <v>0</v>
      </c>
      <c r="AR2222" t="s">
        <v>7583</v>
      </c>
      <c r="AS2222" t="s">
        <v>7584</v>
      </c>
      <c r="AT2222">
        <v>0.02</v>
      </c>
      <c r="AU2222" t="s">
        <v>74</v>
      </c>
      <c r="AV2222" t="s">
        <v>2955</v>
      </c>
      <c r="AW2222" t="s">
        <v>75</v>
      </c>
      <c r="AX2222" t="s">
        <v>4282</v>
      </c>
      <c r="AY2222" t="s">
        <v>7585</v>
      </c>
      <c r="AZ2222">
        <v>3029.999999996508</v>
      </c>
      <c r="BA2222">
        <v>1</v>
      </c>
      <c r="BB2222">
        <v>0</v>
      </c>
      <c r="BC2222">
        <v>3</v>
      </c>
      <c r="BD2222">
        <v>0</v>
      </c>
      <c r="BE2222">
        <f t="shared" si="349"/>
        <v>0</v>
      </c>
    </row>
    <row r="2223" spans="1:57" x14ac:dyDescent="0.25">
      <c r="A2223" t="s">
        <v>39</v>
      </c>
      <c r="B2223" t="s">
        <v>7586</v>
      </c>
      <c r="C2223">
        <v>62.6</v>
      </c>
      <c r="D2223">
        <v>55.4</v>
      </c>
      <c r="G2223">
        <f t="shared" si="340"/>
        <v>1</v>
      </c>
      <c r="H2223">
        <f t="shared" si="341"/>
        <v>0</v>
      </c>
      <c r="I2223">
        <f t="shared" si="342"/>
        <v>1</v>
      </c>
      <c r="J2223">
        <v>59.1</v>
      </c>
      <c r="K2223">
        <v>62.6</v>
      </c>
      <c r="L2223">
        <v>55.4</v>
      </c>
      <c r="M2223">
        <v>59.1</v>
      </c>
      <c r="N2223">
        <v>46.3</v>
      </c>
      <c r="O2223">
        <v>62.7</v>
      </c>
      <c r="S2223">
        <f t="shared" si="343"/>
        <v>1</v>
      </c>
      <c r="T2223">
        <f t="shared" si="344"/>
        <v>0</v>
      </c>
      <c r="U2223">
        <f t="shared" si="345"/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30.6</v>
      </c>
      <c r="AC2223">
        <v>20.8</v>
      </c>
      <c r="AG2223">
        <f t="shared" si="346"/>
        <v>1</v>
      </c>
      <c r="AH2223">
        <f t="shared" si="347"/>
        <v>1</v>
      </c>
      <c r="AI2223">
        <f t="shared" si="348"/>
        <v>0</v>
      </c>
      <c r="AJ2223">
        <v>327.60000000000002</v>
      </c>
      <c r="AK2223">
        <v>1021.8</v>
      </c>
      <c r="AL2223">
        <v>50.4</v>
      </c>
      <c r="AM2223">
        <v>6.2</v>
      </c>
      <c r="AN2223">
        <v>265.3</v>
      </c>
      <c r="AO2223">
        <v>22.7</v>
      </c>
      <c r="AP2223">
        <v>8</v>
      </c>
      <c r="AQ2223">
        <v>0</v>
      </c>
      <c r="AR2223" t="s">
        <v>7587</v>
      </c>
      <c r="AS2223" t="s">
        <v>7588</v>
      </c>
      <c r="AT2223">
        <v>0.53</v>
      </c>
      <c r="AU2223" t="s">
        <v>43</v>
      </c>
      <c r="AV2223" t="s">
        <v>44</v>
      </c>
      <c r="AW2223" t="s">
        <v>45</v>
      </c>
      <c r="AX2223" t="s">
        <v>4726</v>
      </c>
      <c r="AY2223" t="s">
        <v>7589</v>
      </c>
      <c r="AZ2223">
        <v>109.9999999918509</v>
      </c>
      <c r="BA2223">
        <v>0</v>
      </c>
      <c r="BB2223">
        <v>0</v>
      </c>
      <c r="BC2223">
        <v>0.6</v>
      </c>
      <c r="BD2223">
        <v>0</v>
      </c>
      <c r="BE2223">
        <f t="shared" si="349"/>
        <v>1</v>
      </c>
    </row>
    <row r="2224" spans="1:57" x14ac:dyDescent="0.25">
      <c r="A2224" t="s">
        <v>39</v>
      </c>
      <c r="B2224" t="s">
        <v>7590</v>
      </c>
      <c r="C2224">
        <v>91.4</v>
      </c>
      <c r="D2224">
        <v>73.400000000000006</v>
      </c>
      <c r="G2224">
        <f t="shared" si="340"/>
        <v>1</v>
      </c>
      <c r="H2224">
        <f t="shared" si="341"/>
        <v>1</v>
      </c>
      <c r="I2224">
        <f t="shared" si="342"/>
        <v>0</v>
      </c>
      <c r="J2224">
        <v>80.3</v>
      </c>
      <c r="K2224">
        <v>90.7</v>
      </c>
      <c r="L2224">
        <v>73.400000000000006</v>
      </c>
      <c r="M2224">
        <v>80.2</v>
      </c>
      <c r="N2224">
        <v>61.3</v>
      </c>
      <c r="O2224">
        <v>54.3</v>
      </c>
      <c r="S2224">
        <f t="shared" si="343"/>
        <v>1</v>
      </c>
      <c r="T2224">
        <f t="shared" si="344"/>
        <v>0</v>
      </c>
      <c r="U2224">
        <f t="shared" si="345"/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46.1</v>
      </c>
      <c r="AC2224">
        <v>33.299999999999997</v>
      </c>
      <c r="AG2224">
        <f t="shared" si="346"/>
        <v>1</v>
      </c>
      <c r="AH2224">
        <f t="shared" si="347"/>
        <v>1</v>
      </c>
      <c r="AI2224">
        <f t="shared" si="348"/>
        <v>0</v>
      </c>
      <c r="AJ2224">
        <v>172.6</v>
      </c>
      <c r="AK2224">
        <v>1008.1</v>
      </c>
      <c r="AL2224">
        <v>27.6</v>
      </c>
      <c r="AM2224">
        <v>6.2</v>
      </c>
      <c r="AN2224">
        <v>209.9</v>
      </c>
      <c r="AO2224">
        <v>18.100000000000001</v>
      </c>
      <c r="AP2224">
        <v>7</v>
      </c>
      <c r="AQ2224">
        <v>0</v>
      </c>
      <c r="AR2224" t="s">
        <v>7591</v>
      </c>
      <c r="AS2224" t="s">
        <v>7592</v>
      </c>
      <c r="AT2224">
        <v>0.19</v>
      </c>
      <c r="AU2224" t="s">
        <v>43</v>
      </c>
      <c r="AV2224" t="s">
        <v>44</v>
      </c>
      <c r="AW2224" t="s">
        <v>419</v>
      </c>
      <c r="AX2224" t="s">
        <v>7593</v>
      </c>
      <c r="AY2224" t="s">
        <v>7594</v>
      </c>
      <c r="AZ2224">
        <v>3328.9999999967399</v>
      </c>
      <c r="BA2224">
        <v>1</v>
      </c>
      <c r="BB2224">
        <v>0</v>
      </c>
      <c r="BC2224">
        <v>10</v>
      </c>
      <c r="BD2224">
        <v>0</v>
      </c>
      <c r="BE2224">
        <f t="shared" si="349"/>
        <v>1</v>
      </c>
    </row>
    <row r="2225" spans="1:57" x14ac:dyDescent="0.25">
      <c r="A2225" t="s">
        <v>39</v>
      </c>
      <c r="B2225" t="s">
        <v>7595</v>
      </c>
      <c r="C2225">
        <v>80.599999999999994</v>
      </c>
      <c r="D2225">
        <v>63.6</v>
      </c>
      <c r="G2225">
        <f t="shared" si="340"/>
        <v>1</v>
      </c>
      <c r="H2225">
        <f t="shared" si="341"/>
        <v>1</v>
      </c>
      <c r="I2225">
        <f t="shared" si="342"/>
        <v>0</v>
      </c>
      <c r="J2225">
        <v>72.2</v>
      </c>
      <c r="K2225">
        <v>81.099999999999994</v>
      </c>
      <c r="L2225">
        <v>63.6</v>
      </c>
      <c r="M2225">
        <v>72.3</v>
      </c>
      <c r="N2225">
        <v>60.7</v>
      </c>
      <c r="O2225">
        <v>68.400000000000006</v>
      </c>
      <c r="S2225">
        <f t="shared" si="343"/>
        <v>0</v>
      </c>
      <c r="T2225">
        <f t="shared" si="344"/>
        <v>0</v>
      </c>
      <c r="U2225">
        <f t="shared" si="345"/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43.8</v>
      </c>
      <c r="AC2225">
        <v>19.7</v>
      </c>
      <c r="AG2225">
        <f t="shared" si="346"/>
        <v>1</v>
      </c>
      <c r="AH2225">
        <f t="shared" si="347"/>
        <v>1</v>
      </c>
      <c r="AI2225">
        <f t="shared" si="348"/>
        <v>0</v>
      </c>
      <c r="AJ2225">
        <v>172.4</v>
      </c>
      <c r="AK2225">
        <v>1015.1</v>
      </c>
      <c r="AL2225">
        <v>33.1</v>
      </c>
      <c r="AM2225">
        <v>6.2</v>
      </c>
      <c r="AN2225">
        <v>143.4</v>
      </c>
      <c r="AO2225">
        <v>12.4</v>
      </c>
      <c r="AP2225">
        <v>6</v>
      </c>
      <c r="AQ2225">
        <v>0</v>
      </c>
      <c r="AR2225" t="s">
        <v>7596</v>
      </c>
      <c r="AS2225" t="s">
        <v>7597</v>
      </c>
      <c r="AT2225">
        <v>0.25</v>
      </c>
      <c r="AU2225" t="s">
        <v>43</v>
      </c>
      <c r="AV2225" t="s">
        <v>44</v>
      </c>
      <c r="AW2225" t="s">
        <v>45</v>
      </c>
      <c r="AX2225" t="s">
        <v>7598</v>
      </c>
      <c r="AY2225" t="s">
        <v>7599</v>
      </c>
      <c r="AZ2225">
        <v>323.99999999790452</v>
      </c>
      <c r="BA2225">
        <v>0</v>
      </c>
      <c r="BB2225">
        <v>0</v>
      </c>
      <c r="BC2225">
        <v>1</v>
      </c>
      <c r="BD2225">
        <v>0</v>
      </c>
      <c r="BE2225">
        <f t="shared" si="349"/>
        <v>0</v>
      </c>
    </row>
    <row r="2226" spans="1:57" x14ac:dyDescent="0.25">
      <c r="A2226" t="s">
        <v>39</v>
      </c>
      <c r="B2226" t="s">
        <v>7600</v>
      </c>
      <c r="C2226">
        <v>78.8</v>
      </c>
      <c r="D2226">
        <v>64.400000000000006</v>
      </c>
      <c r="G2226">
        <f t="shared" si="340"/>
        <v>1</v>
      </c>
      <c r="H2226">
        <f t="shared" si="341"/>
        <v>1</v>
      </c>
      <c r="I2226">
        <f t="shared" si="342"/>
        <v>0</v>
      </c>
      <c r="J2226">
        <v>71.599999999999994</v>
      </c>
      <c r="K2226">
        <v>78.8</v>
      </c>
      <c r="L2226">
        <v>64.400000000000006</v>
      </c>
      <c r="M2226">
        <v>71.599999999999994</v>
      </c>
      <c r="N2226">
        <v>61.5</v>
      </c>
      <c r="O2226">
        <v>71.599999999999994</v>
      </c>
      <c r="S2226">
        <f t="shared" si="343"/>
        <v>1</v>
      </c>
      <c r="T2226">
        <f t="shared" si="344"/>
        <v>1</v>
      </c>
      <c r="U2226">
        <f t="shared" si="345"/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19.7</v>
      </c>
      <c r="AC2226">
        <v>12.7</v>
      </c>
      <c r="AG2226">
        <f t="shared" si="346"/>
        <v>1</v>
      </c>
      <c r="AH2226">
        <f t="shared" si="347"/>
        <v>0</v>
      </c>
      <c r="AI2226">
        <f t="shared" si="348"/>
        <v>1</v>
      </c>
      <c r="AJ2226">
        <v>197.3</v>
      </c>
      <c r="AK2226">
        <v>1014</v>
      </c>
      <c r="AL2226">
        <v>50.4</v>
      </c>
      <c r="AM2226">
        <v>6.2</v>
      </c>
      <c r="AN2226">
        <v>136.80000000000001</v>
      </c>
      <c r="AO2226">
        <v>11.9</v>
      </c>
      <c r="AP2226">
        <v>6</v>
      </c>
      <c r="AQ2226">
        <v>0</v>
      </c>
      <c r="AR2226" t="s">
        <v>7601</v>
      </c>
      <c r="AS2226" t="s">
        <v>7602</v>
      </c>
      <c r="AT2226">
        <v>0.43</v>
      </c>
      <c r="AU2226" t="s">
        <v>43</v>
      </c>
      <c r="AV2226" t="s">
        <v>44</v>
      </c>
      <c r="AW2226" t="s">
        <v>45</v>
      </c>
      <c r="AX2226" t="s">
        <v>7563</v>
      </c>
      <c r="AY2226" t="s">
        <v>7603</v>
      </c>
      <c r="AZ2226">
        <v>422.99999999580899</v>
      </c>
      <c r="BA2226">
        <v>1</v>
      </c>
      <c r="BB2226">
        <v>2</v>
      </c>
      <c r="BC2226">
        <v>0</v>
      </c>
      <c r="BD2226">
        <v>0</v>
      </c>
      <c r="BE2226">
        <f t="shared" si="349"/>
        <v>1</v>
      </c>
    </row>
    <row r="2227" spans="1:57" x14ac:dyDescent="0.25">
      <c r="A2227" t="s">
        <v>39</v>
      </c>
      <c r="B2227" t="s">
        <v>7604</v>
      </c>
      <c r="C2227">
        <v>77</v>
      </c>
      <c r="D2227">
        <v>62.5</v>
      </c>
      <c r="G2227">
        <f t="shared" si="340"/>
        <v>1</v>
      </c>
      <c r="H2227">
        <f t="shared" si="341"/>
        <v>1</v>
      </c>
      <c r="I2227">
        <f t="shared" si="342"/>
        <v>0</v>
      </c>
      <c r="J2227">
        <v>68</v>
      </c>
      <c r="K2227">
        <v>77</v>
      </c>
      <c r="L2227">
        <v>62.5</v>
      </c>
      <c r="M2227">
        <v>68</v>
      </c>
      <c r="N2227">
        <v>56.2</v>
      </c>
      <c r="O2227">
        <v>67.599999999999994</v>
      </c>
      <c r="S2227">
        <f t="shared" si="343"/>
        <v>0</v>
      </c>
      <c r="T2227">
        <f t="shared" si="344"/>
        <v>0</v>
      </c>
      <c r="U2227">
        <f t="shared" si="345"/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20.8</v>
      </c>
      <c r="AC2227">
        <v>11.4</v>
      </c>
      <c r="AG2227">
        <f t="shared" si="346"/>
        <v>1</v>
      </c>
      <c r="AH2227">
        <f t="shared" si="347"/>
        <v>0</v>
      </c>
      <c r="AI2227">
        <f t="shared" si="348"/>
        <v>1</v>
      </c>
      <c r="AJ2227">
        <v>157.6</v>
      </c>
      <c r="AK2227">
        <v>1019.5</v>
      </c>
      <c r="AL2227">
        <v>36.6</v>
      </c>
      <c r="AM2227">
        <v>6.2</v>
      </c>
      <c r="AN2227">
        <v>135.30000000000001</v>
      </c>
      <c r="AO2227">
        <v>11.6</v>
      </c>
      <c r="AP2227">
        <v>5</v>
      </c>
      <c r="AQ2227">
        <v>0</v>
      </c>
      <c r="AR2227" t="s">
        <v>7605</v>
      </c>
      <c r="AS2227" t="s">
        <v>7606</v>
      </c>
      <c r="AT2227">
        <v>0.75</v>
      </c>
      <c r="AU2227" t="s">
        <v>43</v>
      </c>
      <c r="AV2227" t="s">
        <v>44</v>
      </c>
      <c r="AW2227" t="s">
        <v>45</v>
      </c>
      <c r="AX2227" t="s">
        <v>4525</v>
      </c>
      <c r="AY2227" t="s">
        <v>7607</v>
      </c>
      <c r="AZ2227">
        <v>75.00000000349246</v>
      </c>
      <c r="BA2227">
        <v>0</v>
      </c>
      <c r="BB2227">
        <v>0</v>
      </c>
      <c r="BC2227">
        <v>0.1</v>
      </c>
      <c r="BD2227">
        <v>0</v>
      </c>
      <c r="BE2227">
        <f t="shared" si="349"/>
        <v>0</v>
      </c>
    </row>
    <row r="2228" spans="1:57" x14ac:dyDescent="0.25">
      <c r="A2228" t="s">
        <v>39</v>
      </c>
      <c r="B2228" t="s">
        <v>7600</v>
      </c>
      <c r="C2228">
        <v>78.8</v>
      </c>
      <c r="D2228">
        <v>64.400000000000006</v>
      </c>
      <c r="G2228">
        <f t="shared" si="340"/>
        <v>1</v>
      </c>
      <c r="H2228">
        <f t="shared" si="341"/>
        <v>1</v>
      </c>
      <c r="I2228">
        <f t="shared" si="342"/>
        <v>0</v>
      </c>
      <c r="J2228">
        <v>71.599999999999994</v>
      </c>
      <c r="K2228">
        <v>78.8</v>
      </c>
      <c r="L2228">
        <v>64.400000000000006</v>
      </c>
      <c r="M2228">
        <v>71.599999999999994</v>
      </c>
      <c r="N2228">
        <v>61.5</v>
      </c>
      <c r="O2228">
        <v>71.599999999999994</v>
      </c>
      <c r="S2228">
        <f t="shared" si="343"/>
        <v>1</v>
      </c>
      <c r="T2228">
        <f t="shared" si="344"/>
        <v>1</v>
      </c>
      <c r="U2228">
        <f t="shared" si="345"/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19.7</v>
      </c>
      <c r="AC2228">
        <v>12.7</v>
      </c>
      <c r="AG2228">
        <f t="shared" si="346"/>
        <v>1</v>
      </c>
      <c r="AH2228">
        <f t="shared" si="347"/>
        <v>0</v>
      </c>
      <c r="AI2228">
        <f t="shared" si="348"/>
        <v>1</v>
      </c>
      <c r="AJ2228">
        <v>197.3</v>
      </c>
      <c r="AK2228">
        <v>1014</v>
      </c>
      <c r="AL2228">
        <v>50.4</v>
      </c>
      <c r="AM2228">
        <v>6.2</v>
      </c>
      <c r="AN2228">
        <v>136.80000000000001</v>
      </c>
      <c r="AO2228">
        <v>11.9</v>
      </c>
      <c r="AP2228">
        <v>6</v>
      </c>
      <c r="AQ2228">
        <v>0</v>
      </c>
      <c r="AR2228" t="s">
        <v>7601</v>
      </c>
      <c r="AS2228" t="s">
        <v>7602</v>
      </c>
      <c r="AT2228">
        <v>0.43</v>
      </c>
      <c r="AU2228" t="s">
        <v>43</v>
      </c>
      <c r="AV2228" t="s">
        <v>44</v>
      </c>
      <c r="AW2228" t="s">
        <v>45</v>
      </c>
      <c r="AX2228" t="s">
        <v>7375</v>
      </c>
      <c r="AY2228" t="s">
        <v>7608</v>
      </c>
      <c r="AZ2228">
        <v>251.9999999937136</v>
      </c>
      <c r="BA2228">
        <v>0</v>
      </c>
      <c r="BB2228">
        <v>0</v>
      </c>
      <c r="BC2228">
        <v>0.1</v>
      </c>
      <c r="BD2228">
        <v>0</v>
      </c>
      <c r="BE2228">
        <f t="shared" si="349"/>
        <v>1</v>
      </c>
    </row>
    <row r="2229" spans="1:57" x14ac:dyDescent="0.25">
      <c r="A2229" t="s">
        <v>39</v>
      </c>
      <c r="B2229" t="s">
        <v>7609</v>
      </c>
      <c r="C2229">
        <v>62.6</v>
      </c>
      <c r="D2229">
        <v>51.2</v>
      </c>
      <c r="G2229">
        <f t="shared" si="340"/>
        <v>0</v>
      </c>
      <c r="H2229">
        <f t="shared" si="341"/>
        <v>0</v>
      </c>
      <c r="I2229">
        <f t="shared" si="342"/>
        <v>0</v>
      </c>
      <c r="J2229">
        <v>58.5</v>
      </c>
      <c r="K2229">
        <v>62.6</v>
      </c>
      <c r="L2229">
        <v>51.2</v>
      </c>
      <c r="M2229">
        <v>58.5</v>
      </c>
      <c r="N2229">
        <v>45.5</v>
      </c>
      <c r="O2229">
        <v>62.1</v>
      </c>
      <c r="S2229">
        <f t="shared" si="343"/>
        <v>1</v>
      </c>
      <c r="T2229">
        <f t="shared" si="344"/>
        <v>0</v>
      </c>
      <c r="U2229">
        <f t="shared" si="345"/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22.8</v>
      </c>
      <c r="AC2229">
        <v>16.100000000000001</v>
      </c>
      <c r="AG2229">
        <f t="shared" si="346"/>
        <v>1</v>
      </c>
      <c r="AH2229">
        <f t="shared" si="347"/>
        <v>0</v>
      </c>
      <c r="AI2229">
        <f t="shared" si="348"/>
        <v>1</v>
      </c>
      <c r="AJ2229">
        <v>326.8</v>
      </c>
      <c r="AK2229">
        <v>1022.2</v>
      </c>
      <c r="AL2229">
        <v>46.7</v>
      </c>
      <c r="AM2229">
        <v>6.2</v>
      </c>
      <c r="AN2229">
        <v>114.3</v>
      </c>
      <c r="AO2229">
        <v>10</v>
      </c>
      <c r="AP2229">
        <v>5</v>
      </c>
      <c r="AQ2229">
        <v>0</v>
      </c>
      <c r="AR2229" t="s">
        <v>7610</v>
      </c>
      <c r="AS2229" t="s">
        <v>7611</v>
      </c>
      <c r="AT2229">
        <v>0.19</v>
      </c>
      <c r="AU2229" t="s">
        <v>43</v>
      </c>
      <c r="AV2229" t="s">
        <v>44</v>
      </c>
      <c r="AW2229" t="s">
        <v>45</v>
      </c>
      <c r="AX2229" t="s">
        <v>7612</v>
      </c>
      <c r="AY2229" t="s">
        <v>7613</v>
      </c>
      <c r="AZ2229">
        <v>52.999999994644902</v>
      </c>
      <c r="BA2229">
        <v>0</v>
      </c>
      <c r="BB2229">
        <v>0</v>
      </c>
      <c r="BC2229">
        <v>1</v>
      </c>
      <c r="BD2229">
        <v>0</v>
      </c>
      <c r="BE2229">
        <f t="shared" si="349"/>
        <v>0</v>
      </c>
    </row>
    <row r="2230" spans="1:57" x14ac:dyDescent="0.25">
      <c r="A2230" t="s">
        <v>39</v>
      </c>
      <c r="B2230" t="s">
        <v>7575</v>
      </c>
      <c r="C2230">
        <v>84.2</v>
      </c>
      <c r="D2230">
        <v>77</v>
      </c>
      <c r="G2230">
        <f t="shared" si="340"/>
        <v>0</v>
      </c>
      <c r="H2230">
        <f t="shared" si="341"/>
        <v>0</v>
      </c>
      <c r="I2230">
        <f t="shared" si="342"/>
        <v>0</v>
      </c>
      <c r="J2230">
        <v>80.099999999999994</v>
      </c>
      <c r="K2230">
        <v>83.9</v>
      </c>
      <c r="L2230">
        <v>77</v>
      </c>
      <c r="M2230">
        <v>80.2</v>
      </c>
      <c r="N2230">
        <v>60.8</v>
      </c>
      <c r="O2230">
        <v>52.3</v>
      </c>
      <c r="S2230">
        <f t="shared" si="343"/>
        <v>1</v>
      </c>
      <c r="T2230">
        <f t="shared" si="344"/>
        <v>0</v>
      </c>
      <c r="U2230">
        <f t="shared" si="345"/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40.700000000000003</v>
      </c>
      <c r="AC2230">
        <v>24.1</v>
      </c>
      <c r="AG2230">
        <f t="shared" si="346"/>
        <v>1</v>
      </c>
      <c r="AH2230">
        <f t="shared" si="347"/>
        <v>1</v>
      </c>
      <c r="AI2230">
        <f t="shared" si="348"/>
        <v>0</v>
      </c>
      <c r="AJ2230">
        <v>315.39999999999998</v>
      </c>
      <c r="AK2230">
        <v>1011.9</v>
      </c>
      <c r="AL2230">
        <v>21.3</v>
      </c>
      <c r="AM2230">
        <v>6.2</v>
      </c>
      <c r="AN2230">
        <v>318.8</v>
      </c>
      <c r="AO2230">
        <v>27.3</v>
      </c>
      <c r="AP2230">
        <v>10</v>
      </c>
      <c r="AQ2230">
        <v>0</v>
      </c>
      <c r="AR2230" t="s">
        <v>7576</v>
      </c>
      <c r="AS2230" t="s">
        <v>7577</v>
      </c>
      <c r="AT2230">
        <v>0.18</v>
      </c>
      <c r="AU2230" t="s">
        <v>43</v>
      </c>
      <c r="AV2230" t="s">
        <v>44</v>
      </c>
      <c r="AW2230" t="s">
        <v>45</v>
      </c>
      <c r="AX2230" t="s">
        <v>7614</v>
      </c>
      <c r="AY2230" t="s">
        <v>7615</v>
      </c>
      <c r="AZ2230">
        <v>2842.0000000018631</v>
      </c>
      <c r="BA2230">
        <v>1</v>
      </c>
      <c r="BB2230">
        <v>0</v>
      </c>
      <c r="BC2230">
        <v>2</v>
      </c>
      <c r="BD2230">
        <v>0</v>
      </c>
      <c r="BE2230">
        <f t="shared" si="349"/>
        <v>1</v>
      </c>
    </row>
    <row r="2231" spans="1:57" x14ac:dyDescent="0.25">
      <c r="A2231" t="s">
        <v>39</v>
      </c>
      <c r="B2231" t="s">
        <v>7616</v>
      </c>
      <c r="C2231">
        <v>60.8</v>
      </c>
      <c r="D2231">
        <v>53.6</v>
      </c>
      <c r="G2231">
        <f t="shared" si="340"/>
        <v>1</v>
      </c>
      <c r="H2231">
        <f t="shared" si="341"/>
        <v>0</v>
      </c>
      <c r="I2231">
        <f t="shared" si="342"/>
        <v>1</v>
      </c>
      <c r="J2231">
        <v>58</v>
      </c>
      <c r="K2231">
        <v>60.8</v>
      </c>
      <c r="L2231">
        <v>53.6</v>
      </c>
      <c r="M2231">
        <v>58</v>
      </c>
      <c r="N2231">
        <v>41.4</v>
      </c>
      <c r="O2231">
        <v>54.3</v>
      </c>
      <c r="S2231">
        <f t="shared" si="343"/>
        <v>1</v>
      </c>
      <c r="T2231">
        <f t="shared" si="344"/>
        <v>0</v>
      </c>
      <c r="U2231">
        <f t="shared" si="345"/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33.6</v>
      </c>
      <c r="AC2231">
        <v>23</v>
      </c>
      <c r="AG2231">
        <f t="shared" si="346"/>
        <v>1</v>
      </c>
      <c r="AH2231">
        <f t="shared" si="347"/>
        <v>1</v>
      </c>
      <c r="AI2231">
        <f t="shared" si="348"/>
        <v>0</v>
      </c>
      <c r="AJ2231">
        <v>337.5</v>
      </c>
      <c r="AK2231">
        <v>1023.1</v>
      </c>
      <c r="AL2231">
        <v>59.9</v>
      </c>
      <c r="AM2231">
        <v>6.2</v>
      </c>
      <c r="AN2231">
        <v>249.3</v>
      </c>
      <c r="AO2231">
        <v>21.5</v>
      </c>
      <c r="AP2231">
        <v>8</v>
      </c>
      <c r="AQ2231">
        <v>0</v>
      </c>
      <c r="AR2231" t="s">
        <v>7617</v>
      </c>
      <c r="AS2231" t="s">
        <v>7618</v>
      </c>
      <c r="AT2231">
        <v>0.56000000000000005</v>
      </c>
      <c r="AU2231" t="s">
        <v>43</v>
      </c>
      <c r="AV2231" t="s">
        <v>44</v>
      </c>
      <c r="AW2231" t="s">
        <v>45</v>
      </c>
      <c r="AX2231" t="s">
        <v>7619</v>
      </c>
      <c r="AY2231" t="s">
        <v>7620</v>
      </c>
      <c r="AZ2231">
        <v>229.99999999534339</v>
      </c>
      <c r="BA2231">
        <v>0</v>
      </c>
      <c r="BB2231">
        <v>0</v>
      </c>
      <c r="BC2231">
        <v>6</v>
      </c>
      <c r="BD2231">
        <v>0</v>
      </c>
      <c r="BE2231">
        <f t="shared" si="349"/>
        <v>1</v>
      </c>
    </row>
    <row r="2232" spans="1:57" x14ac:dyDescent="0.25">
      <c r="A2232" t="s">
        <v>39</v>
      </c>
      <c r="B2232" t="s">
        <v>7621</v>
      </c>
      <c r="C2232">
        <v>84.2</v>
      </c>
      <c r="D2232">
        <v>69.8</v>
      </c>
      <c r="G2232">
        <f t="shared" si="340"/>
        <v>1</v>
      </c>
      <c r="H2232">
        <f t="shared" si="341"/>
        <v>1</v>
      </c>
      <c r="I2232">
        <f t="shared" si="342"/>
        <v>0</v>
      </c>
      <c r="J2232">
        <v>78.7</v>
      </c>
      <c r="K2232">
        <v>86.4</v>
      </c>
      <c r="L2232">
        <v>69.8</v>
      </c>
      <c r="M2232">
        <v>79.5</v>
      </c>
      <c r="N2232">
        <v>64.2</v>
      </c>
      <c r="O2232">
        <v>61.9</v>
      </c>
      <c r="S2232">
        <f t="shared" si="343"/>
        <v>1</v>
      </c>
      <c r="T2232">
        <f t="shared" si="344"/>
        <v>1</v>
      </c>
      <c r="U2232">
        <f t="shared" si="345"/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30.2</v>
      </c>
      <c r="AC2232">
        <v>17.2</v>
      </c>
      <c r="AG2232">
        <f t="shared" si="346"/>
        <v>0</v>
      </c>
      <c r="AH2232">
        <f t="shared" si="347"/>
        <v>0</v>
      </c>
      <c r="AI2232">
        <f t="shared" si="348"/>
        <v>0</v>
      </c>
      <c r="AJ2232">
        <v>296.39999999999998</v>
      </c>
      <c r="AK2232">
        <v>1011.3</v>
      </c>
      <c r="AL2232">
        <v>25</v>
      </c>
      <c r="AM2232">
        <v>6.2</v>
      </c>
      <c r="AN2232">
        <v>331.9</v>
      </c>
      <c r="AO2232">
        <v>28.6</v>
      </c>
      <c r="AP2232">
        <v>10</v>
      </c>
      <c r="AQ2232">
        <v>0</v>
      </c>
      <c r="AR2232" t="s">
        <v>7622</v>
      </c>
      <c r="AS2232" t="s">
        <v>7623</v>
      </c>
      <c r="AT2232">
        <v>0.53</v>
      </c>
      <c r="AU2232" t="s">
        <v>43</v>
      </c>
      <c r="AV2232" t="s">
        <v>44</v>
      </c>
      <c r="AW2232" t="s">
        <v>45</v>
      </c>
      <c r="AX2232" t="s">
        <v>7624</v>
      </c>
      <c r="AY2232" t="s">
        <v>7625</v>
      </c>
      <c r="AZ2232">
        <v>1143.9999999990689</v>
      </c>
      <c r="BA2232">
        <v>1</v>
      </c>
      <c r="BB2232">
        <v>0</v>
      </c>
      <c r="BC2232">
        <v>0.1</v>
      </c>
      <c r="BD2232">
        <v>0</v>
      </c>
      <c r="BE2232">
        <f t="shared" si="349"/>
        <v>1</v>
      </c>
    </row>
    <row r="2233" spans="1:57" x14ac:dyDescent="0.25">
      <c r="A2233" t="s">
        <v>39</v>
      </c>
      <c r="B2233" t="s">
        <v>7434</v>
      </c>
      <c r="C2233">
        <v>84.2</v>
      </c>
      <c r="D2233">
        <v>71.599999999999994</v>
      </c>
      <c r="G2233">
        <f t="shared" si="340"/>
        <v>0</v>
      </c>
      <c r="H2233">
        <f t="shared" si="341"/>
        <v>0</v>
      </c>
      <c r="I2233">
        <f t="shared" si="342"/>
        <v>0</v>
      </c>
      <c r="J2233">
        <v>79.5</v>
      </c>
      <c r="K2233">
        <v>89.6</v>
      </c>
      <c r="L2233">
        <v>71.599999999999994</v>
      </c>
      <c r="M2233">
        <v>81.599999999999994</v>
      </c>
      <c r="N2233">
        <v>68.3</v>
      </c>
      <c r="O2233">
        <v>69.2</v>
      </c>
      <c r="S2233">
        <f t="shared" si="343"/>
        <v>1</v>
      </c>
      <c r="T2233">
        <f t="shared" si="344"/>
        <v>1</v>
      </c>
      <c r="U2233">
        <f t="shared" si="345"/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22.8</v>
      </c>
      <c r="AC2233">
        <v>18.3</v>
      </c>
      <c r="AG2233">
        <f t="shared" si="346"/>
        <v>0</v>
      </c>
      <c r="AH2233">
        <f t="shared" si="347"/>
        <v>0</v>
      </c>
      <c r="AI2233">
        <f t="shared" si="348"/>
        <v>0</v>
      </c>
      <c r="AJ2233">
        <v>311.10000000000002</v>
      </c>
      <c r="AK2233">
        <v>1007.1</v>
      </c>
      <c r="AL2233">
        <v>0</v>
      </c>
      <c r="AM2233">
        <v>6.2</v>
      </c>
      <c r="AN2233">
        <v>307</v>
      </c>
      <c r="AO2233">
        <v>26.7</v>
      </c>
      <c r="AP2233">
        <v>9</v>
      </c>
      <c r="AQ2233">
        <v>0</v>
      </c>
      <c r="AR2233" t="s">
        <v>7435</v>
      </c>
      <c r="AS2233" t="s">
        <v>7436</v>
      </c>
      <c r="AT2233">
        <v>0.43</v>
      </c>
      <c r="AU2233" t="s">
        <v>74</v>
      </c>
      <c r="AV2233" t="s">
        <v>2955</v>
      </c>
      <c r="AW2233" t="s">
        <v>75</v>
      </c>
      <c r="AX2233" t="s">
        <v>5365</v>
      </c>
      <c r="AY2233" t="s">
        <v>7626</v>
      </c>
      <c r="AZ2233">
        <v>1418.00000000163</v>
      </c>
      <c r="BA2233">
        <v>1</v>
      </c>
      <c r="BB2233">
        <v>0</v>
      </c>
      <c r="BC2233">
        <v>4</v>
      </c>
      <c r="BD2233">
        <v>0</v>
      </c>
      <c r="BE2233">
        <f t="shared" si="349"/>
        <v>0</v>
      </c>
    </row>
    <row r="2234" spans="1:57" x14ac:dyDescent="0.25">
      <c r="A2234" t="s">
        <v>39</v>
      </c>
      <c r="B2234" t="s">
        <v>7616</v>
      </c>
      <c r="C2234">
        <v>60.8</v>
      </c>
      <c r="D2234">
        <v>53.6</v>
      </c>
      <c r="G2234">
        <f t="shared" si="340"/>
        <v>1</v>
      </c>
      <c r="H2234">
        <f t="shared" si="341"/>
        <v>0</v>
      </c>
      <c r="I2234">
        <f t="shared" si="342"/>
        <v>1</v>
      </c>
      <c r="J2234">
        <v>58</v>
      </c>
      <c r="K2234">
        <v>60.8</v>
      </c>
      <c r="L2234">
        <v>53.6</v>
      </c>
      <c r="M2234">
        <v>58</v>
      </c>
      <c r="N2234">
        <v>41.4</v>
      </c>
      <c r="O2234">
        <v>54.3</v>
      </c>
      <c r="S2234">
        <f t="shared" si="343"/>
        <v>1</v>
      </c>
      <c r="T2234">
        <f t="shared" si="344"/>
        <v>0</v>
      </c>
      <c r="U2234">
        <f t="shared" si="345"/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33.6</v>
      </c>
      <c r="AC2234">
        <v>23</v>
      </c>
      <c r="AG2234">
        <f t="shared" si="346"/>
        <v>1</v>
      </c>
      <c r="AH2234">
        <f t="shared" si="347"/>
        <v>1</v>
      </c>
      <c r="AI2234">
        <f t="shared" si="348"/>
        <v>0</v>
      </c>
      <c r="AJ2234">
        <v>337.5</v>
      </c>
      <c r="AK2234">
        <v>1023.1</v>
      </c>
      <c r="AL2234">
        <v>59.9</v>
      </c>
      <c r="AM2234">
        <v>6.2</v>
      </c>
      <c r="AN2234">
        <v>249.3</v>
      </c>
      <c r="AO2234">
        <v>21.5</v>
      </c>
      <c r="AP2234">
        <v>8</v>
      </c>
      <c r="AQ2234">
        <v>0</v>
      </c>
      <c r="AR2234" t="s">
        <v>7617</v>
      </c>
      <c r="AS2234" t="s">
        <v>7618</v>
      </c>
      <c r="AT2234">
        <v>0.56000000000000005</v>
      </c>
      <c r="AU2234" t="s">
        <v>43</v>
      </c>
      <c r="AV2234" t="s">
        <v>44</v>
      </c>
      <c r="AW2234" t="s">
        <v>45</v>
      </c>
      <c r="AX2234" t="s">
        <v>5937</v>
      </c>
      <c r="AY2234" t="s">
        <v>7627</v>
      </c>
      <c r="AZ2234">
        <v>50.000000005820773</v>
      </c>
      <c r="BA2234">
        <v>0</v>
      </c>
      <c r="BB2234">
        <v>0</v>
      </c>
      <c r="BC2234">
        <v>0.1</v>
      </c>
      <c r="BD2234">
        <v>0</v>
      </c>
      <c r="BE2234">
        <f t="shared" si="349"/>
        <v>1</v>
      </c>
    </row>
    <row r="2235" spans="1:57" x14ac:dyDescent="0.25">
      <c r="A2235" t="s">
        <v>39</v>
      </c>
      <c r="B2235" t="s">
        <v>7628</v>
      </c>
      <c r="C2235">
        <v>84.2</v>
      </c>
      <c r="D2235">
        <v>77</v>
      </c>
      <c r="G2235">
        <f t="shared" si="340"/>
        <v>0</v>
      </c>
      <c r="H2235">
        <f t="shared" si="341"/>
        <v>0</v>
      </c>
      <c r="I2235">
        <f t="shared" si="342"/>
        <v>0</v>
      </c>
      <c r="J2235">
        <v>80.8</v>
      </c>
      <c r="K2235">
        <v>85.7</v>
      </c>
      <c r="L2235">
        <v>77</v>
      </c>
      <c r="M2235">
        <v>81.8</v>
      </c>
      <c r="N2235">
        <v>61.2</v>
      </c>
      <c r="O2235">
        <v>53.3</v>
      </c>
      <c r="S2235">
        <f t="shared" si="343"/>
        <v>1</v>
      </c>
      <c r="T2235">
        <f t="shared" si="344"/>
        <v>0</v>
      </c>
      <c r="U2235">
        <f t="shared" si="345"/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26.4</v>
      </c>
      <c r="AC2235">
        <v>19.7</v>
      </c>
      <c r="AG2235">
        <f t="shared" si="346"/>
        <v>1</v>
      </c>
      <c r="AH2235">
        <f t="shared" si="347"/>
        <v>1</v>
      </c>
      <c r="AI2235">
        <f t="shared" si="348"/>
        <v>0</v>
      </c>
      <c r="AJ2235">
        <v>295</v>
      </c>
      <c r="AK2235">
        <v>1009.7</v>
      </c>
      <c r="AL2235">
        <v>0.5</v>
      </c>
      <c r="AM2235">
        <v>6.2</v>
      </c>
      <c r="AN2235">
        <v>329</v>
      </c>
      <c r="AO2235">
        <v>28.5</v>
      </c>
      <c r="AP2235">
        <v>10</v>
      </c>
      <c r="AQ2235">
        <v>0</v>
      </c>
      <c r="AR2235" t="s">
        <v>7629</v>
      </c>
      <c r="AS2235" t="s">
        <v>7630</v>
      </c>
      <c r="AT2235">
        <v>0.71</v>
      </c>
      <c r="AU2235" t="s">
        <v>74</v>
      </c>
      <c r="AV2235" t="s">
        <v>2955</v>
      </c>
      <c r="AW2235" t="s">
        <v>75</v>
      </c>
      <c r="AX2235" t="s">
        <v>5269</v>
      </c>
      <c r="AY2235" t="s">
        <v>7631</v>
      </c>
      <c r="AZ2235">
        <v>1209.000000001397</v>
      </c>
      <c r="BA2235">
        <v>1</v>
      </c>
      <c r="BB2235">
        <v>0</v>
      </c>
      <c r="BC2235">
        <v>0.5</v>
      </c>
      <c r="BD2235">
        <v>0</v>
      </c>
      <c r="BE2235">
        <f t="shared" si="349"/>
        <v>1</v>
      </c>
    </row>
    <row r="2236" spans="1:57" x14ac:dyDescent="0.25">
      <c r="A2236" t="s">
        <v>39</v>
      </c>
      <c r="B2236" t="s">
        <v>7632</v>
      </c>
      <c r="C2236">
        <v>73.400000000000006</v>
      </c>
      <c r="D2236">
        <v>68</v>
      </c>
      <c r="G2236">
        <f t="shared" si="340"/>
        <v>1</v>
      </c>
      <c r="H2236">
        <f t="shared" si="341"/>
        <v>0</v>
      </c>
      <c r="I2236">
        <f t="shared" si="342"/>
        <v>1</v>
      </c>
      <c r="J2236">
        <v>70.900000000000006</v>
      </c>
      <c r="K2236">
        <v>73.400000000000006</v>
      </c>
      <c r="L2236">
        <v>68</v>
      </c>
      <c r="M2236">
        <v>70.900000000000006</v>
      </c>
      <c r="N2236">
        <v>54.1</v>
      </c>
      <c r="O2236">
        <v>55.3</v>
      </c>
      <c r="S2236">
        <f t="shared" si="343"/>
        <v>1</v>
      </c>
      <c r="T2236">
        <f t="shared" si="344"/>
        <v>0</v>
      </c>
      <c r="U2236">
        <f t="shared" si="345"/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34.700000000000003</v>
      </c>
      <c r="AC2236">
        <v>21.9</v>
      </c>
      <c r="AG2236">
        <f t="shared" si="346"/>
        <v>1</v>
      </c>
      <c r="AH2236">
        <f t="shared" si="347"/>
        <v>1</v>
      </c>
      <c r="AI2236">
        <f t="shared" si="348"/>
        <v>0</v>
      </c>
      <c r="AJ2236">
        <v>318.60000000000002</v>
      </c>
      <c r="AK2236">
        <v>1019</v>
      </c>
      <c r="AL2236">
        <v>33.299999999999997</v>
      </c>
      <c r="AM2236">
        <v>6.2</v>
      </c>
      <c r="AN2236">
        <v>243.2</v>
      </c>
      <c r="AO2236">
        <v>20.8</v>
      </c>
      <c r="AP2236">
        <v>8</v>
      </c>
      <c r="AQ2236">
        <v>0</v>
      </c>
      <c r="AR2236" t="s">
        <v>7633</v>
      </c>
      <c r="AS2236" t="s">
        <v>7634</v>
      </c>
      <c r="AT2236">
        <v>0.75</v>
      </c>
      <c r="AU2236" t="s">
        <v>43</v>
      </c>
      <c r="AV2236" t="s">
        <v>44</v>
      </c>
      <c r="AW2236" t="s">
        <v>45</v>
      </c>
      <c r="AX2236" t="s">
        <v>7635</v>
      </c>
      <c r="AY2236" t="s">
        <v>7636</v>
      </c>
      <c r="AZ2236">
        <v>2717.0000000030268</v>
      </c>
      <c r="BA2236">
        <v>1</v>
      </c>
      <c r="BB2236">
        <v>0</v>
      </c>
      <c r="BC2236">
        <v>20</v>
      </c>
      <c r="BD2236">
        <v>0</v>
      </c>
      <c r="BE2236">
        <f t="shared" si="349"/>
        <v>1</v>
      </c>
    </row>
    <row r="2237" spans="1:57" x14ac:dyDescent="0.25">
      <c r="A2237" t="s">
        <v>39</v>
      </c>
      <c r="B2237" t="s">
        <v>7637</v>
      </c>
      <c r="C2237">
        <v>68</v>
      </c>
      <c r="D2237">
        <v>57.2</v>
      </c>
      <c r="G2237">
        <f t="shared" si="340"/>
        <v>1</v>
      </c>
      <c r="H2237">
        <f t="shared" si="341"/>
        <v>1</v>
      </c>
      <c r="I2237">
        <f t="shared" si="342"/>
        <v>0</v>
      </c>
      <c r="J2237">
        <v>62</v>
      </c>
      <c r="K2237">
        <v>68</v>
      </c>
      <c r="L2237">
        <v>57.2</v>
      </c>
      <c r="M2237">
        <v>62</v>
      </c>
      <c r="N2237">
        <v>53.1</v>
      </c>
      <c r="O2237">
        <v>72.7</v>
      </c>
      <c r="S2237">
        <f t="shared" si="343"/>
        <v>1</v>
      </c>
      <c r="T2237">
        <f t="shared" si="344"/>
        <v>1</v>
      </c>
      <c r="U2237">
        <f t="shared" si="345"/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16.100000000000001</v>
      </c>
      <c r="AC2237">
        <v>11.4</v>
      </c>
      <c r="AG2237">
        <f t="shared" si="346"/>
        <v>1</v>
      </c>
      <c r="AH2237">
        <f t="shared" si="347"/>
        <v>0</v>
      </c>
      <c r="AI2237">
        <f t="shared" si="348"/>
        <v>1</v>
      </c>
      <c r="AJ2237">
        <v>253.8</v>
      </c>
      <c r="AK2237">
        <v>1019.8</v>
      </c>
      <c r="AL2237">
        <v>40.9</v>
      </c>
      <c r="AM2237">
        <v>6.2</v>
      </c>
      <c r="AN2237">
        <v>105</v>
      </c>
      <c r="AO2237">
        <v>9.1</v>
      </c>
      <c r="AP2237">
        <v>4</v>
      </c>
      <c r="AQ2237">
        <v>0</v>
      </c>
      <c r="AR2237" t="s">
        <v>7638</v>
      </c>
      <c r="AS2237" t="s">
        <v>7639</v>
      </c>
      <c r="AT2237">
        <v>0.35</v>
      </c>
      <c r="AU2237" t="s">
        <v>43</v>
      </c>
      <c r="AV2237" t="s">
        <v>44</v>
      </c>
      <c r="AW2237" t="s">
        <v>45</v>
      </c>
      <c r="AX2237" t="s">
        <v>4712</v>
      </c>
      <c r="AY2237" t="s">
        <v>7640</v>
      </c>
      <c r="AZ2237">
        <v>159.99999999767169</v>
      </c>
      <c r="BA2237">
        <v>0</v>
      </c>
      <c r="BB2237">
        <v>0</v>
      </c>
      <c r="BC2237">
        <v>1</v>
      </c>
      <c r="BD2237">
        <v>0</v>
      </c>
      <c r="BE2237">
        <f t="shared" si="349"/>
        <v>1</v>
      </c>
    </row>
    <row r="2238" spans="1:57" x14ac:dyDescent="0.25">
      <c r="A2238" t="s">
        <v>39</v>
      </c>
      <c r="B2238" t="s">
        <v>7641</v>
      </c>
      <c r="C2238">
        <v>66.2</v>
      </c>
      <c r="D2238">
        <v>57.2</v>
      </c>
      <c r="G2238">
        <f t="shared" si="340"/>
        <v>1</v>
      </c>
      <c r="H2238">
        <f t="shared" si="341"/>
        <v>1</v>
      </c>
      <c r="I2238">
        <f t="shared" si="342"/>
        <v>0</v>
      </c>
      <c r="J2238">
        <v>61.6</v>
      </c>
      <c r="K2238">
        <v>66.2</v>
      </c>
      <c r="L2238">
        <v>57.2</v>
      </c>
      <c r="M2238">
        <v>61.6</v>
      </c>
      <c r="N2238">
        <v>49.9</v>
      </c>
      <c r="O2238">
        <v>66</v>
      </c>
      <c r="S2238">
        <f t="shared" si="343"/>
        <v>1</v>
      </c>
      <c r="T2238">
        <f t="shared" si="344"/>
        <v>0</v>
      </c>
      <c r="U2238">
        <f t="shared" si="345"/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47.2</v>
      </c>
      <c r="AC2238">
        <v>35.799999999999997</v>
      </c>
      <c r="AG2238">
        <f t="shared" si="346"/>
        <v>1</v>
      </c>
      <c r="AH2238">
        <f t="shared" si="347"/>
        <v>1</v>
      </c>
      <c r="AI2238">
        <f t="shared" si="348"/>
        <v>0</v>
      </c>
      <c r="AJ2238">
        <v>172.4</v>
      </c>
      <c r="AK2238">
        <v>1013.4</v>
      </c>
      <c r="AL2238">
        <v>45.6</v>
      </c>
      <c r="AM2238">
        <v>6.2</v>
      </c>
      <c r="AN2238">
        <v>88</v>
      </c>
      <c r="AO2238">
        <v>7.5</v>
      </c>
      <c r="AP2238">
        <v>4</v>
      </c>
      <c r="AQ2238">
        <v>0</v>
      </c>
      <c r="AR2238" t="s">
        <v>7642</v>
      </c>
      <c r="AS2238" t="s">
        <v>7643</v>
      </c>
      <c r="AT2238">
        <v>0.86</v>
      </c>
      <c r="AU2238" t="s">
        <v>43</v>
      </c>
      <c r="AV2238" t="s">
        <v>44</v>
      </c>
      <c r="AW2238" t="s">
        <v>419</v>
      </c>
      <c r="AX2238" t="s">
        <v>4452</v>
      </c>
      <c r="AY2238" t="s">
        <v>7644</v>
      </c>
      <c r="AZ2238">
        <v>64.999999991850927</v>
      </c>
      <c r="BA2238">
        <v>0</v>
      </c>
      <c r="BB2238">
        <v>0</v>
      </c>
      <c r="BC2238">
        <v>1</v>
      </c>
      <c r="BD2238">
        <v>0</v>
      </c>
      <c r="BE2238">
        <f t="shared" si="349"/>
        <v>1</v>
      </c>
    </row>
    <row r="2239" spans="1:57" x14ac:dyDescent="0.25">
      <c r="A2239" t="s">
        <v>39</v>
      </c>
      <c r="B2239" t="s">
        <v>7645</v>
      </c>
      <c r="C2239">
        <v>82.4</v>
      </c>
      <c r="D2239">
        <v>71.599999999999994</v>
      </c>
      <c r="G2239">
        <f t="shared" si="340"/>
        <v>0</v>
      </c>
      <c r="H2239">
        <f t="shared" si="341"/>
        <v>0</v>
      </c>
      <c r="I2239">
        <f t="shared" si="342"/>
        <v>0</v>
      </c>
      <c r="J2239">
        <v>77.8</v>
      </c>
      <c r="K2239">
        <v>84.7</v>
      </c>
      <c r="L2239">
        <v>71.599999999999994</v>
      </c>
      <c r="M2239">
        <v>78.599999999999994</v>
      </c>
      <c r="N2239">
        <v>65.7</v>
      </c>
      <c r="O2239">
        <v>66.7</v>
      </c>
      <c r="S2239">
        <f t="shared" si="343"/>
        <v>1</v>
      </c>
      <c r="T2239">
        <f t="shared" si="344"/>
        <v>1</v>
      </c>
      <c r="U2239">
        <f t="shared" si="345"/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30.2</v>
      </c>
      <c r="AC2239">
        <v>19.7</v>
      </c>
      <c r="AG2239">
        <f t="shared" si="346"/>
        <v>1</v>
      </c>
      <c r="AH2239">
        <f t="shared" si="347"/>
        <v>1</v>
      </c>
      <c r="AI2239">
        <f t="shared" si="348"/>
        <v>0</v>
      </c>
      <c r="AJ2239">
        <v>301.3</v>
      </c>
      <c r="AK2239">
        <v>1013.2</v>
      </c>
      <c r="AL2239">
        <v>18.7</v>
      </c>
      <c r="AM2239">
        <v>6.2</v>
      </c>
      <c r="AN2239">
        <v>265.3</v>
      </c>
      <c r="AO2239">
        <v>22.8</v>
      </c>
      <c r="AP2239">
        <v>8</v>
      </c>
      <c r="AQ2239">
        <v>0</v>
      </c>
      <c r="AR2239" t="s">
        <v>7646</v>
      </c>
      <c r="AS2239" t="s">
        <v>7647</v>
      </c>
      <c r="AT2239">
        <v>0</v>
      </c>
      <c r="AU2239" t="s">
        <v>74</v>
      </c>
      <c r="AV2239" t="s">
        <v>2955</v>
      </c>
      <c r="AW2239" t="s">
        <v>75</v>
      </c>
      <c r="AX2239" t="s">
        <v>7648</v>
      </c>
      <c r="AY2239" t="s">
        <v>7649</v>
      </c>
      <c r="AZ2239">
        <v>3481.999999992549</v>
      </c>
      <c r="BA2239">
        <v>1</v>
      </c>
      <c r="BB2239">
        <v>0</v>
      </c>
      <c r="BC2239">
        <v>50</v>
      </c>
      <c r="BD2239">
        <v>0</v>
      </c>
      <c r="BE2239">
        <f t="shared" si="349"/>
        <v>1</v>
      </c>
    </row>
    <row r="2240" spans="1:57" x14ac:dyDescent="0.25">
      <c r="A2240" t="s">
        <v>39</v>
      </c>
      <c r="B2240" t="s">
        <v>7650</v>
      </c>
      <c r="C2240">
        <v>68</v>
      </c>
      <c r="D2240">
        <v>48.2</v>
      </c>
      <c r="G2240">
        <f t="shared" si="340"/>
        <v>1</v>
      </c>
      <c r="H2240">
        <f t="shared" si="341"/>
        <v>1</v>
      </c>
      <c r="I2240">
        <f t="shared" si="342"/>
        <v>0</v>
      </c>
      <c r="J2240">
        <v>59.2</v>
      </c>
      <c r="K2240">
        <v>68</v>
      </c>
      <c r="L2240">
        <v>42.6</v>
      </c>
      <c r="M2240">
        <v>58.8</v>
      </c>
      <c r="N2240">
        <v>43.1</v>
      </c>
      <c r="O2240">
        <v>56.9</v>
      </c>
      <c r="S2240">
        <f t="shared" si="343"/>
        <v>1</v>
      </c>
      <c r="T2240">
        <f t="shared" si="344"/>
        <v>0</v>
      </c>
      <c r="U2240">
        <f t="shared" si="345"/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17.2</v>
      </c>
      <c r="AC2240">
        <v>13.9</v>
      </c>
      <c r="AG2240">
        <f t="shared" si="346"/>
        <v>1</v>
      </c>
      <c r="AH2240">
        <f t="shared" si="347"/>
        <v>0</v>
      </c>
      <c r="AI2240">
        <f t="shared" si="348"/>
        <v>1</v>
      </c>
      <c r="AJ2240">
        <v>181.9</v>
      </c>
      <c r="AK2240">
        <v>1024.0999999999999</v>
      </c>
      <c r="AL2240">
        <v>17.2</v>
      </c>
      <c r="AM2240">
        <v>6.2</v>
      </c>
      <c r="AN2240">
        <v>236.5</v>
      </c>
      <c r="AO2240">
        <v>20.399999999999999</v>
      </c>
      <c r="AP2240">
        <v>8</v>
      </c>
      <c r="AQ2240">
        <v>0</v>
      </c>
      <c r="AR2240" t="s">
        <v>7651</v>
      </c>
      <c r="AS2240" t="s">
        <v>7652</v>
      </c>
      <c r="AT2240">
        <v>0.1</v>
      </c>
      <c r="AU2240" t="s">
        <v>74</v>
      </c>
      <c r="AV2240" t="s">
        <v>2955</v>
      </c>
      <c r="AW2240" t="s">
        <v>75</v>
      </c>
      <c r="AX2240" t="s">
        <v>7521</v>
      </c>
      <c r="AY2240" t="s">
        <v>7653</v>
      </c>
      <c r="AZ2240">
        <v>326.00000000442378</v>
      </c>
      <c r="BA2240">
        <v>0</v>
      </c>
      <c r="BB2240">
        <v>0</v>
      </c>
      <c r="BC2240">
        <v>4</v>
      </c>
      <c r="BD2240">
        <v>0</v>
      </c>
      <c r="BE2240">
        <f t="shared" si="349"/>
        <v>1</v>
      </c>
    </row>
    <row r="2241" spans="1:57" x14ac:dyDescent="0.25">
      <c r="A2241" t="s">
        <v>39</v>
      </c>
      <c r="B2241" t="s">
        <v>7654</v>
      </c>
      <c r="C2241">
        <v>71.599999999999994</v>
      </c>
      <c r="D2241">
        <v>51.8</v>
      </c>
      <c r="G2241">
        <f t="shared" si="340"/>
        <v>1</v>
      </c>
      <c r="H2241">
        <f t="shared" si="341"/>
        <v>1</v>
      </c>
      <c r="I2241">
        <f t="shared" si="342"/>
        <v>0</v>
      </c>
      <c r="J2241">
        <v>59.8</v>
      </c>
      <c r="K2241">
        <v>71.599999999999994</v>
      </c>
      <c r="L2241">
        <v>51.8</v>
      </c>
      <c r="M2241">
        <v>59.8</v>
      </c>
      <c r="N2241">
        <v>53.9</v>
      </c>
      <c r="O2241">
        <v>81.599999999999994</v>
      </c>
      <c r="S2241">
        <f t="shared" si="343"/>
        <v>1</v>
      </c>
      <c r="T2241">
        <f t="shared" si="344"/>
        <v>1</v>
      </c>
      <c r="U2241">
        <f t="shared" si="345"/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21.9</v>
      </c>
      <c r="AC2241">
        <v>11.4</v>
      </c>
      <c r="AG2241">
        <f t="shared" si="346"/>
        <v>1</v>
      </c>
      <c r="AH2241">
        <f t="shared" si="347"/>
        <v>0</v>
      </c>
      <c r="AI2241">
        <f t="shared" si="348"/>
        <v>1</v>
      </c>
      <c r="AJ2241">
        <v>169.2</v>
      </c>
      <c r="AK2241">
        <v>1027.4000000000001</v>
      </c>
      <c r="AL2241">
        <v>32</v>
      </c>
      <c r="AM2241">
        <v>6.2</v>
      </c>
      <c r="AN2241">
        <v>117.4</v>
      </c>
      <c r="AO2241">
        <v>10.1</v>
      </c>
      <c r="AP2241">
        <v>5</v>
      </c>
      <c r="AQ2241">
        <v>0</v>
      </c>
      <c r="AR2241" t="s">
        <v>7655</v>
      </c>
      <c r="AS2241" t="s">
        <v>7656</v>
      </c>
      <c r="AT2241">
        <v>0.75</v>
      </c>
      <c r="AU2241" t="s">
        <v>43</v>
      </c>
      <c r="AV2241" t="s">
        <v>44</v>
      </c>
      <c r="AW2241" t="s">
        <v>45</v>
      </c>
      <c r="AX2241" t="s">
        <v>7657</v>
      </c>
      <c r="AY2241" t="s">
        <v>7658</v>
      </c>
      <c r="AZ2241">
        <v>158.00000000162979</v>
      </c>
      <c r="BA2241">
        <v>0</v>
      </c>
      <c r="BB2241">
        <v>0</v>
      </c>
      <c r="BC2241">
        <v>2</v>
      </c>
      <c r="BD2241">
        <v>0</v>
      </c>
      <c r="BE2241">
        <f t="shared" si="349"/>
        <v>1</v>
      </c>
    </row>
    <row r="2242" spans="1:57" x14ac:dyDescent="0.25">
      <c r="A2242" t="s">
        <v>39</v>
      </c>
      <c r="B2242" t="s">
        <v>7659</v>
      </c>
      <c r="C2242">
        <v>55.4</v>
      </c>
      <c r="D2242">
        <v>50</v>
      </c>
      <c r="G2242">
        <f t="shared" si="340"/>
        <v>1</v>
      </c>
      <c r="H2242">
        <f t="shared" si="341"/>
        <v>0</v>
      </c>
      <c r="I2242">
        <f t="shared" si="342"/>
        <v>1</v>
      </c>
      <c r="J2242">
        <v>52.8</v>
      </c>
      <c r="K2242">
        <v>55.4</v>
      </c>
      <c r="L2242">
        <v>43.5</v>
      </c>
      <c r="M2242">
        <v>52.6</v>
      </c>
      <c r="N2242">
        <v>41.5</v>
      </c>
      <c r="O2242">
        <v>65.8</v>
      </c>
      <c r="S2242">
        <f t="shared" si="343"/>
        <v>1</v>
      </c>
      <c r="T2242">
        <f t="shared" si="344"/>
        <v>0</v>
      </c>
      <c r="U2242">
        <f t="shared" si="345"/>
        <v>1</v>
      </c>
      <c r="V2242">
        <v>0.22500000000000001</v>
      </c>
      <c r="W2242">
        <v>100</v>
      </c>
      <c r="X2242">
        <v>16.670000000000002</v>
      </c>
      <c r="Y2242" t="s">
        <v>103</v>
      </c>
      <c r="Z2242">
        <v>0</v>
      </c>
      <c r="AA2242">
        <v>0</v>
      </c>
      <c r="AB2242">
        <v>43.6</v>
      </c>
      <c r="AC2242">
        <v>33.299999999999997</v>
      </c>
      <c r="AG2242">
        <f t="shared" si="346"/>
        <v>1</v>
      </c>
      <c r="AH2242">
        <f t="shared" si="347"/>
        <v>1</v>
      </c>
      <c r="AI2242">
        <f t="shared" si="348"/>
        <v>0</v>
      </c>
      <c r="AJ2242">
        <v>337.4</v>
      </c>
      <c r="AK2242">
        <v>1017.5</v>
      </c>
      <c r="AL2242">
        <v>62.6</v>
      </c>
      <c r="AM2242">
        <v>6.1</v>
      </c>
      <c r="AN2242">
        <v>88.4</v>
      </c>
      <c r="AO2242">
        <v>7.6</v>
      </c>
      <c r="AP2242">
        <v>4</v>
      </c>
      <c r="AQ2242">
        <v>0</v>
      </c>
      <c r="AR2242" t="s">
        <v>7660</v>
      </c>
      <c r="AS2242" t="s">
        <v>7661</v>
      </c>
      <c r="AT2242">
        <v>0.25</v>
      </c>
      <c r="AU2242" t="s">
        <v>106</v>
      </c>
      <c r="AV2242" t="s">
        <v>1783</v>
      </c>
      <c r="AW2242" t="s">
        <v>103</v>
      </c>
      <c r="AX2242" t="s">
        <v>2665</v>
      </c>
      <c r="AY2242" t="s">
        <v>7662</v>
      </c>
      <c r="AZ2242">
        <v>120.0000000034925</v>
      </c>
      <c r="BA2242">
        <v>0</v>
      </c>
      <c r="BB2242">
        <v>0</v>
      </c>
      <c r="BC2242">
        <v>1.5</v>
      </c>
      <c r="BD2242">
        <v>0</v>
      </c>
      <c r="BE2242">
        <f t="shared" si="349"/>
        <v>1</v>
      </c>
    </row>
    <row r="2243" spans="1:57" x14ac:dyDescent="0.25">
      <c r="A2243" t="s">
        <v>39</v>
      </c>
      <c r="B2243" t="s">
        <v>7663</v>
      </c>
      <c r="C2243">
        <v>66.2</v>
      </c>
      <c r="D2243">
        <v>44.6</v>
      </c>
      <c r="G2243">
        <f t="shared" ref="G2243:G2306" si="350">IF(ABS(C2243-INDEX($F$2:$F$13,MONTH(B2243)))&gt;1.8,1,0)</f>
        <v>1</v>
      </c>
      <c r="H2243">
        <f t="shared" ref="H2243:H2306" si="351">IF(C2243&gt;=INDEX($F$2:$F$13,MONTH(B2243))+1.8,1,0)</f>
        <v>1</v>
      </c>
      <c r="I2243">
        <f t="shared" ref="I2243:I2306" si="352">IF(C2243&lt;=INDEX($F$2:$F$13,MONTH(B2243))-1.8,1,0)</f>
        <v>0</v>
      </c>
      <c r="J2243">
        <v>55.6</v>
      </c>
      <c r="K2243">
        <v>66.2</v>
      </c>
      <c r="L2243">
        <v>44.1</v>
      </c>
      <c r="M2243">
        <v>55.3</v>
      </c>
      <c r="N2243">
        <v>46.4</v>
      </c>
      <c r="O2243">
        <v>72.7</v>
      </c>
      <c r="S2243">
        <f t="shared" ref="S2243:S2306" si="353">IF(OR(O2243&lt;INDEX($Q$2:$Q$13,MONTH(B2243)),O2243&gt;INDEX($R$2:$R$13,MONTH(B2243))),1,0)</f>
        <v>1</v>
      </c>
      <c r="T2243">
        <f t="shared" ref="T2243:T2306" si="354">IF(O2243&gt;INDEX($R$2:$R$13,MONTH(B2243)),1,0)</f>
        <v>1</v>
      </c>
      <c r="U2243">
        <f t="shared" ref="U2243:U2306" si="355">IF(O2243&lt;INDEX($Q$2:$Q$13,MONTH(B2243)),1,0)</f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23</v>
      </c>
      <c r="AC2243">
        <v>11.4</v>
      </c>
      <c r="AG2243">
        <f t="shared" ref="AG2243:AG2306" si="356">IF(OR(AC2243&lt;INDEX($AE$2:$AE$13,MONTH(B2243)),AC2243&gt;INDEX($AF$2:$AF$13,MONTH(B2243))),1,0)</f>
        <v>1</v>
      </c>
      <c r="AH2243">
        <f t="shared" ref="AH2243:AH2306" si="357">IF(AC2243&gt;INDEX($AF$2:$AF$13,MONTH(B2243)),1,0)</f>
        <v>0</v>
      </c>
      <c r="AI2243">
        <f t="shared" ref="AI2243:AI2306" si="358">IF(AC2243&lt;INDEX($AE$2:$AE$13,MONTH(B2243)),1,0)</f>
        <v>1</v>
      </c>
      <c r="AJ2243">
        <v>173.7</v>
      </c>
      <c r="AK2243">
        <v>1026.2</v>
      </c>
      <c r="AL2243">
        <v>61.6</v>
      </c>
      <c r="AM2243">
        <v>6.2</v>
      </c>
      <c r="AN2243">
        <v>140.69999999999999</v>
      </c>
      <c r="AO2243">
        <v>12.2</v>
      </c>
      <c r="AP2243">
        <v>6</v>
      </c>
      <c r="AQ2243">
        <v>0</v>
      </c>
      <c r="AR2243" t="s">
        <v>7664</v>
      </c>
      <c r="AS2243" t="s">
        <v>7665</v>
      </c>
      <c r="AT2243">
        <v>0.05</v>
      </c>
      <c r="AU2243" t="s">
        <v>43</v>
      </c>
      <c r="AV2243" t="s">
        <v>44</v>
      </c>
      <c r="AW2243" t="s">
        <v>45</v>
      </c>
      <c r="AX2243" t="s">
        <v>7666</v>
      </c>
      <c r="AY2243" t="s">
        <v>7667</v>
      </c>
      <c r="AZ2243">
        <v>174.00000000139701</v>
      </c>
      <c r="BA2243">
        <v>0</v>
      </c>
      <c r="BB2243">
        <v>0</v>
      </c>
      <c r="BC2243">
        <v>0.5</v>
      </c>
      <c r="BD2243">
        <v>0</v>
      </c>
      <c r="BE2243">
        <f t="shared" ref="BE2243:BE2306" si="359">IF((3*AH2243+3*H2243+2*U2243+2*BA2243-(2*(1-T2243)+2*(1-I2243)+2*(1-AI2243)))&gt;=1,1,0)</f>
        <v>1</v>
      </c>
    </row>
    <row r="2244" spans="1:57" x14ac:dyDescent="0.25">
      <c r="A2244" t="s">
        <v>39</v>
      </c>
      <c r="B2244" t="s">
        <v>7668</v>
      </c>
      <c r="C2244">
        <v>64.400000000000006</v>
      </c>
      <c r="D2244">
        <v>47.2</v>
      </c>
      <c r="G2244">
        <f t="shared" si="350"/>
        <v>1</v>
      </c>
      <c r="H2244">
        <f t="shared" si="351"/>
        <v>1</v>
      </c>
      <c r="I2244">
        <f t="shared" si="352"/>
        <v>0</v>
      </c>
      <c r="J2244">
        <v>57.8</v>
      </c>
      <c r="K2244">
        <v>64.400000000000006</v>
      </c>
      <c r="L2244">
        <v>44.8</v>
      </c>
      <c r="M2244">
        <v>57.7</v>
      </c>
      <c r="N2244">
        <v>47.6</v>
      </c>
      <c r="O2244">
        <v>69.3</v>
      </c>
      <c r="S2244">
        <f t="shared" si="353"/>
        <v>0</v>
      </c>
      <c r="T2244">
        <f t="shared" si="354"/>
        <v>0</v>
      </c>
      <c r="U2244">
        <f t="shared" si="355"/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23.7</v>
      </c>
      <c r="AC2244">
        <v>13.9</v>
      </c>
      <c r="AG2244">
        <f t="shared" si="356"/>
        <v>1</v>
      </c>
      <c r="AH2244">
        <f t="shared" si="357"/>
        <v>0</v>
      </c>
      <c r="AI2244">
        <f t="shared" si="358"/>
        <v>1</v>
      </c>
      <c r="AJ2244">
        <v>222</v>
      </c>
      <c r="AK2244">
        <v>1017.7</v>
      </c>
      <c r="AL2244">
        <v>36.5</v>
      </c>
      <c r="AM2244">
        <v>6.2</v>
      </c>
      <c r="AN2244">
        <v>128</v>
      </c>
      <c r="AO2244">
        <v>11.3</v>
      </c>
      <c r="AP2244">
        <v>5</v>
      </c>
      <c r="AQ2244">
        <v>0</v>
      </c>
      <c r="AR2244" t="s">
        <v>7669</v>
      </c>
      <c r="AS2244" t="s">
        <v>7670</v>
      </c>
      <c r="AT2244">
        <v>0.15</v>
      </c>
      <c r="AU2244" t="s">
        <v>43</v>
      </c>
      <c r="AV2244" t="s">
        <v>44</v>
      </c>
      <c r="AW2244" t="s">
        <v>45</v>
      </c>
      <c r="AX2244" t="s">
        <v>7671</v>
      </c>
      <c r="AY2244" t="s">
        <v>7672</v>
      </c>
      <c r="AZ2244">
        <v>940.99999999743886</v>
      </c>
      <c r="BA2244">
        <v>1</v>
      </c>
      <c r="BB2244">
        <v>0</v>
      </c>
      <c r="BC2244">
        <v>20</v>
      </c>
      <c r="BD2244">
        <v>0</v>
      </c>
      <c r="BE2244">
        <f t="shared" si="359"/>
        <v>1</v>
      </c>
    </row>
    <row r="2245" spans="1:57" x14ac:dyDescent="0.25">
      <c r="A2245" t="s">
        <v>39</v>
      </c>
      <c r="B2245" t="s">
        <v>7673</v>
      </c>
      <c r="C2245">
        <v>64.400000000000006</v>
      </c>
      <c r="D2245">
        <v>51.8</v>
      </c>
      <c r="G2245">
        <f t="shared" si="350"/>
        <v>1</v>
      </c>
      <c r="H2245">
        <f t="shared" si="351"/>
        <v>1</v>
      </c>
      <c r="I2245">
        <f t="shared" si="352"/>
        <v>0</v>
      </c>
      <c r="J2245">
        <v>58.2</v>
      </c>
      <c r="K2245">
        <v>64.400000000000006</v>
      </c>
      <c r="L2245">
        <v>51.8</v>
      </c>
      <c r="M2245">
        <v>58.2</v>
      </c>
      <c r="N2245">
        <v>51.3</v>
      </c>
      <c r="O2245">
        <v>78</v>
      </c>
      <c r="S2245">
        <f t="shared" si="353"/>
        <v>1</v>
      </c>
      <c r="T2245">
        <f t="shared" si="354"/>
        <v>1</v>
      </c>
      <c r="U2245">
        <f t="shared" si="355"/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34.4</v>
      </c>
      <c r="AC2245">
        <v>13.9</v>
      </c>
      <c r="AG2245">
        <f t="shared" si="356"/>
        <v>1</v>
      </c>
      <c r="AH2245">
        <f t="shared" si="357"/>
        <v>0</v>
      </c>
      <c r="AI2245">
        <f t="shared" si="358"/>
        <v>1</v>
      </c>
      <c r="AJ2245">
        <v>153.1</v>
      </c>
      <c r="AK2245">
        <v>1013.3</v>
      </c>
      <c r="AL2245">
        <v>32.4</v>
      </c>
      <c r="AM2245">
        <v>6.2</v>
      </c>
      <c r="AN2245">
        <v>121.3</v>
      </c>
      <c r="AO2245">
        <v>10.5</v>
      </c>
      <c r="AP2245">
        <v>5</v>
      </c>
      <c r="AQ2245">
        <v>0</v>
      </c>
      <c r="AR2245" t="s">
        <v>7674</v>
      </c>
      <c r="AS2245" t="s">
        <v>7675</v>
      </c>
      <c r="AT2245">
        <v>0.34</v>
      </c>
      <c r="AU2245" t="s">
        <v>43</v>
      </c>
      <c r="AV2245" t="s">
        <v>44</v>
      </c>
      <c r="AW2245" t="s">
        <v>45</v>
      </c>
      <c r="AX2245" t="s">
        <v>4431</v>
      </c>
      <c r="AY2245" t="s">
        <v>7676</v>
      </c>
      <c r="AZ2245">
        <v>598.99999999324791</v>
      </c>
      <c r="BA2245">
        <v>1</v>
      </c>
      <c r="BB2245">
        <v>0</v>
      </c>
      <c r="BC2245">
        <v>3</v>
      </c>
      <c r="BD2245">
        <v>0</v>
      </c>
      <c r="BE2245">
        <f t="shared" si="359"/>
        <v>1</v>
      </c>
    </row>
    <row r="2246" spans="1:57" x14ac:dyDescent="0.25">
      <c r="A2246" t="s">
        <v>39</v>
      </c>
      <c r="B2246" t="s">
        <v>7677</v>
      </c>
      <c r="C2246">
        <v>60.8</v>
      </c>
      <c r="D2246">
        <v>46.4</v>
      </c>
      <c r="G2246">
        <f t="shared" si="350"/>
        <v>0</v>
      </c>
      <c r="H2246">
        <f t="shared" si="351"/>
        <v>0</v>
      </c>
      <c r="I2246">
        <f t="shared" si="352"/>
        <v>0</v>
      </c>
      <c r="J2246">
        <v>53.4</v>
      </c>
      <c r="K2246">
        <v>60.8</v>
      </c>
      <c r="L2246">
        <v>42.9</v>
      </c>
      <c r="M2246">
        <v>52.6</v>
      </c>
      <c r="N2246">
        <v>42.4</v>
      </c>
      <c r="O2246">
        <v>67</v>
      </c>
      <c r="S2246">
        <f t="shared" si="353"/>
        <v>1</v>
      </c>
      <c r="T2246">
        <f t="shared" si="354"/>
        <v>1</v>
      </c>
      <c r="U2246">
        <f t="shared" si="355"/>
        <v>0</v>
      </c>
      <c r="V2246">
        <v>1.6E-2</v>
      </c>
      <c r="W2246">
        <v>100</v>
      </c>
      <c r="X2246">
        <v>4.17</v>
      </c>
      <c r="Y2246" t="s">
        <v>103</v>
      </c>
      <c r="Z2246">
        <v>0</v>
      </c>
      <c r="AA2246">
        <v>0</v>
      </c>
      <c r="AB2246">
        <v>17.399999999999999</v>
      </c>
      <c r="AC2246">
        <v>11.4</v>
      </c>
      <c r="AG2246">
        <f t="shared" si="356"/>
        <v>1</v>
      </c>
      <c r="AH2246">
        <f t="shared" si="357"/>
        <v>0</v>
      </c>
      <c r="AI2246">
        <f t="shared" si="358"/>
        <v>1</v>
      </c>
      <c r="AJ2246">
        <v>295.10000000000002</v>
      </c>
      <c r="AK2246">
        <v>1019.8</v>
      </c>
      <c r="AL2246">
        <v>34.1</v>
      </c>
      <c r="AM2246">
        <v>6.2</v>
      </c>
      <c r="AN2246">
        <v>218.6</v>
      </c>
      <c r="AO2246">
        <v>19</v>
      </c>
      <c r="AP2246">
        <v>8</v>
      </c>
      <c r="AQ2246">
        <v>0</v>
      </c>
      <c r="AR2246" t="s">
        <v>7678</v>
      </c>
      <c r="AS2246" t="s">
        <v>7679</v>
      </c>
      <c r="AT2246">
        <v>0.22</v>
      </c>
      <c r="AU2246" t="s">
        <v>106</v>
      </c>
      <c r="AV2246" t="s">
        <v>296</v>
      </c>
      <c r="AW2246" t="s">
        <v>103</v>
      </c>
      <c r="AX2246" t="s">
        <v>2486</v>
      </c>
      <c r="AY2246" t="s">
        <v>7680</v>
      </c>
      <c r="AZ2246">
        <v>1383.000000002794</v>
      </c>
      <c r="BA2246">
        <v>1</v>
      </c>
      <c r="BB2246">
        <v>0</v>
      </c>
      <c r="BC2246">
        <v>14</v>
      </c>
      <c r="BD2246">
        <v>0</v>
      </c>
      <c r="BE2246">
        <f t="shared" si="359"/>
        <v>0</v>
      </c>
    </row>
    <row r="2247" spans="1:57" x14ac:dyDescent="0.25">
      <c r="A2247" t="s">
        <v>39</v>
      </c>
      <c r="B2247" t="s">
        <v>7677</v>
      </c>
      <c r="C2247">
        <v>60.8</v>
      </c>
      <c r="D2247">
        <v>46.4</v>
      </c>
      <c r="G2247">
        <f t="shared" si="350"/>
        <v>0</v>
      </c>
      <c r="H2247">
        <f t="shared" si="351"/>
        <v>0</v>
      </c>
      <c r="I2247">
        <f t="shared" si="352"/>
        <v>0</v>
      </c>
      <c r="J2247">
        <v>53.4</v>
      </c>
      <c r="K2247">
        <v>60.8</v>
      </c>
      <c r="L2247">
        <v>42.9</v>
      </c>
      <c r="M2247">
        <v>52.6</v>
      </c>
      <c r="N2247">
        <v>42.4</v>
      </c>
      <c r="O2247">
        <v>67</v>
      </c>
      <c r="S2247">
        <f t="shared" si="353"/>
        <v>1</v>
      </c>
      <c r="T2247">
        <f t="shared" si="354"/>
        <v>1</v>
      </c>
      <c r="U2247">
        <f t="shared" si="355"/>
        <v>0</v>
      </c>
      <c r="V2247">
        <v>1.6E-2</v>
      </c>
      <c r="W2247">
        <v>100</v>
      </c>
      <c r="X2247">
        <v>4.17</v>
      </c>
      <c r="Y2247" t="s">
        <v>103</v>
      </c>
      <c r="Z2247">
        <v>0</v>
      </c>
      <c r="AA2247">
        <v>0</v>
      </c>
      <c r="AB2247">
        <v>17.399999999999999</v>
      </c>
      <c r="AC2247">
        <v>11.4</v>
      </c>
      <c r="AG2247">
        <f t="shared" si="356"/>
        <v>1</v>
      </c>
      <c r="AH2247">
        <f t="shared" si="357"/>
        <v>0</v>
      </c>
      <c r="AI2247">
        <f t="shared" si="358"/>
        <v>1</v>
      </c>
      <c r="AJ2247">
        <v>295.10000000000002</v>
      </c>
      <c r="AK2247">
        <v>1019.8</v>
      </c>
      <c r="AL2247">
        <v>34.1</v>
      </c>
      <c r="AM2247">
        <v>6.2</v>
      </c>
      <c r="AN2247">
        <v>218.6</v>
      </c>
      <c r="AO2247">
        <v>19</v>
      </c>
      <c r="AP2247">
        <v>8</v>
      </c>
      <c r="AQ2247">
        <v>0</v>
      </c>
      <c r="AR2247" t="s">
        <v>7678</v>
      </c>
      <c r="AS2247" t="s">
        <v>7679</v>
      </c>
      <c r="AT2247">
        <v>0.22</v>
      </c>
      <c r="AU2247" t="s">
        <v>106</v>
      </c>
      <c r="AV2247" t="s">
        <v>296</v>
      </c>
      <c r="AW2247" t="s">
        <v>103</v>
      </c>
      <c r="AX2247" t="s">
        <v>4992</v>
      </c>
      <c r="AY2247" t="s">
        <v>7681</v>
      </c>
      <c r="AZ2247">
        <v>206.00000000093129</v>
      </c>
      <c r="BA2247">
        <v>0</v>
      </c>
      <c r="BB2247">
        <v>0</v>
      </c>
      <c r="BC2247">
        <v>0.5</v>
      </c>
      <c r="BD2247">
        <v>0</v>
      </c>
      <c r="BE2247">
        <f t="shared" si="359"/>
        <v>0</v>
      </c>
    </row>
    <row r="2248" spans="1:57" x14ac:dyDescent="0.25">
      <c r="A2248" t="s">
        <v>39</v>
      </c>
      <c r="B2248" t="s">
        <v>7677</v>
      </c>
      <c r="C2248">
        <v>60.8</v>
      </c>
      <c r="D2248">
        <v>46.4</v>
      </c>
      <c r="G2248">
        <f t="shared" si="350"/>
        <v>0</v>
      </c>
      <c r="H2248">
        <f t="shared" si="351"/>
        <v>0</v>
      </c>
      <c r="I2248">
        <f t="shared" si="352"/>
        <v>0</v>
      </c>
      <c r="J2248">
        <v>53.4</v>
      </c>
      <c r="K2248">
        <v>60.8</v>
      </c>
      <c r="L2248">
        <v>42.9</v>
      </c>
      <c r="M2248">
        <v>52.6</v>
      </c>
      <c r="N2248">
        <v>42.4</v>
      </c>
      <c r="O2248">
        <v>67</v>
      </c>
      <c r="S2248">
        <f t="shared" si="353"/>
        <v>1</v>
      </c>
      <c r="T2248">
        <f t="shared" si="354"/>
        <v>1</v>
      </c>
      <c r="U2248">
        <f t="shared" si="355"/>
        <v>0</v>
      </c>
      <c r="V2248">
        <v>1.6E-2</v>
      </c>
      <c r="W2248">
        <v>100</v>
      </c>
      <c r="X2248">
        <v>4.17</v>
      </c>
      <c r="Y2248" t="s">
        <v>103</v>
      </c>
      <c r="Z2248">
        <v>0</v>
      </c>
      <c r="AA2248">
        <v>0</v>
      </c>
      <c r="AB2248">
        <v>17.399999999999999</v>
      </c>
      <c r="AC2248">
        <v>11.4</v>
      </c>
      <c r="AG2248">
        <f t="shared" si="356"/>
        <v>1</v>
      </c>
      <c r="AH2248">
        <f t="shared" si="357"/>
        <v>0</v>
      </c>
      <c r="AI2248">
        <f t="shared" si="358"/>
        <v>1</v>
      </c>
      <c r="AJ2248">
        <v>295.10000000000002</v>
      </c>
      <c r="AK2248">
        <v>1019.8</v>
      </c>
      <c r="AL2248">
        <v>34.1</v>
      </c>
      <c r="AM2248">
        <v>6.2</v>
      </c>
      <c r="AN2248">
        <v>218.6</v>
      </c>
      <c r="AO2248">
        <v>19</v>
      </c>
      <c r="AP2248">
        <v>8</v>
      </c>
      <c r="AQ2248">
        <v>0</v>
      </c>
      <c r="AR2248" t="s">
        <v>7678</v>
      </c>
      <c r="AS2248" t="s">
        <v>7679</v>
      </c>
      <c r="AT2248">
        <v>0.22</v>
      </c>
      <c r="AU2248" t="s">
        <v>106</v>
      </c>
      <c r="AV2248" t="s">
        <v>296</v>
      </c>
      <c r="AW2248" t="s">
        <v>103</v>
      </c>
      <c r="AX2248" t="s">
        <v>5656</v>
      </c>
      <c r="AY2248" t="s">
        <v>7682</v>
      </c>
      <c r="AZ2248">
        <v>255.99999999627471</v>
      </c>
      <c r="BA2248">
        <v>0</v>
      </c>
      <c r="BB2248">
        <v>0</v>
      </c>
      <c r="BC2248">
        <v>5</v>
      </c>
      <c r="BD2248">
        <v>0</v>
      </c>
      <c r="BE2248">
        <f t="shared" si="359"/>
        <v>0</v>
      </c>
    </row>
    <row r="2249" spans="1:57" x14ac:dyDescent="0.25">
      <c r="A2249" t="s">
        <v>39</v>
      </c>
      <c r="B2249" t="s">
        <v>7683</v>
      </c>
      <c r="C2249">
        <v>68</v>
      </c>
      <c r="D2249">
        <v>57.2</v>
      </c>
      <c r="G2249">
        <f t="shared" si="350"/>
        <v>1</v>
      </c>
      <c r="H2249">
        <f t="shared" si="351"/>
        <v>1</v>
      </c>
      <c r="I2249">
        <f t="shared" si="352"/>
        <v>0</v>
      </c>
      <c r="J2249">
        <v>61.5</v>
      </c>
      <c r="K2249">
        <v>68</v>
      </c>
      <c r="L2249">
        <v>57.2</v>
      </c>
      <c r="M2249">
        <v>61.5</v>
      </c>
      <c r="N2249">
        <v>45.7</v>
      </c>
      <c r="O2249">
        <v>57.1</v>
      </c>
      <c r="S2249">
        <f t="shared" si="353"/>
        <v>1</v>
      </c>
      <c r="T2249">
        <f t="shared" si="354"/>
        <v>0</v>
      </c>
      <c r="U2249">
        <f t="shared" si="355"/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34.4</v>
      </c>
      <c r="AC2249">
        <v>24.2</v>
      </c>
      <c r="AG2249">
        <f t="shared" si="356"/>
        <v>1</v>
      </c>
      <c r="AH2249">
        <f t="shared" si="357"/>
        <v>1</v>
      </c>
      <c r="AI2249">
        <f t="shared" si="358"/>
        <v>0</v>
      </c>
      <c r="AJ2249">
        <v>164.5</v>
      </c>
      <c r="AK2249">
        <v>1015.8</v>
      </c>
      <c r="AL2249">
        <v>26.5</v>
      </c>
      <c r="AM2249">
        <v>6.2</v>
      </c>
      <c r="AN2249">
        <v>221.4</v>
      </c>
      <c r="AO2249">
        <v>19.3</v>
      </c>
      <c r="AP2249">
        <v>8</v>
      </c>
      <c r="AQ2249">
        <v>0</v>
      </c>
      <c r="AR2249" t="s">
        <v>7684</v>
      </c>
      <c r="AS2249" t="s">
        <v>7685</v>
      </c>
      <c r="AT2249">
        <v>0.28999999999999998</v>
      </c>
      <c r="AU2249" t="s">
        <v>43</v>
      </c>
      <c r="AV2249" t="s">
        <v>44</v>
      </c>
      <c r="AW2249" t="s">
        <v>45</v>
      </c>
      <c r="AX2249" t="s">
        <v>2572</v>
      </c>
      <c r="AY2249" t="s">
        <v>7686</v>
      </c>
      <c r="AZ2249">
        <v>779.99999999650754</v>
      </c>
      <c r="BA2249">
        <v>1</v>
      </c>
      <c r="BB2249">
        <v>0</v>
      </c>
      <c r="BC2249">
        <v>86.3</v>
      </c>
      <c r="BD2249">
        <v>0</v>
      </c>
      <c r="BE2249">
        <f t="shared" si="359"/>
        <v>1</v>
      </c>
    </row>
    <row r="2250" spans="1:57" x14ac:dyDescent="0.25">
      <c r="A2250" t="s">
        <v>39</v>
      </c>
      <c r="B2250" t="s">
        <v>7683</v>
      </c>
      <c r="C2250">
        <v>68</v>
      </c>
      <c r="D2250">
        <v>57.2</v>
      </c>
      <c r="G2250">
        <f t="shared" si="350"/>
        <v>1</v>
      </c>
      <c r="H2250">
        <f t="shared" si="351"/>
        <v>1</v>
      </c>
      <c r="I2250">
        <f t="shared" si="352"/>
        <v>0</v>
      </c>
      <c r="J2250">
        <v>61.5</v>
      </c>
      <c r="K2250">
        <v>68</v>
      </c>
      <c r="L2250">
        <v>57.2</v>
      </c>
      <c r="M2250">
        <v>61.5</v>
      </c>
      <c r="N2250">
        <v>45.7</v>
      </c>
      <c r="O2250">
        <v>57.1</v>
      </c>
      <c r="S2250">
        <f t="shared" si="353"/>
        <v>1</v>
      </c>
      <c r="T2250">
        <f t="shared" si="354"/>
        <v>0</v>
      </c>
      <c r="U2250">
        <f t="shared" si="355"/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34.4</v>
      </c>
      <c r="AC2250">
        <v>24.2</v>
      </c>
      <c r="AG2250">
        <f t="shared" si="356"/>
        <v>1</v>
      </c>
      <c r="AH2250">
        <f t="shared" si="357"/>
        <v>1</v>
      </c>
      <c r="AI2250">
        <f t="shared" si="358"/>
        <v>0</v>
      </c>
      <c r="AJ2250">
        <v>164.5</v>
      </c>
      <c r="AK2250">
        <v>1015.8</v>
      </c>
      <c r="AL2250">
        <v>26.5</v>
      </c>
      <c r="AM2250">
        <v>6.2</v>
      </c>
      <c r="AN2250">
        <v>221.4</v>
      </c>
      <c r="AO2250">
        <v>19.3</v>
      </c>
      <c r="AP2250">
        <v>8</v>
      </c>
      <c r="AQ2250">
        <v>0</v>
      </c>
      <c r="AR2250" t="s">
        <v>7684</v>
      </c>
      <c r="AS2250" t="s">
        <v>7685</v>
      </c>
      <c r="AT2250">
        <v>0.28999999999999998</v>
      </c>
      <c r="AU2250" t="s">
        <v>43</v>
      </c>
      <c r="AV2250" t="s">
        <v>44</v>
      </c>
      <c r="AW2250" t="s">
        <v>45</v>
      </c>
      <c r="AX2250" t="s">
        <v>6553</v>
      </c>
      <c r="AY2250" t="s">
        <v>7687</v>
      </c>
      <c r="AZ2250">
        <v>1496.999999997206</v>
      </c>
      <c r="BA2250">
        <v>1</v>
      </c>
      <c r="BB2250">
        <v>0</v>
      </c>
      <c r="BC2250">
        <v>15</v>
      </c>
      <c r="BD2250">
        <v>0</v>
      </c>
      <c r="BE2250">
        <f t="shared" si="359"/>
        <v>1</v>
      </c>
    </row>
    <row r="2251" spans="1:57" x14ac:dyDescent="0.25">
      <c r="A2251" t="s">
        <v>39</v>
      </c>
      <c r="B2251" t="s">
        <v>7688</v>
      </c>
      <c r="C2251">
        <v>62.6</v>
      </c>
      <c r="D2251">
        <v>44.5</v>
      </c>
      <c r="G2251">
        <f t="shared" si="350"/>
        <v>0</v>
      </c>
      <c r="H2251">
        <f t="shared" si="351"/>
        <v>0</v>
      </c>
      <c r="I2251">
        <f t="shared" si="352"/>
        <v>0</v>
      </c>
      <c r="J2251">
        <v>55</v>
      </c>
      <c r="K2251">
        <v>62.6</v>
      </c>
      <c r="L2251">
        <v>42.2</v>
      </c>
      <c r="M2251">
        <v>54.3</v>
      </c>
      <c r="N2251">
        <v>46.7</v>
      </c>
      <c r="O2251">
        <v>74.900000000000006</v>
      </c>
      <c r="S2251">
        <f t="shared" si="353"/>
        <v>1</v>
      </c>
      <c r="T2251">
        <f t="shared" si="354"/>
        <v>1</v>
      </c>
      <c r="U2251">
        <f t="shared" si="355"/>
        <v>0</v>
      </c>
      <c r="V2251">
        <v>3.0000000000000001E-3</v>
      </c>
      <c r="W2251">
        <v>100</v>
      </c>
      <c r="X2251">
        <v>4.17</v>
      </c>
      <c r="Y2251" t="s">
        <v>103</v>
      </c>
      <c r="Z2251">
        <v>0</v>
      </c>
      <c r="AA2251">
        <v>0</v>
      </c>
      <c r="AB2251">
        <v>15.7</v>
      </c>
      <c r="AC2251">
        <v>15</v>
      </c>
      <c r="AG2251">
        <f t="shared" si="356"/>
        <v>1</v>
      </c>
      <c r="AH2251">
        <f t="shared" si="357"/>
        <v>0</v>
      </c>
      <c r="AI2251">
        <f t="shared" si="358"/>
        <v>1</v>
      </c>
      <c r="AJ2251">
        <v>255.8</v>
      </c>
      <c r="AK2251">
        <v>1012.3</v>
      </c>
      <c r="AL2251">
        <v>29.5</v>
      </c>
      <c r="AM2251">
        <v>6.2</v>
      </c>
      <c r="AN2251">
        <v>216.3</v>
      </c>
      <c r="AO2251">
        <v>18.7</v>
      </c>
      <c r="AP2251">
        <v>8</v>
      </c>
      <c r="AQ2251">
        <v>0</v>
      </c>
      <c r="AR2251" t="s">
        <v>7689</v>
      </c>
      <c r="AS2251" t="s">
        <v>7690</v>
      </c>
      <c r="AT2251">
        <v>0.39</v>
      </c>
      <c r="AU2251" t="s">
        <v>106</v>
      </c>
      <c r="AV2251" t="s">
        <v>296</v>
      </c>
      <c r="AW2251" t="s">
        <v>103</v>
      </c>
      <c r="AX2251" t="s">
        <v>6027</v>
      </c>
      <c r="AY2251" t="s">
        <v>7691</v>
      </c>
      <c r="AZ2251">
        <v>36.000000002095483</v>
      </c>
      <c r="BA2251">
        <v>0</v>
      </c>
      <c r="BB2251">
        <v>0</v>
      </c>
      <c r="BC2251">
        <v>0.2</v>
      </c>
      <c r="BD2251">
        <v>0</v>
      </c>
      <c r="BE2251">
        <f t="shared" si="359"/>
        <v>0</v>
      </c>
    </row>
    <row r="2252" spans="1:57" x14ac:dyDescent="0.25">
      <c r="A2252" t="s">
        <v>39</v>
      </c>
      <c r="B2252" t="s">
        <v>7692</v>
      </c>
      <c r="C2252">
        <v>71.599999999999994</v>
      </c>
      <c r="D2252">
        <v>50</v>
      </c>
      <c r="G2252">
        <f t="shared" si="350"/>
        <v>1</v>
      </c>
      <c r="H2252">
        <f t="shared" si="351"/>
        <v>1</v>
      </c>
      <c r="I2252">
        <f t="shared" si="352"/>
        <v>0</v>
      </c>
      <c r="J2252">
        <v>60.7</v>
      </c>
      <c r="K2252">
        <v>71.599999999999994</v>
      </c>
      <c r="L2252">
        <v>50</v>
      </c>
      <c r="M2252">
        <v>60.7</v>
      </c>
      <c r="N2252">
        <v>46.5</v>
      </c>
      <c r="O2252">
        <v>62.7</v>
      </c>
      <c r="S2252">
        <f t="shared" si="353"/>
        <v>1</v>
      </c>
      <c r="T2252">
        <f t="shared" si="354"/>
        <v>0</v>
      </c>
      <c r="U2252">
        <f t="shared" si="355"/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48.3</v>
      </c>
      <c r="AC2252">
        <v>38</v>
      </c>
      <c r="AG2252">
        <f t="shared" si="356"/>
        <v>1</v>
      </c>
      <c r="AH2252">
        <f t="shared" si="357"/>
        <v>1</v>
      </c>
      <c r="AI2252">
        <f t="shared" si="358"/>
        <v>0</v>
      </c>
      <c r="AJ2252">
        <v>169.3</v>
      </c>
      <c r="AK2252">
        <v>1013.5</v>
      </c>
      <c r="AL2252">
        <v>34.200000000000003</v>
      </c>
      <c r="AM2252">
        <v>6.2</v>
      </c>
      <c r="AN2252">
        <v>214.6</v>
      </c>
      <c r="AO2252">
        <v>18.600000000000001</v>
      </c>
      <c r="AP2252">
        <v>7</v>
      </c>
      <c r="AQ2252">
        <v>0</v>
      </c>
      <c r="AR2252" t="s">
        <v>7693</v>
      </c>
      <c r="AS2252" t="s">
        <v>7694</v>
      </c>
      <c r="AT2252">
        <v>0.42</v>
      </c>
      <c r="AU2252" t="s">
        <v>43</v>
      </c>
      <c r="AV2252" t="s">
        <v>44</v>
      </c>
      <c r="AW2252" t="s">
        <v>419</v>
      </c>
      <c r="AX2252" t="s">
        <v>7695</v>
      </c>
      <c r="AY2252" t="s">
        <v>7696</v>
      </c>
      <c r="AZ2252">
        <v>232.00000000186259</v>
      </c>
      <c r="BA2252">
        <v>0</v>
      </c>
      <c r="BB2252">
        <v>0</v>
      </c>
      <c r="BC2252">
        <v>0.5</v>
      </c>
      <c r="BD2252">
        <v>0</v>
      </c>
      <c r="BE2252">
        <f t="shared" si="359"/>
        <v>1</v>
      </c>
    </row>
    <row r="2253" spans="1:57" x14ac:dyDescent="0.25">
      <c r="A2253" t="s">
        <v>39</v>
      </c>
      <c r="B2253" t="s">
        <v>7697</v>
      </c>
      <c r="C2253">
        <v>68</v>
      </c>
      <c r="D2253">
        <v>60.7</v>
      </c>
      <c r="G2253">
        <f t="shared" si="350"/>
        <v>1</v>
      </c>
      <c r="H2253">
        <f t="shared" si="351"/>
        <v>1</v>
      </c>
      <c r="I2253">
        <f t="shared" si="352"/>
        <v>0</v>
      </c>
      <c r="J2253">
        <v>65.400000000000006</v>
      </c>
      <c r="K2253">
        <v>68</v>
      </c>
      <c r="L2253">
        <v>60.7</v>
      </c>
      <c r="M2253">
        <v>65.400000000000006</v>
      </c>
      <c r="N2253">
        <v>46.7</v>
      </c>
      <c r="O2253">
        <v>51.6</v>
      </c>
      <c r="S2253">
        <f t="shared" si="353"/>
        <v>1</v>
      </c>
      <c r="T2253">
        <f t="shared" si="354"/>
        <v>0</v>
      </c>
      <c r="U2253">
        <f t="shared" si="355"/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40.299999999999997</v>
      </c>
      <c r="AC2253">
        <v>26.4</v>
      </c>
      <c r="AG2253">
        <f t="shared" si="356"/>
        <v>1</v>
      </c>
      <c r="AH2253">
        <f t="shared" si="357"/>
        <v>1</v>
      </c>
      <c r="AI2253">
        <f t="shared" si="358"/>
        <v>0</v>
      </c>
      <c r="AJ2253">
        <v>172.3</v>
      </c>
      <c r="AK2253">
        <v>1014.8</v>
      </c>
      <c r="AL2253">
        <v>57.3</v>
      </c>
      <c r="AM2253">
        <v>6.2</v>
      </c>
      <c r="AN2253">
        <v>181.3</v>
      </c>
      <c r="AO2253">
        <v>15.5</v>
      </c>
      <c r="AP2253">
        <v>6</v>
      </c>
      <c r="AQ2253">
        <v>0</v>
      </c>
      <c r="AR2253" t="s">
        <v>7698</v>
      </c>
      <c r="AS2253" t="s">
        <v>7699</v>
      </c>
      <c r="AT2253">
        <v>0.46</v>
      </c>
      <c r="AU2253" t="s">
        <v>43</v>
      </c>
      <c r="AV2253" t="s">
        <v>44</v>
      </c>
      <c r="AW2253" t="s">
        <v>45</v>
      </c>
      <c r="AX2253" t="s">
        <v>4049</v>
      </c>
      <c r="AY2253" t="s">
        <v>7700</v>
      </c>
      <c r="AZ2253">
        <v>130.00000000465661</v>
      </c>
      <c r="BA2253">
        <v>0</v>
      </c>
      <c r="BB2253">
        <v>0</v>
      </c>
      <c r="BC2253">
        <v>0.5</v>
      </c>
      <c r="BD2253">
        <v>0</v>
      </c>
      <c r="BE2253">
        <f t="shared" si="359"/>
        <v>1</v>
      </c>
    </row>
    <row r="2254" spans="1:57" x14ac:dyDescent="0.25">
      <c r="A2254" t="s">
        <v>39</v>
      </c>
      <c r="B2254" t="s">
        <v>7701</v>
      </c>
      <c r="C2254">
        <v>62.6</v>
      </c>
      <c r="D2254">
        <v>48.2</v>
      </c>
      <c r="G2254">
        <f t="shared" si="350"/>
        <v>0</v>
      </c>
      <c r="H2254">
        <f t="shared" si="351"/>
        <v>0</v>
      </c>
      <c r="I2254">
        <f t="shared" si="352"/>
        <v>0</v>
      </c>
      <c r="J2254">
        <v>57.1</v>
      </c>
      <c r="K2254">
        <v>62.6</v>
      </c>
      <c r="L2254">
        <v>46.3</v>
      </c>
      <c r="M2254">
        <v>56.9</v>
      </c>
      <c r="N2254">
        <v>49.1</v>
      </c>
      <c r="O2254">
        <v>75</v>
      </c>
      <c r="S2254">
        <f t="shared" si="353"/>
        <v>1</v>
      </c>
      <c r="T2254">
        <f t="shared" si="354"/>
        <v>1</v>
      </c>
      <c r="U2254">
        <f t="shared" si="355"/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37.1</v>
      </c>
      <c r="AC2254">
        <v>20.8</v>
      </c>
      <c r="AG2254">
        <f t="shared" si="356"/>
        <v>1</v>
      </c>
      <c r="AH2254">
        <f t="shared" si="357"/>
        <v>1</v>
      </c>
      <c r="AI2254">
        <f t="shared" si="358"/>
        <v>0</v>
      </c>
      <c r="AJ2254">
        <v>310.7</v>
      </c>
      <c r="AK2254">
        <v>1014.9</v>
      </c>
      <c r="AL2254">
        <v>39.700000000000003</v>
      </c>
      <c r="AM2254">
        <v>6.2</v>
      </c>
      <c r="AN2254">
        <v>207.8</v>
      </c>
      <c r="AO2254">
        <v>18</v>
      </c>
      <c r="AP2254">
        <v>7</v>
      </c>
      <c r="AQ2254">
        <v>0</v>
      </c>
      <c r="AR2254" t="s">
        <v>7702</v>
      </c>
      <c r="AS2254" t="s">
        <v>7703</v>
      </c>
      <c r="AT2254">
        <v>0.59</v>
      </c>
      <c r="AU2254" t="s">
        <v>43</v>
      </c>
      <c r="AV2254" t="s">
        <v>80</v>
      </c>
      <c r="AW2254" t="s">
        <v>45</v>
      </c>
      <c r="AX2254" t="s">
        <v>2670</v>
      </c>
      <c r="AY2254" t="s">
        <v>7704</v>
      </c>
      <c r="AZ2254">
        <v>182.99999999930151</v>
      </c>
      <c r="BA2254">
        <v>0</v>
      </c>
      <c r="BB2254">
        <v>0</v>
      </c>
      <c r="BC2254">
        <v>0.5</v>
      </c>
      <c r="BD2254">
        <v>0</v>
      </c>
      <c r="BE2254">
        <f t="shared" si="359"/>
        <v>0</v>
      </c>
    </row>
    <row r="2255" spans="1:57" x14ac:dyDescent="0.25">
      <c r="A2255" t="s">
        <v>39</v>
      </c>
      <c r="B2255" t="s">
        <v>7705</v>
      </c>
      <c r="C2255">
        <v>66.2</v>
      </c>
      <c r="D2255">
        <v>57.2</v>
      </c>
      <c r="G2255">
        <f t="shared" si="350"/>
        <v>1</v>
      </c>
      <c r="H2255">
        <f t="shared" si="351"/>
        <v>1</v>
      </c>
      <c r="I2255">
        <f t="shared" si="352"/>
        <v>0</v>
      </c>
      <c r="J2255">
        <v>61.1</v>
      </c>
      <c r="K2255">
        <v>66.2</v>
      </c>
      <c r="L2255">
        <v>57.2</v>
      </c>
      <c r="M2255">
        <v>61.1</v>
      </c>
      <c r="N2255">
        <v>49.7</v>
      </c>
      <c r="O2255">
        <v>66.599999999999994</v>
      </c>
      <c r="S2255">
        <f t="shared" si="353"/>
        <v>1</v>
      </c>
      <c r="T2255">
        <f t="shared" si="354"/>
        <v>1</v>
      </c>
      <c r="U2255">
        <f t="shared" si="355"/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38.9</v>
      </c>
      <c r="AC2255">
        <v>26.4</v>
      </c>
      <c r="AG2255">
        <f t="shared" si="356"/>
        <v>1</v>
      </c>
      <c r="AH2255">
        <f t="shared" si="357"/>
        <v>1</v>
      </c>
      <c r="AI2255">
        <f t="shared" si="358"/>
        <v>0</v>
      </c>
      <c r="AJ2255">
        <v>292.60000000000002</v>
      </c>
      <c r="AK2255">
        <v>1009</v>
      </c>
      <c r="AL2255">
        <v>28.1</v>
      </c>
      <c r="AM2255">
        <v>6.2</v>
      </c>
      <c r="AN2255">
        <v>239.8</v>
      </c>
      <c r="AO2255">
        <v>20.7</v>
      </c>
      <c r="AP2255">
        <v>8</v>
      </c>
      <c r="AQ2255">
        <v>0</v>
      </c>
      <c r="AR2255" t="s">
        <v>7706</v>
      </c>
      <c r="AS2255" t="s">
        <v>7707</v>
      </c>
      <c r="AT2255">
        <v>0.63</v>
      </c>
      <c r="AU2255" t="s">
        <v>43</v>
      </c>
      <c r="AV2255" t="s">
        <v>44</v>
      </c>
      <c r="AW2255" t="s">
        <v>45</v>
      </c>
      <c r="AX2255" t="s">
        <v>4541</v>
      </c>
      <c r="AY2255" t="s">
        <v>7708</v>
      </c>
      <c r="AZ2255">
        <v>390.99999999627471</v>
      </c>
      <c r="BA2255">
        <v>1</v>
      </c>
      <c r="BB2255">
        <v>0</v>
      </c>
      <c r="BC2255">
        <v>0.3</v>
      </c>
      <c r="BD2255">
        <v>0</v>
      </c>
      <c r="BE2255">
        <f t="shared" si="359"/>
        <v>1</v>
      </c>
    </row>
    <row r="2256" spans="1:57" x14ac:dyDescent="0.25">
      <c r="A2256" t="s">
        <v>39</v>
      </c>
      <c r="B2256" t="s">
        <v>7709</v>
      </c>
      <c r="C2256">
        <v>57.2</v>
      </c>
      <c r="D2256">
        <v>51.8</v>
      </c>
      <c r="G2256">
        <f t="shared" si="350"/>
        <v>1</v>
      </c>
      <c r="H2256">
        <f t="shared" si="351"/>
        <v>0</v>
      </c>
      <c r="I2256">
        <f t="shared" si="352"/>
        <v>1</v>
      </c>
      <c r="J2256">
        <v>54.1</v>
      </c>
      <c r="K2256">
        <v>57.2</v>
      </c>
      <c r="L2256">
        <v>51.8</v>
      </c>
      <c r="M2256">
        <v>54.1</v>
      </c>
      <c r="N2256">
        <v>37.299999999999997</v>
      </c>
      <c r="O2256">
        <v>53.1</v>
      </c>
      <c r="S2256">
        <f t="shared" si="353"/>
        <v>1</v>
      </c>
      <c r="T2256">
        <f t="shared" si="354"/>
        <v>0</v>
      </c>
      <c r="U2256">
        <f t="shared" si="355"/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47.2</v>
      </c>
      <c r="AC2256">
        <v>31.1</v>
      </c>
      <c r="AG2256">
        <f t="shared" si="356"/>
        <v>1</v>
      </c>
      <c r="AH2256">
        <f t="shared" si="357"/>
        <v>1</v>
      </c>
      <c r="AI2256">
        <f t="shared" si="358"/>
        <v>0</v>
      </c>
      <c r="AJ2256">
        <v>330.2</v>
      </c>
      <c r="AK2256">
        <v>1024.0999999999999</v>
      </c>
      <c r="AL2256">
        <v>43.7</v>
      </c>
      <c r="AM2256">
        <v>6.2</v>
      </c>
      <c r="AN2256">
        <v>234.2</v>
      </c>
      <c r="AO2256">
        <v>20.100000000000001</v>
      </c>
      <c r="AP2256">
        <v>8</v>
      </c>
      <c r="AQ2256">
        <v>0</v>
      </c>
      <c r="AR2256" t="s">
        <v>7710</v>
      </c>
      <c r="AS2256" t="s">
        <v>7711</v>
      </c>
      <c r="AT2256">
        <v>0.76</v>
      </c>
      <c r="AU2256" t="s">
        <v>43</v>
      </c>
      <c r="AV2256" t="s">
        <v>44</v>
      </c>
      <c r="AW2256" t="s">
        <v>419</v>
      </c>
      <c r="AX2256" t="s">
        <v>7423</v>
      </c>
      <c r="AY2256" t="s">
        <v>7712</v>
      </c>
      <c r="AZ2256">
        <v>2110.0000000046571</v>
      </c>
      <c r="BA2256">
        <v>1</v>
      </c>
      <c r="BB2256">
        <v>3</v>
      </c>
      <c r="BC2256">
        <v>0</v>
      </c>
      <c r="BD2256">
        <v>0</v>
      </c>
      <c r="BE2256">
        <f t="shared" si="359"/>
        <v>1</v>
      </c>
    </row>
    <row r="2257" spans="1:57" x14ac:dyDescent="0.25">
      <c r="A2257" t="s">
        <v>39</v>
      </c>
      <c r="B2257" t="s">
        <v>7713</v>
      </c>
      <c r="C2257">
        <v>57.2</v>
      </c>
      <c r="D2257">
        <v>51.8</v>
      </c>
      <c r="G2257">
        <f t="shared" si="350"/>
        <v>1</v>
      </c>
      <c r="H2257">
        <f t="shared" si="351"/>
        <v>0</v>
      </c>
      <c r="I2257">
        <f t="shared" si="352"/>
        <v>1</v>
      </c>
      <c r="J2257">
        <v>53.8</v>
      </c>
      <c r="K2257">
        <v>57.2</v>
      </c>
      <c r="L2257">
        <v>51.8</v>
      </c>
      <c r="M2257">
        <v>53.8</v>
      </c>
      <c r="N2257">
        <v>36.1</v>
      </c>
      <c r="O2257">
        <v>51.3</v>
      </c>
      <c r="S2257">
        <f t="shared" si="353"/>
        <v>1</v>
      </c>
      <c r="T2257">
        <f t="shared" si="354"/>
        <v>0</v>
      </c>
      <c r="U2257">
        <f t="shared" si="355"/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46.8</v>
      </c>
      <c r="AC2257">
        <v>30</v>
      </c>
      <c r="AG2257">
        <f t="shared" si="356"/>
        <v>1</v>
      </c>
      <c r="AH2257">
        <f t="shared" si="357"/>
        <v>1</v>
      </c>
      <c r="AI2257">
        <f t="shared" si="358"/>
        <v>0</v>
      </c>
      <c r="AJ2257">
        <v>334.1</v>
      </c>
      <c r="AK2257">
        <v>1022</v>
      </c>
      <c r="AL2257">
        <v>43.2</v>
      </c>
      <c r="AM2257">
        <v>6.2</v>
      </c>
      <c r="AN2257">
        <v>173.3</v>
      </c>
      <c r="AO2257">
        <v>14.9</v>
      </c>
      <c r="AP2257">
        <v>6</v>
      </c>
      <c r="AQ2257">
        <v>0</v>
      </c>
      <c r="AR2257" t="s">
        <v>7714</v>
      </c>
      <c r="AS2257" t="s">
        <v>7715</v>
      </c>
      <c r="AT2257">
        <v>0.83</v>
      </c>
      <c r="AU2257" t="s">
        <v>43</v>
      </c>
      <c r="AV2257" t="s">
        <v>44</v>
      </c>
      <c r="AW2257" t="s">
        <v>45</v>
      </c>
      <c r="AX2257" t="s">
        <v>2341</v>
      </c>
      <c r="AY2257" t="s">
        <v>7716</v>
      </c>
      <c r="AZ2257">
        <v>415.00000000116421</v>
      </c>
      <c r="BA2257">
        <v>1</v>
      </c>
      <c r="BB2257">
        <v>0</v>
      </c>
      <c r="BC2257">
        <v>0.1</v>
      </c>
      <c r="BD2257">
        <v>0</v>
      </c>
      <c r="BE2257">
        <f t="shared" si="359"/>
        <v>1</v>
      </c>
    </row>
    <row r="2258" spans="1:57" x14ac:dyDescent="0.25">
      <c r="A2258" t="s">
        <v>39</v>
      </c>
      <c r="B2258" t="s">
        <v>7717</v>
      </c>
      <c r="C2258">
        <v>60.8</v>
      </c>
      <c r="D2258">
        <v>53.6</v>
      </c>
      <c r="G2258">
        <f t="shared" si="350"/>
        <v>0</v>
      </c>
      <c r="H2258">
        <f t="shared" si="351"/>
        <v>0</v>
      </c>
      <c r="I2258">
        <f t="shared" si="352"/>
        <v>0</v>
      </c>
      <c r="J2258">
        <v>56.8</v>
      </c>
      <c r="K2258">
        <v>60.8</v>
      </c>
      <c r="L2258">
        <v>53.6</v>
      </c>
      <c r="M2258">
        <v>56.8</v>
      </c>
      <c r="N2258">
        <v>40.1</v>
      </c>
      <c r="O2258">
        <v>53.9</v>
      </c>
      <c r="S2258">
        <f t="shared" si="353"/>
        <v>1</v>
      </c>
      <c r="T2258">
        <f t="shared" si="354"/>
        <v>0</v>
      </c>
      <c r="U2258">
        <f t="shared" si="355"/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45</v>
      </c>
      <c r="AC2258">
        <v>24.2</v>
      </c>
      <c r="AG2258">
        <f t="shared" si="356"/>
        <v>1</v>
      </c>
      <c r="AH2258">
        <f t="shared" si="357"/>
        <v>1</v>
      </c>
      <c r="AI2258">
        <f t="shared" si="358"/>
        <v>0</v>
      </c>
      <c r="AJ2258">
        <v>323.5</v>
      </c>
      <c r="AK2258">
        <v>1019</v>
      </c>
      <c r="AL2258">
        <v>46.5</v>
      </c>
      <c r="AM2258">
        <v>6.2</v>
      </c>
      <c r="AN2258">
        <v>184.3</v>
      </c>
      <c r="AO2258">
        <v>16</v>
      </c>
      <c r="AP2258">
        <v>6</v>
      </c>
      <c r="AQ2258">
        <v>0</v>
      </c>
      <c r="AR2258" t="s">
        <v>7718</v>
      </c>
      <c r="AS2258" t="s">
        <v>7719</v>
      </c>
      <c r="AT2258">
        <v>0.86</v>
      </c>
      <c r="AU2258" t="s">
        <v>43</v>
      </c>
      <c r="AV2258" t="s">
        <v>44</v>
      </c>
      <c r="AW2258" t="s">
        <v>45</v>
      </c>
      <c r="AX2258" t="s">
        <v>4970</v>
      </c>
      <c r="AY2258" t="s">
        <v>7720</v>
      </c>
      <c r="AZ2258">
        <v>403.00000000395812</v>
      </c>
      <c r="BA2258">
        <v>1</v>
      </c>
      <c r="BB2258">
        <v>0</v>
      </c>
      <c r="BC2258">
        <v>1</v>
      </c>
      <c r="BD2258">
        <v>0</v>
      </c>
      <c r="BE2258">
        <f t="shared" si="359"/>
        <v>1</v>
      </c>
    </row>
    <row r="2259" spans="1:57" x14ac:dyDescent="0.25">
      <c r="A2259" t="s">
        <v>39</v>
      </c>
      <c r="B2259" t="s">
        <v>7717</v>
      </c>
      <c r="C2259">
        <v>60.8</v>
      </c>
      <c r="D2259">
        <v>53.6</v>
      </c>
      <c r="G2259">
        <f t="shared" si="350"/>
        <v>0</v>
      </c>
      <c r="H2259">
        <f t="shared" si="351"/>
        <v>0</v>
      </c>
      <c r="I2259">
        <f t="shared" si="352"/>
        <v>0</v>
      </c>
      <c r="J2259">
        <v>56.8</v>
      </c>
      <c r="K2259">
        <v>60.8</v>
      </c>
      <c r="L2259">
        <v>53.6</v>
      </c>
      <c r="M2259">
        <v>56.8</v>
      </c>
      <c r="N2259">
        <v>40.1</v>
      </c>
      <c r="O2259">
        <v>53.9</v>
      </c>
      <c r="S2259">
        <f t="shared" si="353"/>
        <v>1</v>
      </c>
      <c r="T2259">
        <f t="shared" si="354"/>
        <v>0</v>
      </c>
      <c r="U2259">
        <f t="shared" si="355"/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45</v>
      </c>
      <c r="AC2259">
        <v>24.2</v>
      </c>
      <c r="AG2259">
        <f t="shared" si="356"/>
        <v>1</v>
      </c>
      <c r="AH2259">
        <f t="shared" si="357"/>
        <v>1</v>
      </c>
      <c r="AI2259">
        <f t="shared" si="358"/>
        <v>0</v>
      </c>
      <c r="AJ2259">
        <v>323.5</v>
      </c>
      <c r="AK2259">
        <v>1019</v>
      </c>
      <c r="AL2259">
        <v>46.5</v>
      </c>
      <c r="AM2259">
        <v>6.2</v>
      </c>
      <c r="AN2259">
        <v>184.3</v>
      </c>
      <c r="AO2259">
        <v>16</v>
      </c>
      <c r="AP2259">
        <v>6</v>
      </c>
      <c r="AQ2259">
        <v>0</v>
      </c>
      <c r="AR2259" t="s">
        <v>7718</v>
      </c>
      <c r="AS2259" t="s">
        <v>7719</v>
      </c>
      <c r="AT2259">
        <v>0.86</v>
      </c>
      <c r="AU2259" t="s">
        <v>43</v>
      </c>
      <c r="AV2259" t="s">
        <v>44</v>
      </c>
      <c r="AW2259" t="s">
        <v>45</v>
      </c>
      <c r="AX2259" t="s">
        <v>6564</v>
      </c>
      <c r="AY2259" t="s">
        <v>7721</v>
      </c>
      <c r="AZ2259">
        <v>236.999999997206</v>
      </c>
      <c r="BA2259">
        <v>0</v>
      </c>
      <c r="BB2259">
        <v>0</v>
      </c>
      <c r="BC2259">
        <v>1</v>
      </c>
      <c r="BD2259">
        <v>0</v>
      </c>
      <c r="BE2259">
        <f t="shared" si="359"/>
        <v>0</v>
      </c>
    </row>
    <row r="2260" spans="1:57" x14ac:dyDescent="0.25">
      <c r="A2260" t="s">
        <v>39</v>
      </c>
      <c r="B2260" t="s">
        <v>7717</v>
      </c>
      <c r="C2260">
        <v>60.8</v>
      </c>
      <c r="D2260">
        <v>53.6</v>
      </c>
      <c r="G2260">
        <f t="shared" si="350"/>
        <v>0</v>
      </c>
      <c r="H2260">
        <f t="shared" si="351"/>
        <v>0</v>
      </c>
      <c r="I2260">
        <f t="shared" si="352"/>
        <v>0</v>
      </c>
      <c r="J2260">
        <v>56.8</v>
      </c>
      <c r="K2260">
        <v>60.8</v>
      </c>
      <c r="L2260">
        <v>53.6</v>
      </c>
      <c r="M2260">
        <v>56.8</v>
      </c>
      <c r="N2260">
        <v>40.1</v>
      </c>
      <c r="O2260">
        <v>53.9</v>
      </c>
      <c r="S2260">
        <f t="shared" si="353"/>
        <v>1</v>
      </c>
      <c r="T2260">
        <f t="shared" si="354"/>
        <v>0</v>
      </c>
      <c r="U2260">
        <f t="shared" si="355"/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45</v>
      </c>
      <c r="AC2260">
        <v>24.2</v>
      </c>
      <c r="AG2260">
        <f t="shared" si="356"/>
        <v>1</v>
      </c>
      <c r="AH2260">
        <f t="shared" si="357"/>
        <v>1</v>
      </c>
      <c r="AI2260">
        <f t="shared" si="358"/>
        <v>0</v>
      </c>
      <c r="AJ2260">
        <v>323.5</v>
      </c>
      <c r="AK2260">
        <v>1019</v>
      </c>
      <c r="AL2260">
        <v>46.5</v>
      </c>
      <c r="AM2260">
        <v>6.2</v>
      </c>
      <c r="AN2260">
        <v>184.3</v>
      </c>
      <c r="AO2260">
        <v>16</v>
      </c>
      <c r="AP2260">
        <v>6</v>
      </c>
      <c r="AQ2260">
        <v>0</v>
      </c>
      <c r="AR2260" t="s">
        <v>7718</v>
      </c>
      <c r="AS2260" t="s">
        <v>7719</v>
      </c>
      <c r="AT2260">
        <v>0.86</v>
      </c>
      <c r="AU2260" t="s">
        <v>43</v>
      </c>
      <c r="AV2260" t="s">
        <v>44</v>
      </c>
      <c r="AW2260" t="s">
        <v>45</v>
      </c>
      <c r="AX2260" t="s">
        <v>2366</v>
      </c>
      <c r="AY2260" t="s">
        <v>7722</v>
      </c>
      <c r="AZ2260">
        <v>94.999999995343387</v>
      </c>
      <c r="BA2260">
        <v>0</v>
      </c>
      <c r="BB2260">
        <v>0</v>
      </c>
      <c r="BC2260">
        <v>0.05</v>
      </c>
      <c r="BD2260">
        <v>0</v>
      </c>
      <c r="BE2260">
        <f t="shared" si="359"/>
        <v>0</v>
      </c>
    </row>
    <row r="2261" spans="1:57" x14ac:dyDescent="0.25">
      <c r="A2261" t="s">
        <v>39</v>
      </c>
      <c r="B2261" t="s">
        <v>7723</v>
      </c>
      <c r="C2261">
        <v>64.400000000000006</v>
      </c>
      <c r="D2261">
        <v>50</v>
      </c>
      <c r="G2261">
        <f t="shared" si="350"/>
        <v>1</v>
      </c>
      <c r="H2261">
        <f t="shared" si="351"/>
        <v>1</v>
      </c>
      <c r="I2261">
        <f t="shared" si="352"/>
        <v>0</v>
      </c>
      <c r="J2261">
        <v>58.8</v>
      </c>
      <c r="K2261">
        <v>64.400000000000006</v>
      </c>
      <c r="L2261">
        <v>50</v>
      </c>
      <c r="M2261">
        <v>58.8</v>
      </c>
      <c r="N2261">
        <v>46.8</v>
      </c>
      <c r="O2261">
        <v>65</v>
      </c>
      <c r="S2261">
        <f t="shared" si="353"/>
        <v>0</v>
      </c>
      <c r="T2261">
        <f t="shared" si="354"/>
        <v>0</v>
      </c>
      <c r="U2261">
        <f t="shared" si="355"/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29.5</v>
      </c>
      <c r="AC2261">
        <v>16.100000000000001</v>
      </c>
      <c r="AG2261">
        <f t="shared" si="356"/>
        <v>0</v>
      </c>
      <c r="AH2261">
        <f t="shared" si="357"/>
        <v>0</v>
      </c>
      <c r="AI2261">
        <f t="shared" si="358"/>
        <v>0</v>
      </c>
      <c r="AJ2261">
        <v>322</v>
      </c>
      <c r="AK2261">
        <v>1016.5</v>
      </c>
      <c r="AL2261">
        <v>34.799999999999997</v>
      </c>
      <c r="AM2261">
        <v>6.2</v>
      </c>
      <c r="AN2261">
        <v>243.7</v>
      </c>
      <c r="AO2261">
        <v>21</v>
      </c>
      <c r="AP2261">
        <v>8</v>
      </c>
      <c r="AQ2261">
        <v>0</v>
      </c>
      <c r="AR2261" t="s">
        <v>7724</v>
      </c>
      <c r="AS2261" t="s">
        <v>7725</v>
      </c>
      <c r="AT2261">
        <v>0.9</v>
      </c>
      <c r="AU2261" t="s">
        <v>43</v>
      </c>
      <c r="AV2261" t="s">
        <v>44</v>
      </c>
      <c r="AW2261" t="s">
        <v>45</v>
      </c>
      <c r="AX2261" t="s">
        <v>2393</v>
      </c>
      <c r="AY2261" t="s">
        <v>7726</v>
      </c>
      <c r="AZ2261">
        <v>240.00000000698489</v>
      </c>
      <c r="BA2261">
        <v>0</v>
      </c>
      <c r="BB2261">
        <v>0</v>
      </c>
      <c r="BC2261">
        <v>1.5</v>
      </c>
      <c r="BD2261">
        <v>0</v>
      </c>
      <c r="BE2261">
        <f t="shared" si="359"/>
        <v>0</v>
      </c>
    </row>
    <row r="2262" spans="1:57" x14ac:dyDescent="0.25">
      <c r="A2262" t="s">
        <v>39</v>
      </c>
      <c r="B2262" t="s">
        <v>7723</v>
      </c>
      <c r="C2262">
        <v>64.400000000000006</v>
      </c>
      <c r="D2262">
        <v>50</v>
      </c>
      <c r="G2262">
        <f t="shared" si="350"/>
        <v>1</v>
      </c>
      <c r="H2262">
        <f t="shared" si="351"/>
        <v>1</v>
      </c>
      <c r="I2262">
        <f t="shared" si="352"/>
        <v>0</v>
      </c>
      <c r="J2262">
        <v>58.8</v>
      </c>
      <c r="K2262">
        <v>64.400000000000006</v>
      </c>
      <c r="L2262">
        <v>50</v>
      </c>
      <c r="M2262">
        <v>58.8</v>
      </c>
      <c r="N2262">
        <v>46.8</v>
      </c>
      <c r="O2262">
        <v>65</v>
      </c>
      <c r="S2262">
        <f t="shared" si="353"/>
        <v>0</v>
      </c>
      <c r="T2262">
        <f t="shared" si="354"/>
        <v>0</v>
      </c>
      <c r="U2262">
        <f t="shared" si="355"/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29.5</v>
      </c>
      <c r="AC2262">
        <v>16.100000000000001</v>
      </c>
      <c r="AG2262">
        <f t="shared" si="356"/>
        <v>0</v>
      </c>
      <c r="AH2262">
        <f t="shared" si="357"/>
        <v>0</v>
      </c>
      <c r="AI2262">
        <f t="shared" si="358"/>
        <v>0</v>
      </c>
      <c r="AJ2262">
        <v>322</v>
      </c>
      <c r="AK2262">
        <v>1016.5</v>
      </c>
      <c r="AL2262">
        <v>34.799999999999997</v>
      </c>
      <c r="AM2262">
        <v>6.2</v>
      </c>
      <c r="AN2262">
        <v>243.7</v>
      </c>
      <c r="AO2262">
        <v>21</v>
      </c>
      <c r="AP2262">
        <v>8</v>
      </c>
      <c r="AQ2262">
        <v>0</v>
      </c>
      <c r="AR2262" t="s">
        <v>7724</v>
      </c>
      <c r="AS2262" t="s">
        <v>7725</v>
      </c>
      <c r="AT2262">
        <v>0.9</v>
      </c>
      <c r="AU2262" t="s">
        <v>43</v>
      </c>
      <c r="AV2262" t="s">
        <v>44</v>
      </c>
      <c r="AW2262" t="s">
        <v>45</v>
      </c>
      <c r="AX2262" t="s">
        <v>7666</v>
      </c>
      <c r="AY2262" t="s">
        <v>7727</v>
      </c>
      <c r="AZ2262">
        <v>284.99999999650748</v>
      </c>
      <c r="BA2262">
        <v>0</v>
      </c>
      <c r="BB2262">
        <v>1</v>
      </c>
      <c r="BC2262">
        <v>0</v>
      </c>
      <c r="BD2262">
        <v>0</v>
      </c>
      <c r="BE2262">
        <f t="shared" si="359"/>
        <v>0</v>
      </c>
    </row>
    <row r="2263" spans="1:57" x14ac:dyDescent="0.25">
      <c r="A2263" t="s">
        <v>39</v>
      </c>
      <c r="B2263" t="s">
        <v>7723</v>
      </c>
      <c r="C2263">
        <v>64.400000000000006</v>
      </c>
      <c r="D2263">
        <v>50</v>
      </c>
      <c r="G2263">
        <f t="shared" si="350"/>
        <v>1</v>
      </c>
      <c r="H2263">
        <f t="shared" si="351"/>
        <v>1</v>
      </c>
      <c r="I2263">
        <f t="shared" si="352"/>
        <v>0</v>
      </c>
      <c r="J2263">
        <v>58.8</v>
      </c>
      <c r="K2263">
        <v>64.400000000000006</v>
      </c>
      <c r="L2263">
        <v>50</v>
      </c>
      <c r="M2263">
        <v>58.8</v>
      </c>
      <c r="N2263">
        <v>46.8</v>
      </c>
      <c r="O2263">
        <v>65</v>
      </c>
      <c r="S2263">
        <f t="shared" si="353"/>
        <v>0</v>
      </c>
      <c r="T2263">
        <f t="shared" si="354"/>
        <v>0</v>
      </c>
      <c r="U2263">
        <f t="shared" si="355"/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29.5</v>
      </c>
      <c r="AC2263">
        <v>16.100000000000001</v>
      </c>
      <c r="AG2263">
        <f t="shared" si="356"/>
        <v>0</v>
      </c>
      <c r="AH2263">
        <f t="shared" si="357"/>
        <v>0</v>
      </c>
      <c r="AI2263">
        <f t="shared" si="358"/>
        <v>0</v>
      </c>
      <c r="AJ2263">
        <v>322</v>
      </c>
      <c r="AK2263">
        <v>1016.5</v>
      </c>
      <c r="AL2263">
        <v>34.799999999999997</v>
      </c>
      <c r="AM2263">
        <v>6.2</v>
      </c>
      <c r="AN2263">
        <v>243.7</v>
      </c>
      <c r="AO2263">
        <v>21</v>
      </c>
      <c r="AP2263">
        <v>8</v>
      </c>
      <c r="AQ2263">
        <v>0</v>
      </c>
      <c r="AR2263" t="s">
        <v>7724</v>
      </c>
      <c r="AS2263" t="s">
        <v>7725</v>
      </c>
      <c r="AT2263">
        <v>0.9</v>
      </c>
      <c r="AU2263" t="s">
        <v>43</v>
      </c>
      <c r="AV2263" t="s">
        <v>44</v>
      </c>
      <c r="AW2263" t="s">
        <v>45</v>
      </c>
      <c r="AX2263" t="s">
        <v>7728</v>
      </c>
      <c r="AY2263" t="s">
        <v>7729</v>
      </c>
      <c r="AZ2263">
        <v>113.99999999441209</v>
      </c>
      <c r="BA2263">
        <v>0</v>
      </c>
      <c r="BB2263">
        <v>3</v>
      </c>
      <c r="BC2263">
        <v>0</v>
      </c>
      <c r="BD2263">
        <v>0</v>
      </c>
      <c r="BE2263">
        <f t="shared" si="359"/>
        <v>0</v>
      </c>
    </row>
    <row r="2264" spans="1:57" x14ac:dyDescent="0.25">
      <c r="A2264" t="s">
        <v>39</v>
      </c>
      <c r="B2264" t="s">
        <v>7730</v>
      </c>
      <c r="C2264">
        <v>66.2</v>
      </c>
      <c r="D2264">
        <v>51.8</v>
      </c>
      <c r="G2264">
        <f t="shared" si="350"/>
        <v>1</v>
      </c>
      <c r="H2264">
        <f t="shared" si="351"/>
        <v>1</v>
      </c>
      <c r="I2264">
        <f t="shared" si="352"/>
        <v>0</v>
      </c>
      <c r="J2264">
        <v>59.2</v>
      </c>
      <c r="K2264">
        <v>66.2</v>
      </c>
      <c r="L2264">
        <v>51.8</v>
      </c>
      <c r="M2264">
        <v>59.2</v>
      </c>
      <c r="N2264">
        <v>50.4</v>
      </c>
      <c r="O2264">
        <v>73.5</v>
      </c>
      <c r="S2264">
        <f t="shared" si="353"/>
        <v>1</v>
      </c>
      <c r="T2264">
        <f t="shared" si="354"/>
        <v>1</v>
      </c>
      <c r="U2264">
        <f t="shared" si="355"/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23</v>
      </c>
      <c r="AC2264">
        <v>8.1</v>
      </c>
      <c r="AG2264">
        <f t="shared" si="356"/>
        <v>1</v>
      </c>
      <c r="AH2264">
        <f t="shared" si="357"/>
        <v>0</v>
      </c>
      <c r="AI2264">
        <f t="shared" si="358"/>
        <v>1</v>
      </c>
      <c r="AJ2264">
        <v>119.2</v>
      </c>
      <c r="AK2264">
        <v>1010.1</v>
      </c>
      <c r="AL2264">
        <v>25</v>
      </c>
      <c r="AM2264">
        <v>6.2</v>
      </c>
      <c r="AN2264">
        <v>247.2</v>
      </c>
      <c r="AO2264">
        <v>21.3</v>
      </c>
      <c r="AP2264">
        <v>8</v>
      </c>
      <c r="AQ2264">
        <v>0</v>
      </c>
      <c r="AR2264" t="s">
        <v>7731</v>
      </c>
      <c r="AS2264" t="s">
        <v>7732</v>
      </c>
      <c r="AT2264">
        <v>0.97</v>
      </c>
      <c r="AU2264" t="s">
        <v>43</v>
      </c>
      <c r="AV2264" t="s">
        <v>44</v>
      </c>
      <c r="AW2264" t="s">
        <v>45</v>
      </c>
      <c r="AX2264" t="s">
        <v>5632</v>
      </c>
      <c r="AY2264" t="s">
        <v>7733</v>
      </c>
      <c r="AZ2264">
        <v>71.000000000931323</v>
      </c>
      <c r="BA2264">
        <v>0</v>
      </c>
      <c r="BB2264">
        <v>0</v>
      </c>
      <c r="BC2264">
        <v>1</v>
      </c>
      <c r="BD2264">
        <v>0</v>
      </c>
      <c r="BE2264">
        <f t="shared" si="359"/>
        <v>1</v>
      </c>
    </row>
    <row r="2265" spans="1:57" x14ac:dyDescent="0.25">
      <c r="A2265" t="s">
        <v>39</v>
      </c>
      <c r="B2265" t="s">
        <v>7734</v>
      </c>
      <c r="C2265">
        <v>64.400000000000006</v>
      </c>
      <c r="D2265">
        <v>50</v>
      </c>
      <c r="G2265">
        <f t="shared" si="350"/>
        <v>1</v>
      </c>
      <c r="H2265">
        <f t="shared" si="351"/>
        <v>1</v>
      </c>
      <c r="I2265">
        <f t="shared" si="352"/>
        <v>0</v>
      </c>
      <c r="J2265">
        <v>57.7</v>
      </c>
      <c r="K2265">
        <v>64.400000000000006</v>
      </c>
      <c r="L2265">
        <v>47.2</v>
      </c>
      <c r="M2265">
        <v>57.5</v>
      </c>
      <c r="N2265">
        <v>52</v>
      </c>
      <c r="O2265">
        <v>81.7</v>
      </c>
      <c r="S2265">
        <f t="shared" si="353"/>
        <v>1</v>
      </c>
      <c r="T2265">
        <f t="shared" si="354"/>
        <v>1</v>
      </c>
      <c r="U2265">
        <f t="shared" si="355"/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18.600000000000001</v>
      </c>
      <c r="AC2265">
        <v>10.3</v>
      </c>
      <c r="AG2265">
        <f t="shared" si="356"/>
        <v>1</v>
      </c>
      <c r="AH2265">
        <f t="shared" si="357"/>
        <v>0</v>
      </c>
      <c r="AI2265">
        <f t="shared" si="358"/>
        <v>1</v>
      </c>
      <c r="AJ2265">
        <v>309.5</v>
      </c>
      <c r="AK2265">
        <v>1012.2</v>
      </c>
      <c r="AL2265">
        <v>36.1</v>
      </c>
      <c r="AM2265">
        <v>6.2</v>
      </c>
      <c r="AN2265">
        <v>222</v>
      </c>
      <c r="AO2265">
        <v>19.100000000000001</v>
      </c>
      <c r="AP2265">
        <v>7</v>
      </c>
      <c r="AQ2265">
        <v>0</v>
      </c>
      <c r="AR2265" t="s">
        <v>7735</v>
      </c>
      <c r="AS2265" t="s">
        <v>7736</v>
      </c>
      <c r="AT2265">
        <v>0</v>
      </c>
      <c r="AU2265" t="s">
        <v>43</v>
      </c>
      <c r="AV2265" t="s">
        <v>44</v>
      </c>
      <c r="AW2265" t="s">
        <v>45</v>
      </c>
      <c r="AX2265" t="s">
        <v>7737</v>
      </c>
      <c r="AY2265" t="s">
        <v>7738</v>
      </c>
      <c r="AZ2265">
        <v>216.9999999948777</v>
      </c>
      <c r="BA2265">
        <v>0</v>
      </c>
      <c r="BB2265">
        <v>0</v>
      </c>
      <c r="BC2265">
        <v>1</v>
      </c>
      <c r="BD2265">
        <v>0</v>
      </c>
      <c r="BE2265">
        <f t="shared" si="359"/>
        <v>1</v>
      </c>
    </row>
    <row r="2266" spans="1:57" x14ac:dyDescent="0.25">
      <c r="A2266" t="s">
        <v>39</v>
      </c>
      <c r="B2266" t="s">
        <v>7734</v>
      </c>
      <c r="C2266">
        <v>64.400000000000006</v>
      </c>
      <c r="D2266">
        <v>50</v>
      </c>
      <c r="G2266">
        <f t="shared" si="350"/>
        <v>1</v>
      </c>
      <c r="H2266">
        <f t="shared" si="351"/>
        <v>1</v>
      </c>
      <c r="I2266">
        <f t="shared" si="352"/>
        <v>0</v>
      </c>
      <c r="J2266">
        <v>57.7</v>
      </c>
      <c r="K2266">
        <v>64.400000000000006</v>
      </c>
      <c r="L2266">
        <v>47.2</v>
      </c>
      <c r="M2266">
        <v>57.5</v>
      </c>
      <c r="N2266">
        <v>52</v>
      </c>
      <c r="O2266">
        <v>81.7</v>
      </c>
      <c r="S2266">
        <f t="shared" si="353"/>
        <v>1</v>
      </c>
      <c r="T2266">
        <f t="shared" si="354"/>
        <v>1</v>
      </c>
      <c r="U2266">
        <f t="shared" si="355"/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18.600000000000001</v>
      </c>
      <c r="AC2266">
        <v>10.3</v>
      </c>
      <c r="AG2266">
        <f t="shared" si="356"/>
        <v>1</v>
      </c>
      <c r="AH2266">
        <f t="shared" si="357"/>
        <v>0</v>
      </c>
      <c r="AI2266">
        <f t="shared" si="358"/>
        <v>1</v>
      </c>
      <c r="AJ2266">
        <v>309.5</v>
      </c>
      <c r="AK2266">
        <v>1012.2</v>
      </c>
      <c r="AL2266">
        <v>36.1</v>
      </c>
      <c r="AM2266">
        <v>6.2</v>
      </c>
      <c r="AN2266">
        <v>222</v>
      </c>
      <c r="AO2266">
        <v>19.100000000000001</v>
      </c>
      <c r="AP2266">
        <v>7</v>
      </c>
      <c r="AQ2266">
        <v>0</v>
      </c>
      <c r="AR2266" t="s">
        <v>7735</v>
      </c>
      <c r="AS2266" t="s">
        <v>7736</v>
      </c>
      <c r="AT2266">
        <v>0</v>
      </c>
      <c r="AU2266" t="s">
        <v>43</v>
      </c>
      <c r="AV2266" t="s">
        <v>44</v>
      </c>
      <c r="AW2266" t="s">
        <v>45</v>
      </c>
      <c r="AX2266" t="s">
        <v>5365</v>
      </c>
      <c r="AY2266" t="s">
        <v>7739</v>
      </c>
      <c r="AZ2266">
        <v>74.999999993015081</v>
      </c>
      <c r="BA2266">
        <v>0</v>
      </c>
      <c r="BB2266">
        <v>0</v>
      </c>
      <c r="BC2266">
        <v>0.02</v>
      </c>
      <c r="BD2266">
        <v>0</v>
      </c>
      <c r="BE2266">
        <f t="shared" si="359"/>
        <v>1</v>
      </c>
    </row>
    <row r="2267" spans="1:57" x14ac:dyDescent="0.25">
      <c r="A2267" t="s">
        <v>39</v>
      </c>
      <c r="B2267" t="s">
        <v>7734</v>
      </c>
      <c r="C2267">
        <v>64.400000000000006</v>
      </c>
      <c r="D2267">
        <v>50</v>
      </c>
      <c r="G2267">
        <f t="shared" si="350"/>
        <v>1</v>
      </c>
      <c r="H2267">
        <f t="shared" si="351"/>
        <v>1</v>
      </c>
      <c r="I2267">
        <f t="shared" si="352"/>
        <v>0</v>
      </c>
      <c r="J2267">
        <v>57.7</v>
      </c>
      <c r="K2267">
        <v>64.400000000000006</v>
      </c>
      <c r="L2267">
        <v>47.2</v>
      </c>
      <c r="M2267">
        <v>57.5</v>
      </c>
      <c r="N2267">
        <v>52</v>
      </c>
      <c r="O2267">
        <v>81.7</v>
      </c>
      <c r="S2267">
        <f t="shared" si="353"/>
        <v>1</v>
      </c>
      <c r="T2267">
        <f t="shared" si="354"/>
        <v>1</v>
      </c>
      <c r="U2267">
        <f t="shared" si="355"/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18.600000000000001</v>
      </c>
      <c r="AC2267">
        <v>10.3</v>
      </c>
      <c r="AG2267">
        <f t="shared" si="356"/>
        <v>1</v>
      </c>
      <c r="AH2267">
        <f t="shared" si="357"/>
        <v>0</v>
      </c>
      <c r="AI2267">
        <f t="shared" si="358"/>
        <v>1</v>
      </c>
      <c r="AJ2267">
        <v>309.5</v>
      </c>
      <c r="AK2267">
        <v>1012.2</v>
      </c>
      <c r="AL2267">
        <v>36.1</v>
      </c>
      <c r="AM2267">
        <v>6.2</v>
      </c>
      <c r="AN2267">
        <v>222</v>
      </c>
      <c r="AO2267">
        <v>19.100000000000001</v>
      </c>
      <c r="AP2267">
        <v>7</v>
      </c>
      <c r="AQ2267">
        <v>0</v>
      </c>
      <c r="AR2267" t="s">
        <v>7735</v>
      </c>
      <c r="AS2267" t="s">
        <v>7736</v>
      </c>
      <c r="AT2267">
        <v>0</v>
      </c>
      <c r="AU2267" t="s">
        <v>43</v>
      </c>
      <c r="AV2267" t="s">
        <v>44</v>
      </c>
      <c r="AW2267" t="s">
        <v>45</v>
      </c>
      <c r="AX2267" t="s">
        <v>4157</v>
      </c>
      <c r="AY2267" t="s">
        <v>7740</v>
      </c>
      <c r="AZ2267">
        <v>166.99999999953431</v>
      </c>
      <c r="BA2267">
        <v>0</v>
      </c>
      <c r="BB2267">
        <v>0</v>
      </c>
      <c r="BC2267">
        <v>0.5</v>
      </c>
      <c r="BD2267">
        <v>0</v>
      </c>
      <c r="BE2267">
        <f t="shared" si="359"/>
        <v>1</v>
      </c>
    </row>
    <row r="2268" spans="1:57" x14ac:dyDescent="0.25">
      <c r="A2268" t="s">
        <v>39</v>
      </c>
      <c r="B2268" t="s">
        <v>7741</v>
      </c>
      <c r="C2268">
        <v>60.8</v>
      </c>
      <c r="D2268">
        <v>55.4</v>
      </c>
      <c r="G2268">
        <f t="shared" si="350"/>
        <v>1</v>
      </c>
      <c r="H2268">
        <f t="shared" si="351"/>
        <v>0</v>
      </c>
      <c r="I2268">
        <f t="shared" si="352"/>
        <v>1</v>
      </c>
      <c r="J2268">
        <v>57.8</v>
      </c>
      <c r="K2268">
        <v>60.8</v>
      </c>
      <c r="L2268">
        <v>55.4</v>
      </c>
      <c r="M2268">
        <v>57.8</v>
      </c>
      <c r="N2268">
        <v>50.6</v>
      </c>
      <c r="O2268">
        <v>77</v>
      </c>
      <c r="S2268">
        <f t="shared" si="353"/>
        <v>1</v>
      </c>
      <c r="T2268">
        <f t="shared" si="354"/>
        <v>1</v>
      </c>
      <c r="U2268">
        <f t="shared" si="355"/>
        <v>0</v>
      </c>
      <c r="V2268">
        <v>2E-3</v>
      </c>
      <c r="W2268">
        <v>100</v>
      </c>
      <c r="X2268">
        <v>8.33</v>
      </c>
      <c r="Y2268" t="s">
        <v>103</v>
      </c>
      <c r="Z2268">
        <v>0</v>
      </c>
      <c r="AA2268">
        <v>0</v>
      </c>
      <c r="AB2268">
        <v>24.6</v>
      </c>
      <c r="AC2268">
        <v>20.8</v>
      </c>
      <c r="AG2268">
        <f t="shared" si="356"/>
        <v>1</v>
      </c>
      <c r="AH2268">
        <f t="shared" si="357"/>
        <v>1</v>
      </c>
      <c r="AI2268">
        <f t="shared" si="358"/>
        <v>0</v>
      </c>
      <c r="AJ2268">
        <v>304.2</v>
      </c>
      <c r="AK2268">
        <v>1016.5</v>
      </c>
      <c r="AL2268">
        <v>61.5</v>
      </c>
      <c r="AM2268">
        <v>6.2</v>
      </c>
      <c r="AN2268">
        <v>209</v>
      </c>
      <c r="AO2268">
        <v>18.100000000000001</v>
      </c>
      <c r="AP2268">
        <v>7</v>
      </c>
      <c r="AQ2268">
        <v>0</v>
      </c>
      <c r="AR2268" t="s">
        <v>7742</v>
      </c>
      <c r="AS2268" t="s">
        <v>7743</v>
      </c>
      <c r="AT2268">
        <v>0.44</v>
      </c>
      <c r="AU2268" t="s">
        <v>106</v>
      </c>
      <c r="AV2268" t="s">
        <v>257</v>
      </c>
      <c r="AW2268" t="s">
        <v>103</v>
      </c>
      <c r="AX2268" t="s">
        <v>2514</v>
      </c>
      <c r="AY2268" t="s">
        <v>7744</v>
      </c>
      <c r="AZ2268">
        <v>140.00000000582079</v>
      </c>
      <c r="BA2268">
        <v>0</v>
      </c>
      <c r="BB2268">
        <v>0</v>
      </c>
      <c r="BC2268">
        <v>0.5</v>
      </c>
      <c r="BD2268">
        <v>0</v>
      </c>
      <c r="BE2268">
        <f t="shared" si="359"/>
        <v>1</v>
      </c>
    </row>
    <row r="2269" spans="1:57" x14ac:dyDescent="0.25">
      <c r="A2269" t="s">
        <v>39</v>
      </c>
      <c r="B2269" t="s">
        <v>7745</v>
      </c>
      <c r="C2269">
        <v>60.8</v>
      </c>
      <c r="D2269">
        <v>53.6</v>
      </c>
      <c r="G2269">
        <f t="shared" si="350"/>
        <v>1</v>
      </c>
      <c r="H2269">
        <f t="shared" si="351"/>
        <v>0</v>
      </c>
      <c r="I2269">
        <f t="shared" si="352"/>
        <v>1</v>
      </c>
      <c r="J2269">
        <v>56.8</v>
      </c>
      <c r="K2269">
        <v>60.8</v>
      </c>
      <c r="L2269">
        <v>53.6</v>
      </c>
      <c r="M2269">
        <v>56.8</v>
      </c>
      <c r="N2269">
        <v>45.7</v>
      </c>
      <c r="O2269">
        <v>66.599999999999994</v>
      </c>
      <c r="S2269">
        <f t="shared" si="353"/>
        <v>1</v>
      </c>
      <c r="T2269">
        <f t="shared" si="354"/>
        <v>1</v>
      </c>
      <c r="U2269">
        <f t="shared" si="355"/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30.9</v>
      </c>
      <c r="AC2269">
        <v>21.9</v>
      </c>
      <c r="AG2269">
        <f t="shared" si="356"/>
        <v>1</v>
      </c>
      <c r="AH2269">
        <f t="shared" si="357"/>
        <v>1</v>
      </c>
      <c r="AI2269">
        <f t="shared" si="358"/>
        <v>0</v>
      </c>
      <c r="AJ2269">
        <v>300.3</v>
      </c>
      <c r="AK2269">
        <v>1015.8</v>
      </c>
      <c r="AL2269">
        <v>56.2</v>
      </c>
      <c r="AM2269">
        <v>6.2</v>
      </c>
      <c r="AN2269">
        <v>172.5</v>
      </c>
      <c r="AO2269">
        <v>14.9</v>
      </c>
      <c r="AP2269">
        <v>6</v>
      </c>
      <c r="AQ2269">
        <v>0</v>
      </c>
      <c r="AR2269" t="s">
        <v>7746</v>
      </c>
      <c r="AS2269" t="s">
        <v>7747</v>
      </c>
      <c r="AT2269">
        <v>0.54</v>
      </c>
      <c r="AU2269" t="s">
        <v>43</v>
      </c>
      <c r="AV2269" t="s">
        <v>44</v>
      </c>
      <c r="AW2269" t="s">
        <v>45</v>
      </c>
      <c r="AX2269" t="s">
        <v>4184</v>
      </c>
      <c r="AY2269" t="s">
        <v>7748</v>
      </c>
      <c r="AZ2269">
        <v>139.00000000256111</v>
      </c>
      <c r="BA2269">
        <v>0</v>
      </c>
      <c r="BB2269">
        <v>0</v>
      </c>
      <c r="BC2269">
        <v>2</v>
      </c>
      <c r="BD2269">
        <v>0</v>
      </c>
      <c r="BE2269">
        <f t="shared" si="359"/>
        <v>1</v>
      </c>
    </row>
    <row r="2270" spans="1:57" x14ac:dyDescent="0.25">
      <c r="A2270" t="s">
        <v>39</v>
      </c>
      <c r="B2270" t="s">
        <v>7749</v>
      </c>
      <c r="C2270">
        <v>66.2</v>
      </c>
      <c r="D2270">
        <v>49.7</v>
      </c>
      <c r="G2270">
        <f t="shared" si="350"/>
        <v>0</v>
      </c>
      <c r="H2270">
        <f t="shared" si="351"/>
        <v>0</v>
      </c>
      <c r="I2270">
        <f t="shared" si="352"/>
        <v>0</v>
      </c>
      <c r="J2270">
        <v>59.2</v>
      </c>
      <c r="K2270">
        <v>66.2</v>
      </c>
      <c r="L2270">
        <v>46.5</v>
      </c>
      <c r="M2270">
        <v>59.1</v>
      </c>
      <c r="N2270">
        <v>44.6</v>
      </c>
      <c r="O2270">
        <v>59.5</v>
      </c>
      <c r="S2270">
        <f t="shared" si="353"/>
        <v>1</v>
      </c>
      <c r="T2270">
        <f t="shared" si="354"/>
        <v>0</v>
      </c>
      <c r="U2270">
        <f t="shared" si="355"/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35.799999999999997</v>
      </c>
      <c r="AC2270">
        <v>20.8</v>
      </c>
      <c r="AG2270">
        <f t="shared" si="356"/>
        <v>1</v>
      </c>
      <c r="AH2270">
        <f t="shared" si="357"/>
        <v>1</v>
      </c>
      <c r="AI2270">
        <f t="shared" si="358"/>
        <v>0</v>
      </c>
      <c r="AJ2270">
        <v>291.60000000000002</v>
      </c>
      <c r="AK2270">
        <v>1015.5</v>
      </c>
      <c r="AL2270">
        <v>32.1</v>
      </c>
      <c r="AM2270">
        <v>6.2</v>
      </c>
      <c r="AN2270">
        <v>285.89999999999998</v>
      </c>
      <c r="AO2270">
        <v>24.7</v>
      </c>
      <c r="AP2270">
        <v>9</v>
      </c>
      <c r="AQ2270">
        <v>0</v>
      </c>
      <c r="AR2270" t="s">
        <v>7750</v>
      </c>
      <c r="AS2270" t="s">
        <v>7751</v>
      </c>
      <c r="AT2270">
        <v>0.57999999999999996</v>
      </c>
      <c r="AU2270" t="s">
        <v>43</v>
      </c>
      <c r="AV2270" t="s">
        <v>44</v>
      </c>
      <c r="AW2270" t="s">
        <v>45</v>
      </c>
      <c r="AX2270" t="s">
        <v>4788</v>
      </c>
      <c r="AY2270" t="s">
        <v>7752</v>
      </c>
      <c r="AZ2270">
        <v>149.99999999650751</v>
      </c>
      <c r="BA2270">
        <v>0</v>
      </c>
      <c r="BB2270">
        <v>0</v>
      </c>
      <c r="BC2270">
        <v>0.5</v>
      </c>
      <c r="BD2270">
        <v>0</v>
      </c>
      <c r="BE2270">
        <f t="shared" si="359"/>
        <v>0</v>
      </c>
    </row>
    <row r="2271" spans="1:57" x14ac:dyDescent="0.25">
      <c r="A2271" t="s">
        <v>39</v>
      </c>
      <c r="B2271" t="s">
        <v>7753</v>
      </c>
      <c r="C2271">
        <v>68</v>
      </c>
      <c r="D2271">
        <v>53.6</v>
      </c>
      <c r="G2271">
        <f t="shared" si="350"/>
        <v>0</v>
      </c>
      <c r="H2271">
        <f t="shared" si="351"/>
        <v>0</v>
      </c>
      <c r="I2271">
        <f t="shared" si="352"/>
        <v>0</v>
      </c>
      <c r="J2271">
        <v>61.9</v>
      </c>
      <c r="K2271">
        <v>68</v>
      </c>
      <c r="L2271">
        <v>53.6</v>
      </c>
      <c r="M2271">
        <v>61.9</v>
      </c>
      <c r="N2271">
        <v>46.2</v>
      </c>
      <c r="O2271">
        <v>56.8</v>
      </c>
      <c r="S2271">
        <f t="shared" si="353"/>
        <v>1</v>
      </c>
      <c r="T2271">
        <f t="shared" si="354"/>
        <v>0</v>
      </c>
      <c r="U2271">
        <f t="shared" si="355"/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28</v>
      </c>
      <c r="AC2271">
        <v>16.100000000000001</v>
      </c>
      <c r="AG2271">
        <f t="shared" si="356"/>
        <v>0</v>
      </c>
      <c r="AH2271">
        <f t="shared" si="357"/>
        <v>0</v>
      </c>
      <c r="AI2271">
        <f t="shared" si="358"/>
        <v>0</v>
      </c>
      <c r="AJ2271">
        <v>289.89999999999998</v>
      </c>
      <c r="AK2271">
        <v>1017</v>
      </c>
      <c r="AL2271">
        <v>7.3</v>
      </c>
      <c r="AM2271">
        <v>6.2</v>
      </c>
      <c r="AN2271">
        <v>294</v>
      </c>
      <c r="AO2271">
        <v>25.4</v>
      </c>
      <c r="AP2271">
        <v>9</v>
      </c>
      <c r="AQ2271">
        <v>0</v>
      </c>
      <c r="AR2271" t="s">
        <v>7754</v>
      </c>
      <c r="AS2271" t="s">
        <v>7755</v>
      </c>
      <c r="AT2271">
        <v>0.61</v>
      </c>
      <c r="AU2271" t="s">
        <v>74</v>
      </c>
      <c r="AV2271" t="s">
        <v>2955</v>
      </c>
      <c r="AW2271" t="s">
        <v>75</v>
      </c>
      <c r="AX2271" t="s">
        <v>4263</v>
      </c>
      <c r="AY2271" t="s">
        <v>7756</v>
      </c>
      <c r="AZ2271">
        <v>1509.9999999976719</v>
      </c>
      <c r="BA2271">
        <v>1</v>
      </c>
      <c r="BB2271">
        <v>0</v>
      </c>
      <c r="BC2271">
        <v>1</v>
      </c>
      <c r="BD2271">
        <v>0</v>
      </c>
      <c r="BE2271">
        <f t="shared" si="359"/>
        <v>0</v>
      </c>
    </row>
    <row r="2272" spans="1:57" x14ac:dyDescent="0.25">
      <c r="A2272" t="s">
        <v>39</v>
      </c>
      <c r="B2272" t="s">
        <v>7757</v>
      </c>
      <c r="C2272">
        <v>69.8</v>
      </c>
      <c r="D2272">
        <v>50</v>
      </c>
      <c r="G2272">
        <f t="shared" si="350"/>
        <v>1</v>
      </c>
      <c r="H2272">
        <f t="shared" si="351"/>
        <v>1</v>
      </c>
      <c r="I2272">
        <f t="shared" si="352"/>
        <v>0</v>
      </c>
      <c r="J2272">
        <v>59.9</v>
      </c>
      <c r="K2272">
        <v>69.8</v>
      </c>
      <c r="L2272">
        <v>50</v>
      </c>
      <c r="M2272">
        <v>59.9</v>
      </c>
      <c r="N2272">
        <v>47</v>
      </c>
      <c r="O2272">
        <v>63.5</v>
      </c>
      <c r="S2272">
        <f t="shared" si="353"/>
        <v>0</v>
      </c>
      <c r="T2272">
        <f t="shared" si="354"/>
        <v>0</v>
      </c>
      <c r="U2272">
        <f t="shared" si="355"/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24.4</v>
      </c>
      <c r="AC2272">
        <v>9.1999999999999993</v>
      </c>
      <c r="AG2272">
        <f t="shared" si="356"/>
        <v>1</v>
      </c>
      <c r="AH2272">
        <f t="shared" si="357"/>
        <v>0</v>
      </c>
      <c r="AI2272">
        <f t="shared" si="358"/>
        <v>1</v>
      </c>
      <c r="AJ2272">
        <v>232</v>
      </c>
      <c r="AK2272">
        <v>1018.7</v>
      </c>
      <c r="AL2272">
        <v>11.1</v>
      </c>
      <c r="AM2272">
        <v>6.2</v>
      </c>
      <c r="AN2272">
        <v>293.39999999999998</v>
      </c>
      <c r="AO2272">
        <v>25.4</v>
      </c>
      <c r="AP2272">
        <v>9</v>
      </c>
      <c r="AQ2272">
        <v>0</v>
      </c>
      <c r="AR2272" t="s">
        <v>7758</v>
      </c>
      <c r="AS2272" t="s">
        <v>7759</v>
      </c>
      <c r="AT2272">
        <v>0.64</v>
      </c>
      <c r="AU2272" t="s">
        <v>74</v>
      </c>
      <c r="AV2272" t="s">
        <v>2955</v>
      </c>
      <c r="AW2272" t="s">
        <v>75</v>
      </c>
      <c r="AX2272" t="s">
        <v>5570</v>
      </c>
      <c r="AY2272" t="s">
        <v>7760</v>
      </c>
      <c r="AZ2272">
        <v>182.99999999930151</v>
      </c>
      <c r="BA2272">
        <v>0</v>
      </c>
      <c r="BB2272">
        <v>0</v>
      </c>
      <c r="BC2272">
        <v>4</v>
      </c>
      <c r="BD2272">
        <v>0</v>
      </c>
      <c r="BE2272">
        <f t="shared" si="359"/>
        <v>0</v>
      </c>
    </row>
    <row r="2273" spans="1:57" x14ac:dyDescent="0.25">
      <c r="A2273" t="s">
        <v>39</v>
      </c>
      <c r="B2273" t="s">
        <v>7761</v>
      </c>
      <c r="C2273">
        <v>66.2</v>
      </c>
      <c r="D2273">
        <v>51.8</v>
      </c>
      <c r="G2273">
        <f t="shared" si="350"/>
        <v>0</v>
      </c>
      <c r="H2273">
        <f t="shared" si="351"/>
        <v>0</v>
      </c>
      <c r="I2273">
        <f t="shared" si="352"/>
        <v>0</v>
      </c>
      <c r="J2273">
        <v>59</v>
      </c>
      <c r="K2273">
        <v>66.2</v>
      </c>
      <c r="L2273">
        <v>51.8</v>
      </c>
      <c r="M2273">
        <v>59</v>
      </c>
      <c r="N2273">
        <v>52.1</v>
      </c>
      <c r="O2273">
        <v>78.2</v>
      </c>
      <c r="S2273">
        <f t="shared" si="353"/>
        <v>1</v>
      </c>
      <c r="T2273">
        <f t="shared" si="354"/>
        <v>1</v>
      </c>
      <c r="U2273">
        <f t="shared" si="355"/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22.6</v>
      </c>
      <c r="AC2273">
        <v>8.1</v>
      </c>
      <c r="AG2273">
        <f t="shared" si="356"/>
        <v>1</v>
      </c>
      <c r="AH2273">
        <f t="shared" si="357"/>
        <v>0</v>
      </c>
      <c r="AI2273">
        <f t="shared" si="358"/>
        <v>1</v>
      </c>
      <c r="AJ2273">
        <v>230.6</v>
      </c>
      <c r="AK2273">
        <v>1019.5</v>
      </c>
      <c r="AL2273">
        <v>17.600000000000001</v>
      </c>
      <c r="AM2273">
        <v>6.2</v>
      </c>
      <c r="AN2273">
        <v>292.2</v>
      </c>
      <c r="AO2273">
        <v>25.1</v>
      </c>
      <c r="AP2273">
        <v>9</v>
      </c>
      <c r="AQ2273">
        <v>0</v>
      </c>
      <c r="AR2273" t="s">
        <v>7762</v>
      </c>
      <c r="AS2273" t="s">
        <v>7763</v>
      </c>
      <c r="AT2273">
        <v>0.68</v>
      </c>
      <c r="AU2273" t="s">
        <v>74</v>
      </c>
      <c r="AV2273" t="s">
        <v>2955</v>
      </c>
      <c r="AW2273" t="s">
        <v>75</v>
      </c>
      <c r="AX2273" t="s">
        <v>7764</v>
      </c>
      <c r="AY2273" t="s">
        <v>7765</v>
      </c>
      <c r="AZ2273">
        <v>63.999999999068677</v>
      </c>
      <c r="BA2273">
        <v>0</v>
      </c>
      <c r="BB2273">
        <v>0</v>
      </c>
      <c r="BC2273">
        <v>1</v>
      </c>
      <c r="BD2273">
        <v>0</v>
      </c>
      <c r="BE2273">
        <f t="shared" si="359"/>
        <v>0</v>
      </c>
    </row>
    <row r="2274" spans="1:57" x14ac:dyDescent="0.25">
      <c r="A2274" t="s">
        <v>39</v>
      </c>
      <c r="B2274" t="s">
        <v>7766</v>
      </c>
      <c r="C2274">
        <v>73.400000000000006</v>
      </c>
      <c r="D2274">
        <v>51.8</v>
      </c>
      <c r="G2274">
        <f t="shared" si="350"/>
        <v>1</v>
      </c>
      <c r="H2274">
        <f t="shared" si="351"/>
        <v>1</v>
      </c>
      <c r="I2274">
        <f t="shared" si="352"/>
        <v>0</v>
      </c>
      <c r="J2274">
        <v>62.5</v>
      </c>
      <c r="K2274">
        <v>73.400000000000006</v>
      </c>
      <c r="L2274">
        <v>51.8</v>
      </c>
      <c r="M2274">
        <v>62.5</v>
      </c>
      <c r="N2274">
        <v>42.8</v>
      </c>
      <c r="O2274">
        <v>51.8</v>
      </c>
      <c r="S2274">
        <f t="shared" si="353"/>
        <v>1</v>
      </c>
      <c r="T2274">
        <f t="shared" si="354"/>
        <v>0</v>
      </c>
      <c r="U2274">
        <f t="shared" si="355"/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31</v>
      </c>
      <c r="AC2274">
        <v>32.200000000000003</v>
      </c>
      <c r="AG2274">
        <f t="shared" si="356"/>
        <v>1</v>
      </c>
      <c r="AH2274">
        <f t="shared" si="357"/>
        <v>1</v>
      </c>
      <c r="AI2274">
        <f t="shared" si="358"/>
        <v>0</v>
      </c>
      <c r="AJ2274">
        <v>156</v>
      </c>
      <c r="AK2274">
        <v>1016.9</v>
      </c>
      <c r="AL2274">
        <v>8.6</v>
      </c>
      <c r="AM2274">
        <v>6.2</v>
      </c>
      <c r="AN2274">
        <v>296.10000000000002</v>
      </c>
      <c r="AO2274">
        <v>25.7</v>
      </c>
      <c r="AP2274">
        <v>9</v>
      </c>
      <c r="AQ2274">
        <v>0</v>
      </c>
      <c r="AR2274" t="s">
        <v>7767</v>
      </c>
      <c r="AS2274" t="s">
        <v>7768</v>
      </c>
      <c r="AT2274">
        <v>0.71</v>
      </c>
      <c r="AU2274" t="s">
        <v>74</v>
      </c>
      <c r="AV2274" t="s">
        <v>2955</v>
      </c>
      <c r="AW2274" t="s">
        <v>419</v>
      </c>
      <c r="AX2274" t="s">
        <v>7769</v>
      </c>
      <c r="AY2274" t="s">
        <v>7770</v>
      </c>
      <c r="AZ2274">
        <v>1367.000000003027</v>
      </c>
      <c r="BA2274">
        <v>1</v>
      </c>
      <c r="BB2274">
        <v>0</v>
      </c>
      <c r="BC2274">
        <v>50</v>
      </c>
      <c r="BD2274">
        <v>0</v>
      </c>
      <c r="BE2274">
        <f t="shared" si="359"/>
        <v>1</v>
      </c>
    </row>
    <row r="2275" spans="1:57" x14ac:dyDescent="0.25">
      <c r="A2275" t="s">
        <v>39</v>
      </c>
      <c r="B2275" t="s">
        <v>7766</v>
      </c>
      <c r="C2275">
        <v>73.400000000000006</v>
      </c>
      <c r="D2275">
        <v>51.8</v>
      </c>
      <c r="G2275">
        <f t="shared" si="350"/>
        <v>1</v>
      </c>
      <c r="H2275">
        <f t="shared" si="351"/>
        <v>1</v>
      </c>
      <c r="I2275">
        <f t="shared" si="352"/>
        <v>0</v>
      </c>
      <c r="J2275">
        <v>62.5</v>
      </c>
      <c r="K2275">
        <v>73.400000000000006</v>
      </c>
      <c r="L2275">
        <v>51.8</v>
      </c>
      <c r="M2275">
        <v>62.5</v>
      </c>
      <c r="N2275">
        <v>42.8</v>
      </c>
      <c r="O2275">
        <v>51.8</v>
      </c>
      <c r="S2275">
        <f t="shared" si="353"/>
        <v>1</v>
      </c>
      <c r="T2275">
        <f t="shared" si="354"/>
        <v>0</v>
      </c>
      <c r="U2275">
        <f t="shared" si="355"/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31</v>
      </c>
      <c r="AC2275">
        <v>32.200000000000003</v>
      </c>
      <c r="AG2275">
        <f t="shared" si="356"/>
        <v>1</v>
      </c>
      <c r="AH2275">
        <f t="shared" si="357"/>
        <v>1</v>
      </c>
      <c r="AI2275">
        <f t="shared" si="358"/>
        <v>0</v>
      </c>
      <c r="AJ2275">
        <v>156</v>
      </c>
      <c r="AK2275">
        <v>1016.9</v>
      </c>
      <c r="AL2275">
        <v>8.6</v>
      </c>
      <c r="AM2275">
        <v>6.2</v>
      </c>
      <c r="AN2275">
        <v>296.10000000000002</v>
      </c>
      <c r="AO2275">
        <v>25.7</v>
      </c>
      <c r="AP2275">
        <v>9</v>
      </c>
      <c r="AQ2275">
        <v>0</v>
      </c>
      <c r="AR2275" t="s">
        <v>7767</v>
      </c>
      <c r="AS2275" t="s">
        <v>7768</v>
      </c>
      <c r="AT2275">
        <v>0.71</v>
      </c>
      <c r="AU2275" t="s">
        <v>74</v>
      </c>
      <c r="AV2275" t="s">
        <v>2955</v>
      </c>
      <c r="AW2275" t="s">
        <v>419</v>
      </c>
      <c r="AX2275" t="s">
        <v>7771</v>
      </c>
      <c r="AY2275" t="s">
        <v>7772</v>
      </c>
      <c r="AZ2275">
        <v>90.99999999278225</v>
      </c>
      <c r="BA2275">
        <v>0</v>
      </c>
      <c r="BB2275">
        <v>0</v>
      </c>
      <c r="BC2275">
        <v>0.2</v>
      </c>
      <c r="BD2275">
        <v>0</v>
      </c>
      <c r="BE2275">
        <f t="shared" si="359"/>
        <v>1</v>
      </c>
    </row>
    <row r="2276" spans="1:57" x14ac:dyDescent="0.25">
      <c r="A2276" t="s">
        <v>39</v>
      </c>
      <c r="B2276" t="s">
        <v>7773</v>
      </c>
      <c r="C2276">
        <v>71.599999999999994</v>
      </c>
      <c r="D2276">
        <v>51.8</v>
      </c>
      <c r="G2276">
        <f t="shared" si="350"/>
        <v>1</v>
      </c>
      <c r="H2276">
        <f t="shared" si="351"/>
        <v>1</v>
      </c>
      <c r="I2276">
        <f t="shared" si="352"/>
        <v>0</v>
      </c>
      <c r="J2276">
        <v>63.4</v>
      </c>
      <c r="K2276">
        <v>71.599999999999994</v>
      </c>
      <c r="L2276">
        <v>51.8</v>
      </c>
      <c r="M2276">
        <v>63.4</v>
      </c>
      <c r="N2276">
        <v>52.2</v>
      </c>
      <c r="O2276">
        <v>69</v>
      </c>
      <c r="S2276">
        <f t="shared" si="353"/>
        <v>1</v>
      </c>
      <c r="T2276">
        <f t="shared" si="354"/>
        <v>1</v>
      </c>
      <c r="U2276">
        <f t="shared" si="355"/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19.2</v>
      </c>
      <c r="AC2276">
        <v>9.1</v>
      </c>
      <c r="AG2276">
        <f t="shared" si="356"/>
        <v>1</v>
      </c>
      <c r="AH2276">
        <f t="shared" si="357"/>
        <v>0</v>
      </c>
      <c r="AI2276">
        <f t="shared" si="358"/>
        <v>1</v>
      </c>
      <c r="AJ2276">
        <v>149.69999999999999</v>
      </c>
      <c r="AK2276">
        <v>1014.1</v>
      </c>
      <c r="AL2276">
        <v>17.8</v>
      </c>
      <c r="AM2276">
        <v>6.2</v>
      </c>
      <c r="AN2276">
        <v>304.5</v>
      </c>
      <c r="AO2276">
        <v>26.3</v>
      </c>
      <c r="AP2276">
        <v>9</v>
      </c>
      <c r="AQ2276">
        <v>0</v>
      </c>
      <c r="AR2276" t="s">
        <v>7774</v>
      </c>
      <c r="AS2276" t="s">
        <v>7775</v>
      </c>
      <c r="AT2276">
        <v>0.22</v>
      </c>
      <c r="AU2276" t="s">
        <v>74</v>
      </c>
      <c r="AV2276" t="s">
        <v>2955</v>
      </c>
      <c r="AW2276" t="s">
        <v>75</v>
      </c>
      <c r="AX2276" t="s">
        <v>7776</v>
      </c>
      <c r="AY2276" t="s">
        <v>7777</v>
      </c>
      <c r="AZ2276">
        <v>856.99999999604188</v>
      </c>
      <c r="BA2276">
        <v>1</v>
      </c>
      <c r="BB2276">
        <v>0</v>
      </c>
      <c r="BC2276">
        <v>3.3</v>
      </c>
      <c r="BD2276">
        <v>0</v>
      </c>
      <c r="BE2276">
        <f t="shared" si="359"/>
        <v>1</v>
      </c>
    </row>
    <row r="2277" spans="1:57" x14ac:dyDescent="0.25">
      <c r="A2277" t="s">
        <v>39</v>
      </c>
      <c r="B2277" t="s">
        <v>7778</v>
      </c>
      <c r="C2277">
        <v>69.8</v>
      </c>
      <c r="D2277">
        <v>55.4</v>
      </c>
      <c r="G2277">
        <f t="shared" si="350"/>
        <v>1</v>
      </c>
      <c r="H2277">
        <f t="shared" si="351"/>
        <v>0</v>
      </c>
      <c r="I2277">
        <f t="shared" si="352"/>
        <v>1</v>
      </c>
      <c r="J2277">
        <v>63.7</v>
      </c>
      <c r="K2277">
        <v>69.8</v>
      </c>
      <c r="L2277">
        <v>55.4</v>
      </c>
      <c r="M2277">
        <v>63.7</v>
      </c>
      <c r="N2277">
        <v>55</v>
      </c>
      <c r="O2277">
        <v>74.2</v>
      </c>
      <c r="S2277">
        <f t="shared" si="353"/>
        <v>1</v>
      </c>
      <c r="T2277">
        <f t="shared" si="354"/>
        <v>1</v>
      </c>
      <c r="U2277">
        <f t="shared" si="355"/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20.6</v>
      </c>
      <c r="AC2277">
        <v>16</v>
      </c>
      <c r="AG2277">
        <f t="shared" si="356"/>
        <v>0</v>
      </c>
      <c r="AH2277">
        <f t="shared" si="357"/>
        <v>0</v>
      </c>
      <c r="AI2277">
        <f t="shared" si="358"/>
        <v>0</v>
      </c>
      <c r="AJ2277">
        <v>234.6</v>
      </c>
      <c r="AK2277">
        <v>1012</v>
      </c>
      <c r="AL2277">
        <v>27</v>
      </c>
      <c r="AM2277">
        <v>6.2</v>
      </c>
      <c r="AN2277">
        <v>310.60000000000002</v>
      </c>
      <c r="AO2277">
        <v>26.8</v>
      </c>
      <c r="AP2277">
        <v>9</v>
      </c>
      <c r="AQ2277">
        <v>0</v>
      </c>
      <c r="AR2277" t="s">
        <v>7779</v>
      </c>
      <c r="AS2277" t="s">
        <v>7780</v>
      </c>
      <c r="AT2277">
        <v>0.28999999999999998</v>
      </c>
      <c r="AU2277" t="s">
        <v>43</v>
      </c>
      <c r="AV2277" t="s">
        <v>44</v>
      </c>
      <c r="AW2277" t="s">
        <v>45</v>
      </c>
      <c r="AX2277" t="s">
        <v>7781</v>
      </c>
      <c r="AY2277" t="s">
        <v>7782</v>
      </c>
      <c r="AZ2277">
        <v>198.99999999906871</v>
      </c>
      <c r="BA2277">
        <v>0</v>
      </c>
      <c r="BB2277">
        <v>0.5</v>
      </c>
      <c r="BC2277">
        <v>0</v>
      </c>
      <c r="BD2277">
        <v>0</v>
      </c>
      <c r="BE2277">
        <f t="shared" si="359"/>
        <v>0</v>
      </c>
    </row>
    <row r="2278" spans="1:57" x14ac:dyDescent="0.25">
      <c r="A2278" t="s">
        <v>39</v>
      </c>
      <c r="B2278" t="s">
        <v>7783</v>
      </c>
      <c r="C2278">
        <v>71.599999999999994</v>
      </c>
      <c r="D2278">
        <v>57.2</v>
      </c>
      <c r="G2278">
        <f t="shared" si="350"/>
        <v>0</v>
      </c>
      <c r="H2278">
        <f t="shared" si="351"/>
        <v>0</v>
      </c>
      <c r="I2278">
        <f t="shared" si="352"/>
        <v>0</v>
      </c>
      <c r="J2278">
        <v>65</v>
      </c>
      <c r="K2278">
        <v>71.599999999999994</v>
      </c>
      <c r="L2278">
        <v>57.2</v>
      </c>
      <c r="M2278">
        <v>65</v>
      </c>
      <c r="N2278">
        <v>47.9</v>
      </c>
      <c r="O2278">
        <v>54.5</v>
      </c>
      <c r="S2278">
        <f t="shared" si="353"/>
        <v>1</v>
      </c>
      <c r="T2278">
        <f t="shared" si="354"/>
        <v>0</v>
      </c>
      <c r="U2278">
        <f t="shared" si="355"/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28.6</v>
      </c>
      <c r="AC2278">
        <v>16.100000000000001</v>
      </c>
      <c r="AG2278">
        <f t="shared" si="356"/>
        <v>0</v>
      </c>
      <c r="AH2278">
        <f t="shared" si="357"/>
        <v>0</v>
      </c>
      <c r="AI2278">
        <f t="shared" si="358"/>
        <v>0</v>
      </c>
      <c r="AJ2278">
        <v>301</v>
      </c>
      <c r="AK2278">
        <v>1017.3</v>
      </c>
      <c r="AL2278">
        <v>5.5</v>
      </c>
      <c r="AM2278">
        <v>6.2</v>
      </c>
      <c r="AN2278">
        <v>324</v>
      </c>
      <c r="AO2278">
        <v>27.8</v>
      </c>
      <c r="AP2278">
        <v>10</v>
      </c>
      <c r="AQ2278">
        <v>0</v>
      </c>
      <c r="AR2278" t="s">
        <v>7784</v>
      </c>
      <c r="AS2278" t="s">
        <v>7785</v>
      </c>
      <c r="AT2278">
        <v>0.56000000000000005</v>
      </c>
      <c r="AU2278" t="s">
        <v>74</v>
      </c>
      <c r="AV2278" t="s">
        <v>2955</v>
      </c>
      <c r="AW2278" t="s">
        <v>75</v>
      </c>
      <c r="AX2278" t="s">
        <v>7786</v>
      </c>
      <c r="AY2278" t="s">
        <v>7787</v>
      </c>
      <c r="AZ2278">
        <v>282.00000000768341</v>
      </c>
      <c r="BA2278">
        <v>0</v>
      </c>
      <c r="BB2278">
        <v>0</v>
      </c>
      <c r="BC2278">
        <v>1</v>
      </c>
      <c r="BD2278">
        <v>0</v>
      </c>
      <c r="BE2278">
        <f t="shared" si="359"/>
        <v>0</v>
      </c>
    </row>
    <row r="2279" spans="1:57" x14ac:dyDescent="0.25">
      <c r="A2279" t="s">
        <v>39</v>
      </c>
      <c r="B2279" t="s">
        <v>7788</v>
      </c>
      <c r="C2279">
        <v>87.8</v>
      </c>
      <c r="D2279">
        <v>57.2</v>
      </c>
      <c r="G2279">
        <f t="shared" si="350"/>
        <v>1</v>
      </c>
      <c r="H2279">
        <f t="shared" si="351"/>
        <v>1</v>
      </c>
      <c r="I2279">
        <f t="shared" si="352"/>
        <v>0</v>
      </c>
      <c r="J2279">
        <v>69.5</v>
      </c>
      <c r="K2279">
        <v>84.1</v>
      </c>
      <c r="L2279">
        <v>57.2</v>
      </c>
      <c r="M2279">
        <v>69.099999999999994</v>
      </c>
      <c r="N2279">
        <v>48.9</v>
      </c>
      <c r="O2279">
        <v>51.2</v>
      </c>
      <c r="S2279">
        <f t="shared" si="353"/>
        <v>1</v>
      </c>
      <c r="T2279">
        <f t="shared" si="354"/>
        <v>0</v>
      </c>
      <c r="U2279">
        <f t="shared" si="355"/>
        <v>1</v>
      </c>
      <c r="V2279">
        <v>1E-3</v>
      </c>
      <c r="W2279">
        <v>100</v>
      </c>
      <c r="X2279">
        <v>4.17</v>
      </c>
      <c r="Y2279" t="s">
        <v>103</v>
      </c>
      <c r="Z2279">
        <v>0</v>
      </c>
      <c r="AA2279">
        <v>0</v>
      </c>
      <c r="AB2279">
        <v>20.8</v>
      </c>
      <c r="AC2279">
        <v>13.9</v>
      </c>
      <c r="AG2279">
        <f t="shared" si="356"/>
        <v>1</v>
      </c>
      <c r="AH2279">
        <f t="shared" si="357"/>
        <v>0</v>
      </c>
      <c r="AI2279">
        <f t="shared" si="358"/>
        <v>1</v>
      </c>
      <c r="AJ2279">
        <v>198.3</v>
      </c>
      <c r="AK2279">
        <v>1015.4</v>
      </c>
      <c r="AL2279">
        <v>33</v>
      </c>
      <c r="AM2279">
        <v>6.2</v>
      </c>
      <c r="AN2279">
        <v>322.60000000000002</v>
      </c>
      <c r="AO2279">
        <v>28</v>
      </c>
      <c r="AP2279">
        <v>10</v>
      </c>
      <c r="AQ2279">
        <v>0</v>
      </c>
      <c r="AR2279" t="s">
        <v>7789</v>
      </c>
      <c r="AS2279" t="s">
        <v>7790</v>
      </c>
      <c r="AT2279">
        <v>0.63</v>
      </c>
      <c r="AU2279" t="s">
        <v>106</v>
      </c>
      <c r="AV2279" t="s">
        <v>296</v>
      </c>
      <c r="AW2279" t="s">
        <v>103</v>
      </c>
      <c r="AX2279" t="s">
        <v>7791</v>
      </c>
      <c r="AY2279" t="s">
        <v>7792</v>
      </c>
      <c r="AZ2279">
        <v>21.000000005587939</v>
      </c>
      <c r="BA2279">
        <v>0</v>
      </c>
      <c r="BB2279">
        <v>0</v>
      </c>
      <c r="BC2279">
        <v>0.01</v>
      </c>
      <c r="BD2279">
        <v>0</v>
      </c>
      <c r="BE2279">
        <f t="shared" si="359"/>
        <v>1</v>
      </c>
    </row>
    <row r="2280" spans="1:57" x14ac:dyDescent="0.25">
      <c r="A2280" t="s">
        <v>39</v>
      </c>
      <c r="B2280" t="s">
        <v>7793</v>
      </c>
      <c r="C2280">
        <v>100.3</v>
      </c>
      <c r="D2280">
        <v>66.2</v>
      </c>
      <c r="G2280">
        <f t="shared" si="350"/>
        <v>1</v>
      </c>
      <c r="H2280">
        <f t="shared" si="351"/>
        <v>1</v>
      </c>
      <c r="I2280">
        <f t="shared" si="352"/>
        <v>0</v>
      </c>
      <c r="J2280">
        <v>76.7</v>
      </c>
      <c r="K2280">
        <v>101.3</v>
      </c>
      <c r="L2280">
        <v>66.2</v>
      </c>
      <c r="M2280">
        <v>77.099999999999994</v>
      </c>
      <c r="N2280">
        <v>63</v>
      </c>
      <c r="O2280">
        <v>66</v>
      </c>
      <c r="S2280">
        <f t="shared" si="353"/>
        <v>0</v>
      </c>
      <c r="T2280">
        <f t="shared" si="354"/>
        <v>0</v>
      </c>
      <c r="U2280">
        <f t="shared" si="355"/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20.6</v>
      </c>
      <c r="AC2280">
        <v>16.100000000000001</v>
      </c>
      <c r="AG2280">
        <f t="shared" si="356"/>
        <v>0</v>
      </c>
      <c r="AH2280">
        <f t="shared" si="357"/>
        <v>0</v>
      </c>
      <c r="AI2280">
        <f t="shared" si="358"/>
        <v>0</v>
      </c>
      <c r="AJ2280">
        <v>219.4</v>
      </c>
      <c r="AK2280">
        <v>1008.9</v>
      </c>
      <c r="AL2280">
        <v>60.2</v>
      </c>
      <c r="AM2280">
        <v>6.2</v>
      </c>
      <c r="AN2280">
        <v>324.5</v>
      </c>
      <c r="AO2280">
        <v>28</v>
      </c>
      <c r="AP2280">
        <v>10</v>
      </c>
      <c r="AQ2280">
        <v>0</v>
      </c>
      <c r="AR2280" t="s">
        <v>7794</v>
      </c>
      <c r="AS2280" t="s">
        <v>7795</v>
      </c>
      <c r="AT2280">
        <v>0.92</v>
      </c>
      <c r="AU2280" t="s">
        <v>43</v>
      </c>
      <c r="AV2280" t="s">
        <v>44</v>
      </c>
      <c r="AW2280" t="s">
        <v>45</v>
      </c>
      <c r="AX2280" t="s">
        <v>2481</v>
      </c>
      <c r="AY2280" t="s">
        <v>7796</v>
      </c>
      <c r="AZ2280">
        <v>1978.9999999967399</v>
      </c>
      <c r="BA2280">
        <v>1</v>
      </c>
      <c r="BB2280">
        <v>0</v>
      </c>
      <c r="BC2280">
        <v>1</v>
      </c>
      <c r="BD2280">
        <v>0</v>
      </c>
      <c r="BE2280">
        <f t="shared" si="359"/>
        <v>0</v>
      </c>
    </row>
    <row r="2281" spans="1:57" x14ac:dyDescent="0.25">
      <c r="A2281" t="s">
        <v>39</v>
      </c>
      <c r="B2281" t="s">
        <v>7797</v>
      </c>
      <c r="C2281">
        <v>68</v>
      </c>
      <c r="D2281">
        <v>62.6</v>
      </c>
      <c r="G2281">
        <f t="shared" si="350"/>
        <v>1</v>
      </c>
      <c r="H2281">
        <f t="shared" si="351"/>
        <v>0</v>
      </c>
      <c r="I2281">
        <f t="shared" si="352"/>
        <v>1</v>
      </c>
      <c r="J2281">
        <v>65.599999999999994</v>
      </c>
      <c r="K2281">
        <v>68</v>
      </c>
      <c r="L2281">
        <v>62.6</v>
      </c>
      <c r="M2281">
        <v>65.599999999999994</v>
      </c>
      <c r="N2281">
        <v>51.3</v>
      </c>
      <c r="O2281">
        <v>60.1</v>
      </c>
      <c r="S2281">
        <f t="shared" si="353"/>
        <v>1</v>
      </c>
      <c r="T2281">
        <f t="shared" si="354"/>
        <v>0</v>
      </c>
      <c r="U2281">
        <f t="shared" si="355"/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27.7</v>
      </c>
      <c r="AC2281">
        <v>19.600000000000001</v>
      </c>
      <c r="AG2281">
        <f t="shared" si="356"/>
        <v>1</v>
      </c>
      <c r="AH2281">
        <f t="shared" si="357"/>
        <v>1</v>
      </c>
      <c r="AI2281">
        <f t="shared" si="358"/>
        <v>0</v>
      </c>
      <c r="AJ2281">
        <v>316</v>
      </c>
      <c r="AK2281">
        <v>1018.3</v>
      </c>
      <c r="AL2281">
        <v>42.8</v>
      </c>
      <c r="AM2281">
        <v>6.2</v>
      </c>
      <c r="AN2281">
        <v>282</v>
      </c>
      <c r="AO2281">
        <v>24.4</v>
      </c>
      <c r="AP2281">
        <v>8</v>
      </c>
      <c r="AQ2281">
        <v>0</v>
      </c>
      <c r="AR2281" t="s">
        <v>7798</v>
      </c>
      <c r="AS2281" t="s">
        <v>7799</v>
      </c>
      <c r="AT2281">
        <v>0.2</v>
      </c>
      <c r="AU2281" t="s">
        <v>43</v>
      </c>
      <c r="AV2281" t="s">
        <v>44</v>
      </c>
      <c r="AW2281" t="s">
        <v>45</v>
      </c>
      <c r="AX2281" t="s">
        <v>7800</v>
      </c>
      <c r="AY2281" t="s">
        <v>7801</v>
      </c>
      <c r="AZ2281">
        <v>72.000000004190952</v>
      </c>
      <c r="BA2281">
        <v>0</v>
      </c>
      <c r="BB2281">
        <v>0</v>
      </c>
      <c r="BC2281">
        <v>0.1</v>
      </c>
      <c r="BD2281">
        <v>0</v>
      </c>
      <c r="BE2281">
        <f t="shared" si="359"/>
        <v>1</v>
      </c>
    </row>
    <row r="2282" spans="1:57" x14ac:dyDescent="0.25">
      <c r="A2282" t="s">
        <v>39</v>
      </c>
      <c r="B2282" t="s">
        <v>7802</v>
      </c>
      <c r="C2282">
        <v>73.400000000000006</v>
      </c>
      <c r="D2282">
        <v>55.4</v>
      </c>
      <c r="G2282">
        <f t="shared" si="350"/>
        <v>0</v>
      </c>
      <c r="H2282">
        <f t="shared" si="351"/>
        <v>0</v>
      </c>
      <c r="I2282">
        <f t="shared" si="352"/>
        <v>0</v>
      </c>
      <c r="J2282">
        <v>65.099999999999994</v>
      </c>
      <c r="K2282">
        <v>73.400000000000006</v>
      </c>
      <c r="L2282">
        <v>55.4</v>
      </c>
      <c r="M2282">
        <v>65.099999999999994</v>
      </c>
      <c r="N2282">
        <v>53.2</v>
      </c>
      <c r="O2282">
        <v>66.2</v>
      </c>
      <c r="S2282">
        <f t="shared" si="353"/>
        <v>1</v>
      </c>
      <c r="T2282">
        <f t="shared" si="354"/>
        <v>1</v>
      </c>
      <c r="U2282">
        <f t="shared" si="355"/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22.1</v>
      </c>
      <c r="AC2282">
        <v>18.3</v>
      </c>
      <c r="AG2282">
        <f t="shared" si="356"/>
        <v>0</v>
      </c>
      <c r="AH2282">
        <f t="shared" si="357"/>
        <v>0</v>
      </c>
      <c r="AI2282">
        <f t="shared" si="358"/>
        <v>0</v>
      </c>
      <c r="AJ2282">
        <v>267.5</v>
      </c>
      <c r="AK2282">
        <v>1017</v>
      </c>
      <c r="AL2282">
        <v>32.5</v>
      </c>
      <c r="AM2282">
        <v>6.2</v>
      </c>
      <c r="AN2282">
        <v>302.2</v>
      </c>
      <c r="AO2282">
        <v>26.2</v>
      </c>
      <c r="AP2282">
        <v>9</v>
      </c>
      <c r="AQ2282">
        <v>0</v>
      </c>
      <c r="AR2282" t="s">
        <v>7803</v>
      </c>
      <c r="AS2282" t="s">
        <v>7804</v>
      </c>
      <c r="AT2282">
        <v>0.24</v>
      </c>
      <c r="AU2282" t="s">
        <v>43</v>
      </c>
      <c r="AV2282" t="s">
        <v>44</v>
      </c>
      <c r="AW2282" t="s">
        <v>45</v>
      </c>
      <c r="AX2282" t="s">
        <v>4170</v>
      </c>
      <c r="AY2282" t="s">
        <v>7805</v>
      </c>
      <c r="AZ2282">
        <v>175.00000000465661</v>
      </c>
      <c r="BA2282">
        <v>0</v>
      </c>
      <c r="BB2282">
        <v>0</v>
      </c>
      <c r="BC2282">
        <v>0.1</v>
      </c>
      <c r="BD2282">
        <v>0</v>
      </c>
      <c r="BE2282">
        <f t="shared" si="359"/>
        <v>0</v>
      </c>
    </row>
    <row r="2283" spans="1:57" x14ac:dyDescent="0.25">
      <c r="A2283" t="s">
        <v>39</v>
      </c>
      <c r="B2283" t="s">
        <v>7806</v>
      </c>
      <c r="C2283">
        <v>84.2</v>
      </c>
      <c r="D2283">
        <v>69.8</v>
      </c>
      <c r="G2283">
        <f t="shared" si="350"/>
        <v>1</v>
      </c>
      <c r="H2283">
        <f t="shared" si="351"/>
        <v>1</v>
      </c>
      <c r="I2283">
        <f t="shared" si="352"/>
        <v>0</v>
      </c>
      <c r="J2283">
        <v>76.599999999999994</v>
      </c>
      <c r="K2283">
        <v>85</v>
      </c>
      <c r="L2283">
        <v>69.8</v>
      </c>
      <c r="M2283">
        <v>76.7</v>
      </c>
      <c r="N2283">
        <v>52.8</v>
      </c>
      <c r="O2283">
        <v>46.4</v>
      </c>
      <c r="S2283">
        <f t="shared" si="353"/>
        <v>1</v>
      </c>
      <c r="T2283">
        <f t="shared" si="354"/>
        <v>0</v>
      </c>
      <c r="U2283">
        <f t="shared" si="355"/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46.1</v>
      </c>
      <c r="AC2283">
        <v>36.9</v>
      </c>
      <c r="AG2283">
        <f t="shared" si="356"/>
        <v>1</v>
      </c>
      <c r="AH2283">
        <f t="shared" si="357"/>
        <v>1</v>
      </c>
      <c r="AI2283">
        <f t="shared" si="358"/>
        <v>0</v>
      </c>
      <c r="AJ2283">
        <v>177</v>
      </c>
      <c r="AK2283">
        <v>1007.8</v>
      </c>
      <c r="AL2283">
        <v>32</v>
      </c>
      <c r="AM2283">
        <v>6.2</v>
      </c>
      <c r="AN2283">
        <v>333.5</v>
      </c>
      <c r="AO2283">
        <v>28.8</v>
      </c>
      <c r="AP2283">
        <v>10</v>
      </c>
      <c r="AQ2283">
        <v>0</v>
      </c>
      <c r="AR2283" t="s">
        <v>7807</v>
      </c>
      <c r="AS2283" t="s">
        <v>7808</v>
      </c>
      <c r="AT2283">
        <v>0.52</v>
      </c>
      <c r="AU2283" t="s">
        <v>43</v>
      </c>
      <c r="AV2283" t="s">
        <v>44</v>
      </c>
      <c r="AW2283" t="s">
        <v>419</v>
      </c>
      <c r="AX2283" t="s">
        <v>5199</v>
      </c>
      <c r="AY2283" t="s">
        <v>7809</v>
      </c>
      <c r="AZ2283">
        <v>123.000000002794</v>
      </c>
      <c r="BA2283">
        <v>0</v>
      </c>
      <c r="BB2283">
        <v>0</v>
      </c>
      <c r="BC2283">
        <v>0.1</v>
      </c>
      <c r="BD2283">
        <v>0</v>
      </c>
      <c r="BE2283">
        <f t="shared" si="359"/>
        <v>1</v>
      </c>
    </row>
    <row r="2284" spans="1:57" x14ac:dyDescent="0.25">
      <c r="A2284" t="s">
        <v>39</v>
      </c>
      <c r="B2284" t="s">
        <v>7810</v>
      </c>
      <c r="C2284">
        <v>80.599999999999994</v>
      </c>
      <c r="D2284">
        <v>68</v>
      </c>
      <c r="G2284">
        <f t="shared" si="350"/>
        <v>0</v>
      </c>
      <c r="H2284">
        <f t="shared" si="351"/>
        <v>0</v>
      </c>
      <c r="I2284">
        <f t="shared" si="352"/>
        <v>0</v>
      </c>
      <c r="J2284">
        <v>75.400000000000006</v>
      </c>
      <c r="K2284">
        <v>81.900000000000006</v>
      </c>
      <c r="L2284">
        <v>68</v>
      </c>
      <c r="M2284">
        <v>75.599999999999994</v>
      </c>
      <c r="N2284">
        <v>59.2</v>
      </c>
      <c r="O2284">
        <v>57.8</v>
      </c>
      <c r="S2284">
        <f t="shared" si="353"/>
        <v>1</v>
      </c>
      <c r="T2284">
        <f t="shared" si="354"/>
        <v>0</v>
      </c>
      <c r="U2284">
        <f t="shared" si="355"/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33.1</v>
      </c>
      <c r="AC2284">
        <v>20.8</v>
      </c>
      <c r="AG2284">
        <f t="shared" si="356"/>
        <v>1</v>
      </c>
      <c r="AH2284">
        <f t="shared" si="357"/>
        <v>1</v>
      </c>
      <c r="AI2284">
        <f t="shared" si="358"/>
        <v>0</v>
      </c>
      <c r="AJ2284">
        <v>290.8</v>
      </c>
      <c r="AK2284">
        <v>1012</v>
      </c>
      <c r="AL2284">
        <v>6.2</v>
      </c>
      <c r="AM2284">
        <v>6.2</v>
      </c>
      <c r="AN2284">
        <v>344.7</v>
      </c>
      <c r="AO2284">
        <v>29.8</v>
      </c>
      <c r="AP2284">
        <v>10</v>
      </c>
      <c r="AQ2284">
        <v>0</v>
      </c>
      <c r="AR2284" t="s">
        <v>7811</v>
      </c>
      <c r="AS2284" t="s">
        <v>7812</v>
      </c>
      <c r="AT2284">
        <v>0.94</v>
      </c>
      <c r="AU2284" t="s">
        <v>74</v>
      </c>
      <c r="AV2284" t="s">
        <v>2955</v>
      </c>
      <c r="AW2284" t="s">
        <v>75</v>
      </c>
      <c r="AX2284" t="s">
        <v>2609</v>
      </c>
      <c r="AY2284" t="s">
        <v>7813</v>
      </c>
      <c r="AZ2284">
        <v>1325.0000000023281</v>
      </c>
      <c r="BA2284">
        <v>1</v>
      </c>
      <c r="BB2284">
        <v>0</v>
      </c>
      <c r="BC2284">
        <v>2</v>
      </c>
      <c r="BD2284">
        <v>0</v>
      </c>
      <c r="BE2284">
        <f t="shared" si="359"/>
        <v>1</v>
      </c>
    </row>
    <row r="2285" spans="1:57" x14ac:dyDescent="0.25">
      <c r="A2285" t="s">
        <v>39</v>
      </c>
      <c r="B2285" t="s">
        <v>7814</v>
      </c>
      <c r="C2285">
        <v>77</v>
      </c>
      <c r="D2285">
        <v>66.2</v>
      </c>
      <c r="G2285">
        <f t="shared" si="350"/>
        <v>1</v>
      </c>
      <c r="H2285">
        <f t="shared" si="351"/>
        <v>0</v>
      </c>
      <c r="I2285">
        <f t="shared" si="352"/>
        <v>1</v>
      </c>
      <c r="J2285">
        <v>73.3</v>
      </c>
      <c r="K2285">
        <v>77</v>
      </c>
      <c r="L2285">
        <v>66.2</v>
      </c>
      <c r="M2285">
        <v>73.3</v>
      </c>
      <c r="N2285">
        <v>58.8</v>
      </c>
      <c r="O2285">
        <v>61.6</v>
      </c>
      <c r="S2285">
        <f t="shared" si="353"/>
        <v>0</v>
      </c>
      <c r="T2285">
        <f t="shared" si="354"/>
        <v>0</v>
      </c>
      <c r="U2285">
        <f t="shared" si="355"/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25.3</v>
      </c>
      <c r="AC2285">
        <v>19.7</v>
      </c>
      <c r="AG2285">
        <f t="shared" si="356"/>
        <v>1</v>
      </c>
      <c r="AH2285">
        <f t="shared" si="357"/>
        <v>1</v>
      </c>
      <c r="AI2285">
        <f t="shared" si="358"/>
        <v>0</v>
      </c>
      <c r="AJ2285">
        <v>300.2</v>
      </c>
      <c r="AK2285">
        <v>1007.4</v>
      </c>
      <c r="AL2285">
        <v>18.7</v>
      </c>
      <c r="AM2285">
        <v>6.2</v>
      </c>
      <c r="AN2285">
        <v>328.6</v>
      </c>
      <c r="AO2285">
        <v>28.3</v>
      </c>
      <c r="AP2285">
        <v>10</v>
      </c>
      <c r="AQ2285">
        <v>0</v>
      </c>
      <c r="AR2285" t="s">
        <v>7815</v>
      </c>
      <c r="AS2285" t="s">
        <v>7816</v>
      </c>
      <c r="AT2285">
        <v>0.04</v>
      </c>
      <c r="AU2285" t="s">
        <v>74</v>
      </c>
      <c r="AV2285" t="s">
        <v>2955</v>
      </c>
      <c r="AW2285" t="s">
        <v>75</v>
      </c>
      <c r="AX2285" t="s">
        <v>7817</v>
      </c>
      <c r="AY2285" t="s">
        <v>7818</v>
      </c>
      <c r="AZ2285">
        <v>116.00000000093129</v>
      </c>
      <c r="BA2285">
        <v>0</v>
      </c>
      <c r="BB2285">
        <v>0</v>
      </c>
      <c r="BC2285">
        <v>0.2</v>
      </c>
      <c r="BD2285">
        <v>0</v>
      </c>
      <c r="BE2285">
        <f t="shared" si="359"/>
        <v>0</v>
      </c>
    </row>
    <row r="2286" spans="1:57" x14ac:dyDescent="0.25">
      <c r="A2286" t="s">
        <v>39</v>
      </c>
      <c r="B2286" t="s">
        <v>7819</v>
      </c>
      <c r="C2286">
        <v>78.8</v>
      </c>
      <c r="D2286">
        <v>66.3</v>
      </c>
      <c r="G2286">
        <f t="shared" si="350"/>
        <v>0</v>
      </c>
      <c r="H2286">
        <f t="shared" si="351"/>
        <v>0</v>
      </c>
      <c r="I2286">
        <f t="shared" si="352"/>
        <v>0</v>
      </c>
      <c r="J2286">
        <v>74</v>
      </c>
      <c r="K2286">
        <v>78.8</v>
      </c>
      <c r="L2286">
        <v>66.3</v>
      </c>
      <c r="M2286">
        <v>74</v>
      </c>
      <c r="N2286">
        <v>66.8</v>
      </c>
      <c r="O2286">
        <v>78.5</v>
      </c>
      <c r="S2286">
        <f t="shared" si="353"/>
        <v>1</v>
      </c>
      <c r="T2286">
        <f t="shared" si="354"/>
        <v>1</v>
      </c>
      <c r="U2286">
        <f t="shared" si="355"/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28</v>
      </c>
      <c r="AC2286">
        <v>16.100000000000001</v>
      </c>
      <c r="AG2286">
        <f t="shared" si="356"/>
        <v>0</v>
      </c>
      <c r="AH2286">
        <f t="shared" si="357"/>
        <v>0</v>
      </c>
      <c r="AI2286">
        <f t="shared" si="358"/>
        <v>0</v>
      </c>
      <c r="AJ2286">
        <v>302.8</v>
      </c>
      <c r="AK2286">
        <v>1015.9</v>
      </c>
      <c r="AL2286">
        <v>30.3</v>
      </c>
      <c r="AM2286">
        <v>6.2</v>
      </c>
      <c r="AN2286">
        <v>320.5</v>
      </c>
      <c r="AO2286">
        <v>27.7</v>
      </c>
      <c r="AP2286">
        <v>9</v>
      </c>
      <c r="AQ2286">
        <v>0</v>
      </c>
      <c r="AR2286" t="s">
        <v>7820</v>
      </c>
      <c r="AS2286" t="s">
        <v>7821</v>
      </c>
      <c r="AT2286">
        <v>0.15</v>
      </c>
      <c r="AU2286" t="s">
        <v>43</v>
      </c>
      <c r="AV2286" t="s">
        <v>44</v>
      </c>
      <c r="AW2286" t="s">
        <v>45</v>
      </c>
      <c r="AX2286" t="s">
        <v>2471</v>
      </c>
      <c r="AY2286" t="s">
        <v>7822</v>
      </c>
      <c r="AZ2286">
        <v>94.999999995343387</v>
      </c>
      <c r="BA2286">
        <v>0</v>
      </c>
      <c r="BB2286">
        <v>0.05</v>
      </c>
      <c r="BC2286">
        <v>0</v>
      </c>
      <c r="BD2286">
        <v>0</v>
      </c>
      <c r="BE2286">
        <f t="shared" si="359"/>
        <v>0</v>
      </c>
    </row>
    <row r="2287" spans="1:57" x14ac:dyDescent="0.25">
      <c r="A2287" t="s">
        <v>39</v>
      </c>
      <c r="B2287" t="s">
        <v>7823</v>
      </c>
      <c r="C2287">
        <v>84.3</v>
      </c>
      <c r="D2287">
        <v>69.8</v>
      </c>
      <c r="G2287">
        <f t="shared" si="350"/>
        <v>0</v>
      </c>
      <c r="H2287">
        <f t="shared" si="351"/>
        <v>0</v>
      </c>
      <c r="I2287">
        <f t="shared" si="352"/>
        <v>0</v>
      </c>
      <c r="J2287">
        <v>78.7</v>
      </c>
      <c r="K2287">
        <v>91</v>
      </c>
      <c r="L2287">
        <v>69.8</v>
      </c>
      <c r="M2287">
        <v>81</v>
      </c>
      <c r="N2287">
        <v>67.5</v>
      </c>
      <c r="O2287">
        <v>68.8</v>
      </c>
      <c r="S2287">
        <f t="shared" si="353"/>
        <v>1</v>
      </c>
      <c r="T2287">
        <f t="shared" si="354"/>
        <v>1</v>
      </c>
      <c r="U2287">
        <f t="shared" si="355"/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27.5</v>
      </c>
      <c r="AC2287">
        <v>17.2</v>
      </c>
      <c r="AG2287">
        <f t="shared" si="356"/>
        <v>0</v>
      </c>
      <c r="AH2287">
        <f t="shared" si="357"/>
        <v>0</v>
      </c>
      <c r="AI2287">
        <f t="shared" si="358"/>
        <v>0</v>
      </c>
      <c r="AJ2287">
        <v>302.89999999999998</v>
      </c>
      <c r="AK2287">
        <v>1007.6</v>
      </c>
      <c r="AL2287">
        <v>0</v>
      </c>
      <c r="AM2287">
        <v>6.2</v>
      </c>
      <c r="AN2287">
        <v>338.9</v>
      </c>
      <c r="AO2287">
        <v>29.1</v>
      </c>
      <c r="AP2287">
        <v>10</v>
      </c>
      <c r="AQ2287">
        <v>0</v>
      </c>
      <c r="AR2287" t="s">
        <v>7824</v>
      </c>
      <c r="AS2287" t="s">
        <v>7825</v>
      </c>
      <c r="AT2287">
        <v>0.4</v>
      </c>
      <c r="AU2287" t="s">
        <v>74</v>
      </c>
      <c r="AV2287" t="s">
        <v>2955</v>
      </c>
      <c r="AW2287" t="s">
        <v>75</v>
      </c>
      <c r="AX2287" t="s">
        <v>4533</v>
      </c>
      <c r="AY2287" t="s">
        <v>7826</v>
      </c>
      <c r="AZ2287">
        <v>994.99999999534339</v>
      </c>
      <c r="BA2287">
        <v>1</v>
      </c>
      <c r="BB2287">
        <v>0</v>
      </c>
      <c r="BC2287">
        <v>40</v>
      </c>
      <c r="BD2287">
        <v>0</v>
      </c>
      <c r="BE2287">
        <f t="shared" si="359"/>
        <v>0</v>
      </c>
    </row>
    <row r="2288" spans="1:57" x14ac:dyDescent="0.25">
      <c r="A2288" t="s">
        <v>39</v>
      </c>
      <c r="B2288" t="s">
        <v>7827</v>
      </c>
      <c r="C2288">
        <v>84.2</v>
      </c>
      <c r="D2288">
        <v>69.8</v>
      </c>
      <c r="G2288">
        <f t="shared" si="350"/>
        <v>0</v>
      </c>
      <c r="H2288">
        <f t="shared" si="351"/>
        <v>0</v>
      </c>
      <c r="I2288">
        <f t="shared" si="352"/>
        <v>0</v>
      </c>
      <c r="J2288">
        <v>78.2</v>
      </c>
      <c r="K2288">
        <v>89.6</v>
      </c>
      <c r="L2288">
        <v>69.8</v>
      </c>
      <c r="M2288">
        <v>80</v>
      </c>
      <c r="N2288">
        <v>66.599999999999994</v>
      </c>
      <c r="O2288">
        <v>68</v>
      </c>
      <c r="S2288">
        <f t="shared" si="353"/>
        <v>1</v>
      </c>
      <c r="T2288">
        <f t="shared" si="354"/>
        <v>1</v>
      </c>
      <c r="U2288">
        <f t="shared" si="355"/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17.899999999999999</v>
      </c>
      <c r="AC2288">
        <v>11.4</v>
      </c>
      <c r="AG2288">
        <f t="shared" si="356"/>
        <v>1</v>
      </c>
      <c r="AH2288">
        <f t="shared" si="357"/>
        <v>0</v>
      </c>
      <c r="AI2288">
        <f t="shared" si="358"/>
        <v>1</v>
      </c>
      <c r="AJ2288">
        <v>203.8</v>
      </c>
      <c r="AK2288">
        <v>1007.4</v>
      </c>
      <c r="AL2288">
        <v>0.4</v>
      </c>
      <c r="AM2288">
        <v>6.2</v>
      </c>
      <c r="AN2288">
        <v>339.2</v>
      </c>
      <c r="AO2288">
        <v>29.2</v>
      </c>
      <c r="AP2288">
        <v>10</v>
      </c>
      <c r="AQ2288">
        <v>0</v>
      </c>
      <c r="AR2288" t="s">
        <v>7828</v>
      </c>
      <c r="AS2288" t="s">
        <v>7829</v>
      </c>
      <c r="AT2288">
        <v>0.43</v>
      </c>
      <c r="AU2288" t="s">
        <v>74</v>
      </c>
      <c r="AV2288" t="s">
        <v>2955</v>
      </c>
      <c r="AW2288" t="s">
        <v>75</v>
      </c>
      <c r="AX2288" t="s">
        <v>4525</v>
      </c>
      <c r="AY2288" t="s">
        <v>7830</v>
      </c>
      <c r="AZ2288">
        <v>117.00000000419099</v>
      </c>
      <c r="BA2288">
        <v>0</v>
      </c>
      <c r="BB2288">
        <v>1</v>
      </c>
      <c r="BC2288">
        <v>0</v>
      </c>
      <c r="BD2288">
        <v>0</v>
      </c>
      <c r="BE2288">
        <f t="shared" si="359"/>
        <v>0</v>
      </c>
    </row>
    <row r="2289" spans="1:57" x14ac:dyDescent="0.25">
      <c r="A2289" t="s">
        <v>39</v>
      </c>
      <c r="B2289" t="s">
        <v>7831</v>
      </c>
      <c r="C2289">
        <v>82.4</v>
      </c>
      <c r="D2289">
        <v>73.400000000000006</v>
      </c>
      <c r="G2289">
        <f t="shared" si="350"/>
        <v>0</v>
      </c>
      <c r="H2289">
        <f t="shared" si="351"/>
        <v>0</v>
      </c>
      <c r="I2289">
        <f t="shared" si="352"/>
        <v>0</v>
      </c>
      <c r="J2289">
        <v>77.099999999999994</v>
      </c>
      <c r="K2289">
        <v>85.4</v>
      </c>
      <c r="L2289">
        <v>73.400000000000006</v>
      </c>
      <c r="M2289">
        <v>78.2</v>
      </c>
      <c r="N2289">
        <v>65.7</v>
      </c>
      <c r="O2289">
        <v>68</v>
      </c>
      <c r="S2289">
        <f t="shared" si="353"/>
        <v>1</v>
      </c>
      <c r="T2289">
        <f t="shared" si="354"/>
        <v>1</v>
      </c>
      <c r="U2289">
        <f t="shared" si="355"/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25.9</v>
      </c>
      <c r="AC2289">
        <v>18.3</v>
      </c>
      <c r="AG2289">
        <f t="shared" si="356"/>
        <v>0</v>
      </c>
      <c r="AH2289">
        <f t="shared" si="357"/>
        <v>0</v>
      </c>
      <c r="AI2289">
        <f t="shared" si="358"/>
        <v>0</v>
      </c>
      <c r="AJ2289">
        <v>315.3</v>
      </c>
      <c r="AK2289">
        <v>1010.9</v>
      </c>
      <c r="AL2289">
        <v>14.4</v>
      </c>
      <c r="AM2289">
        <v>6.2</v>
      </c>
      <c r="AN2289">
        <v>331.4</v>
      </c>
      <c r="AO2289">
        <v>28.7</v>
      </c>
      <c r="AP2289">
        <v>10</v>
      </c>
      <c r="AQ2289">
        <v>0</v>
      </c>
      <c r="AR2289" t="s">
        <v>7832</v>
      </c>
      <c r="AS2289" t="s">
        <v>7833</v>
      </c>
      <c r="AT2289">
        <v>0.86</v>
      </c>
      <c r="AU2289" t="s">
        <v>74</v>
      </c>
      <c r="AV2289" t="s">
        <v>2955</v>
      </c>
      <c r="AW2289" t="s">
        <v>75</v>
      </c>
      <c r="AX2289" t="s">
        <v>4208</v>
      </c>
      <c r="AY2289" t="s">
        <v>7834</v>
      </c>
      <c r="AZ2289">
        <v>251.00000000093129</v>
      </c>
      <c r="BA2289">
        <v>0</v>
      </c>
      <c r="BB2289">
        <v>0</v>
      </c>
      <c r="BC2289">
        <v>0.5</v>
      </c>
      <c r="BD2289">
        <v>0</v>
      </c>
      <c r="BE2289">
        <f t="shared" si="359"/>
        <v>0</v>
      </c>
    </row>
    <row r="2290" spans="1:57" x14ac:dyDescent="0.25">
      <c r="A2290" t="s">
        <v>39</v>
      </c>
      <c r="B2290" t="s">
        <v>7835</v>
      </c>
      <c r="C2290">
        <v>84.2</v>
      </c>
      <c r="D2290">
        <v>69.8</v>
      </c>
      <c r="G2290">
        <f t="shared" si="350"/>
        <v>0</v>
      </c>
      <c r="H2290">
        <f t="shared" si="351"/>
        <v>0</v>
      </c>
      <c r="I2290">
        <f t="shared" si="352"/>
        <v>0</v>
      </c>
      <c r="J2290">
        <v>78</v>
      </c>
      <c r="K2290">
        <v>88.4</v>
      </c>
      <c r="L2290">
        <v>69.8</v>
      </c>
      <c r="M2290">
        <v>79.3</v>
      </c>
      <c r="N2290">
        <v>64.7</v>
      </c>
      <c r="O2290">
        <v>64.599999999999994</v>
      </c>
      <c r="S2290">
        <f t="shared" si="353"/>
        <v>1</v>
      </c>
      <c r="T2290">
        <f t="shared" si="354"/>
        <v>1</v>
      </c>
      <c r="U2290">
        <f t="shared" si="355"/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20.6</v>
      </c>
      <c r="AC2290">
        <v>9.1999999999999993</v>
      </c>
      <c r="AG2290">
        <f t="shared" si="356"/>
        <v>1</v>
      </c>
      <c r="AH2290">
        <f t="shared" si="357"/>
        <v>0</v>
      </c>
      <c r="AI2290">
        <f t="shared" si="358"/>
        <v>1</v>
      </c>
      <c r="AJ2290">
        <v>271.3</v>
      </c>
      <c r="AK2290">
        <v>1011</v>
      </c>
      <c r="AL2290">
        <v>0.8</v>
      </c>
      <c r="AM2290">
        <v>6.2</v>
      </c>
      <c r="AN2290">
        <v>331.4</v>
      </c>
      <c r="AO2290">
        <v>28.6</v>
      </c>
      <c r="AP2290">
        <v>10</v>
      </c>
      <c r="AQ2290">
        <v>0</v>
      </c>
      <c r="AR2290" t="s">
        <v>7836</v>
      </c>
      <c r="AS2290" t="s">
        <v>7837</v>
      </c>
      <c r="AT2290">
        <v>0</v>
      </c>
      <c r="AU2290" t="s">
        <v>74</v>
      </c>
      <c r="AV2290" t="s">
        <v>2955</v>
      </c>
      <c r="AW2290" t="s">
        <v>75</v>
      </c>
      <c r="AX2290" t="s">
        <v>6562</v>
      </c>
      <c r="AY2290" t="s">
        <v>7838</v>
      </c>
      <c r="AZ2290">
        <v>571.99999999953434</v>
      </c>
      <c r="BA2290">
        <v>1</v>
      </c>
      <c r="BB2290">
        <v>0.5</v>
      </c>
      <c r="BC2290">
        <v>0</v>
      </c>
      <c r="BD2290">
        <v>0</v>
      </c>
      <c r="BE2290">
        <f t="shared" si="359"/>
        <v>0</v>
      </c>
    </row>
    <row r="2291" spans="1:57" x14ac:dyDescent="0.25">
      <c r="A2291" t="s">
        <v>39</v>
      </c>
      <c r="B2291" t="s">
        <v>7839</v>
      </c>
      <c r="C2291">
        <v>84.2</v>
      </c>
      <c r="D2291">
        <v>71.599999999999994</v>
      </c>
      <c r="G2291">
        <f t="shared" si="350"/>
        <v>0</v>
      </c>
      <c r="H2291">
        <f t="shared" si="351"/>
        <v>0</v>
      </c>
      <c r="I2291">
        <f t="shared" si="352"/>
        <v>0</v>
      </c>
      <c r="J2291">
        <v>79</v>
      </c>
      <c r="K2291">
        <v>88.5</v>
      </c>
      <c r="L2291">
        <v>71.599999999999994</v>
      </c>
      <c r="M2291">
        <v>80.900000000000006</v>
      </c>
      <c r="N2291">
        <v>67</v>
      </c>
      <c r="O2291">
        <v>67.099999999999994</v>
      </c>
      <c r="S2291">
        <f t="shared" si="353"/>
        <v>1</v>
      </c>
      <c r="T2291">
        <f t="shared" si="354"/>
        <v>1</v>
      </c>
      <c r="U2291">
        <f t="shared" si="355"/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34</v>
      </c>
      <c r="AC2291">
        <v>21.8</v>
      </c>
      <c r="AG2291">
        <f t="shared" si="356"/>
        <v>1</v>
      </c>
      <c r="AH2291">
        <f t="shared" si="357"/>
        <v>1</v>
      </c>
      <c r="AI2291">
        <f t="shared" si="358"/>
        <v>0</v>
      </c>
      <c r="AJ2291">
        <v>298.2</v>
      </c>
      <c r="AK2291">
        <v>1012.6</v>
      </c>
      <c r="AL2291">
        <v>16.2</v>
      </c>
      <c r="AM2291">
        <v>6.2</v>
      </c>
      <c r="AN2291">
        <v>331</v>
      </c>
      <c r="AO2291">
        <v>28.5</v>
      </c>
      <c r="AP2291">
        <v>10</v>
      </c>
      <c r="AQ2291">
        <v>0</v>
      </c>
      <c r="AR2291" t="s">
        <v>7840</v>
      </c>
      <c r="AS2291" t="s">
        <v>7841</v>
      </c>
      <c r="AT2291">
        <v>0.02</v>
      </c>
      <c r="AU2291" t="s">
        <v>74</v>
      </c>
      <c r="AV2291" t="s">
        <v>2955</v>
      </c>
      <c r="AW2291" t="s">
        <v>75</v>
      </c>
      <c r="AX2291" t="s">
        <v>2356</v>
      </c>
      <c r="AY2291" t="s">
        <v>7842</v>
      </c>
      <c r="AZ2291">
        <v>1175.000000005821</v>
      </c>
      <c r="BA2291">
        <v>1</v>
      </c>
      <c r="BB2291">
        <v>0</v>
      </c>
      <c r="BC2291">
        <v>2</v>
      </c>
      <c r="BD2291">
        <v>0</v>
      </c>
      <c r="BE2291">
        <f t="shared" si="359"/>
        <v>1</v>
      </c>
    </row>
    <row r="2292" spans="1:57" x14ac:dyDescent="0.25">
      <c r="A2292" t="s">
        <v>39</v>
      </c>
      <c r="B2292" t="s">
        <v>7843</v>
      </c>
      <c r="C2292">
        <v>84.2</v>
      </c>
      <c r="D2292">
        <v>75.2</v>
      </c>
      <c r="G2292">
        <f t="shared" si="350"/>
        <v>0</v>
      </c>
      <c r="H2292">
        <f t="shared" si="351"/>
        <v>0</v>
      </c>
      <c r="I2292">
        <f t="shared" si="352"/>
        <v>0</v>
      </c>
      <c r="J2292">
        <v>79.5</v>
      </c>
      <c r="K2292">
        <v>85.7</v>
      </c>
      <c r="L2292">
        <v>75.2</v>
      </c>
      <c r="M2292">
        <v>80.5</v>
      </c>
      <c r="N2292">
        <v>65.2</v>
      </c>
      <c r="O2292">
        <v>62</v>
      </c>
      <c r="S2292">
        <f t="shared" si="353"/>
        <v>1</v>
      </c>
      <c r="T2292">
        <f t="shared" si="354"/>
        <v>1</v>
      </c>
      <c r="U2292">
        <f t="shared" si="355"/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37.799999999999997</v>
      </c>
      <c r="AC2292">
        <v>21.9</v>
      </c>
      <c r="AG2292">
        <f t="shared" si="356"/>
        <v>1</v>
      </c>
      <c r="AH2292">
        <f t="shared" si="357"/>
        <v>1</v>
      </c>
      <c r="AI2292">
        <f t="shared" si="358"/>
        <v>0</v>
      </c>
      <c r="AJ2292">
        <v>299.8</v>
      </c>
      <c r="AK2292">
        <v>1010.6</v>
      </c>
      <c r="AL2292">
        <v>17.8</v>
      </c>
      <c r="AM2292">
        <v>6.2</v>
      </c>
      <c r="AN2292">
        <v>329.2</v>
      </c>
      <c r="AO2292">
        <v>28.4</v>
      </c>
      <c r="AP2292">
        <v>10</v>
      </c>
      <c r="AQ2292">
        <v>0</v>
      </c>
      <c r="AR2292" t="s">
        <v>7844</v>
      </c>
      <c r="AS2292" t="s">
        <v>7845</v>
      </c>
      <c r="AT2292">
        <v>0.06</v>
      </c>
      <c r="AU2292" t="s">
        <v>74</v>
      </c>
      <c r="AV2292" t="s">
        <v>2955</v>
      </c>
      <c r="AW2292" t="s">
        <v>75</v>
      </c>
      <c r="AX2292" t="s">
        <v>7846</v>
      </c>
      <c r="AY2292" t="s">
        <v>7847</v>
      </c>
      <c r="AZ2292">
        <v>3946.9999999995339</v>
      </c>
      <c r="BA2292">
        <v>1</v>
      </c>
      <c r="BB2292">
        <v>5</v>
      </c>
      <c r="BC2292">
        <v>0</v>
      </c>
      <c r="BD2292">
        <v>0</v>
      </c>
      <c r="BE2292">
        <f t="shared" si="359"/>
        <v>1</v>
      </c>
    </row>
    <row r="2293" spans="1:57" x14ac:dyDescent="0.25">
      <c r="A2293" t="s">
        <v>39</v>
      </c>
      <c r="B2293" t="s">
        <v>7848</v>
      </c>
      <c r="C2293">
        <v>84.2</v>
      </c>
      <c r="D2293">
        <v>71.599999999999994</v>
      </c>
      <c r="G2293">
        <f t="shared" si="350"/>
        <v>0</v>
      </c>
      <c r="H2293">
        <f t="shared" si="351"/>
        <v>0</v>
      </c>
      <c r="I2293">
        <f t="shared" si="352"/>
        <v>0</v>
      </c>
      <c r="J2293">
        <v>78.8</v>
      </c>
      <c r="K2293">
        <v>88.5</v>
      </c>
      <c r="L2293">
        <v>71.599999999999994</v>
      </c>
      <c r="M2293">
        <v>80.5</v>
      </c>
      <c r="N2293">
        <v>63.7</v>
      </c>
      <c r="O2293">
        <v>60</v>
      </c>
      <c r="S2293">
        <f t="shared" si="353"/>
        <v>0</v>
      </c>
      <c r="T2293">
        <f t="shared" si="354"/>
        <v>0</v>
      </c>
      <c r="U2293">
        <f t="shared" si="355"/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24.8</v>
      </c>
      <c r="AC2293">
        <v>12.8</v>
      </c>
      <c r="AG2293">
        <f t="shared" si="356"/>
        <v>1</v>
      </c>
      <c r="AH2293">
        <f t="shared" si="357"/>
        <v>0</v>
      </c>
      <c r="AI2293">
        <f t="shared" si="358"/>
        <v>1</v>
      </c>
      <c r="AJ2293">
        <v>299</v>
      </c>
      <c r="AK2293">
        <v>1010.7</v>
      </c>
      <c r="AL2293">
        <v>0.9</v>
      </c>
      <c r="AM2293">
        <v>6.2</v>
      </c>
      <c r="AN2293">
        <v>325.60000000000002</v>
      </c>
      <c r="AO2293">
        <v>28.3</v>
      </c>
      <c r="AP2293">
        <v>10</v>
      </c>
      <c r="AQ2293">
        <v>0</v>
      </c>
      <c r="AR2293" t="s">
        <v>7849</v>
      </c>
      <c r="AS2293" t="s">
        <v>7850</v>
      </c>
      <c r="AT2293">
        <v>0.25</v>
      </c>
      <c r="AU2293" t="s">
        <v>74</v>
      </c>
      <c r="AV2293" t="s">
        <v>2955</v>
      </c>
      <c r="AW2293" t="s">
        <v>75</v>
      </c>
      <c r="AX2293" t="s">
        <v>6032</v>
      </c>
      <c r="AY2293" t="s">
        <v>7851</v>
      </c>
      <c r="AZ2293">
        <v>146.999999997206</v>
      </c>
      <c r="BA2293">
        <v>0</v>
      </c>
      <c r="BB2293">
        <v>0.5</v>
      </c>
      <c r="BC2293">
        <v>0</v>
      </c>
      <c r="BD2293">
        <v>0</v>
      </c>
      <c r="BE2293">
        <f t="shared" si="359"/>
        <v>0</v>
      </c>
    </row>
    <row r="2294" spans="1:57" x14ac:dyDescent="0.25">
      <c r="A2294" t="s">
        <v>39</v>
      </c>
      <c r="B2294" t="s">
        <v>7848</v>
      </c>
      <c r="C2294">
        <v>84.2</v>
      </c>
      <c r="D2294">
        <v>71.599999999999994</v>
      </c>
      <c r="G2294">
        <f t="shared" si="350"/>
        <v>0</v>
      </c>
      <c r="H2294">
        <f t="shared" si="351"/>
        <v>0</v>
      </c>
      <c r="I2294">
        <f t="shared" si="352"/>
        <v>0</v>
      </c>
      <c r="J2294">
        <v>78.8</v>
      </c>
      <c r="K2294">
        <v>88.5</v>
      </c>
      <c r="L2294">
        <v>71.599999999999994</v>
      </c>
      <c r="M2294">
        <v>80.5</v>
      </c>
      <c r="N2294">
        <v>63.7</v>
      </c>
      <c r="O2294">
        <v>60</v>
      </c>
      <c r="S2294">
        <f t="shared" si="353"/>
        <v>0</v>
      </c>
      <c r="T2294">
        <f t="shared" si="354"/>
        <v>0</v>
      </c>
      <c r="U2294">
        <f t="shared" si="355"/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24.8</v>
      </c>
      <c r="AC2294">
        <v>12.8</v>
      </c>
      <c r="AG2294">
        <f t="shared" si="356"/>
        <v>1</v>
      </c>
      <c r="AH2294">
        <f t="shared" si="357"/>
        <v>0</v>
      </c>
      <c r="AI2294">
        <f t="shared" si="358"/>
        <v>1</v>
      </c>
      <c r="AJ2294">
        <v>299</v>
      </c>
      <c r="AK2294">
        <v>1010.7</v>
      </c>
      <c r="AL2294">
        <v>0.9</v>
      </c>
      <c r="AM2294">
        <v>6.2</v>
      </c>
      <c r="AN2294">
        <v>325.60000000000002</v>
      </c>
      <c r="AO2294">
        <v>28.3</v>
      </c>
      <c r="AP2294">
        <v>10</v>
      </c>
      <c r="AQ2294">
        <v>0</v>
      </c>
      <c r="AR2294" t="s">
        <v>7849</v>
      </c>
      <c r="AS2294" t="s">
        <v>7850</v>
      </c>
      <c r="AT2294">
        <v>0.25</v>
      </c>
      <c r="AU2294" t="s">
        <v>74</v>
      </c>
      <c r="AV2294" t="s">
        <v>2955</v>
      </c>
      <c r="AW2294" t="s">
        <v>75</v>
      </c>
      <c r="AX2294" t="s">
        <v>5742</v>
      </c>
      <c r="AY2294" t="s">
        <v>7852</v>
      </c>
      <c r="AZ2294">
        <v>2392.9999999946449</v>
      </c>
      <c r="BA2294">
        <v>1</v>
      </c>
      <c r="BB2294">
        <v>9</v>
      </c>
      <c r="BC2294">
        <v>0</v>
      </c>
      <c r="BD2294">
        <v>0</v>
      </c>
      <c r="BE2294">
        <f t="shared" si="359"/>
        <v>0</v>
      </c>
    </row>
    <row r="2295" spans="1:57" x14ac:dyDescent="0.25">
      <c r="A2295" t="s">
        <v>39</v>
      </c>
      <c r="B2295" t="s">
        <v>7853</v>
      </c>
      <c r="C2295">
        <v>86</v>
      </c>
      <c r="D2295">
        <v>71.599999999999994</v>
      </c>
      <c r="G2295">
        <f t="shared" si="350"/>
        <v>1</v>
      </c>
      <c r="H2295">
        <f t="shared" si="351"/>
        <v>1</v>
      </c>
      <c r="I2295">
        <f t="shared" si="352"/>
        <v>0</v>
      </c>
      <c r="J2295">
        <v>81.099999999999994</v>
      </c>
      <c r="K2295">
        <v>92</v>
      </c>
      <c r="L2295">
        <v>71.599999999999994</v>
      </c>
      <c r="M2295">
        <v>83.1</v>
      </c>
      <c r="N2295">
        <v>63.9</v>
      </c>
      <c r="O2295">
        <v>56.2</v>
      </c>
      <c r="S2295">
        <f t="shared" si="353"/>
        <v>1</v>
      </c>
      <c r="T2295">
        <f t="shared" si="354"/>
        <v>0</v>
      </c>
      <c r="U2295">
        <f t="shared" si="355"/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28.2</v>
      </c>
      <c r="AC2295">
        <v>19.7</v>
      </c>
      <c r="AG2295">
        <f t="shared" si="356"/>
        <v>1</v>
      </c>
      <c r="AH2295">
        <f t="shared" si="357"/>
        <v>1</v>
      </c>
      <c r="AI2295">
        <f t="shared" si="358"/>
        <v>0</v>
      </c>
      <c r="AJ2295">
        <v>297.89999999999998</v>
      </c>
      <c r="AK2295">
        <v>1010.5</v>
      </c>
      <c r="AL2295">
        <v>0</v>
      </c>
      <c r="AM2295">
        <v>6.2</v>
      </c>
      <c r="AN2295">
        <v>326.39999999999998</v>
      </c>
      <c r="AO2295">
        <v>28.3</v>
      </c>
      <c r="AP2295">
        <v>10</v>
      </c>
      <c r="AQ2295">
        <v>0</v>
      </c>
      <c r="AR2295" t="s">
        <v>7854</v>
      </c>
      <c r="AS2295" t="s">
        <v>7855</v>
      </c>
      <c r="AT2295">
        <v>0.38</v>
      </c>
      <c r="AU2295" t="s">
        <v>74</v>
      </c>
      <c r="AV2295" t="s">
        <v>2955</v>
      </c>
      <c r="AW2295" t="s">
        <v>75</v>
      </c>
      <c r="AX2295" t="s">
        <v>7856</v>
      </c>
      <c r="AY2295" t="s">
        <v>7857</v>
      </c>
      <c r="AZ2295">
        <v>2535.9999999997672</v>
      </c>
      <c r="BA2295">
        <v>1</v>
      </c>
      <c r="BB2295">
        <v>0.05</v>
      </c>
      <c r="BC2295">
        <v>0</v>
      </c>
      <c r="BD2295">
        <v>0</v>
      </c>
      <c r="BE2295">
        <f t="shared" si="359"/>
        <v>1</v>
      </c>
    </row>
    <row r="2296" spans="1:57" x14ac:dyDescent="0.25">
      <c r="A2296" t="s">
        <v>39</v>
      </c>
      <c r="B2296" t="s">
        <v>7858</v>
      </c>
      <c r="C2296">
        <v>86.1</v>
      </c>
      <c r="D2296">
        <v>71.599999999999994</v>
      </c>
      <c r="G2296">
        <f t="shared" si="350"/>
        <v>1</v>
      </c>
      <c r="H2296">
        <f t="shared" si="351"/>
        <v>1</v>
      </c>
      <c r="I2296">
        <f t="shared" si="352"/>
        <v>0</v>
      </c>
      <c r="J2296">
        <v>79.900000000000006</v>
      </c>
      <c r="K2296">
        <v>95.2</v>
      </c>
      <c r="L2296">
        <v>71.599999999999994</v>
      </c>
      <c r="M2296">
        <v>84.1</v>
      </c>
      <c r="N2296">
        <v>69.099999999999994</v>
      </c>
      <c r="O2296">
        <v>69.900000000000006</v>
      </c>
      <c r="S2296">
        <f t="shared" si="353"/>
        <v>1</v>
      </c>
      <c r="T2296">
        <f t="shared" si="354"/>
        <v>1</v>
      </c>
      <c r="U2296">
        <f t="shared" si="355"/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17.899999999999999</v>
      </c>
      <c r="AC2296">
        <v>10.3</v>
      </c>
      <c r="AG2296">
        <f t="shared" si="356"/>
        <v>1</v>
      </c>
      <c r="AH2296">
        <f t="shared" si="357"/>
        <v>0</v>
      </c>
      <c r="AI2296">
        <f t="shared" si="358"/>
        <v>1</v>
      </c>
      <c r="AJ2296">
        <v>342.7</v>
      </c>
      <c r="AK2296">
        <v>1008.8</v>
      </c>
      <c r="AL2296">
        <v>14.4</v>
      </c>
      <c r="AM2296">
        <v>6.2</v>
      </c>
      <c r="AN2296">
        <v>303.10000000000002</v>
      </c>
      <c r="AO2296">
        <v>26.2</v>
      </c>
      <c r="AP2296">
        <v>9</v>
      </c>
      <c r="AQ2296">
        <v>0</v>
      </c>
      <c r="AR2296" t="s">
        <v>7859</v>
      </c>
      <c r="AS2296" t="s">
        <v>7860</v>
      </c>
      <c r="AT2296">
        <v>0.59</v>
      </c>
      <c r="AU2296" t="s">
        <v>74</v>
      </c>
      <c r="AV2296" t="s">
        <v>2955</v>
      </c>
      <c r="AW2296" t="s">
        <v>75</v>
      </c>
      <c r="AX2296" t="s">
        <v>7861</v>
      </c>
      <c r="AY2296" t="s">
        <v>7862</v>
      </c>
      <c r="AZ2296">
        <v>737.99999999580905</v>
      </c>
      <c r="BA2296">
        <v>1</v>
      </c>
      <c r="BB2296">
        <v>0</v>
      </c>
      <c r="BC2296">
        <v>5</v>
      </c>
      <c r="BD2296">
        <v>0</v>
      </c>
      <c r="BE2296">
        <f t="shared" si="359"/>
        <v>1</v>
      </c>
    </row>
    <row r="2297" spans="1:57" x14ac:dyDescent="0.25">
      <c r="A2297" t="s">
        <v>39</v>
      </c>
      <c r="B2297" t="s">
        <v>7863</v>
      </c>
      <c r="C2297">
        <v>84.2</v>
      </c>
      <c r="D2297">
        <v>69.8</v>
      </c>
      <c r="G2297">
        <f t="shared" si="350"/>
        <v>0</v>
      </c>
      <c r="H2297">
        <f t="shared" si="351"/>
        <v>0</v>
      </c>
      <c r="I2297">
        <f t="shared" si="352"/>
        <v>0</v>
      </c>
      <c r="J2297">
        <v>78.599999999999994</v>
      </c>
      <c r="K2297">
        <v>88.4</v>
      </c>
      <c r="L2297">
        <v>69.8</v>
      </c>
      <c r="M2297">
        <v>80.3</v>
      </c>
      <c r="N2297">
        <v>68.099999999999994</v>
      </c>
      <c r="O2297">
        <v>70.7</v>
      </c>
      <c r="S2297">
        <f t="shared" si="353"/>
        <v>1</v>
      </c>
      <c r="T2297">
        <f t="shared" si="354"/>
        <v>1</v>
      </c>
      <c r="U2297">
        <f t="shared" si="355"/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28.4</v>
      </c>
      <c r="AC2297">
        <v>23</v>
      </c>
      <c r="AG2297">
        <f t="shared" si="356"/>
        <v>1</v>
      </c>
      <c r="AH2297">
        <f t="shared" si="357"/>
        <v>1</v>
      </c>
      <c r="AI2297">
        <f t="shared" si="358"/>
        <v>0</v>
      </c>
      <c r="AJ2297">
        <v>300.7</v>
      </c>
      <c r="AK2297">
        <v>1008.7</v>
      </c>
      <c r="AL2297">
        <v>27.8</v>
      </c>
      <c r="AM2297">
        <v>6.2</v>
      </c>
      <c r="AN2297">
        <v>299.3</v>
      </c>
      <c r="AO2297">
        <v>25.8</v>
      </c>
      <c r="AP2297">
        <v>9</v>
      </c>
      <c r="AQ2297">
        <v>0</v>
      </c>
      <c r="AR2297" t="s">
        <v>7864</v>
      </c>
      <c r="AS2297" t="s">
        <v>7865</v>
      </c>
      <c r="AT2297">
        <v>0.65</v>
      </c>
      <c r="AU2297" t="s">
        <v>43</v>
      </c>
      <c r="AV2297" t="s">
        <v>44</v>
      </c>
      <c r="AW2297" t="s">
        <v>45</v>
      </c>
      <c r="AX2297" t="s">
        <v>4025</v>
      </c>
      <c r="AY2297" t="s">
        <v>7866</v>
      </c>
      <c r="AZ2297">
        <v>3110.0000000058212</v>
      </c>
      <c r="BA2297">
        <v>1</v>
      </c>
      <c r="BB2297">
        <v>0</v>
      </c>
      <c r="BC2297">
        <v>80</v>
      </c>
      <c r="BD2297">
        <v>0</v>
      </c>
      <c r="BE2297">
        <f t="shared" si="359"/>
        <v>1</v>
      </c>
    </row>
    <row r="2298" spans="1:57" x14ac:dyDescent="0.25">
      <c r="A2298" t="s">
        <v>39</v>
      </c>
      <c r="B2298" t="s">
        <v>7867</v>
      </c>
      <c r="C2298">
        <v>87.8</v>
      </c>
      <c r="D2298">
        <v>78.8</v>
      </c>
      <c r="G2298">
        <f t="shared" si="350"/>
        <v>1</v>
      </c>
      <c r="H2298">
        <f t="shared" si="351"/>
        <v>1</v>
      </c>
      <c r="I2298">
        <f t="shared" si="352"/>
        <v>0</v>
      </c>
      <c r="J2298">
        <v>83</v>
      </c>
      <c r="K2298">
        <v>88.4</v>
      </c>
      <c r="L2298">
        <v>78.8</v>
      </c>
      <c r="M2298">
        <v>83.4</v>
      </c>
      <c r="N2298">
        <v>60.3</v>
      </c>
      <c r="O2298">
        <v>46.9</v>
      </c>
      <c r="S2298">
        <f t="shared" si="353"/>
        <v>1</v>
      </c>
      <c r="T2298">
        <f t="shared" si="354"/>
        <v>0</v>
      </c>
      <c r="U2298">
        <f t="shared" si="355"/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31.5</v>
      </c>
      <c r="AC2298">
        <v>21.9</v>
      </c>
      <c r="AG2298">
        <f t="shared" si="356"/>
        <v>1</v>
      </c>
      <c r="AH2298">
        <f t="shared" si="357"/>
        <v>1</v>
      </c>
      <c r="AI2298">
        <f t="shared" si="358"/>
        <v>0</v>
      </c>
      <c r="AJ2298">
        <v>299.60000000000002</v>
      </c>
      <c r="AK2298">
        <v>1009.6</v>
      </c>
      <c r="AL2298">
        <v>0.5</v>
      </c>
      <c r="AM2298">
        <v>6.2</v>
      </c>
      <c r="AN2298">
        <v>307.10000000000002</v>
      </c>
      <c r="AO2298">
        <v>26.6</v>
      </c>
      <c r="AP2298">
        <v>9</v>
      </c>
      <c r="AQ2298">
        <v>0</v>
      </c>
      <c r="AR2298" t="s">
        <v>7868</v>
      </c>
      <c r="AS2298" t="s">
        <v>7869</v>
      </c>
      <c r="AT2298">
        <v>0.88</v>
      </c>
      <c r="AU2298" t="s">
        <v>74</v>
      </c>
      <c r="AV2298" t="s">
        <v>2955</v>
      </c>
      <c r="AW2298" t="s">
        <v>75</v>
      </c>
      <c r="AX2298" t="s">
        <v>2587</v>
      </c>
      <c r="AY2298" t="s">
        <v>7870</v>
      </c>
      <c r="AZ2298">
        <v>2717.0000000030268</v>
      </c>
      <c r="BA2298">
        <v>1</v>
      </c>
      <c r="BB2298">
        <v>1</v>
      </c>
      <c r="BC2298">
        <v>0</v>
      </c>
      <c r="BD2298">
        <v>0</v>
      </c>
      <c r="BE2298">
        <f t="shared" si="359"/>
        <v>1</v>
      </c>
    </row>
    <row r="2299" spans="1:57" x14ac:dyDescent="0.25">
      <c r="A2299" t="s">
        <v>39</v>
      </c>
      <c r="B2299" t="s">
        <v>7871</v>
      </c>
      <c r="C2299">
        <v>84.2</v>
      </c>
      <c r="D2299">
        <v>78.8</v>
      </c>
      <c r="G2299">
        <f t="shared" si="350"/>
        <v>0</v>
      </c>
      <c r="H2299">
        <f t="shared" si="351"/>
        <v>0</v>
      </c>
      <c r="I2299">
        <f t="shared" si="352"/>
        <v>0</v>
      </c>
      <c r="J2299">
        <v>81</v>
      </c>
      <c r="K2299">
        <v>87.4</v>
      </c>
      <c r="L2299">
        <v>78.8</v>
      </c>
      <c r="M2299">
        <v>82.6</v>
      </c>
      <c r="N2299">
        <v>67.3</v>
      </c>
      <c r="O2299">
        <v>63.4</v>
      </c>
      <c r="S2299">
        <f t="shared" si="353"/>
        <v>1</v>
      </c>
      <c r="T2299">
        <f t="shared" si="354"/>
        <v>1</v>
      </c>
      <c r="U2299">
        <f t="shared" si="355"/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32.200000000000003</v>
      </c>
      <c r="AC2299">
        <v>21.9</v>
      </c>
      <c r="AG2299">
        <f t="shared" si="356"/>
        <v>1</v>
      </c>
      <c r="AH2299">
        <f t="shared" si="357"/>
        <v>1</v>
      </c>
      <c r="AI2299">
        <f t="shared" si="358"/>
        <v>0</v>
      </c>
      <c r="AJ2299">
        <v>305</v>
      </c>
      <c r="AK2299">
        <v>1011.3</v>
      </c>
      <c r="AL2299">
        <v>18.2</v>
      </c>
      <c r="AM2299">
        <v>6.2</v>
      </c>
      <c r="AN2299">
        <v>293.89999999999998</v>
      </c>
      <c r="AO2299">
        <v>25.4</v>
      </c>
      <c r="AP2299">
        <v>9</v>
      </c>
      <c r="AQ2299">
        <v>0</v>
      </c>
      <c r="AR2299" t="s">
        <v>7872</v>
      </c>
      <c r="AS2299" t="s">
        <v>7873</v>
      </c>
      <c r="AT2299">
        <v>0.12</v>
      </c>
      <c r="AU2299" t="s">
        <v>74</v>
      </c>
      <c r="AV2299" t="s">
        <v>2955</v>
      </c>
      <c r="AW2299" t="s">
        <v>75</v>
      </c>
      <c r="AX2299" t="s">
        <v>2763</v>
      </c>
      <c r="AY2299" t="s">
        <v>7874</v>
      </c>
      <c r="AZ2299">
        <v>19127.999999999302</v>
      </c>
      <c r="BA2299">
        <v>1</v>
      </c>
      <c r="BB2299">
        <v>0</v>
      </c>
      <c r="BC2299">
        <v>13923</v>
      </c>
      <c r="BD2299">
        <v>0</v>
      </c>
      <c r="BE2299">
        <f t="shared" si="359"/>
        <v>1</v>
      </c>
    </row>
    <row r="2300" spans="1:57" x14ac:dyDescent="0.25">
      <c r="A2300" t="s">
        <v>39</v>
      </c>
      <c r="B2300" t="s">
        <v>7871</v>
      </c>
      <c r="C2300">
        <v>84.2</v>
      </c>
      <c r="D2300">
        <v>78.8</v>
      </c>
      <c r="G2300">
        <f t="shared" si="350"/>
        <v>0</v>
      </c>
      <c r="H2300">
        <f t="shared" si="351"/>
        <v>0</v>
      </c>
      <c r="I2300">
        <f t="shared" si="352"/>
        <v>0</v>
      </c>
      <c r="J2300">
        <v>81</v>
      </c>
      <c r="K2300">
        <v>87.4</v>
      </c>
      <c r="L2300">
        <v>78.8</v>
      </c>
      <c r="M2300">
        <v>82.6</v>
      </c>
      <c r="N2300">
        <v>67.3</v>
      </c>
      <c r="O2300">
        <v>63.4</v>
      </c>
      <c r="S2300">
        <f t="shared" si="353"/>
        <v>1</v>
      </c>
      <c r="T2300">
        <f t="shared" si="354"/>
        <v>1</v>
      </c>
      <c r="U2300">
        <f t="shared" si="355"/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32.200000000000003</v>
      </c>
      <c r="AC2300">
        <v>21.9</v>
      </c>
      <c r="AG2300">
        <f t="shared" si="356"/>
        <v>1</v>
      </c>
      <c r="AH2300">
        <f t="shared" si="357"/>
        <v>1</v>
      </c>
      <c r="AI2300">
        <f t="shared" si="358"/>
        <v>0</v>
      </c>
      <c r="AJ2300">
        <v>305</v>
      </c>
      <c r="AK2300">
        <v>1011.3</v>
      </c>
      <c r="AL2300">
        <v>18.2</v>
      </c>
      <c r="AM2300">
        <v>6.2</v>
      </c>
      <c r="AN2300">
        <v>293.89999999999998</v>
      </c>
      <c r="AO2300">
        <v>25.4</v>
      </c>
      <c r="AP2300">
        <v>9</v>
      </c>
      <c r="AQ2300">
        <v>0</v>
      </c>
      <c r="AR2300" t="s">
        <v>7872</v>
      </c>
      <c r="AS2300" t="s">
        <v>7873</v>
      </c>
      <c r="AT2300">
        <v>0.12</v>
      </c>
      <c r="AU2300" t="s">
        <v>74</v>
      </c>
      <c r="AV2300" t="s">
        <v>2955</v>
      </c>
      <c r="AW2300" t="s">
        <v>75</v>
      </c>
      <c r="AX2300" t="s">
        <v>4039</v>
      </c>
      <c r="AY2300" t="s">
        <v>7875</v>
      </c>
      <c r="AZ2300">
        <v>5217.9999999934807</v>
      </c>
      <c r="BA2300">
        <v>1</v>
      </c>
      <c r="BB2300">
        <v>0</v>
      </c>
      <c r="BC2300">
        <v>200</v>
      </c>
      <c r="BD2300">
        <v>0</v>
      </c>
      <c r="BE2300">
        <f t="shared" si="359"/>
        <v>1</v>
      </c>
    </row>
    <row r="2301" spans="1:57" x14ac:dyDescent="0.25">
      <c r="A2301" t="s">
        <v>39</v>
      </c>
      <c r="B2301" t="s">
        <v>7876</v>
      </c>
      <c r="C2301">
        <v>84.2</v>
      </c>
      <c r="D2301">
        <v>69.8</v>
      </c>
      <c r="G2301">
        <f t="shared" si="350"/>
        <v>0</v>
      </c>
      <c r="H2301">
        <f t="shared" si="351"/>
        <v>0</v>
      </c>
      <c r="I2301">
        <f t="shared" si="352"/>
        <v>0</v>
      </c>
      <c r="J2301">
        <v>77.7</v>
      </c>
      <c r="K2301">
        <v>89.6</v>
      </c>
      <c r="L2301">
        <v>69.8</v>
      </c>
      <c r="M2301">
        <v>79.599999999999994</v>
      </c>
      <c r="N2301">
        <v>68.400000000000006</v>
      </c>
      <c r="O2301">
        <v>73.599999999999994</v>
      </c>
      <c r="S2301">
        <f t="shared" si="353"/>
        <v>1</v>
      </c>
      <c r="T2301">
        <f t="shared" si="354"/>
        <v>1</v>
      </c>
      <c r="U2301">
        <f t="shared" si="355"/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20.399999999999999</v>
      </c>
      <c r="AC2301">
        <v>13.9</v>
      </c>
      <c r="AG2301">
        <f t="shared" si="356"/>
        <v>1</v>
      </c>
      <c r="AH2301">
        <f t="shared" si="357"/>
        <v>0</v>
      </c>
      <c r="AI2301">
        <f t="shared" si="358"/>
        <v>1</v>
      </c>
      <c r="AJ2301">
        <v>307.60000000000002</v>
      </c>
      <c r="AK2301">
        <v>1009</v>
      </c>
      <c r="AL2301">
        <v>14.7</v>
      </c>
      <c r="AM2301">
        <v>6.2</v>
      </c>
      <c r="AN2301">
        <v>290.60000000000002</v>
      </c>
      <c r="AO2301">
        <v>25.2</v>
      </c>
      <c r="AP2301">
        <v>9</v>
      </c>
      <c r="AQ2301">
        <v>0</v>
      </c>
      <c r="AR2301" t="s">
        <v>7877</v>
      </c>
      <c r="AS2301" t="s">
        <v>7878</v>
      </c>
      <c r="AT2301">
        <v>0.25</v>
      </c>
      <c r="AU2301" t="s">
        <v>74</v>
      </c>
      <c r="AV2301" t="s">
        <v>2955</v>
      </c>
      <c r="AW2301" t="s">
        <v>75</v>
      </c>
      <c r="AX2301" t="s">
        <v>2720</v>
      </c>
      <c r="AY2301" t="s">
        <v>7879</v>
      </c>
      <c r="AZ2301">
        <v>20.00000000232831</v>
      </c>
      <c r="BA2301">
        <v>0</v>
      </c>
      <c r="BB2301">
        <v>0</v>
      </c>
      <c r="BC2301">
        <v>150</v>
      </c>
      <c r="BD2301">
        <v>0</v>
      </c>
      <c r="BE2301">
        <f t="shared" si="359"/>
        <v>0</v>
      </c>
    </row>
    <row r="2302" spans="1:57" x14ac:dyDescent="0.25">
      <c r="A2302" t="s">
        <v>39</v>
      </c>
      <c r="B2302" t="s">
        <v>7880</v>
      </c>
      <c r="C2302">
        <v>84.2</v>
      </c>
      <c r="D2302">
        <v>71.599999999999994</v>
      </c>
      <c r="G2302">
        <f t="shared" si="350"/>
        <v>0</v>
      </c>
      <c r="H2302">
        <f t="shared" si="351"/>
        <v>0</v>
      </c>
      <c r="I2302">
        <f t="shared" si="352"/>
        <v>0</v>
      </c>
      <c r="J2302">
        <v>79.8</v>
      </c>
      <c r="K2302">
        <v>89.6</v>
      </c>
      <c r="L2302">
        <v>71.599999999999994</v>
      </c>
      <c r="M2302">
        <v>81.400000000000006</v>
      </c>
      <c r="N2302">
        <v>68.099999999999994</v>
      </c>
      <c r="O2302">
        <v>68.099999999999994</v>
      </c>
      <c r="S2302">
        <f t="shared" si="353"/>
        <v>1</v>
      </c>
      <c r="T2302">
        <f t="shared" si="354"/>
        <v>1</v>
      </c>
      <c r="U2302">
        <f t="shared" si="355"/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28</v>
      </c>
      <c r="AC2302">
        <v>16.100000000000001</v>
      </c>
      <c r="AG2302">
        <f t="shared" si="356"/>
        <v>0</v>
      </c>
      <c r="AH2302">
        <f t="shared" si="357"/>
        <v>0</v>
      </c>
      <c r="AI2302">
        <f t="shared" si="358"/>
        <v>0</v>
      </c>
      <c r="AJ2302">
        <v>298.8</v>
      </c>
      <c r="AK2302">
        <v>1011</v>
      </c>
      <c r="AL2302">
        <v>10.8</v>
      </c>
      <c r="AM2302">
        <v>6.2</v>
      </c>
      <c r="AN2302">
        <v>283.60000000000002</v>
      </c>
      <c r="AO2302">
        <v>24.4</v>
      </c>
      <c r="AP2302">
        <v>9</v>
      </c>
      <c r="AQ2302">
        <v>0</v>
      </c>
      <c r="AR2302" t="s">
        <v>7881</v>
      </c>
      <c r="AS2302" t="s">
        <v>7882</v>
      </c>
      <c r="AT2302">
        <v>0.28999999999999998</v>
      </c>
      <c r="AU2302" t="s">
        <v>74</v>
      </c>
      <c r="AV2302" t="s">
        <v>2955</v>
      </c>
      <c r="AW2302" t="s">
        <v>75</v>
      </c>
      <c r="AX2302" t="s">
        <v>2534</v>
      </c>
      <c r="AY2302" t="s">
        <v>7883</v>
      </c>
      <c r="AZ2302">
        <v>1932.999999993481</v>
      </c>
      <c r="BA2302">
        <v>1</v>
      </c>
      <c r="BB2302">
        <v>0</v>
      </c>
      <c r="BC2302">
        <v>10</v>
      </c>
      <c r="BD2302">
        <v>0</v>
      </c>
      <c r="BE2302">
        <f t="shared" si="359"/>
        <v>0</v>
      </c>
    </row>
    <row r="2303" spans="1:57" x14ac:dyDescent="0.25">
      <c r="A2303" t="s">
        <v>39</v>
      </c>
      <c r="B2303" t="s">
        <v>7884</v>
      </c>
      <c r="C2303">
        <v>87.9</v>
      </c>
      <c r="D2303">
        <v>69.900000000000006</v>
      </c>
      <c r="G2303">
        <f t="shared" si="350"/>
        <v>1</v>
      </c>
      <c r="H2303">
        <f t="shared" si="351"/>
        <v>1</v>
      </c>
      <c r="I2303">
        <f t="shared" si="352"/>
        <v>0</v>
      </c>
      <c r="J2303">
        <v>79.2</v>
      </c>
      <c r="K2303">
        <v>93.5</v>
      </c>
      <c r="L2303">
        <v>69.900000000000006</v>
      </c>
      <c r="M2303">
        <v>81.400000000000006</v>
      </c>
      <c r="N2303">
        <v>65.8</v>
      </c>
      <c r="O2303">
        <v>64.900000000000006</v>
      </c>
      <c r="S2303">
        <f t="shared" si="353"/>
        <v>1</v>
      </c>
      <c r="T2303">
        <f t="shared" si="354"/>
        <v>1</v>
      </c>
      <c r="U2303">
        <f t="shared" si="355"/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20.6</v>
      </c>
      <c r="AC2303">
        <v>13.9</v>
      </c>
      <c r="AG2303">
        <f t="shared" si="356"/>
        <v>1</v>
      </c>
      <c r="AH2303">
        <f t="shared" si="357"/>
        <v>0</v>
      </c>
      <c r="AI2303">
        <f t="shared" si="358"/>
        <v>1</v>
      </c>
      <c r="AJ2303">
        <v>287.39999999999998</v>
      </c>
      <c r="AK2303">
        <v>1009.3</v>
      </c>
      <c r="AL2303">
        <v>0</v>
      </c>
      <c r="AM2303">
        <v>6.2</v>
      </c>
      <c r="AN2303">
        <v>286.3</v>
      </c>
      <c r="AO2303">
        <v>24.9</v>
      </c>
      <c r="AP2303">
        <v>9</v>
      </c>
      <c r="AQ2303">
        <v>0</v>
      </c>
      <c r="AR2303" t="s">
        <v>7885</v>
      </c>
      <c r="AS2303" t="s">
        <v>7886</v>
      </c>
      <c r="AT2303">
        <v>0.43</v>
      </c>
      <c r="AU2303" t="s">
        <v>74</v>
      </c>
      <c r="AV2303" t="s">
        <v>2955</v>
      </c>
      <c r="AW2303" t="s">
        <v>75</v>
      </c>
      <c r="AX2303" t="s">
        <v>7887</v>
      </c>
      <c r="AY2303" t="s">
        <v>7888</v>
      </c>
      <c r="AZ2303">
        <v>316.00000000325957</v>
      </c>
      <c r="BA2303">
        <v>0</v>
      </c>
      <c r="BB2303">
        <v>5</v>
      </c>
      <c r="BC2303">
        <v>0</v>
      </c>
      <c r="BD2303">
        <v>0</v>
      </c>
      <c r="BE2303">
        <f t="shared" si="359"/>
        <v>1</v>
      </c>
    </row>
    <row r="2304" spans="1:57" x14ac:dyDescent="0.25">
      <c r="A2304" t="s">
        <v>39</v>
      </c>
      <c r="B2304" t="s">
        <v>7889</v>
      </c>
      <c r="C2304">
        <v>89.6</v>
      </c>
      <c r="D2304">
        <v>73.400000000000006</v>
      </c>
      <c r="G2304">
        <f t="shared" si="350"/>
        <v>1</v>
      </c>
      <c r="H2304">
        <f t="shared" si="351"/>
        <v>1</v>
      </c>
      <c r="I2304">
        <f t="shared" si="352"/>
        <v>0</v>
      </c>
      <c r="J2304">
        <v>81.400000000000006</v>
      </c>
      <c r="K2304">
        <v>97.8</v>
      </c>
      <c r="L2304">
        <v>73.400000000000006</v>
      </c>
      <c r="M2304">
        <v>83</v>
      </c>
      <c r="N2304">
        <v>64.900000000000006</v>
      </c>
      <c r="O2304">
        <v>58.4</v>
      </c>
      <c r="S2304">
        <f t="shared" si="353"/>
        <v>1</v>
      </c>
      <c r="T2304">
        <f t="shared" si="354"/>
        <v>0</v>
      </c>
      <c r="U2304">
        <f t="shared" si="355"/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23.3</v>
      </c>
      <c r="AC2304">
        <v>9.1999999999999993</v>
      </c>
      <c r="AG2304">
        <f t="shared" si="356"/>
        <v>1</v>
      </c>
      <c r="AH2304">
        <f t="shared" si="357"/>
        <v>0</v>
      </c>
      <c r="AI2304">
        <f t="shared" si="358"/>
        <v>1</v>
      </c>
      <c r="AJ2304">
        <v>161.9</v>
      </c>
      <c r="AK2304">
        <v>1006.7</v>
      </c>
      <c r="AL2304">
        <v>0.1</v>
      </c>
      <c r="AM2304">
        <v>6.2</v>
      </c>
      <c r="AN2304">
        <v>282</v>
      </c>
      <c r="AO2304">
        <v>24.4</v>
      </c>
      <c r="AP2304">
        <v>9</v>
      </c>
      <c r="AQ2304">
        <v>0</v>
      </c>
      <c r="AR2304" t="s">
        <v>7890</v>
      </c>
      <c r="AS2304" t="s">
        <v>7891</v>
      </c>
      <c r="AT2304">
        <v>0.47</v>
      </c>
      <c r="AU2304" t="s">
        <v>74</v>
      </c>
      <c r="AV2304" t="s">
        <v>2955</v>
      </c>
      <c r="AW2304" t="s">
        <v>75</v>
      </c>
      <c r="AX2304" t="s">
        <v>2565</v>
      </c>
      <c r="AY2304" t="s">
        <v>7892</v>
      </c>
      <c r="AZ2304">
        <v>1756.0000000032601</v>
      </c>
      <c r="BA2304">
        <v>1</v>
      </c>
      <c r="BB2304">
        <v>0</v>
      </c>
      <c r="BC2304">
        <v>1</v>
      </c>
      <c r="BD2304">
        <v>0</v>
      </c>
      <c r="BE2304">
        <f t="shared" si="359"/>
        <v>1</v>
      </c>
    </row>
    <row r="2305" spans="1:57" x14ac:dyDescent="0.25">
      <c r="A2305" t="s">
        <v>39</v>
      </c>
      <c r="B2305" t="s">
        <v>7893</v>
      </c>
      <c r="C2305">
        <v>87.8</v>
      </c>
      <c r="D2305">
        <v>71.599999999999994</v>
      </c>
      <c r="G2305">
        <f t="shared" si="350"/>
        <v>1</v>
      </c>
      <c r="H2305">
        <f t="shared" si="351"/>
        <v>1</v>
      </c>
      <c r="I2305">
        <f t="shared" si="352"/>
        <v>0</v>
      </c>
      <c r="J2305">
        <v>79.900000000000006</v>
      </c>
      <c r="K2305">
        <v>94.2</v>
      </c>
      <c r="L2305">
        <v>71.599999999999994</v>
      </c>
      <c r="M2305">
        <v>81.7</v>
      </c>
      <c r="N2305">
        <v>65.5</v>
      </c>
      <c r="O2305">
        <v>62.9</v>
      </c>
      <c r="S2305">
        <f t="shared" si="353"/>
        <v>1</v>
      </c>
      <c r="T2305">
        <f t="shared" si="354"/>
        <v>0</v>
      </c>
      <c r="U2305">
        <f t="shared" si="355"/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18.600000000000001</v>
      </c>
      <c r="AC2305">
        <v>9.1</v>
      </c>
      <c r="AG2305">
        <f t="shared" si="356"/>
        <v>1</v>
      </c>
      <c r="AH2305">
        <f t="shared" si="357"/>
        <v>0</v>
      </c>
      <c r="AI2305">
        <f t="shared" si="358"/>
        <v>1</v>
      </c>
      <c r="AJ2305">
        <v>208.5</v>
      </c>
      <c r="AK2305">
        <v>1013.4</v>
      </c>
      <c r="AL2305">
        <v>4.5999999999999996</v>
      </c>
      <c r="AM2305">
        <v>6.2</v>
      </c>
      <c r="AN2305">
        <v>273.2</v>
      </c>
      <c r="AO2305">
        <v>23.6</v>
      </c>
      <c r="AP2305">
        <v>9</v>
      </c>
      <c r="AQ2305">
        <v>0</v>
      </c>
      <c r="AR2305" t="s">
        <v>7894</v>
      </c>
      <c r="AS2305" t="s">
        <v>7895</v>
      </c>
      <c r="AT2305">
        <v>0.54</v>
      </c>
      <c r="AU2305" t="s">
        <v>74</v>
      </c>
      <c r="AV2305" t="s">
        <v>2955</v>
      </c>
      <c r="AW2305" t="s">
        <v>75</v>
      </c>
      <c r="AX2305" t="s">
        <v>7896</v>
      </c>
      <c r="AY2305" t="s">
        <v>7897</v>
      </c>
      <c r="AZ2305">
        <v>2223.9999999990691</v>
      </c>
      <c r="BA2305">
        <v>1</v>
      </c>
      <c r="BB2305">
        <v>2</v>
      </c>
      <c r="BC2305">
        <v>0</v>
      </c>
      <c r="BD2305">
        <v>0</v>
      </c>
      <c r="BE2305">
        <f t="shared" si="359"/>
        <v>1</v>
      </c>
    </row>
    <row r="2306" spans="1:57" x14ac:dyDescent="0.25">
      <c r="A2306" t="s">
        <v>39</v>
      </c>
      <c r="B2306" t="s">
        <v>7898</v>
      </c>
      <c r="C2306">
        <v>86</v>
      </c>
      <c r="D2306">
        <v>73.400000000000006</v>
      </c>
      <c r="G2306">
        <f t="shared" si="350"/>
        <v>1</v>
      </c>
      <c r="H2306">
        <f t="shared" si="351"/>
        <v>1</v>
      </c>
      <c r="I2306">
        <f t="shared" si="352"/>
        <v>0</v>
      </c>
      <c r="J2306">
        <v>79.599999999999994</v>
      </c>
      <c r="K2306">
        <v>97.2</v>
      </c>
      <c r="L2306">
        <v>73.400000000000006</v>
      </c>
      <c r="M2306">
        <v>83.2</v>
      </c>
      <c r="N2306">
        <v>71.3</v>
      </c>
      <c r="O2306">
        <v>76.7</v>
      </c>
      <c r="S2306">
        <f t="shared" si="353"/>
        <v>1</v>
      </c>
      <c r="T2306">
        <f t="shared" si="354"/>
        <v>1</v>
      </c>
      <c r="U2306">
        <f t="shared" si="355"/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27.1</v>
      </c>
      <c r="AC2306">
        <v>13.9</v>
      </c>
      <c r="AG2306">
        <f t="shared" si="356"/>
        <v>1</v>
      </c>
      <c r="AH2306">
        <f t="shared" si="357"/>
        <v>0</v>
      </c>
      <c r="AI2306">
        <f t="shared" si="358"/>
        <v>1</v>
      </c>
      <c r="AJ2306">
        <v>301.39999999999998</v>
      </c>
      <c r="AK2306">
        <v>1014.5</v>
      </c>
      <c r="AL2306">
        <v>6.7</v>
      </c>
      <c r="AM2306">
        <v>6.2</v>
      </c>
      <c r="AN2306">
        <v>267.3</v>
      </c>
      <c r="AO2306">
        <v>23.1</v>
      </c>
      <c r="AP2306">
        <v>9</v>
      </c>
      <c r="AQ2306">
        <v>0</v>
      </c>
      <c r="AR2306" t="s">
        <v>7899</v>
      </c>
      <c r="AS2306" t="s">
        <v>7900</v>
      </c>
      <c r="AT2306">
        <v>0.56999999999999995</v>
      </c>
      <c r="AU2306" t="s">
        <v>74</v>
      </c>
      <c r="AV2306" t="s">
        <v>2955</v>
      </c>
      <c r="AW2306" t="s">
        <v>75</v>
      </c>
      <c r="AX2306" t="s">
        <v>7901</v>
      </c>
      <c r="AY2306" t="s">
        <v>7902</v>
      </c>
      <c r="AZ2306">
        <v>1783.000000007451</v>
      </c>
      <c r="BA2306">
        <v>1</v>
      </c>
      <c r="BB2306">
        <v>0</v>
      </c>
      <c r="BC2306">
        <v>120</v>
      </c>
      <c r="BD2306">
        <v>0</v>
      </c>
      <c r="BE2306">
        <f t="shared" si="359"/>
        <v>1</v>
      </c>
    </row>
    <row r="2307" spans="1:57" x14ac:dyDescent="0.25">
      <c r="A2307" t="s">
        <v>39</v>
      </c>
      <c r="B2307" t="s">
        <v>7903</v>
      </c>
      <c r="C2307">
        <v>82.4</v>
      </c>
      <c r="D2307">
        <v>77</v>
      </c>
      <c r="G2307">
        <f t="shared" ref="G2307:G2370" si="360">IF(ABS(C2307-INDEX($F$2:$F$13,MONTH(B2307)))&gt;1.8,1,0)</f>
        <v>1</v>
      </c>
      <c r="H2307">
        <f t="shared" ref="H2307:H2370" si="361">IF(C2307&gt;=INDEX($F$2:$F$13,MONTH(B2307))+1.8,1,0)</f>
        <v>1</v>
      </c>
      <c r="I2307">
        <f t="shared" ref="I2307:I2370" si="362">IF(C2307&lt;=INDEX($F$2:$F$13,MONTH(B2307))-1.8,1,0)</f>
        <v>0</v>
      </c>
      <c r="J2307">
        <v>79.599999999999994</v>
      </c>
      <c r="K2307">
        <v>86.2</v>
      </c>
      <c r="L2307">
        <v>77</v>
      </c>
      <c r="M2307">
        <v>80.8</v>
      </c>
      <c r="N2307">
        <v>67.5</v>
      </c>
      <c r="O2307">
        <v>66.7</v>
      </c>
      <c r="S2307">
        <f t="shared" ref="S2307:S2370" si="363">IF(OR(O2307&lt;INDEX($Q$2:$Q$13,MONTH(B2307)),O2307&gt;INDEX($R$2:$R$13,MONTH(B2307))),1,0)</f>
        <v>0</v>
      </c>
      <c r="T2307">
        <f t="shared" ref="T2307:T2370" si="364">IF(O2307&gt;INDEX($R$2:$R$13,MONTH(B2307)),1,0)</f>
        <v>0</v>
      </c>
      <c r="U2307">
        <f t="shared" ref="U2307:U2370" si="365">IF(O2307&lt;INDEX($Q$2:$Q$13,MONTH(B2307)),1,0)</f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37.6</v>
      </c>
      <c r="AC2307">
        <v>21.9</v>
      </c>
      <c r="AG2307">
        <f t="shared" ref="AG2307:AG2370" si="366">IF(OR(AC2307&lt;INDEX($AE$2:$AE$13,MONTH(B2307)),AC2307&gt;INDEX($AF$2:$AF$13,MONTH(B2307))),1,0)</f>
        <v>1</v>
      </c>
      <c r="AH2307">
        <f t="shared" ref="AH2307:AH2370" si="367">IF(AC2307&gt;INDEX($AF$2:$AF$13,MONTH(B2307)),1,0)</f>
        <v>1</v>
      </c>
      <c r="AI2307">
        <f t="shared" ref="AI2307:AI2370" si="368">IF(AC2307&lt;INDEX($AE$2:$AE$13,MONTH(B2307)),1,0)</f>
        <v>0</v>
      </c>
      <c r="AJ2307">
        <v>300.60000000000002</v>
      </c>
      <c r="AK2307">
        <v>1014.7</v>
      </c>
      <c r="AL2307">
        <v>27.2</v>
      </c>
      <c r="AM2307">
        <v>6.2</v>
      </c>
      <c r="AN2307">
        <v>232.5</v>
      </c>
      <c r="AO2307">
        <v>20.100000000000001</v>
      </c>
      <c r="AP2307">
        <v>8</v>
      </c>
      <c r="AQ2307">
        <v>0</v>
      </c>
      <c r="AR2307" t="s">
        <v>7904</v>
      </c>
      <c r="AS2307" t="s">
        <v>7905</v>
      </c>
      <c r="AT2307">
        <v>0.73</v>
      </c>
      <c r="AU2307" t="s">
        <v>43</v>
      </c>
      <c r="AV2307" t="s">
        <v>44</v>
      </c>
      <c r="AW2307" t="s">
        <v>45</v>
      </c>
      <c r="AX2307" t="s">
        <v>6513</v>
      </c>
      <c r="AY2307" t="s">
        <v>7906</v>
      </c>
      <c r="AZ2307">
        <v>2099.9999999930151</v>
      </c>
      <c r="BA2307">
        <v>1</v>
      </c>
      <c r="BB2307">
        <v>2</v>
      </c>
      <c r="BC2307">
        <v>0</v>
      </c>
      <c r="BD2307">
        <v>0</v>
      </c>
      <c r="BE2307">
        <f t="shared" ref="BE2307:BE2370" si="369">IF((3*AH2307+3*H2307+2*U2307+2*BA2307-(2*(1-T2307)+2*(1-I2307)+2*(1-AI2307)))&gt;=1,1,0)</f>
        <v>1</v>
      </c>
    </row>
    <row r="2308" spans="1:57" x14ac:dyDescent="0.25">
      <c r="A2308" t="s">
        <v>39</v>
      </c>
      <c r="B2308" t="s">
        <v>7907</v>
      </c>
      <c r="C2308">
        <v>82.4</v>
      </c>
      <c r="D2308">
        <v>75.2</v>
      </c>
      <c r="G2308">
        <f t="shared" si="360"/>
        <v>1</v>
      </c>
      <c r="H2308">
        <f t="shared" si="361"/>
        <v>1</v>
      </c>
      <c r="I2308">
        <f t="shared" si="362"/>
        <v>0</v>
      </c>
      <c r="J2308">
        <v>78.2</v>
      </c>
      <c r="K2308">
        <v>87.2</v>
      </c>
      <c r="L2308">
        <v>75.2</v>
      </c>
      <c r="M2308">
        <v>79.8</v>
      </c>
      <c r="N2308">
        <v>69.400000000000006</v>
      </c>
      <c r="O2308">
        <v>74.400000000000006</v>
      </c>
      <c r="S2308">
        <f t="shared" si="363"/>
        <v>1</v>
      </c>
      <c r="T2308">
        <f t="shared" si="364"/>
        <v>1</v>
      </c>
      <c r="U2308">
        <f t="shared" si="365"/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26.4</v>
      </c>
      <c r="AC2308">
        <v>19.7</v>
      </c>
      <c r="AG2308">
        <f t="shared" si="366"/>
        <v>1</v>
      </c>
      <c r="AH2308">
        <f t="shared" si="367"/>
        <v>1</v>
      </c>
      <c r="AI2308">
        <f t="shared" si="368"/>
        <v>0</v>
      </c>
      <c r="AJ2308">
        <v>302.7</v>
      </c>
      <c r="AK2308">
        <v>1010.2</v>
      </c>
      <c r="AL2308">
        <v>23</v>
      </c>
      <c r="AM2308">
        <v>6.2</v>
      </c>
      <c r="AN2308">
        <v>241.8</v>
      </c>
      <c r="AO2308">
        <v>20.8</v>
      </c>
      <c r="AP2308">
        <v>8</v>
      </c>
      <c r="AQ2308">
        <v>0</v>
      </c>
      <c r="AR2308" t="s">
        <v>7908</v>
      </c>
      <c r="AS2308" t="s">
        <v>7909</v>
      </c>
      <c r="AT2308">
        <v>0.75</v>
      </c>
      <c r="AU2308" t="s">
        <v>43</v>
      </c>
      <c r="AV2308" t="s">
        <v>44</v>
      </c>
      <c r="AW2308" t="s">
        <v>45</v>
      </c>
      <c r="AX2308" t="s">
        <v>7910</v>
      </c>
      <c r="AY2308" t="s">
        <v>7911</v>
      </c>
      <c r="AZ2308">
        <v>453.99999999208381</v>
      </c>
      <c r="BA2308">
        <v>1</v>
      </c>
      <c r="BB2308">
        <v>0</v>
      </c>
      <c r="BC2308">
        <v>0.5</v>
      </c>
      <c r="BD2308">
        <v>0</v>
      </c>
      <c r="BE2308">
        <f t="shared" si="369"/>
        <v>1</v>
      </c>
    </row>
    <row r="2309" spans="1:57" x14ac:dyDescent="0.25">
      <c r="A2309" t="s">
        <v>39</v>
      </c>
      <c r="B2309" t="s">
        <v>7912</v>
      </c>
      <c r="C2309">
        <v>82.4</v>
      </c>
      <c r="D2309">
        <v>69.8</v>
      </c>
      <c r="G2309">
        <f t="shared" si="360"/>
        <v>1</v>
      </c>
      <c r="H2309">
        <f t="shared" si="361"/>
        <v>1</v>
      </c>
      <c r="I2309">
        <f t="shared" si="362"/>
        <v>0</v>
      </c>
      <c r="J2309">
        <v>77.3</v>
      </c>
      <c r="K2309">
        <v>86.2</v>
      </c>
      <c r="L2309">
        <v>69.8</v>
      </c>
      <c r="M2309">
        <v>78.2</v>
      </c>
      <c r="N2309">
        <v>66.400000000000006</v>
      </c>
      <c r="O2309">
        <v>69.5</v>
      </c>
      <c r="S2309">
        <f t="shared" si="363"/>
        <v>1</v>
      </c>
      <c r="T2309">
        <f t="shared" si="364"/>
        <v>1</v>
      </c>
      <c r="U2309">
        <f t="shared" si="365"/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25.3</v>
      </c>
      <c r="AC2309">
        <v>18.3</v>
      </c>
      <c r="AG2309">
        <f t="shared" si="366"/>
        <v>1</v>
      </c>
      <c r="AH2309">
        <f t="shared" si="367"/>
        <v>1</v>
      </c>
      <c r="AI2309">
        <f t="shared" si="368"/>
        <v>0</v>
      </c>
      <c r="AJ2309">
        <v>308.89999999999998</v>
      </c>
      <c r="AK2309">
        <v>1008.8</v>
      </c>
      <c r="AL2309">
        <v>27.8</v>
      </c>
      <c r="AM2309">
        <v>6.2</v>
      </c>
      <c r="AN2309">
        <v>245.5</v>
      </c>
      <c r="AO2309">
        <v>21.3</v>
      </c>
      <c r="AP2309">
        <v>8</v>
      </c>
      <c r="AQ2309">
        <v>0</v>
      </c>
      <c r="AR2309" t="s">
        <v>7913</v>
      </c>
      <c r="AS2309" t="s">
        <v>7914</v>
      </c>
      <c r="AT2309">
        <v>0.8</v>
      </c>
      <c r="AU2309" t="s">
        <v>43</v>
      </c>
      <c r="AV2309" t="s">
        <v>44</v>
      </c>
      <c r="AW2309" t="s">
        <v>45</v>
      </c>
      <c r="AX2309" t="s">
        <v>2670</v>
      </c>
      <c r="AY2309" t="s">
        <v>7915</v>
      </c>
      <c r="AZ2309">
        <v>1829.9999999930151</v>
      </c>
      <c r="BA2309">
        <v>1</v>
      </c>
      <c r="BB2309">
        <v>0</v>
      </c>
      <c r="BC2309">
        <v>11</v>
      </c>
      <c r="BD2309">
        <v>0</v>
      </c>
      <c r="BE2309">
        <f t="shared" si="369"/>
        <v>1</v>
      </c>
    </row>
    <row r="2310" spans="1:57" x14ac:dyDescent="0.25">
      <c r="A2310" t="s">
        <v>39</v>
      </c>
      <c r="B2310" t="s">
        <v>7916</v>
      </c>
      <c r="C2310">
        <v>82.4</v>
      </c>
      <c r="D2310">
        <v>68.8</v>
      </c>
      <c r="G2310">
        <f t="shared" si="360"/>
        <v>1</v>
      </c>
      <c r="H2310">
        <f t="shared" si="361"/>
        <v>1</v>
      </c>
      <c r="I2310">
        <f t="shared" si="362"/>
        <v>0</v>
      </c>
      <c r="J2310">
        <v>77</v>
      </c>
      <c r="K2310">
        <v>87.2</v>
      </c>
      <c r="L2310">
        <v>68.8</v>
      </c>
      <c r="M2310">
        <v>78.400000000000006</v>
      </c>
      <c r="N2310">
        <v>70</v>
      </c>
      <c r="O2310">
        <v>79.400000000000006</v>
      </c>
      <c r="S2310">
        <f t="shared" si="363"/>
        <v>1</v>
      </c>
      <c r="T2310">
        <f t="shared" si="364"/>
        <v>1</v>
      </c>
      <c r="U2310">
        <f t="shared" si="365"/>
        <v>0</v>
      </c>
      <c r="V2310">
        <v>1.2E-2</v>
      </c>
      <c r="W2310">
        <v>100</v>
      </c>
      <c r="X2310">
        <v>4.17</v>
      </c>
      <c r="Y2310" t="s">
        <v>103</v>
      </c>
      <c r="Z2310">
        <v>0</v>
      </c>
      <c r="AA2310">
        <v>0</v>
      </c>
      <c r="AB2310">
        <v>26.2</v>
      </c>
      <c r="AC2310">
        <v>15</v>
      </c>
      <c r="AG2310">
        <f t="shared" si="366"/>
        <v>1</v>
      </c>
      <c r="AH2310">
        <f t="shared" si="367"/>
        <v>0</v>
      </c>
      <c r="AI2310">
        <f t="shared" si="368"/>
        <v>1</v>
      </c>
      <c r="AJ2310">
        <v>303.8</v>
      </c>
      <c r="AK2310">
        <v>1015.1</v>
      </c>
      <c r="AL2310">
        <v>39.6</v>
      </c>
      <c r="AM2310">
        <v>6.2</v>
      </c>
      <c r="AN2310">
        <v>208.8</v>
      </c>
      <c r="AO2310">
        <v>18.100000000000001</v>
      </c>
      <c r="AP2310">
        <v>7</v>
      </c>
      <c r="AQ2310">
        <v>0</v>
      </c>
      <c r="AR2310" t="s">
        <v>7917</v>
      </c>
      <c r="AS2310" t="s">
        <v>7918</v>
      </c>
      <c r="AT2310">
        <v>0.87</v>
      </c>
      <c r="AU2310" t="s">
        <v>106</v>
      </c>
      <c r="AV2310" t="s">
        <v>1180</v>
      </c>
      <c r="AW2310" t="s">
        <v>103</v>
      </c>
      <c r="AX2310" t="s">
        <v>7506</v>
      </c>
      <c r="AY2310" t="s">
        <v>7919</v>
      </c>
      <c r="AZ2310">
        <v>185.99999999860299</v>
      </c>
      <c r="BA2310">
        <v>0</v>
      </c>
      <c r="BB2310">
        <v>0.05</v>
      </c>
      <c r="BC2310">
        <v>0</v>
      </c>
      <c r="BD2310">
        <v>0</v>
      </c>
      <c r="BE2310">
        <f t="shared" si="369"/>
        <v>1</v>
      </c>
    </row>
    <row r="2311" spans="1:57" x14ac:dyDescent="0.25">
      <c r="A2311" t="s">
        <v>39</v>
      </c>
      <c r="B2311" t="s">
        <v>7920</v>
      </c>
      <c r="C2311">
        <v>80.599999999999994</v>
      </c>
      <c r="D2311">
        <v>75.2</v>
      </c>
      <c r="G2311">
        <f t="shared" si="360"/>
        <v>0</v>
      </c>
      <c r="H2311">
        <f t="shared" si="361"/>
        <v>0</v>
      </c>
      <c r="I2311">
        <f t="shared" si="362"/>
        <v>0</v>
      </c>
      <c r="J2311">
        <v>78.099999999999994</v>
      </c>
      <c r="K2311">
        <v>83.3</v>
      </c>
      <c r="L2311">
        <v>75.2</v>
      </c>
      <c r="M2311">
        <v>78.7</v>
      </c>
      <c r="N2311">
        <v>68.099999999999994</v>
      </c>
      <c r="O2311">
        <v>72</v>
      </c>
      <c r="S2311">
        <f t="shared" si="363"/>
        <v>1</v>
      </c>
      <c r="T2311">
        <f t="shared" si="364"/>
        <v>1</v>
      </c>
      <c r="U2311">
        <f t="shared" si="365"/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28.4</v>
      </c>
      <c r="AC2311">
        <v>20.8</v>
      </c>
      <c r="AG2311">
        <f t="shared" si="366"/>
        <v>1</v>
      </c>
      <c r="AH2311">
        <f t="shared" si="367"/>
        <v>1</v>
      </c>
      <c r="AI2311">
        <f t="shared" si="368"/>
        <v>0</v>
      </c>
      <c r="AJ2311">
        <v>306.89999999999998</v>
      </c>
      <c r="AK2311">
        <v>1016.6</v>
      </c>
      <c r="AL2311">
        <v>37</v>
      </c>
      <c r="AM2311">
        <v>6.2</v>
      </c>
      <c r="AN2311">
        <v>228</v>
      </c>
      <c r="AO2311">
        <v>19.899999999999999</v>
      </c>
      <c r="AP2311">
        <v>8</v>
      </c>
      <c r="AQ2311">
        <v>0</v>
      </c>
      <c r="AR2311" t="s">
        <v>7921</v>
      </c>
      <c r="AS2311" t="s">
        <v>7922</v>
      </c>
      <c r="AT2311">
        <v>0.9</v>
      </c>
      <c r="AU2311" t="s">
        <v>43</v>
      </c>
      <c r="AV2311" t="s">
        <v>44</v>
      </c>
      <c r="AW2311" t="s">
        <v>45</v>
      </c>
      <c r="AX2311" t="s">
        <v>7260</v>
      </c>
      <c r="AY2311" t="s">
        <v>7923</v>
      </c>
      <c r="AZ2311">
        <v>116.00000000093129</v>
      </c>
      <c r="BA2311">
        <v>0</v>
      </c>
      <c r="BB2311">
        <v>0</v>
      </c>
      <c r="BC2311">
        <v>0.2</v>
      </c>
      <c r="BD2311">
        <v>0</v>
      </c>
      <c r="BE2311">
        <f t="shared" si="369"/>
        <v>0</v>
      </c>
    </row>
    <row r="2312" spans="1:57" x14ac:dyDescent="0.25">
      <c r="A2312" t="s">
        <v>39</v>
      </c>
      <c r="B2312" t="s">
        <v>7924</v>
      </c>
      <c r="C2312">
        <v>82.4</v>
      </c>
      <c r="D2312">
        <v>68</v>
      </c>
      <c r="G2312">
        <f t="shared" si="360"/>
        <v>1</v>
      </c>
      <c r="H2312">
        <f t="shared" si="361"/>
        <v>1</v>
      </c>
      <c r="I2312">
        <f t="shared" si="362"/>
        <v>0</v>
      </c>
      <c r="J2312">
        <v>75.8</v>
      </c>
      <c r="K2312">
        <v>88.3</v>
      </c>
      <c r="L2312">
        <v>68</v>
      </c>
      <c r="M2312">
        <v>77.400000000000006</v>
      </c>
      <c r="N2312">
        <v>69.900000000000006</v>
      </c>
      <c r="O2312">
        <v>82.2</v>
      </c>
      <c r="S2312">
        <f t="shared" si="363"/>
        <v>1</v>
      </c>
      <c r="T2312">
        <f t="shared" si="364"/>
        <v>1</v>
      </c>
      <c r="U2312">
        <f t="shared" si="365"/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28.9</v>
      </c>
      <c r="AC2312">
        <v>10.3</v>
      </c>
      <c r="AG2312">
        <f t="shared" si="366"/>
        <v>1</v>
      </c>
      <c r="AH2312">
        <f t="shared" si="367"/>
        <v>0</v>
      </c>
      <c r="AI2312">
        <f t="shared" si="368"/>
        <v>1</v>
      </c>
      <c r="AJ2312">
        <v>116.4</v>
      </c>
      <c r="AK2312">
        <v>1012.9</v>
      </c>
      <c r="AL2312">
        <v>24.5</v>
      </c>
      <c r="AM2312">
        <v>6.2</v>
      </c>
      <c r="AN2312">
        <v>236.3</v>
      </c>
      <c r="AO2312">
        <v>20.399999999999999</v>
      </c>
      <c r="AP2312">
        <v>8</v>
      </c>
      <c r="AQ2312">
        <v>0</v>
      </c>
      <c r="AR2312" t="s">
        <v>7925</v>
      </c>
      <c r="AS2312" t="s">
        <v>7926</v>
      </c>
      <c r="AT2312">
        <v>0</v>
      </c>
      <c r="AU2312" t="s">
        <v>43</v>
      </c>
      <c r="AV2312" t="s">
        <v>44</v>
      </c>
      <c r="AW2312" t="s">
        <v>45</v>
      </c>
      <c r="AX2312" t="s">
        <v>7927</v>
      </c>
      <c r="AY2312" t="s">
        <v>7928</v>
      </c>
      <c r="AZ2312">
        <v>1975.9999999974391</v>
      </c>
      <c r="BA2312">
        <v>1</v>
      </c>
      <c r="BB2312">
        <v>0</v>
      </c>
      <c r="BC2312">
        <v>600</v>
      </c>
      <c r="BD2312">
        <v>0</v>
      </c>
      <c r="BE2312">
        <f t="shared" si="369"/>
        <v>1</v>
      </c>
    </row>
    <row r="2313" spans="1:57" x14ac:dyDescent="0.25">
      <c r="A2313" t="s">
        <v>39</v>
      </c>
      <c r="B2313" t="s">
        <v>7924</v>
      </c>
      <c r="C2313">
        <v>82.4</v>
      </c>
      <c r="D2313">
        <v>68</v>
      </c>
      <c r="G2313">
        <f t="shared" si="360"/>
        <v>1</v>
      </c>
      <c r="H2313">
        <f t="shared" si="361"/>
        <v>1</v>
      </c>
      <c r="I2313">
        <f t="shared" si="362"/>
        <v>0</v>
      </c>
      <c r="J2313">
        <v>75.8</v>
      </c>
      <c r="K2313">
        <v>88.3</v>
      </c>
      <c r="L2313">
        <v>68</v>
      </c>
      <c r="M2313">
        <v>77.400000000000006</v>
      </c>
      <c r="N2313">
        <v>69.900000000000006</v>
      </c>
      <c r="O2313">
        <v>82.2</v>
      </c>
      <c r="S2313">
        <f t="shared" si="363"/>
        <v>1</v>
      </c>
      <c r="T2313">
        <f t="shared" si="364"/>
        <v>1</v>
      </c>
      <c r="U2313">
        <f t="shared" si="365"/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28.9</v>
      </c>
      <c r="AC2313">
        <v>10.3</v>
      </c>
      <c r="AG2313">
        <f t="shared" si="366"/>
        <v>1</v>
      </c>
      <c r="AH2313">
        <f t="shared" si="367"/>
        <v>0</v>
      </c>
      <c r="AI2313">
        <f t="shared" si="368"/>
        <v>1</v>
      </c>
      <c r="AJ2313">
        <v>116.4</v>
      </c>
      <c r="AK2313">
        <v>1012.9</v>
      </c>
      <c r="AL2313">
        <v>24.5</v>
      </c>
      <c r="AM2313">
        <v>6.2</v>
      </c>
      <c r="AN2313">
        <v>236.3</v>
      </c>
      <c r="AO2313">
        <v>20.399999999999999</v>
      </c>
      <c r="AP2313">
        <v>8</v>
      </c>
      <c r="AQ2313">
        <v>0</v>
      </c>
      <c r="AR2313" t="s">
        <v>7925</v>
      </c>
      <c r="AS2313" t="s">
        <v>7926</v>
      </c>
      <c r="AT2313">
        <v>0</v>
      </c>
      <c r="AU2313" t="s">
        <v>43</v>
      </c>
      <c r="AV2313" t="s">
        <v>44</v>
      </c>
      <c r="AW2313" t="s">
        <v>45</v>
      </c>
      <c r="AX2313" t="s">
        <v>7929</v>
      </c>
      <c r="AY2313" t="s">
        <v>7930</v>
      </c>
      <c r="AZ2313">
        <v>1876.9999999995341</v>
      </c>
      <c r="BA2313">
        <v>1</v>
      </c>
      <c r="BB2313">
        <v>0</v>
      </c>
      <c r="BC2313">
        <v>800</v>
      </c>
      <c r="BD2313">
        <v>0</v>
      </c>
      <c r="BE2313">
        <f t="shared" si="369"/>
        <v>1</v>
      </c>
    </row>
    <row r="2314" spans="1:57" x14ac:dyDescent="0.25">
      <c r="A2314" t="s">
        <v>39</v>
      </c>
      <c r="B2314" t="s">
        <v>7924</v>
      </c>
      <c r="C2314">
        <v>82.4</v>
      </c>
      <c r="D2314">
        <v>68</v>
      </c>
      <c r="G2314">
        <f t="shared" si="360"/>
        <v>1</v>
      </c>
      <c r="H2314">
        <f t="shared" si="361"/>
        <v>1</v>
      </c>
      <c r="I2314">
        <f t="shared" si="362"/>
        <v>0</v>
      </c>
      <c r="J2314">
        <v>75.8</v>
      </c>
      <c r="K2314">
        <v>88.3</v>
      </c>
      <c r="L2314">
        <v>68</v>
      </c>
      <c r="M2314">
        <v>77.400000000000006</v>
      </c>
      <c r="N2314">
        <v>69.900000000000006</v>
      </c>
      <c r="O2314">
        <v>82.2</v>
      </c>
      <c r="S2314">
        <f t="shared" si="363"/>
        <v>1</v>
      </c>
      <c r="T2314">
        <f t="shared" si="364"/>
        <v>1</v>
      </c>
      <c r="U2314">
        <f t="shared" si="365"/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28.9</v>
      </c>
      <c r="AC2314">
        <v>10.3</v>
      </c>
      <c r="AG2314">
        <f t="shared" si="366"/>
        <v>1</v>
      </c>
      <c r="AH2314">
        <f t="shared" si="367"/>
        <v>0</v>
      </c>
      <c r="AI2314">
        <f t="shared" si="368"/>
        <v>1</v>
      </c>
      <c r="AJ2314">
        <v>116.4</v>
      </c>
      <c r="AK2314">
        <v>1012.9</v>
      </c>
      <c r="AL2314">
        <v>24.5</v>
      </c>
      <c r="AM2314">
        <v>6.2</v>
      </c>
      <c r="AN2314">
        <v>236.3</v>
      </c>
      <c r="AO2314">
        <v>20.399999999999999</v>
      </c>
      <c r="AP2314">
        <v>8</v>
      </c>
      <c r="AQ2314">
        <v>0</v>
      </c>
      <c r="AR2314" t="s">
        <v>7925</v>
      </c>
      <c r="AS2314" t="s">
        <v>7926</v>
      </c>
      <c r="AT2314">
        <v>0</v>
      </c>
      <c r="AU2314" t="s">
        <v>43</v>
      </c>
      <c r="AV2314" t="s">
        <v>44</v>
      </c>
      <c r="AW2314" t="s">
        <v>45</v>
      </c>
      <c r="AX2314" t="s">
        <v>7931</v>
      </c>
      <c r="AY2314" t="s">
        <v>7932</v>
      </c>
      <c r="AZ2314">
        <v>62.999999995809048</v>
      </c>
      <c r="BA2314">
        <v>0</v>
      </c>
      <c r="BB2314">
        <v>0</v>
      </c>
      <c r="BC2314">
        <v>0.02</v>
      </c>
      <c r="BD2314">
        <v>0</v>
      </c>
      <c r="BE2314">
        <f t="shared" si="369"/>
        <v>1</v>
      </c>
    </row>
    <row r="2315" spans="1:57" x14ac:dyDescent="0.25">
      <c r="A2315" t="s">
        <v>39</v>
      </c>
      <c r="B2315" t="s">
        <v>7933</v>
      </c>
      <c r="C2315">
        <v>87.8</v>
      </c>
      <c r="D2315">
        <v>69.8</v>
      </c>
      <c r="G2315">
        <f t="shared" si="360"/>
        <v>1</v>
      </c>
      <c r="H2315">
        <f t="shared" si="361"/>
        <v>1</v>
      </c>
      <c r="I2315">
        <f t="shared" si="362"/>
        <v>0</v>
      </c>
      <c r="J2315">
        <v>78.2</v>
      </c>
      <c r="K2315">
        <v>93.4</v>
      </c>
      <c r="L2315">
        <v>69.8</v>
      </c>
      <c r="M2315">
        <v>80.099999999999994</v>
      </c>
      <c r="N2315">
        <v>68.3</v>
      </c>
      <c r="O2315">
        <v>72.900000000000006</v>
      </c>
      <c r="S2315">
        <f t="shared" si="363"/>
        <v>1</v>
      </c>
      <c r="T2315">
        <f t="shared" si="364"/>
        <v>1</v>
      </c>
      <c r="U2315">
        <f t="shared" si="365"/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27.7</v>
      </c>
      <c r="AC2315">
        <v>11.4</v>
      </c>
      <c r="AG2315">
        <f t="shared" si="366"/>
        <v>1</v>
      </c>
      <c r="AH2315">
        <f t="shared" si="367"/>
        <v>0</v>
      </c>
      <c r="AI2315">
        <f t="shared" si="368"/>
        <v>1</v>
      </c>
      <c r="AJ2315">
        <v>146.69999999999999</v>
      </c>
      <c r="AK2315">
        <v>1013.6</v>
      </c>
      <c r="AL2315">
        <v>30.6</v>
      </c>
      <c r="AM2315">
        <v>6.2</v>
      </c>
      <c r="AN2315">
        <v>225.6</v>
      </c>
      <c r="AO2315">
        <v>19.5</v>
      </c>
      <c r="AP2315">
        <v>7</v>
      </c>
      <c r="AQ2315">
        <v>0</v>
      </c>
      <c r="AR2315" t="s">
        <v>7934</v>
      </c>
      <c r="AS2315" t="s">
        <v>7935</v>
      </c>
      <c r="AT2315">
        <v>0.03</v>
      </c>
      <c r="AU2315" t="s">
        <v>43</v>
      </c>
      <c r="AV2315" t="s">
        <v>44</v>
      </c>
      <c r="AW2315" t="s">
        <v>45</v>
      </c>
      <c r="AX2315" t="s">
        <v>4421</v>
      </c>
      <c r="AY2315" t="s">
        <v>7936</v>
      </c>
      <c r="AZ2315">
        <v>1658.000000008615</v>
      </c>
      <c r="BA2315">
        <v>1</v>
      </c>
      <c r="BB2315">
        <v>0</v>
      </c>
      <c r="BC2315">
        <v>1</v>
      </c>
      <c r="BD2315">
        <v>0</v>
      </c>
      <c r="BE2315">
        <f t="shared" si="369"/>
        <v>1</v>
      </c>
    </row>
    <row r="2316" spans="1:57" x14ac:dyDescent="0.25">
      <c r="A2316" t="s">
        <v>39</v>
      </c>
      <c r="B2316" t="s">
        <v>7937</v>
      </c>
      <c r="C2316">
        <v>93.2</v>
      </c>
      <c r="D2316">
        <v>71.599999999999994</v>
      </c>
      <c r="G2316">
        <f t="shared" si="360"/>
        <v>1</v>
      </c>
      <c r="H2316">
        <f t="shared" si="361"/>
        <v>1</v>
      </c>
      <c r="I2316">
        <f t="shared" si="362"/>
        <v>0</v>
      </c>
      <c r="J2316">
        <v>81.099999999999994</v>
      </c>
      <c r="K2316">
        <v>92.6</v>
      </c>
      <c r="L2316">
        <v>71.599999999999994</v>
      </c>
      <c r="M2316">
        <v>81.3</v>
      </c>
      <c r="N2316">
        <v>61.8</v>
      </c>
      <c r="O2316">
        <v>54.7</v>
      </c>
      <c r="S2316">
        <f t="shared" si="363"/>
        <v>1</v>
      </c>
      <c r="T2316">
        <f t="shared" si="364"/>
        <v>0</v>
      </c>
      <c r="U2316">
        <f t="shared" si="365"/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50.8</v>
      </c>
      <c r="AC2316">
        <v>36.9</v>
      </c>
      <c r="AG2316">
        <f t="shared" si="366"/>
        <v>1</v>
      </c>
      <c r="AH2316">
        <f t="shared" si="367"/>
        <v>1</v>
      </c>
      <c r="AI2316">
        <f t="shared" si="368"/>
        <v>0</v>
      </c>
      <c r="AJ2316">
        <v>177.1</v>
      </c>
      <c r="AK2316">
        <v>1007.2</v>
      </c>
      <c r="AL2316">
        <v>20</v>
      </c>
      <c r="AM2316">
        <v>6.2</v>
      </c>
      <c r="AN2316">
        <v>228.9</v>
      </c>
      <c r="AO2316">
        <v>19.7</v>
      </c>
      <c r="AP2316">
        <v>8</v>
      </c>
      <c r="AQ2316">
        <v>0</v>
      </c>
      <c r="AR2316" t="s">
        <v>7938</v>
      </c>
      <c r="AS2316" t="s">
        <v>7939</v>
      </c>
      <c r="AT2316">
        <v>0.31</v>
      </c>
      <c r="AU2316" t="s">
        <v>74</v>
      </c>
      <c r="AV2316" t="s">
        <v>44</v>
      </c>
      <c r="AW2316" t="s">
        <v>419</v>
      </c>
      <c r="AX2316" t="s">
        <v>2476</v>
      </c>
      <c r="AY2316" t="s">
        <v>7940</v>
      </c>
      <c r="AZ2316">
        <v>1753.9999999967399</v>
      </c>
      <c r="BA2316">
        <v>1</v>
      </c>
      <c r="BB2316">
        <v>0</v>
      </c>
      <c r="BC2316">
        <v>0.5</v>
      </c>
      <c r="BD2316">
        <v>0</v>
      </c>
      <c r="BE2316">
        <f t="shared" si="369"/>
        <v>1</v>
      </c>
    </row>
    <row r="2317" spans="1:57" x14ac:dyDescent="0.25">
      <c r="A2317" t="s">
        <v>39</v>
      </c>
      <c r="B2317" t="s">
        <v>7937</v>
      </c>
      <c r="C2317">
        <v>93.2</v>
      </c>
      <c r="D2317">
        <v>71.599999999999994</v>
      </c>
      <c r="G2317">
        <f t="shared" si="360"/>
        <v>1</v>
      </c>
      <c r="H2317">
        <f t="shared" si="361"/>
        <v>1</v>
      </c>
      <c r="I2317">
        <f t="shared" si="362"/>
        <v>0</v>
      </c>
      <c r="J2317">
        <v>81.099999999999994</v>
      </c>
      <c r="K2317">
        <v>92.6</v>
      </c>
      <c r="L2317">
        <v>71.599999999999994</v>
      </c>
      <c r="M2317">
        <v>81.3</v>
      </c>
      <c r="N2317">
        <v>61.8</v>
      </c>
      <c r="O2317">
        <v>54.7</v>
      </c>
      <c r="S2317">
        <f t="shared" si="363"/>
        <v>1</v>
      </c>
      <c r="T2317">
        <f t="shared" si="364"/>
        <v>0</v>
      </c>
      <c r="U2317">
        <f t="shared" si="365"/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50.8</v>
      </c>
      <c r="AC2317">
        <v>36.9</v>
      </c>
      <c r="AG2317">
        <f t="shared" si="366"/>
        <v>1</v>
      </c>
      <c r="AH2317">
        <f t="shared" si="367"/>
        <v>1</v>
      </c>
      <c r="AI2317">
        <f t="shared" si="368"/>
        <v>0</v>
      </c>
      <c r="AJ2317">
        <v>177.1</v>
      </c>
      <c r="AK2317">
        <v>1007.2</v>
      </c>
      <c r="AL2317">
        <v>20</v>
      </c>
      <c r="AM2317">
        <v>6.2</v>
      </c>
      <c r="AN2317">
        <v>228.9</v>
      </c>
      <c r="AO2317">
        <v>19.7</v>
      </c>
      <c r="AP2317">
        <v>8</v>
      </c>
      <c r="AQ2317">
        <v>0</v>
      </c>
      <c r="AR2317" t="s">
        <v>7938</v>
      </c>
      <c r="AS2317" t="s">
        <v>7939</v>
      </c>
      <c r="AT2317">
        <v>0.31</v>
      </c>
      <c r="AU2317" t="s">
        <v>74</v>
      </c>
      <c r="AV2317" t="s">
        <v>44</v>
      </c>
      <c r="AW2317" t="s">
        <v>419</v>
      </c>
      <c r="AX2317" t="s">
        <v>6553</v>
      </c>
      <c r="AY2317" t="s">
        <v>7941</v>
      </c>
      <c r="AZ2317">
        <v>37.000000005355098</v>
      </c>
      <c r="BA2317">
        <v>0</v>
      </c>
      <c r="BB2317">
        <v>0</v>
      </c>
      <c r="BC2317">
        <v>0.1</v>
      </c>
      <c r="BD2317">
        <v>0</v>
      </c>
      <c r="BE2317">
        <f t="shared" si="369"/>
        <v>1</v>
      </c>
    </row>
    <row r="2318" spans="1:57" x14ac:dyDescent="0.25">
      <c r="A2318" t="s">
        <v>39</v>
      </c>
      <c r="B2318" t="s">
        <v>7937</v>
      </c>
      <c r="C2318">
        <v>93.2</v>
      </c>
      <c r="D2318">
        <v>71.599999999999994</v>
      </c>
      <c r="G2318">
        <f t="shared" si="360"/>
        <v>1</v>
      </c>
      <c r="H2318">
        <f t="shared" si="361"/>
        <v>1</v>
      </c>
      <c r="I2318">
        <f t="shared" si="362"/>
        <v>0</v>
      </c>
      <c r="J2318">
        <v>81.099999999999994</v>
      </c>
      <c r="K2318">
        <v>92.6</v>
      </c>
      <c r="L2318">
        <v>71.599999999999994</v>
      </c>
      <c r="M2318">
        <v>81.3</v>
      </c>
      <c r="N2318">
        <v>61.8</v>
      </c>
      <c r="O2318">
        <v>54.7</v>
      </c>
      <c r="S2318">
        <f t="shared" si="363"/>
        <v>1</v>
      </c>
      <c r="T2318">
        <f t="shared" si="364"/>
        <v>0</v>
      </c>
      <c r="U2318">
        <f t="shared" si="365"/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50.8</v>
      </c>
      <c r="AC2318">
        <v>36.9</v>
      </c>
      <c r="AG2318">
        <f t="shared" si="366"/>
        <v>1</v>
      </c>
      <c r="AH2318">
        <f t="shared" si="367"/>
        <v>1</v>
      </c>
      <c r="AI2318">
        <f t="shared" si="368"/>
        <v>0</v>
      </c>
      <c r="AJ2318">
        <v>177.1</v>
      </c>
      <c r="AK2318">
        <v>1007.2</v>
      </c>
      <c r="AL2318">
        <v>20</v>
      </c>
      <c r="AM2318">
        <v>6.2</v>
      </c>
      <c r="AN2318">
        <v>228.9</v>
      </c>
      <c r="AO2318">
        <v>19.7</v>
      </c>
      <c r="AP2318">
        <v>8</v>
      </c>
      <c r="AQ2318">
        <v>0</v>
      </c>
      <c r="AR2318" t="s">
        <v>7938</v>
      </c>
      <c r="AS2318" t="s">
        <v>7939</v>
      </c>
      <c r="AT2318">
        <v>0.31</v>
      </c>
      <c r="AU2318" t="s">
        <v>74</v>
      </c>
      <c r="AV2318" t="s">
        <v>44</v>
      </c>
      <c r="AW2318" t="s">
        <v>419</v>
      </c>
      <c r="AX2318" t="s">
        <v>7942</v>
      </c>
      <c r="AY2318" t="s">
        <v>7943</v>
      </c>
      <c r="AZ2318">
        <v>1350.999999992782</v>
      </c>
      <c r="BA2318">
        <v>1</v>
      </c>
      <c r="BB2318">
        <v>0</v>
      </c>
      <c r="BC2318">
        <v>1</v>
      </c>
      <c r="BD2318">
        <v>0</v>
      </c>
      <c r="BE2318">
        <f t="shared" si="369"/>
        <v>1</v>
      </c>
    </row>
    <row r="2319" spans="1:57" x14ac:dyDescent="0.25">
      <c r="A2319" t="s">
        <v>39</v>
      </c>
      <c r="B2319" t="s">
        <v>7937</v>
      </c>
      <c r="C2319">
        <v>93.2</v>
      </c>
      <c r="D2319">
        <v>71.599999999999994</v>
      </c>
      <c r="G2319">
        <f t="shared" si="360"/>
        <v>1</v>
      </c>
      <c r="H2319">
        <f t="shared" si="361"/>
        <v>1</v>
      </c>
      <c r="I2319">
        <f t="shared" si="362"/>
        <v>0</v>
      </c>
      <c r="J2319">
        <v>81.099999999999994</v>
      </c>
      <c r="K2319">
        <v>92.6</v>
      </c>
      <c r="L2319">
        <v>71.599999999999994</v>
      </c>
      <c r="M2319">
        <v>81.3</v>
      </c>
      <c r="N2319">
        <v>61.8</v>
      </c>
      <c r="O2319">
        <v>54.7</v>
      </c>
      <c r="S2319">
        <f t="shared" si="363"/>
        <v>1</v>
      </c>
      <c r="T2319">
        <f t="shared" si="364"/>
        <v>0</v>
      </c>
      <c r="U2319">
        <f t="shared" si="365"/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50.8</v>
      </c>
      <c r="AC2319">
        <v>36.9</v>
      </c>
      <c r="AG2319">
        <f t="shared" si="366"/>
        <v>1</v>
      </c>
      <c r="AH2319">
        <f t="shared" si="367"/>
        <v>1</v>
      </c>
      <c r="AI2319">
        <f t="shared" si="368"/>
        <v>0</v>
      </c>
      <c r="AJ2319">
        <v>177.1</v>
      </c>
      <c r="AK2319">
        <v>1007.2</v>
      </c>
      <c r="AL2319">
        <v>20</v>
      </c>
      <c r="AM2319">
        <v>6.2</v>
      </c>
      <c r="AN2319">
        <v>228.9</v>
      </c>
      <c r="AO2319">
        <v>19.7</v>
      </c>
      <c r="AP2319">
        <v>8</v>
      </c>
      <c r="AQ2319">
        <v>0</v>
      </c>
      <c r="AR2319" t="s">
        <v>7938</v>
      </c>
      <c r="AS2319" t="s">
        <v>7939</v>
      </c>
      <c r="AT2319">
        <v>0.31</v>
      </c>
      <c r="AU2319" t="s">
        <v>74</v>
      </c>
      <c r="AV2319" t="s">
        <v>44</v>
      </c>
      <c r="AW2319" t="s">
        <v>419</v>
      </c>
      <c r="AX2319" t="s">
        <v>6564</v>
      </c>
      <c r="AY2319" t="s">
        <v>7944</v>
      </c>
      <c r="AZ2319">
        <v>3317.999999992317</v>
      </c>
      <c r="BA2319">
        <v>1</v>
      </c>
      <c r="BB2319">
        <v>70</v>
      </c>
      <c r="BC2319">
        <v>30</v>
      </c>
      <c r="BD2319">
        <v>0</v>
      </c>
      <c r="BE2319">
        <f t="shared" si="369"/>
        <v>1</v>
      </c>
    </row>
    <row r="2320" spans="1:57" x14ac:dyDescent="0.25">
      <c r="A2320" t="s">
        <v>39</v>
      </c>
      <c r="B2320" t="s">
        <v>7945</v>
      </c>
      <c r="C2320">
        <v>82.4</v>
      </c>
      <c r="D2320">
        <v>75.2</v>
      </c>
      <c r="G2320">
        <f t="shared" si="360"/>
        <v>1</v>
      </c>
      <c r="H2320">
        <f t="shared" si="361"/>
        <v>1</v>
      </c>
      <c r="I2320">
        <f t="shared" si="362"/>
        <v>0</v>
      </c>
      <c r="J2320">
        <v>78.400000000000006</v>
      </c>
      <c r="K2320">
        <v>87.2</v>
      </c>
      <c r="L2320">
        <v>75.2</v>
      </c>
      <c r="M2320">
        <v>79.599999999999994</v>
      </c>
      <c r="N2320">
        <v>67.2</v>
      </c>
      <c r="O2320">
        <v>68.900000000000006</v>
      </c>
      <c r="S2320">
        <f t="shared" si="363"/>
        <v>1</v>
      </c>
      <c r="T2320">
        <f t="shared" si="364"/>
        <v>1</v>
      </c>
      <c r="U2320">
        <f t="shared" si="365"/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23</v>
      </c>
      <c r="AC2320">
        <v>19.600000000000001</v>
      </c>
      <c r="AG2320">
        <f t="shared" si="366"/>
        <v>1</v>
      </c>
      <c r="AH2320">
        <f t="shared" si="367"/>
        <v>1</v>
      </c>
      <c r="AI2320">
        <f t="shared" si="368"/>
        <v>0</v>
      </c>
      <c r="AJ2320">
        <v>307.3</v>
      </c>
      <c r="AK2320">
        <v>1014.4</v>
      </c>
      <c r="AL2320">
        <v>33</v>
      </c>
      <c r="AM2320">
        <v>6.2</v>
      </c>
      <c r="AN2320">
        <v>204.1</v>
      </c>
      <c r="AO2320">
        <v>17.7</v>
      </c>
      <c r="AP2320">
        <v>7</v>
      </c>
      <c r="AQ2320">
        <v>0</v>
      </c>
      <c r="AR2320" t="s">
        <v>7946</v>
      </c>
      <c r="AS2320" t="s">
        <v>7947</v>
      </c>
      <c r="AT2320">
        <v>0.41</v>
      </c>
      <c r="AU2320" t="s">
        <v>43</v>
      </c>
      <c r="AV2320" t="s">
        <v>44</v>
      </c>
      <c r="AW2320" t="s">
        <v>45</v>
      </c>
      <c r="AX2320" t="s">
        <v>5656</v>
      </c>
      <c r="AY2320" t="s">
        <v>7948</v>
      </c>
      <c r="AZ2320">
        <v>43.999999996740371</v>
      </c>
      <c r="BA2320">
        <v>0</v>
      </c>
      <c r="BB2320">
        <v>0</v>
      </c>
      <c r="BC2320">
        <v>0.3</v>
      </c>
      <c r="BD2320">
        <v>0</v>
      </c>
      <c r="BE2320">
        <f t="shared" si="369"/>
        <v>1</v>
      </c>
    </row>
    <row r="2321" spans="1:57" x14ac:dyDescent="0.25">
      <c r="A2321" t="s">
        <v>39</v>
      </c>
      <c r="B2321" t="s">
        <v>7949</v>
      </c>
      <c r="C2321">
        <v>87.8</v>
      </c>
      <c r="D2321">
        <v>75.2</v>
      </c>
      <c r="G2321">
        <f t="shared" si="360"/>
        <v>1</v>
      </c>
      <c r="H2321">
        <f t="shared" si="361"/>
        <v>1</v>
      </c>
      <c r="I2321">
        <f t="shared" si="362"/>
        <v>0</v>
      </c>
      <c r="J2321">
        <v>80.5</v>
      </c>
      <c r="K2321">
        <v>86.2</v>
      </c>
      <c r="L2321">
        <v>75.2</v>
      </c>
      <c r="M2321">
        <v>81.099999999999994</v>
      </c>
      <c r="N2321">
        <v>62.6</v>
      </c>
      <c r="O2321">
        <v>57.7</v>
      </c>
      <c r="S2321">
        <f t="shared" si="363"/>
        <v>1</v>
      </c>
      <c r="T2321">
        <f t="shared" si="364"/>
        <v>0</v>
      </c>
      <c r="U2321">
        <f t="shared" si="365"/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23</v>
      </c>
      <c r="AC2321">
        <v>23</v>
      </c>
      <c r="AG2321">
        <f t="shared" si="366"/>
        <v>1</v>
      </c>
      <c r="AH2321">
        <f t="shared" si="367"/>
        <v>1</v>
      </c>
      <c r="AI2321">
        <f t="shared" si="368"/>
        <v>0</v>
      </c>
      <c r="AJ2321">
        <v>290.10000000000002</v>
      </c>
      <c r="AK2321">
        <v>1011.8</v>
      </c>
      <c r="AL2321">
        <v>68.8</v>
      </c>
      <c r="AM2321">
        <v>6.2</v>
      </c>
      <c r="AN2321">
        <v>163.69999999999999</v>
      </c>
      <c r="AO2321">
        <v>14.2</v>
      </c>
      <c r="AP2321">
        <v>6</v>
      </c>
      <c r="AQ2321">
        <v>0</v>
      </c>
      <c r="AR2321" t="s">
        <v>7950</v>
      </c>
      <c r="AS2321" t="s">
        <v>7951</v>
      </c>
      <c r="AT2321">
        <v>0.72</v>
      </c>
      <c r="AU2321" t="s">
        <v>43</v>
      </c>
      <c r="AV2321" t="s">
        <v>44</v>
      </c>
      <c r="AW2321" t="s">
        <v>45</v>
      </c>
      <c r="AX2321" t="s">
        <v>2491</v>
      </c>
      <c r="AY2321" t="s">
        <v>7952</v>
      </c>
      <c r="AZ2321">
        <v>100.0000000011642</v>
      </c>
      <c r="BA2321">
        <v>0</v>
      </c>
      <c r="BB2321">
        <v>0</v>
      </c>
      <c r="BC2321">
        <v>0.1</v>
      </c>
      <c r="BD2321">
        <v>0</v>
      </c>
      <c r="BE2321">
        <f t="shared" si="369"/>
        <v>1</v>
      </c>
    </row>
    <row r="2322" spans="1:57" x14ac:dyDescent="0.25">
      <c r="A2322" t="s">
        <v>39</v>
      </c>
      <c r="B2322" t="s">
        <v>7953</v>
      </c>
      <c r="C2322">
        <v>78.8</v>
      </c>
      <c r="D2322">
        <v>64.400000000000006</v>
      </c>
      <c r="G2322">
        <f t="shared" si="360"/>
        <v>1</v>
      </c>
      <c r="H2322">
        <f t="shared" si="361"/>
        <v>1</v>
      </c>
      <c r="I2322">
        <f t="shared" si="362"/>
        <v>0</v>
      </c>
      <c r="J2322">
        <v>72.5</v>
      </c>
      <c r="K2322">
        <v>78.8</v>
      </c>
      <c r="L2322">
        <v>64.400000000000006</v>
      </c>
      <c r="M2322">
        <v>72.5</v>
      </c>
      <c r="N2322">
        <v>63.2</v>
      </c>
      <c r="O2322">
        <v>73.2</v>
      </c>
      <c r="S2322">
        <f t="shared" si="363"/>
        <v>1</v>
      </c>
      <c r="T2322">
        <f t="shared" si="364"/>
        <v>1</v>
      </c>
      <c r="U2322">
        <f t="shared" si="365"/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18.3</v>
      </c>
      <c r="AC2322">
        <v>13.9</v>
      </c>
      <c r="AG2322">
        <f t="shared" si="366"/>
        <v>1</v>
      </c>
      <c r="AH2322">
        <f t="shared" si="367"/>
        <v>0</v>
      </c>
      <c r="AI2322">
        <f t="shared" si="368"/>
        <v>1</v>
      </c>
      <c r="AJ2322">
        <v>111.4</v>
      </c>
      <c r="AK2322">
        <v>1013.6</v>
      </c>
      <c r="AL2322">
        <v>28.7</v>
      </c>
      <c r="AM2322">
        <v>6.2</v>
      </c>
      <c r="AN2322">
        <v>173.2</v>
      </c>
      <c r="AO2322">
        <v>14.9</v>
      </c>
      <c r="AP2322">
        <v>6</v>
      </c>
      <c r="AQ2322">
        <v>0</v>
      </c>
      <c r="AR2322" t="s">
        <v>7954</v>
      </c>
      <c r="AS2322" t="s">
        <v>7955</v>
      </c>
      <c r="AT2322">
        <v>0.85</v>
      </c>
      <c r="AU2322" t="s">
        <v>43</v>
      </c>
      <c r="AV2322" t="s">
        <v>44</v>
      </c>
      <c r="AW2322" t="s">
        <v>45</v>
      </c>
      <c r="AX2322" t="s">
        <v>5721</v>
      </c>
      <c r="AY2322" t="s">
        <v>7956</v>
      </c>
      <c r="AZ2322">
        <v>172.99999999813741</v>
      </c>
      <c r="BA2322">
        <v>0</v>
      </c>
      <c r="BB2322">
        <v>0</v>
      </c>
      <c r="BC2322">
        <v>0.5</v>
      </c>
      <c r="BD2322">
        <v>0</v>
      </c>
      <c r="BE2322">
        <f t="shared" si="369"/>
        <v>1</v>
      </c>
    </row>
    <row r="2323" spans="1:57" x14ac:dyDescent="0.25">
      <c r="A2323" t="s">
        <v>39</v>
      </c>
      <c r="B2323" t="s">
        <v>7957</v>
      </c>
      <c r="C2323">
        <v>75.2</v>
      </c>
      <c r="D2323">
        <v>62.6</v>
      </c>
      <c r="G2323">
        <f t="shared" si="360"/>
        <v>0</v>
      </c>
      <c r="H2323">
        <f t="shared" si="361"/>
        <v>0</v>
      </c>
      <c r="I2323">
        <f t="shared" si="362"/>
        <v>0</v>
      </c>
      <c r="J2323">
        <v>68.599999999999994</v>
      </c>
      <c r="K2323">
        <v>75.2</v>
      </c>
      <c r="L2323">
        <v>62.6</v>
      </c>
      <c r="M2323">
        <v>68.599999999999994</v>
      </c>
      <c r="N2323">
        <v>63.3</v>
      </c>
      <c r="O2323">
        <v>83.7</v>
      </c>
      <c r="S2323">
        <f t="shared" si="363"/>
        <v>1</v>
      </c>
      <c r="T2323">
        <f t="shared" si="364"/>
        <v>1</v>
      </c>
      <c r="U2323">
        <f t="shared" si="365"/>
        <v>0</v>
      </c>
      <c r="V2323">
        <v>3.5000000000000003E-2</v>
      </c>
      <c r="W2323">
        <v>100</v>
      </c>
      <c r="X2323">
        <v>4.17</v>
      </c>
      <c r="Y2323" t="s">
        <v>103</v>
      </c>
      <c r="Z2323">
        <v>0</v>
      </c>
      <c r="AA2323">
        <v>0</v>
      </c>
      <c r="AB2323">
        <v>18.3</v>
      </c>
      <c r="AC2323">
        <v>15</v>
      </c>
      <c r="AG2323">
        <f t="shared" si="366"/>
        <v>1</v>
      </c>
      <c r="AH2323">
        <f t="shared" si="367"/>
        <v>0</v>
      </c>
      <c r="AI2323">
        <f t="shared" si="368"/>
        <v>1</v>
      </c>
      <c r="AJ2323">
        <v>329.8</v>
      </c>
      <c r="AK2323">
        <v>1016.6</v>
      </c>
      <c r="AL2323">
        <v>32.700000000000003</v>
      </c>
      <c r="AM2323">
        <v>6.2</v>
      </c>
      <c r="AN2323">
        <v>173.9</v>
      </c>
      <c r="AO2323">
        <v>15.1</v>
      </c>
      <c r="AP2323">
        <v>6</v>
      </c>
      <c r="AQ2323">
        <v>0</v>
      </c>
      <c r="AR2323" t="s">
        <v>7958</v>
      </c>
      <c r="AS2323" t="s">
        <v>7959</v>
      </c>
      <c r="AT2323">
        <v>0.26</v>
      </c>
      <c r="AU2323" t="s">
        <v>106</v>
      </c>
      <c r="AV2323" t="s">
        <v>296</v>
      </c>
      <c r="AW2323" t="s">
        <v>103</v>
      </c>
      <c r="AX2323" t="s">
        <v>7960</v>
      </c>
      <c r="AY2323" t="s">
        <v>7961</v>
      </c>
      <c r="AZ2323">
        <v>309.99999999417918</v>
      </c>
      <c r="BA2323">
        <v>0</v>
      </c>
      <c r="BB2323">
        <v>0</v>
      </c>
      <c r="BC2323">
        <v>0.5</v>
      </c>
      <c r="BD2323">
        <v>0</v>
      </c>
      <c r="BE2323">
        <f t="shared" si="369"/>
        <v>0</v>
      </c>
    </row>
    <row r="2324" spans="1:57" x14ac:dyDescent="0.25">
      <c r="A2324" t="s">
        <v>39</v>
      </c>
      <c r="B2324" t="s">
        <v>7962</v>
      </c>
      <c r="C2324">
        <v>73.400000000000006</v>
      </c>
      <c r="D2324">
        <v>59</v>
      </c>
      <c r="G2324">
        <f t="shared" si="360"/>
        <v>0</v>
      </c>
      <c r="H2324">
        <f t="shared" si="361"/>
        <v>0</v>
      </c>
      <c r="I2324">
        <f t="shared" si="362"/>
        <v>0</v>
      </c>
      <c r="J2324">
        <v>66.099999999999994</v>
      </c>
      <c r="K2324">
        <v>73.400000000000006</v>
      </c>
      <c r="L2324">
        <v>59</v>
      </c>
      <c r="M2324">
        <v>66.099999999999994</v>
      </c>
      <c r="N2324">
        <v>58.9</v>
      </c>
      <c r="O2324">
        <v>78.2</v>
      </c>
      <c r="S2324">
        <f t="shared" si="363"/>
        <v>1</v>
      </c>
      <c r="T2324">
        <f t="shared" si="364"/>
        <v>1</v>
      </c>
      <c r="U2324">
        <f t="shared" si="365"/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14.5</v>
      </c>
      <c r="AC2324">
        <v>16</v>
      </c>
      <c r="AG2324">
        <f t="shared" si="366"/>
        <v>0</v>
      </c>
      <c r="AH2324">
        <f t="shared" si="367"/>
        <v>0</v>
      </c>
      <c r="AI2324">
        <f t="shared" si="368"/>
        <v>0</v>
      </c>
      <c r="AJ2324">
        <v>314.2</v>
      </c>
      <c r="AK2324">
        <v>1014.3</v>
      </c>
      <c r="AL2324">
        <v>27.8</v>
      </c>
      <c r="AM2324">
        <v>6.2</v>
      </c>
      <c r="AN2324">
        <v>144.30000000000001</v>
      </c>
      <c r="AO2324">
        <v>12.4</v>
      </c>
      <c r="AP2324">
        <v>5</v>
      </c>
      <c r="AQ2324">
        <v>0</v>
      </c>
      <c r="AR2324" t="s">
        <v>7963</v>
      </c>
      <c r="AS2324" t="s">
        <v>7964</v>
      </c>
      <c r="AT2324">
        <v>0.36</v>
      </c>
      <c r="AU2324" t="s">
        <v>43</v>
      </c>
      <c r="AV2324" t="s">
        <v>44</v>
      </c>
      <c r="AW2324" t="s">
        <v>45</v>
      </c>
      <c r="AX2324" t="s">
        <v>2763</v>
      </c>
      <c r="AY2324" t="s">
        <v>7965</v>
      </c>
      <c r="AZ2324">
        <v>290.00000000232831</v>
      </c>
      <c r="BA2324">
        <v>0</v>
      </c>
      <c r="BB2324">
        <v>0</v>
      </c>
      <c r="BC2324">
        <v>3</v>
      </c>
      <c r="BD2324">
        <v>0</v>
      </c>
      <c r="BE2324">
        <f t="shared" si="369"/>
        <v>0</v>
      </c>
    </row>
    <row r="2325" spans="1:57" x14ac:dyDescent="0.25">
      <c r="A2325" t="s">
        <v>39</v>
      </c>
      <c r="B2325" t="s">
        <v>7966</v>
      </c>
      <c r="C2325">
        <v>73.400000000000006</v>
      </c>
      <c r="D2325">
        <v>59</v>
      </c>
      <c r="G2325">
        <f t="shared" si="360"/>
        <v>0</v>
      </c>
      <c r="H2325">
        <f t="shared" si="361"/>
        <v>0</v>
      </c>
      <c r="I2325">
        <f t="shared" si="362"/>
        <v>0</v>
      </c>
      <c r="J2325">
        <v>66.3</v>
      </c>
      <c r="K2325">
        <v>73.400000000000006</v>
      </c>
      <c r="L2325">
        <v>59</v>
      </c>
      <c r="M2325">
        <v>66.3</v>
      </c>
      <c r="N2325">
        <v>59</v>
      </c>
      <c r="O2325">
        <v>78.3</v>
      </c>
      <c r="S2325">
        <f t="shared" si="363"/>
        <v>1</v>
      </c>
      <c r="T2325">
        <f t="shared" si="364"/>
        <v>1</v>
      </c>
      <c r="U2325">
        <f t="shared" si="365"/>
        <v>0</v>
      </c>
      <c r="V2325">
        <v>0.49</v>
      </c>
      <c r="W2325">
        <v>100</v>
      </c>
      <c r="X2325">
        <v>8.33</v>
      </c>
      <c r="Y2325" t="s">
        <v>103</v>
      </c>
      <c r="Z2325">
        <v>0</v>
      </c>
      <c r="AA2325">
        <v>0</v>
      </c>
      <c r="AB2325">
        <v>33.799999999999997</v>
      </c>
      <c r="AC2325">
        <v>17.2</v>
      </c>
      <c r="AG2325">
        <f t="shared" si="366"/>
        <v>0</v>
      </c>
      <c r="AH2325">
        <f t="shared" si="367"/>
        <v>0</v>
      </c>
      <c r="AI2325">
        <f t="shared" si="368"/>
        <v>0</v>
      </c>
      <c r="AJ2325">
        <v>186.1</v>
      </c>
      <c r="AK2325">
        <v>1012.4</v>
      </c>
      <c r="AL2325">
        <v>52.1</v>
      </c>
      <c r="AM2325">
        <v>5.9</v>
      </c>
      <c r="AN2325">
        <v>101.6</v>
      </c>
      <c r="AO2325">
        <v>8.6999999999999993</v>
      </c>
      <c r="AP2325">
        <v>4</v>
      </c>
      <c r="AQ2325">
        <v>0</v>
      </c>
      <c r="AR2325" t="s">
        <v>7967</v>
      </c>
      <c r="AS2325" t="s">
        <v>7968</v>
      </c>
      <c r="AT2325">
        <v>0.39</v>
      </c>
      <c r="AU2325" t="s">
        <v>106</v>
      </c>
      <c r="AV2325" t="s">
        <v>107</v>
      </c>
      <c r="AW2325" t="s">
        <v>103</v>
      </c>
      <c r="AX2325" t="s">
        <v>7969</v>
      </c>
      <c r="AY2325" t="s">
        <v>7970</v>
      </c>
      <c r="AZ2325">
        <v>409.99999999534339</v>
      </c>
      <c r="BA2325">
        <v>1</v>
      </c>
      <c r="BB2325">
        <v>0</v>
      </c>
      <c r="BC2325">
        <v>3</v>
      </c>
      <c r="BD2325">
        <v>0</v>
      </c>
      <c r="BE2325">
        <f t="shared" si="369"/>
        <v>0</v>
      </c>
    </row>
    <row r="2326" spans="1:57" x14ac:dyDescent="0.25">
      <c r="A2326" t="s">
        <v>39</v>
      </c>
      <c r="B2326" t="s">
        <v>7971</v>
      </c>
      <c r="C2326">
        <v>67.900000000000006</v>
      </c>
      <c r="D2326">
        <v>64.400000000000006</v>
      </c>
      <c r="G2326">
        <f t="shared" si="360"/>
        <v>0</v>
      </c>
      <c r="H2326">
        <f t="shared" si="361"/>
        <v>0</v>
      </c>
      <c r="I2326">
        <f t="shared" si="362"/>
        <v>0</v>
      </c>
      <c r="J2326">
        <v>65.8</v>
      </c>
      <c r="K2326">
        <v>67.900000000000006</v>
      </c>
      <c r="L2326">
        <v>64.400000000000006</v>
      </c>
      <c r="M2326">
        <v>65.8</v>
      </c>
      <c r="N2326">
        <v>60.6</v>
      </c>
      <c r="O2326">
        <v>83.6</v>
      </c>
      <c r="S2326">
        <f t="shared" si="363"/>
        <v>1</v>
      </c>
      <c r="T2326">
        <f t="shared" si="364"/>
        <v>1</v>
      </c>
      <c r="U2326">
        <f t="shared" si="365"/>
        <v>0</v>
      </c>
      <c r="V2326">
        <v>0.51400000000000001</v>
      </c>
      <c r="W2326">
        <v>100</v>
      </c>
      <c r="X2326">
        <v>16.670000000000002</v>
      </c>
      <c r="Y2326" t="s">
        <v>103</v>
      </c>
      <c r="Z2326">
        <v>0</v>
      </c>
      <c r="AA2326">
        <v>0</v>
      </c>
      <c r="AB2326">
        <v>39.1</v>
      </c>
      <c r="AC2326">
        <v>30</v>
      </c>
      <c r="AG2326">
        <f t="shared" si="366"/>
        <v>1</v>
      </c>
      <c r="AH2326">
        <f t="shared" si="367"/>
        <v>1</v>
      </c>
      <c r="AI2326">
        <f t="shared" si="368"/>
        <v>0</v>
      </c>
      <c r="AJ2326">
        <v>351</v>
      </c>
      <c r="AK2326">
        <v>1017.5</v>
      </c>
      <c r="AL2326">
        <v>89.1</v>
      </c>
      <c r="AM2326">
        <v>6</v>
      </c>
      <c r="AN2326">
        <v>103.7</v>
      </c>
      <c r="AO2326">
        <v>9</v>
      </c>
      <c r="AP2326">
        <v>4</v>
      </c>
      <c r="AQ2326">
        <v>0</v>
      </c>
      <c r="AR2326" t="s">
        <v>7972</v>
      </c>
      <c r="AS2326" t="s">
        <v>7973</v>
      </c>
      <c r="AT2326">
        <v>0.7</v>
      </c>
      <c r="AU2326" t="s">
        <v>106</v>
      </c>
      <c r="AV2326" t="s">
        <v>1783</v>
      </c>
      <c r="AW2326" t="s">
        <v>103</v>
      </c>
      <c r="AX2326" t="s">
        <v>5012</v>
      </c>
      <c r="AY2326" t="s">
        <v>7974</v>
      </c>
      <c r="AZ2326">
        <v>52.999999994644902</v>
      </c>
      <c r="BA2326">
        <v>0</v>
      </c>
      <c r="BB2326">
        <v>0.5</v>
      </c>
      <c r="BC2326">
        <v>0</v>
      </c>
      <c r="BD2326">
        <v>0</v>
      </c>
      <c r="BE2326">
        <f t="shared" si="369"/>
        <v>0</v>
      </c>
    </row>
    <row r="2327" spans="1:57" x14ac:dyDescent="0.25">
      <c r="A2327" t="s">
        <v>39</v>
      </c>
      <c r="B2327" t="s">
        <v>7975</v>
      </c>
      <c r="C2327">
        <v>68</v>
      </c>
      <c r="D2327">
        <v>60.8</v>
      </c>
      <c r="G2327">
        <f t="shared" si="360"/>
        <v>0</v>
      </c>
      <c r="H2327">
        <f t="shared" si="361"/>
        <v>0</v>
      </c>
      <c r="I2327">
        <f t="shared" si="362"/>
        <v>0</v>
      </c>
      <c r="J2327">
        <v>64.599999999999994</v>
      </c>
      <c r="K2327">
        <v>68</v>
      </c>
      <c r="L2327">
        <v>60.8</v>
      </c>
      <c r="M2327">
        <v>64.599999999999994</v>
      </c>
      <c r="N2327">
        <v>60</v>
      </c>
      <c r="O2327">
        <v>85.7</v>
      </c>
      <c r="S2327">
        <f t="shared" si="363"/>
        <v>1</v>
      </c>
      <c r="T2327">
        <f t="shared" si="364"/>
        <v>1</v>
      </c>
      <c r="U2327">
        <f t="shared" si="365"/>
        <v>0</v>
      </c>
      <c r="V2327">
        <v>0.24399999999999999</v>
      </c>
      <c r="W2327">
        <v>100</v>
      </c>
      <c r="X2327">
        <v>8.33</v>
      </c>
      <c r="Y2327" t="s">
        <v>103</v>
      </c>
      <c r="Z2327">
        <v>0</v>
      </c>
      <c r="AA2327">
        <v>0</v>
      </c>
      <c r="AB2327">
        <v>23</v>
      </c>
      <c r="AC2327">
        <v>17.2</v>
      </c>
      <c r="AG2327">
        <f t="shared" si="366"/>
        <v>0</v>
      </c>
      <c r="AH2327">
        <f t="shared" si="367"/>
        <v>0</v>
      </c>
      <c r="AI2327">
        <f t="shared" si="368"/>
        <v>0</v>
      </c>
      <c r="AJ2327">
        <v>347.3</v>
      </c>
      <c r="AK2327">
        <v>1019.3</v>
      </c>
      <c r="AL2327">
        <v>84.2</v>
      </c>
      <c r="AM2327">
        <v>6.1</v>
      </c>
      <c r="AN2327">
        <v>114.7</v>
      </c>
      <c r="AO2327">
        <v>9.9</v>
      </c>
      <c r="AP2327">
        <v>5</v>
      </c>
      <c r="AQ2327">
        <v>0</v>
      </c>
      <c r="AR2327" t="s">
        <v>7976</v>
      </c>
      <c r="AS2327" t="s">
        <v>7977</v>
      </c>
      <c r="AT2327">
        <v>0.87</v>
      </c>
      <c r="AU2327" t="s">
        <v>106</v>
      </c>
      <c r="AV2327" t="s">
        <v>1098</v>
      </c>
      <c r="AW2327" t="s">
        <v>103</v>
      </c>
      <c r="AX2327" t="s">
        <v>4080</v>
      </c>
      <c r="AY2327" t="s">
        <v>7978</v>
      </c>
      <c r="AZ2327">
        <v>209.0000000002328</v>
      </c>
      <c r="BA2327">
        <v>0</v>
      </c>
      <c r="BB2327">
        <v>0</v>
      </c>
      <c r="BC2327">
        <v>1</v>
      </c>
      <c r="BD2327">
        <v>0</v>
      </c>
      <c r="BE2327">
        <f t="shared" si="369"/>
        <v>0</v>
      </c>
    </row>
    <row r="2328" spans="1:57" x14ac:dyDescent="0.25">
      <c r="A2328" t="s">
        <v>39</v>
      </c>
      <c r="B2328" t="s">
        <v>7979</v>
      </c>
      <c r="C2328">
        <v>68</v>
      </c>
      <c r="D2328">
        <v>57.2</v>
      </c>
      <c r="G2328">
        <f t="shared" si="360"/>
        <v>0</v>
      </c>
      <c r="H2328">
        <f t="shared" si="361"/>
        <v>0</v>
      </c>
      <c r="I2328">
        <f t="shared" si="362"/>
        <v>0</v>
      </c>
      <c r="J2328">
        <v>62.8</v>
      </c>
      <c r="K2328">
        <v>68</v>
      </c>
      <c r="L2328">
        <v>57.2</v>
      </c>
      <c r="M2328">
        <v>62.8</v>
      </c>
      <c r="N2328">
        <v>56.6</v>
      </c>
      <c r="O2328">
        <v>80.400000000000006</v>
      </c>
      <c r="S2328">
        <f t="shared" si="363"/>
        <v>1</v>
      </c>
      <c r="T2328">
        <f t="shared" si="364"/>
        <v>1</v>
      </c>
      <c r="U2328">
        <f t="shared" si="365"/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18.3</v>
      </c>
      <c r="AC2328">
        <v>6.9</v>
      </c>
      <c r="AG2328">
        <f t="shared" si="366"/>
        <v>1</v>
      </c>
      <c r="AH2328">
        <f t="shared" si="367"/>
        <v>0</v>
      </c>
      <c r="AI2328">
        <f t="shared" si="368"/>
        <v>1</v>
      </c>
      <c r="AJ2328">
        <v>351.5</v>
      </c>
      <c r="AK2328">
        <v>1023.4</v>
      </c>
      <c r="AL2328">
        <v>33.4</v>
      </c>
      <c r="AM2328">
        <v>6.2</v>
      </c>
      <c r="AN2328">
        <v>133.6</v>
      </c>
      <c r="AO2328">
        <v>11.5</v>
      </c>
      <c r="AP2328">
        <v>6</v>
      </c>
      <c r="AQ2328">
        <v>0</v>
      </c>
      <c r="AR2328" t="s">
        <v>7980</v>
      </c>
      <c r="AS2328" t="s">
        <v>7981</v>
      </c>
      <c r="AT2328">
        <v>0.94</v>
      </c>
      <c r="AU2328" t="s">
        <v>43</v>
      </c>
      <c r="AV2328" t="s">
        <v>44</v>
      </c>
      <c r="AW2328" t="s">
        <v>45</v>
      </c>
      <c r="AX2328" t="s">
        <v>4509</v>
      </c>
      <c r="AY2328" t="s">
        <v>7982</v>
      </c>
      <c r="AZ2328">
        <v>101.999999997206</v>
      </c>
      <c r="BA2328">
        <v>0</v>
      </c>
      <c r="BB2328">
        <v>0</v>
      </c>
      <c r="BC2328">
        <v>0.4</v>
      </c>
      <c r="BD2328">
        <v>0</v>
      </c>
      <c r="BE2328">
        <f t="shared" si="369"/>
        <v>0</v>
      </c>
    </row>
    <row r="2329" spans="1:57" x14ac:dyDescent="0.25">
      <c r="A2329" t="s">
        <v>39</v>
      </c>
      <c r="B2329" t="s">
        <v>7983</v>
      </c>
      <c r="C2329">
        <v>66.2</v>
      </c>
      <c r="D2329">
        <v>57.2</v>
      </c>
      <c r="G2329">
        <f t="shared" si="360"/>
        <v>0</v>
      </c>
      <c r="H2329">
        <f t="shared" si="361"/>
        <v>0</v>
      </c>
      <c r="I2329">
        <f t="shared" si="362"/>
        <v>0</v>
      </c>
      <c r="J2329">
        <v>60</v>
      </c>
      <c r="K2329">
        <v>66.2</v>
      </c>
      <c r="L2329">
        <v>57.2</v>
      </c>
      <c r="M2329">
        <v>60</v>
      </c>
      <c r="N2329">
        <v>55.8</v>
      </c>
      <c r="O2329">
        <v>86.3</v>
      </c>
      <c r="S2329">
        <f t="shared" si="363"/>
        <v>1</v>
      </c>
      <c r="T2329">
        <f t="shared" si="364"/>
        <v>1</v>
      </c>
      <c r="U2329">
        <f t="shared" si="365"/>
        <v>0</v>
      </c>
      <c r="V2329">
        <v>0.58599999999999997</v>
      </c>
      <c r="W2329">
        <v>100</v>
      </c>
      <c r="X2329">
        <v>8.33</v>
      </c>
      <c r="Y2329" t="s">
        <v>103</v>
      </c>
      <c r="Z2329">
        <v>0</v>
      </c>
      <c r="AA2329">
        <v>0</v>
      </c>
      <c r="AB2329">
        <v>19</v>
      </c>
      <c r="AC2329">
        <v>13.9</v>
      </c>
      <c r="AG2329">
        <f t="shared" si="366"/>
        <v>1</v>
      </c>
      <c r="AH2329">
        <f t="shared" si="367"/>
        <v>0</v>
      </c>
      <c r="AI2329">
        <f t="shared" si="368"/>
        <v>1</v>
      </c>
      <c r="AJ2329">
        <v>332.8</v>
      </c>
      <c r="AK2329">
        <v>1021.9</v>
      </c>
      <c r="AL2329">
        <v>69.8</v>
      </c>
      <c r="AM2329">
        <v>6</v>
      </c>
      <c r="AN2329">
        <v>108.7</v>
      </c>
      <c r="AO2329">
        <v>9.3000000000000007</v>
      </c>
      <c r="AP2329">
        <v>5</v>
      </c>
      <c r="AQ2329">
        <v>0</v>
      </c>
      <c r="AR2329" t="s">
        <v>7984</v>
      </c>
      <c r="AS2329" t="s">
        <v>7985</v>
      </c>
      <c r="AT2329">
        <v>0.97</v>
      </c>
      <c r="AU2329" t="s">
        <v>106</v>
      </c>
      <c r="AV2329" t="s">
        <v>257</v>
      </c>
      <c r="AW2329" t="s">
        <v>103</v>
      </c>
      <c r="AX2329" t="s">
        <v>7986</v>
      </c>
      <c r="AY2329" t="s">
        <v>7987</v>
      </c>
      <c r="AZ2329">
        <v>174.00000000139701</v>
      </c>
      <c r="BA2329">
        <v>0</v>
      </c>
      <c r="BB2329">
        <v>0</v>
      </c>
      <c r="BC2329">
        <v>1.5</v>
      </c>
      <c r="BD2329">
        <v>0</v>
      </c>
      <c r="BE2329">
        <f t="shared" si="369"/>
        <v>0</v>
      </c>
    </row>
    <row r="2330" spans="1:57" x14ac:dyDescent="0.25">
      <c r="A2330" t="s">
        <v>39</v>
      </c>
      <c r="B2330" t="s">
        <v>7988</v>
      </c>
      <c r="C2330">
        <v>62.6</v>
      </c>
      <c r="D2330">
        <v>53.9</v>
      </c>
      <c r="G2330">
        <f t="shared" si="360"/>
        <v>1</v>
      </c>
      <c r="H2330">
        <f t="shared" si="361"/>
        <v>0</v>
      </c>
      <c r="I2330">
        <f t="shared" si="362"/>
        <v>1</v>
      </c>
      <c r="J2330">
        <v>59.5</v>
      </c>
      <c r="K2330">
        <v>62.6</v>
      </c>
      <c r="L2330">
        <v>53.9</v>
      </c>
      <c r="M2330">
        <v>59.5</v>
      </c>
      <c r="N2330">
        <v>52.3</v>
      </c>
      <c r="O2330">
        <v>77.2</v>
      </c>
      <c r="S2330">
        <f t="shared" si="363"/>
        <v>1</v>
      </c>
      <c r="T2330">
        <f t="shared" si="364"/>
        <v>1</v>
      </c>
      <c r="U2330">
        <f t="shared" si="365"/>
        <v>0</v>
      </c>
      <c r="V2330">
        <v>0.21</v>
      </c>
      <c r="W2330">
        <v>100</v>
      </c>
      <c r="X2330">
        <v>16.670000000000002</v>
      </c>
      <c r="Y2330" t="s">
        <v>103</v>
      </c>
      <c r="Z2330">
        <v>0</v>
      </c>
      <c r="AA2330">
        <v>0</v>
      </c>
      <c r="AB2330">
        <v>33.6</v>
      </c>
      <c r="AC2330">
        <v>34.4</v>
      </c>
      <c r="AG2330">
        <f t="shared" si="366"/>
        <v>1</v>
      </c>
      <c r="AH2330">
        <f t="shared" si="367"/>
        <v>1</v>
      </c>
      <c r="AI2330">
        <f t="shared" si="368"/>
        <v>0</v>
      </c>
      <c r="AJ2330">
        <v>331.5</v>
      </c>
      <c r="AK2330">
        <v>1016</v>
      </c>
      <c r="AL2330">
        <v>89.7</v>
      </c>
      <c r="AM2330">
        <v>6</v>
      </c>
      <c r="AN2330">
        <v>108</v>
      </c>
      <c r="AO2330">
        <v>9.4</v>
      </c>
      <c r="AP2330">
        <v>5</v>
      </c>
      <c r="AQ2330">
        <v>0</v>
      </c>
      <c r="AR2330" t="s">
        <v>7989</v>
      </c>
      <c r="AS2330" t="s">
        <v>7990</v>
      </c>
      <c r="AT2330">
        <v>0.14000000000000001</v>
      </c>
      <c r="AU2330" t="s">
        <v>106</v>
      </c>
      <c r="AV2330" t="s">
        <v>1783</v>
      </c>
      <c r="AW2330" t="s">
        <v>103</v>
      </c>
      <c r="AX2330" t="s">
        <v>4645</v>
      </c>
      <c r="AY2330" t="s">
        <v>7991</v>
      </c>
      <c r="AZ2330">
        <v>220.99999999743889</v>
      </c>
      <c r="BA2330">
        <v>0</v>
      </c>
      <c r="BB2330">
        <v>0</v>
      </c>
      <c r="BC2330">
        <v>2</v>
      </c>
      <c r="BD2330">
        <v>0</v>
      </c>
      <c r="BE2330">
        <f t="shared" si="369"/>
        <v>1</v>
      </c>
    </row>
    <row r="2331" spans="1:57" x14ac:dyDescent="0.25">
      <c r="A2331" t="s">
        <v>39</v>
      </c>
      <c r="B2331" t="s">
        <v>7992</v>
      </c>
      <c r="C2331">
        <v>62.6</v>
      </c>
      <c r="D2331">
        <v>57.2</v>
      </c>
      <c r="G2331">
        <f t="shared" si="360"/>
        <v>1</v>
      </c>
      <c r="H2331">
        <f t="shared" si="361"/>
        <v>0</v>
      </c>
      <c r="I2331">
        <f t="shared" si="362"/>
        <v>1</v>
      </c>
      <c r="J2331">
        <v>60</v>
      </c>
      <c r="K2331">
        <v>62.6</v>
      </c>
      <c r="L2331">
        <v>57.2</v>
      </c>
      <c r="M2331">
        <v>60</v>
      </c>
      <c r="N2331">
        <v>53.5</v>
      </c>
      <c r="O2331">
        <v>79.8</v>
      </c>
      <c r="S2331">
        <f t="shared" si="363"/>
        <v>1</v>
      </c>
      <c r="T2331">
        <f t="shared" si="364"/>
        <v>1</v>
      </c>
      <c r="U2331">
        <f t="shared" si="365"/>
        <v>0</v>
      </c>
      <c r="V2331">
        <v>0.17599999999999999</v>
      </c>
      <c r="W2331">
        <v>100</v>
      </c>
      <c r="X2331">
        <v>8.33</v>
      </c>
      <c r="Y2331" t="s">
        <v>103</v>
      </c>
      <c r="Z2331">
        <v>0</v>
      </c>
      <c r="AA2331">
        <v>0</v>
      </c>
      <c r="AB2331">
        <v>28.9</v>
      </c>
      <c r="AC2331">
        <v>20.8</v>
      </c>
      <c r="AG2331">
        <f t="shared" si="366"/>
        <v>1</v>
      </c>
      <c r="AH2331">
        <f t="shared" si="367"/>
        <v>1</v>
      </c>
      <c r="AI2331">
        <f t="shared" si="368"/>
        <v>0</v>
      </c>
      <c r="AJ2331">
        <v>326.7</v>
      </c>
      <c r="AK2331">
        <v>1017.3</v>
      </c>
      <c r="AL2331">
        <v>89.1</v>
      </c>
      <c r="AM2331">
        <v>6.2</v>
      </c>
      <c r="AN2331">
        <v>102.3</v>
      </c>
      <c r="AO2331">
        <v>8.8000000000000007</v>
      </c>
      <c r="AP2331">
        <v>4</v>
      </c>
      <c r="AQ2331">
        <v>0</v>
      </c>
      <c r="AR2331" t="s">
        <v>7993</v>
      </c>
      <c r="AS2331" t="s">
        <v>7994</v>
      </c>
      <c r="AT2331">
        <v>0.2</v>
      </c>
      <c r="AU2331" t="s">
        <v>106</v>
      </c>
      <c r="AV2331" t="s">
        <v>1098</v>
      </c>
      <c r="AW2331" t="s">
        <v>103</v>
      </c>
      <c r="AX2331" t="s">
        <v>4085</v>
      </c>
      <c r="AY2331" t="s">
        <v>7995</v>
      </c>
      <c r="AZ2331">
        <v>40.999999997438863</v>
      </c>
      <c r="BA2331">
        <v>0</v>
      </c>
      <c r="BB2331">
        <v>0</v>
      </c>
      <c r="BC2331">
        <v>1</v>
      </c>
      <c r="BD2331">
        <v>0</v>
      </c>
      <c r="BE2331">
        <f t="shared" si="369"/>
        <v>1</v>
      </c>
    </row>
    <row r="2332" spans="1:57" x14ac:dyDescent="0.25">
      <c r="A2332" t="s">
        <v>39</v>
      </c>
      <c r="B2332" t="s">
        <v>7996</v>
      </c>
      <c r="C2332">
        <v>62.6</v>
      </c>
      <c r="D2332">
        <v>55.3</v>
      </c>
      <c r="G2332">
        <f t="shared" si="360"/>
        <v>1</v>
      </c>
      <c r="H2332">
        <f t="shared" si="361"/>
        <v>0</v>
      </c>
      <c r="I2332">
        <f t="shared" si="362"/>
        <v>1</v>
      </c>
      <c r="J2332">
        <v>58.5</v>
      </c>
      <c r="K2332">
        <v>62.6</v>
      </c>
      <c r="L2332">
        <v>55.3</v>
      </c>
      <c r="M2332">
        <v>58.5</v>
      </c>
      <c r="N2332">
        <v>53.7</v>
      </c>
      <c r="O2332">
        <v>84.3</v>
      </c>
      <c r="S2332">
        <f t="shared" si="363"/>
        <v>1</v>
      </c>
      <c r="T2332">
        <f t="shared" si="364"/>
        <v>1</v>
      </c>
      <c r="U2332">
        <f t="shared" si="365"/>
        <v>0</v>
      </c>
      <c r="V2332">
        <v>8.0000000000000002E-3</v>
      </c>
      <c r="W2332">
        <v>100</v>
      </c>
      <c r="X2332">
        <v>4.17</v>
      </c>
      <c r="Y2332" t="s">
        <v>103</v>
      </c>
      <c r="Z2332">
        <v>0</v>
      </c>
      <c r="AA2332">
        <v>0</v>
      </c>
      <c r="AB2332">
        <v>20.100000000000001</v>
      </c>
      <c r="AC2332">
        <v>13.9</v>
      </c>
      <c r="AG2332">
        <f t="shared" si="366"/>
        <v>1</v>
      </c>
      <c r="AH2332">
        <f t="shared" si="367"/>
        <v>0</v>
      </c>
      <c r="AI2332">
        <f t="shared" si="368"/>
        <v>1</v>
      </c>
      <c r="AJ2332">
        <v>328.8</v>
      </c>
      <c r="AK2332">
        <v>1024</v>
      </c>
      <c r="AL2332">
        <v>70.8</v>
      </c>
      <c r="AM2332">
        <v>6.2</v>
      </c>
      <c r="AN2332">
        <v>95.4</v>
      </c>
      <c r="AO2332">
        <v>8.3000000000000007</v>
      </c>
      <c r="AP2332">
        <v>4</v>
      </c>
      <c r="AQ2332">
        <v>0</v>
      </c>
      <c r="AR2332" t="s">
        <v>7997</v>
      </c>
      <c r="AS2332" t="s">
        <v>7998</v>
      </c>
      <c r="AT2332">
        <v>0.25</v>
      </c>
      <c r="AU2332" t="s">
        <v>106</v>
      </c>
      <c r="AV2332" t="s">
        <v>1180</v>
      </c>
      <c r="AW2332" t="s">
        <v>103</v>
      </c>
      <c r="AX2332" t="s">
        <v>6813</v>
      </c>
      <c r="AY2332" t="s">
        <v>7999</v>
      </c>
      <c r="AZ2332">
        <v>108.99999999906871</v>
      </c>
      <c r="BA2332">
        <v>0</v>
      </c>
      <c r="BB2332">
        <v>0</v>
      </c>
      <c r="BC2332">
        <v>0.5</v>
      </c>
      <c r="BD2332">
        <v>0</v>
      </c>
      <c r="BE2332">
        <f t="shared" si="369"/>
        <v>0</v>
      </c>
    </row>
    <row r="2333" spans="1:57" x14ac:dyDescent="0.25">
      <c r="A2333" t="s">
        <v>39</v>
      </c>
      <c r="B2333" t="s">
        <v>8000</v>
      </c>
      <c r="C2333">
        <v>66.2</v>
      </c>
      <c r="D2333">
        <v>52.8</v>
      </c>
      <c r="G2333">
        <f t="shared" si="360"/>
        <v>0</v>
      </c>
      <c r="H2333">
        <f t="shared" si="361"/>
        <v>0</v>
      </c>
      <c r="I2333">
        <f t="shared" si="362"/>
        <v>0</v>
      </c>
      <c r="J2333">
        <v>60.9</v>
      </c>
      <c r="K2333">
        <v>66.2</v>
      </c>
      <c r="L2333">
        <v>52.8</v>
      </c>
      <c r="M2333">
        <v>60.9</v>
      </c>
      <c r="N2333">
        <v>53.6</v>
      </c>
      <c r="O2333">
        <v>77.099999999999994</v>
      </c>
      <c r="S2333">
        <f t="shared" si="363"/>
        <v>1</v>
      </c>
      <c r="T2333">
        <f t="shared" si="364"/>
        <v>1</v>
      </c>
      <c r="U2333">
        <f t="shared" si="365"/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23</v>
      </c>
      <c r="AC2333">
        <v>13.9</v>
      </c>
      <c r="AG2333">
        <f t="shared" si="366"/>
        <v>1</v>
      </c>
      <c r="AH2333">
        <f t="shared" si="367"/>
        <v>0</v>
      </c>
      <c r="AI2333">
        <f t="shared" si="368"/>
        <v>1</v>
      </c>
      <c r="AJ2333">
        <v>332.4</v>
      </c>
      <c r="AK2333">
        <v>1019.1</v>
      </c>
      <c r="AL2333">
        <v>54.1</v>
      </c>
      <c r="AM2333">
        <v>6.2</v>
      </c>
      <c r="AN2333">
        <v>103.8</v>
      </c>
      <c r="AO2333">
        <v>9</v>
      </c>
      <c r="AP2333">
        <v>4</v>
      </c>
      <c r="AQ2333">
        <v>0</v>
      </c>
      <c r="AR2333" t="s">
        <v>8001</v>
      </c>
      <c r="AS2333" t="s">
        <v>8002</v>
      </c>
      <c r="AT2333">
        <v>0.4</v>
      </c>
      <c r="AU2333" t="s">
        <v>43</v>
      </c>
      <c r="AV2333" t="s">
        <v>44</v>
      </c>
      <c r="AW2333" t="s">
        <v>45</v>
      </c>
      <c r="AX2333" t="s">
        <v>8003</v>
      </c>
      <c r="AY2333" t="s">
        <v>8004</v>
      </c>
      <c r="AZ2333">
        <v>267.00000000069849</v>
      </c>
      <c r="BA2333">
        <v>0</v>
      </c>
      <c r="BB2333">
        <v>0</v>
      </c>
      <c r="BC2333">
        <v>0.3</v>
      </c>
      <c r="BD2333">
        <v>0</v>
      </c>
      <c r="BE2333">
        <f t="shared" si="369"/>
        <v>0</v>
      </c>
    </row>
    <row r="2334" spans="1:57" x14ac:dyDescent="0.25">
      <c r="A2334" t="s">
        <v>39</v>
      </c>
      <c r="B2334" t="s">
        <v>8005</v>
      </c>
      <c r="C2334">
        <v>64.400000000000006</v>
      </c>
      <c r="D2334">
        <v>50</v>
      </c>
      <c r="G2334">
        <f t="shared" si="360"/>
        <v>1</v>
      </c>
      <c r="H2334">
        <f t="shared" si="361"/>
        <v>0</v>
      </c>
      <c r="I2334">
        <f t="shared" si="362"/>
        <v>1</v>
      </c>
      <c r="J2334">
        <v>56.7</v>
      </c>
      <c r="K2334">
        <v>64.400000000000006</v>
      </c>
      <c r="L2334">
        <v>50</v>
      </c>
      <c r="M2334">
        <v>56.7</v>
      </c>
      <c r="N2334">
        <v>52</v>
      </c>
      <c r="O2334">
        <v>84.7</v>
      </c>
      <c r="S2334">
        <f t="shared" si="363"/>
        <v>1</v>
      </c>
      <c r="T2334">
        <f t="shared" si="364"/>
        <v>1</v>
      </c>
      <c r="U2334">
        <f t="shared" si="365"/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11.4</v>
      </c>
      <c r="AC2334">
        <v>6.9</v>
      </c>
      <c r="AG2334">
        <f t="shared" si="366"/>
        <v>1</v>
      </c>
      <c r="AH2334">
        <f t="shared" si="367"/>
        <v>0</v>
      </c>
      <c r="AI2334">
        <f t="shared" si="368"/>
        <v>1</v>
      </c>
      <c r="AJ2334">
        <v>118.5</v>
      </c>
      <c r="AK2334">
        <v>1020</v>
      </c>
      <c r="AL2334">
        <v>28.7</v>
      </c>
      <c r="AM2334">
        <v>6.2</v>
      </c>
      <c r="AN2334">
        <v>123.4</v>
      </c>
      <c r="AO2334">
        <v>10.5</v>
      </c>
      <c r="AP2334">
        <v>5</v>
      </c>
      <c r="AQ2334">
        <v>0</v>
      </c>
      <c r="AR2334" t="s">
        <v>8006</v>
      </c>
      <c r="AS2334" t="s">
        <v>8007</v>
      </c>
      <c r="AT2334">
        <v>0.43</v>
      </c>
      <c r="AU2334" t="s">
        <v>43</v>
      </c>
      <c r="AV2334" t="s">
        <v>44</v>
      </c>
      <c r="AW2334" t="s">
        <v>45</v>
      </c>
      <c r="AX2334" t="s">
        <v>6025</v>
      </c>
      <c r="AY2334" t="s">
        <v>8008</v>
      </c>
      <c r="AZ2334">
        <v>143.0000000051223</v>
      </c>
      <c r="BA2334">
        <v>0</v>
      </c>
      <c r="BB2334">
        <v>0</v>
      </c>
      <c r="BC2334">
        <v>0.5</v>
      </c>
      <c r="BD2334">
        <v>0</v>
      </c>
      <c r="BE2334">
        <f t="shared" si="369"/>
        <v>0</v>
      </c>
    </row>
    <row r="2335" spans="1:57" x14ac:dyDescent="0.25">
      <c r="A2335" t="s">
        <v>39</v>
      </c>
      <c r="B2335" t="s">
        <v>8009</v>
      </c>
      <c r="C2335">
        <v>66.2</v>
      </c>
      <c r="D2335">
        <v>59</v>
      </c>
      <c r="G2335">
        <f t="shared" si="360"/>
        <v>1</v>
      </c>
      <c r="H2335">
        <f t="shared" si="361"/>
        <v>1</v>
      </c>
      <c r="I2335">
        <f t="shared" si="362"/>
        <v>0</v>
      </c>
      <c r="J2335">
        <v>61.2</v>
      </c>
      <c r="K2335">
        <v>66.2</v>
      </c>
      <c r="L2335">
        <v>59</v>
      </c>
      <c r="M2335">
        <v>61.2</v>
      </c>
      <c r="N2335">
        <v>53.8</v>
      </c>
      <c r="O2335">
        <v>77</v>
      </c>
      <c r="S2335">
        <f t="shared" si="363"/>
        <v>1</v>
      </c>
      <c r="T2335">
        <f t="shared" si="364"/>
        <v>1</v>
      </c>
      <c r="U2335">
        <f t="shared" si="365"/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32.200000000000003</v>
      </c>
      <c r="AC2335">
        <v>24.1</v>
      </c>
      <c r="AG2335">
        <f t="shared" si="366"/>
        <v>1</v>
      </c>
      <c r="AH2335">
        <f t="shared" si="367"/>
        <v>1</v>
      </c>
      <c r="AI2335">
        <f t="shared" si="368"/>
        <v>0</v>
      </c>
      <c r="AJ2335">
        <v>170</v>
      </c>
      <c r="AK2335">
        <v>1016.3</v>
      </c>
      <c r="AL2335">
        <v>47.3</v>
      </c>
      <c r="AM2335">
        <v>6.2</v>
      </c>
      <c r="AN2335">
        <v>101.3</v>
      </c>
      <c r="AO2335">
        <v>8.9</v>
      </c>
      <c r="AP2335">
        <v>4</v>
      </c>
      <c r="AQ2335">
        <v>0</v>
      </c>
      <c r="AR2335" t="s">
        <v>8010</v>
      </c>
      <c r="AS2335" t="s">
        <v>8011</v>
      </c>
      <c r="AT2335">
        <v>0.41</v>
      </c>
      <c r="AU2335" t="s">
        <v>43</v>
      </c>
      <c r="AV2335" t="s">
        <v>44</v>
      </c>
      <c r="AW2335" t="s">
        <v>45</v>
      </c>
      <c r="AX2335" t="s">
        <v>5380</v>
      </c>
      <c r="AY2335" t="s">
        <v>8012</v>
      </c>
      <c r="AZ2335">
        <v>174.99999999417921</v>
      </c>
      <c r="BA2335">
        <v>0</v>
      </c>
      <c r="BB2335">
        <v>0</v>
      </c>
      <c r="BC2335">
        <v>0.5</v>
      </c>
      <c r="BD2335">
        <v>0</v>
      </c>
      <c r="BE2335">
        <f t="shared" si="369"/>
        <v>1</v>
      </c>
    </row>
    <row r="2336" spans="1:57" x14ac:dyDescent="0.25">
      <c r="A2336" t="s">
        <v>39</v>
      </c>
      <c r="B2336" t="s">
        <v>8013</v>
      </c>
      <c r="C2336">
        <v>89.6</v>
      </c>
      <c r="D2336">
        <v>80.599999999999994</v>
      </c>
      <c r="G2336">
        <f t="shared" si="360"/>
        <v>1</v>
      </c>
      <c r="H2336">
        <f t="shared" si="361"/>
        <v>1</v>
      </c>
      <c r="I2336">
        <f t="shared" si="362"/>
        <v>0</v>
      </c>
      <c r="J2336">
        <v>84.4</v>
      </c>
      <c r="K2336">
        <v>96.4</v>
      </c>
      <c r="L2336">
        <v>83.3</v>
      </c>
      <c r="M2336">
        <v>89.6</v>
      </c>
      <c r="N2336">
        <v>71.099999999999994</v>
      </c>
      <c r="O2336">
        <v>65</v>
      </c>
      <c r="S2336">
        <f t="shared" si="363"/>
        <v>1</v>
      </c>
      <c r="T2336">
        <f t="shared" si="364"/>
        <v>1</v>
      </c>
      <c r="U2336">
        <f t="shared" si="365"/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30.4</v>
      </c>
      <c r="AC2336">
        <v>11.4</v>
      </c>
      <c r="AG2336">
        <f t="shared" si="366"/>
        <v>1</v>
      </c>
      <c r="AH2336">
        <f t="shared" si="367"/>
        <v>0</v>
      </c>
      <c r="AI2336">
        <f t="shared" si="368"/>
        <v>1</v>
      </c>
      <c r="AJ2336">
        <v>315.3</v>
      </c>
      <c r="AK2336">
        <v>1012.7</v>
      </c>
      <c r="AL2336">
        <v>0</v>
      </c>
      <c r="AM2336">
        <v>6.2</v>
      </c>
      <c r="AN2336">
        <v>340</v>
      </c>
      <c r="AO2336">
        <v>29.5</v>
      </c>
      <c r="AP2336">
        <v>10</v>
      </c>
      <c r="AQ2336">
        <v>0</v>
      </c>
      <c r="AR2336" t="s">
        <v>8014</v>
      </c>
      <c r="AS2336" t="s">
        <v>8015</v>
      </c>
      <c r="AT2336">
        <v>0.52</v>
      </c>
      <c r="AU2336" t="s">
        <v>74</v>
      </c>
      <c r="AV2336" t="s">
        <v>2955</v>
      </c>
      <c r="AW2336" t="s">
        <v>75</v>
      </c>
      <c r="AX2336" t="s">
        <v>8016</v>
      </c>
      <c r="AY2336" t="s">
        <v>8017</v>
      </c>
      <c r="AZ2336">
        <v>1679.999999996508</v>
      </c>
      <c r="BA2336">
        <v>1</v>
      </c>
      <c r="BB2336">
        <v>0</v>
      </c>
      <c r="BC2336">
        <v>0.01</v>
      </c>
      <c r="BD2336">
        <v>0</v>
      </c>
      <c r="BE2336">
        <f t="shared" si="369"/>
        <v>1</v>
      </c>
    </row>
    <row r="2337" spans="1:57" x14ac:dyDescent="0.25">
      <c r="A2337" t="s">
        <v>39</v>
      </c>
      <c r="B2337" t="s">
        <v>8018</v>
      </c>
      <c r="C2337">
        <v>93.2</v>
      </c>
      <c r="D2337">
        <v>77</v>
      </c>
      <c r="G2337">
        <f t="shared" si="360"/>
        <v>1</v>
      </c>
      <c r="H2337">
        <f t="shared" si="361"/>
        <v>1</v>
      </c>
      <c r="I2337">
        <f t="shared" si="362"/>
        <v>0</v>
      </c>
      <c r="J2337">
        <v>84.8</v>
      </c>
      <c r="K2337">
        <v>105.1</v>
      </c>
      <c r="L2337">
        <v>77</v>
      </c>
      <c r="M2337">
        <v>89.9</v>
      </c>
      <c r="N2337">
        <v>69.5</v>
      </c>
      <c r="O2337">
        <v>61.2</v>
      </c>
      <c r="S2337">
        <f t="shared" si="363"/>
        <v>0</v>
      </c>
      <c r="T2337">
        <f t="shared" si="364"/>
        <v>0</v>
      </c>
      <c r="U2337">
        <f t="shared" si="365"/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25.5</v>
      </c>
      <c r="AC2337">
        <v>5.3</v>
      </c>
      <c r="AG2337">
        <f t="shared" si="366"/>
        <v>1</v>
      </c>
      <c r="AH2337">
        <f t="shared" si="367"/>
        <v>0</v>
      </c>
      <c r="AI2337">
        <f t="shared" si="368"/>
        <v>1</v>
      </c>
      <c r="AJ2337">
        <v>7.8</v>
      </c>
      <c r="AK2337">
        <v>1011.1</v>
      </c>
      <c r="AL2337">
        <v>0.3</v>
      </c>
      <c r="AM2337">
        <v>6.2</v>
      </c>
      <c r="AN2337">
        <v>336.9</v>
      </c>
      <c r="AO2337">
        <v>28.9</v>
      </c>
      <c r="AP2337">
        <v>10</v>
      </c>
      <c r="AQ2337">
        <v>0</v>
      </c>
      <c r="AR2337" t="s">
        <v>8019</v>
      </c>
      <c r="AS2337" t="s">
        <v>8020</v>
      </c>
      <c r="AT2337">
        <v>0.55000000000000004</v>
      </c>
      <c r="AU2337" t="s">
        <v>74</v>
      </c>
      <c r="AV2337" t="s">
        <v>2955</v>
      </c>
      <c r="AW2337" t="s">
        <v>75</v>
      </c>
      <c r="AX2337" t="s">
        <v>8021</v>
      </c>
      <c r="AY2337" t="s">
        <v>8022</v>
      </c>
      <c r="AZ2337">
        <v>185.99999999860299</v>
      </c>
      <c r="BA2337">
        <v>0</v>
      </c>
      <c r="BB2337">
        <v>0</v>
      </c>
      <c r="BC2337">
        <v>0.01</v>
      </c>
      <c r="BD2337">
        <v>0</v>
      </c>
      <c r="BE2337">
        <f t="shared" si="369"/>
        <v>0</v>
      </c>
    </row>
    <row r="2338" spans="1:57" x14ac:dyDescent="0.25">
      <c r="A2338" t="s">
        <v>39</v>
      </c>
      <c r="B2338" t="s">
        <v>8023</v>
      </c>
      <c r="C2338">
        <v>59</v>
      </c>
      <c r="D2338">
        <v>50</v>
      </c>
      <c r="G2338">
        <f t="shared" si="360"/>
        <v>0</v>
      </c>
      <c r="H2338">
        <f t="shared" si="361"/>
        <v>0</v>
      </c>
      <c r="I2338">
        <f t="shared" si="362"/>
        <v>0</v>
      </c>
      <c r="J2338">
        <v>54.8</v>
      </c>
      <c r="K2338">
        <v>59</v>
      </c>
      <c r="L2338">
        <v>50</v>
      </c>
      <c r="M2338">
        <v>54.8</v>
      </c>
      <c r="N2338">
        <v>48.1</v>
      </c>
      <c r="O2338">
        <v>78.599999999999994</v>
      </c>
      <c r="S2338">
        <f t="shared" si="363"/>
        <v>1</v>
      </c>
      <c r="T2338">
        <f t="shared" si="364"/>
        <v>1</v>
      </c>
      <c r="U2338">
        <f t="shared" si="365"/>
        <v>0</v>
      </c>
      <c r="V2338">
        <v>0.318</v>
      </c>
      <c r="W2338">
        <v>100</v>
      </c>
      <c r="X2338">
        <v>8.33</v>
      </c>
      <c r="Y2338" t="s">
        <v>103</v>
      </c>
      <c r="Z2338">
        <v>0</v>
      </c>
      <c r="AA2338">
        <v>0</v>
      </c>
      <c r="AB2338">
        <v>25.1</v>
      </c>
      <c r="AC2338">
        <v>17.399999999999999</v>
      </c>
      <c r="AG2338">
        <f t="shared" si="366"/>
        <v>1</v>
      </c>
      <c r="AH2338">
        <f t="shared" si="367"/>
        <v>0</v>
      </c>
      <c r="AI2338">
        <f t="shared" si="368"/>
        <v>1</v>
      </c>
      <c r="AJ2338">
        <v>341.9</v>
      </c>
      <c r="AK2338">
        <v>1027.3</v>
      </c>
      <c r="AL2338">
        <v>71</v>
      </c>
      <c r="AM2338">
        <v>6.2</v>
      </c>
      <c r="AN2338">
        <v>159.80000000000001</v>
      </c>
      <c r="AO2338">
        <v>13.8</v>
      </c>
      <c r="AP2338">
        <v>6</v>
      </c>
      <c r="AQ2338">
        <v>0</v>
      </c>
      <c r="AR2338" t="s">
        <v>8024</v>
      </c>
      <c r="AS2338" t="s">
        <v>8025</v>
      </c>
      <c r="AT2338">
        <v>0.34</v>
      </c>
      <c r="AU2338" t="s">
        <v>106</v>
      </c>
      <c r="AV2338" t="s">
        <v>1098</v>
      </c>
      <c r="AW2338" t="s">
        <v>103</v>
      </c>
      <c r="AX2338" t="s">
        <v>2534</v>
      </c>
      <c r="AY2338" t="s">
        <v>8026</v>
      </c>
      <c r="AZ2338">
        <v>290.00000000232831</v>
      </c>
      <c r="BA2338">
        <v>0</v>
      </c>
      <c r="BB2338">
        <v>0</v>
      </c>
      <c r="BC2338">
        <v>3</v>
      </c>
      <c r="BD2338">
        <v>0</v>
      </c>
      <c r="BE2338">
        <f t="shared" si="369"/>
        <v>0</v>
      </c>
    </row>
    <row r="2339" spans="1:57" x14ac:dyDescent="0.25">
      <c r="A2339" t="s">
        <v>39</v>
      </c>
      <c r="B2339" t="s">
        <v>8027</v>
      </c>
      <c r="C2339">
        <v>71.599999999999994</v>
      </c>
      <c r="D2339">
        <v>51.8</v>
      </c>
      <c r="G2339">
        <f t="shared" si="360"/>
        <v>1</v>
      </c>
      <c r="H2339">
        <f t="shared" si="361"/>
        <v>1</v>
      </c>
      <c r="I2339">
        <f t="shared" si="362"/>
        <v>0</v>
      </c>
      <c r="J2339">
        <v>59.3</v>
      </c>
      <c r="K2339">
        <v>71.599999999999994</v>
      </c>
      <c r="L2339">
        <v>51.8</v>
      </c>
      <c r="M2339">
        <v>59.3</v>
      </c>
      <c r="N2339">
        <v>48.5</v>
      </c>
      <c r="O2339">
        <v>68.599999999999994</v>
      </c>
      <c r="S2339">
        <f t="shared" si="363"/>
        <v>1</v>
      </c>
      <c r="T2339">
        <f t="shared" si="364"/>
        <v>1</v>
      </c>
      <c r="U2339">
        <f t="shared" si="365"/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21.9</v>
      </c>
      <c r="AC2339">
        <v>16.100000000000001</v>
      </c>
      <c r="AG2339">
        <f t="shared" si="366"/>
        <v>0</v>
      </c>
      <c r="AH2339">
        <f t="shared" si="367"/>
        <v>0</v>
      </c>
      <c r="AI2339">
        <f t="shared" si="368"/>
        <v>0</v>
      </c>
      <c r="AJ2339">
        <v>181.9</v>
      </c>
      <c r="AK2339">
        <v>1020.5</v>
      </c>
      <c r="AL2339">
        <v>31.3</v>
      </c>
      <c r="AM2339">
        <v>6.2</v>
      </c>
      <c r="AN2339">
        <v>208.8</v>
      </c>
      <c r="AO2339">
        <v>18.100000000000001</v>
      </c>
      <c r="AP2339">
        <v>8</v>
      </c>
      <c r="AQ2339">
        <v>0</v>
      </c>
      <c r="AR2339" t="s">
        <v>8028</v>
      </c>
      <c r="AS2339" t="s">
        <v>8029</v>
      </c>
      <c r="AT2339">
        <v>0.75</v>
      </c>
      <c r="AU2339" t="s">
        <v>43</v>
      </c>
      <c r="AV2339" t="s">
        <v>44</v>
      </c>
      <c r="AW2339" t="s">
        <v>45</v>
      </c>
      <c r="AX2339" t="s">
        <v>2572</v>
      </c>
      <c r="AY2339" t="s">
        <v>8030</v>
      </c>
      <c r="AZ2339">
        <v>49.999999995343387</v>
      </c>
      <c r="BA2339">
        <v>0</v>
      </c>
      <c r="BB2339">
        <v>0</v>
      </c>
      <c r="BC2339">
        <v>0.04</v>
      </c>
      <c r="BD2339">
        <v>0</v>
      </c>
      <c r="BE2339">
        <f t="shared" si="369"/>
        <v>0</v>
      </c>
    </row>
    <row r="2340" spans="1:57" x14ac:dyDescent="0.25">
      <c r="A2340" t="s">
        <v>39</v>
      </c>
      <c r="B2340" t="s">
        <v>8031</v>
      </c>
      <c r="C2340">
        <v>64.400000000000006</v>
      </c>
      <c r="D2340">
        <v>50</v>
      </c>
      <c r="G2340">
        <f t="shared" si="360"/>
        <v>1</v>
      </c>
      <c r="H2340">
        <f t="shared" si="361"/>
        <v>0</v>
      </c>
      <c r="I2340">
        <f t="shared" si="362"/>
        <v>1</v>
      </c>
      <c r="J2340">
        <v>57.2</v>
      </c>
      <c r="K2340">
        <v>64.400000000000006</v>
      </c>
      <c r="L2340">
        <v>50</v>
      </c>
      <c r="M2340">
        <v>57.2</v>
      </c>
      <c r="N2340">
        <v>48.9</v>
      </c>
      <c r="O2340">
        <v>74.599999999999994</v>
      </c>
      <c r="S2340">
        <f t="shared" si="363"/>
        <v>1</v>
      </c>
      <c r="T2340">
        <f t="shared" si="364"/>
        <v>1</v>
      </c>
      <c r="U2340">
        <f t="shared" si="365"/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25.7</v>
      </c>
      <c r="AC2340">
        <v>13</v>
      </c>
      <c r="AG2340">
        <f t="shared" si="366"/>
        <v>1</v>
      </c>
      <c r="AH2340">
        <f t="shared" si="367"/>
        <v>0</v>
      </c>
      <c r="AI2340">
        <f t="shared" si="368"/>
        <v>1</v>
      </c>
      <c r="AJ2340">
        <v>306.7</v>
      </c>
      <c r="AK2340">
        <v>1022.4</v>
      </c>
      <c r="AL2340">
        <v>29.4</v>
      </c>
      <c r="AM2340">
        <v>6.2</v>
      </c>
      <c r="AN2340">
        <v>290.7</v>
      </c>
      <c r="AO2340">
        <v>25.1</v>
      </c>
      <c r="AP2340">
        <v>9</v>
      </c>
      <c r="AQ2340">
        <v>0</v>
      </c>
      <c r="AR2340" t="s">
        <v>8032</v>
      </c>
      <c r="AS2340" t="s">
        <v>8033</v>
      </c>
      <c r="AT2340">
        <v>0</v>
      </c>
      <c r="AU2340" t="s">
        <v>43</v>
      </c>
      <c r="AV2340" t="s">
        <v>44</v>
      </c>
      <c r="AW2340" t="s">
        <v>45</v>
      </c>
      <c r="AX2340" t="s">
        <v>4039</v>
      </c>
      <c r="AY2340" t="s">
        <v>8034</v>
      </c>
      <c r="AZ2340">
        <v>1588.0000000004659</v>
      </c>
      <c r="BA2340">
        <v>1</v>
      </c>
      <c r="BB2340">
        <v>0</v>
      </c>
      <c r="BC2340">
        <v>15</v>
      </c>
      <c r="BD2340">
        <v>0</v>
      </c>
      <c r="BE2340">
        <f t="shared" si="369"/>
        <v>1</v>
      </c>
    </row>
    <row r="2341" spans="1:57" x14ac:dyDescent="0.25">
      <c r="A2341" t="s">
        <v>39</v>
      </c>
      <c r="B2341" t="s">
        <v>8035</v>
      </c>
      <c r="C2341">
        <v>82.2</v>
      </c>
      <c r="D2341">
        <v>59</v>
      </c>
      <c r="G2341">
        <f t="shared" si="360"/>
        <v>1</v>
      </c>
      <c r="H2341">
        <f t="shared" si="361"/>
        <v>1</v>
      </c>
      <c r="I2341">
        <f t="shared" si="362"/>
        <v>0</v>
      </c>
      <c r="J2341">
        <v>70.400000000000006</v>
      </c>
      <c r="K2341">
        <v>86.7</v>
      </c>
      <c r="L2341">
        <v>59</v>
      </c>
      <c r="M2341">
        <v>70.8</v>
      </c>
      <c r="N2341">
        <v>60.6</v>
      </c>
      <c r="O2341">
        <v>71.5</v>
      </c>
      <c r="S2341">
        <f t="shared" si="363"/>
        <v>1</v>
      </c>
      <c r="T2341">
        <f t="shared" si="364"/>
        <v>1</v>
      </c>
      <c r="U2341">
        <f t="shared" si="365"/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21</v>
      </c>
      <c r="AC2341">
        <v>9.1999999999999993</v>
      </c>
      <c r="AG2341">
        <f t="shared" si="366"/>
        <v>1</v>
      </c>
      <c r="AH2341">
        <f t="shared" si="367"/>
        <v>0</v>
      </c>
      <c r="AI2341">
        <f t="shared" si="368"/>
        <v>1</v>
      </c>
      <c r="AJ2341">
        <v>216.2</v>
      </c>
      <c r="AK2341">
        <v>1017.2</v>
      </c>
      <c r="AL2341">
        <v>0</v>
      </c>
      <c r="AM2341">
        <v>6.2</v>
      </c>
      <c r="AN2341">
        <v>337.2</v>
      </c>
      <c r="AO2341">
        <v>29</v>
      </c>
      <c r="AP2341">
        <v>10</v>
      </c>
      <c r="AQ2341">
        <v>0</v>
      </c>
      <c r="AR2341" t="s">
        <v>8036</v>
      </c>
      <c r="AS2341" t="s">
        <v>8037</v>
      </c>
      <c r="AT2341">
        <v>0.43</v>
      </c>
      <c r="AU2341" t="s">
        <v>74</v>
      </c>
      <c r="AV2341" t="s">
        <v>2955</v>
      </c>
      <c r="AW2341" t="s">
        <v>75</v>
      </c>
      <c r="AX2341" t="s">
        <v>5835</v>
      </c>
      <c r="AY2341" t="s">
        <v>8038</v>
      </c>
      <c r="AZ2341">
        <v>136.0000000032596</v>
      </c>
      <c r="BA2341">
        <v>0</v>
      </c>
      <c r="BB2341">
        <v>0</v>
      </c>
      <c r="BC2341">
        <v>0.2</v>
      </c>
      <c r="BD2341">
        <v>0</v>
      </c>
      <c r="BE2341">
        <f t="shared" si="369"/>
        <v>1</v>
      </c>
    </row>
    <row r="2342" spans="1:57" x14ac:dyDescent="0.25">
      <c r="A2342" t="s">
        <v>39</v>
      </c>
      <c r="B2342" t="s">
        <v>8039</v>
      </c>
      <c r="C2342">
        <v>82.4</v>
      </c>
      <c r="D2342">
        <v>66.2</v>
      </c>
      <c r="G2342">
        <f t="shared" si="360"/>
        <v>1</v>
      </c>
      <c r="H2342">
        <f t="shared" si="361"/>
        <v>1</v>
      </c>
      <c r="I2342">
        <f t="shared" si="362"/>
        <v>0</v>
      </c>
      <c r="J2342">
        <v>74.8</v>
      </c>
      <c r="K2342">
        <v>87.2</v>
      </c>
      <c r="L2342">
        <v>66.2</v>
      </c>
      <c r="M2342">
        <v>75.8</v>
      </c>
      <c r="N2342">
        <v>64.3</v>
      </c>
      <c r="O2342">
        <v>70.2</v>
      </c>
      <c r="S2342">
        <f t="shared" si="363"/>
        <v>1</v>
      </c>
      <c r="T2342">
        <f t="shared" si="364"/>
        <v>1</v>
      </c>
      <c r="U2342">
        <f t="shared" si="365"/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21</v>
      </c>
      <c r="AC2342">
        <v>8.8000000000000007</v>
      </c>
      <c r="AG2342">
        <f t="shared" si="366"/>
        <v>1</v>
      </c>
      <c r="AH2342">
        <f t="shared" si="367"/>
        <v>0</v>
      </c>
      <c r="AI2342">
        <f t="shared" si="368"/>
        <v>1</v>
      </c>
      <c r="AJ2342">
        <v>197.8</v>
      </c>
      <c r="AK2342">
        <v>1012.6</v>
      </c>
      <c r="AL2342">
        <v>0</v>
      </c>
      <c r="AM2342">
        <v>6.2</v>
      </c>
      <c r="AN2342">
        <v>330.3</v>
      </c>
      <c r="AO2342">
        <v>28.4</v>
      </c>
      <c r="AP2342">
        <v>10</v>
      </c>
      <c r="AQ2342">
        <v>0</v>
      </c>
      <c r="AR2342" t="s">
        <v>8040</v>
      </c>
      <c r="AS2342" t="s">
        <v>8041</v>
      </c>
      <c r="AT2342">
        <v>0.5</v>
      </c>
      <c r="AU2342" t="s">
        <v>74</v>
      </c>
      <c r="AV2342" t="s">
        <v>2955</v>
      </c>
      <c r="AW2342" t="s">
        <v>75</v>
      </c>
      <c r="AX2342" t="s">
        <v>8042</v>
      </c>
      <c r="AY2342" t="s">
        <v>8043</v>
      </c>
      <c r="AZ2342">
        <v>1733.00000000163</v>
      </c>
      <c r="BA2342">
        <v>1</v>
      </c>
      <c r="BB2342">
        <v>0.75</v>
      </c>
      <c r="BC2342">
        <v>0</v>
      </c>
      <c r="BD2342">
        <v>0</v>
      </c>
      <c r="BE2342">
        <f t="shared" si="369"/>
        <v>1</v>
      </c>
    </row>
    <row r="2343" spans="1:57" x14ac:dyDescent="0.25">
      <c r="A2343" t="s">
        <v>39</v>
      </c>
      <c r="B2343" t="s">
        <v>8044</v>
      </c>
      <c r="C2343">
        <v>86</v>
      </c>
      <c r="D2343">
        <v>68</v>
      </c>
      <c r="G2343">
        <f t="shared" si="360"/>
        <v>1</v>
      </c>
      <c r="H2343">
        <f t="shared" si="361"/>
        <v>1</v>
      </c>
      <c r="I2343">
        <f t="shared" si="362"/>
        <v>0</v>
      </c>
      <c r="J2343">
        <v>79</v>
      </c>
      <c r="K2343">
        <v>97.2</v>
      </c>
      <c r="L2343">
        <v>68</v>
      </c>
      <c r="M2343">
        <v>84</v>
      </c>
      <c r="N2343">
        <v>73</v>
      </c>
      <c r="O2343">
        <v>82.2</v>
      </c>
      <c r="S2343">
        <f t="shared" si="363"/>
        <v>1</v>
      </c>
      <c r="T2343">
        <f t="shared" si="364"/>
        <v>1</v>
      </c>
      <c r="U2343">
        <f t="shared" si="365"/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20.8</v>
      </c>
      <c r="AC2343">
        <v>11.3</v>
      </c>
      <c r="AG2343">
        <f t="shared" si="366"/>
        <v>1</v>
      </c>
      <c r="AH2343">
        <f t="shared" si="367"/>
        <v>0</v>
      </c>
      <c r="AI2343">
        <f t="shared" si="368"/>
        <v>1</v>
      </c>
      <c r="AJ2343">
        <v>79.3</v>
      </c>
      <c r="AK2343">
        <v>1003.6</v>
      </c>
      <c r="AL2343">
        <v>14.8</v>
      </c>
      <c r="AM2343">
        <v>6.2</v>
      </c>
      <c r="AN2343">
        <v>327.7</v>
      </c>
      <c r="AO2343">
        <v>28.3</v>
      </c>
      <c r="AP2343">
        <v>10</v>
      </c>
      <c r="AQ2343">
        <v>0</v>
      </c>
      <c r="AR2343" t="s">
        <v>8045</v>
      </c>
      <c r="AS2343" t="s">
        <v>8046</v>
      </c>
      <c r="AT2343">
        <v>0.3</v>
      </c>
      <c r="AU2343" t="s">
        <v>74</v>
      </c>
      <c r="AV2343" t="s">
        <v>2955</v>
      </c>
      <c r="AW2343" t="s">
        <v>75</v>
      </c>
      <c r="AX2343" t="s">
        <v>4712</v>
      </c>
      <c r="AY2343" t="s">
        <v>8047</v>
      </c>
      <c r="AZ2343">
        <v>1435.9999999974391</v>
      </c>
      <c r="BA2343">
        <v>1</v>
      </c>
      <c r="BB2343">
        <v>0</v>
      </c>
      <c r="BC2343">
        <v>2</v>
      </c>
      <c r="BD2343">
        <v>0</v>
      </c>
      <c r="BE2343">
        <f t="shared" si="369"/>
        <v>1</v>
      </c>
    </row>
    <row r="2344" spans="1:57" x14ac:dyDescent="0.25">
      <c r="A2344" t="s">
        <v>39</v>
      </c>
      <c r="B2344" t="s">
        <v>8048</v>
      </c>
      <c r="C2344">
        <v>98.6</v>
      </c>
      <c r="D2344">
        <v>84.2</v>
      </c>
      <c r="G2344">
        <f t="shared" si="360"/>
        <v>1</v>
      </c>
      <c r="H2344">
        <f t="shared" si="361"/>
        <v>1</v>
      </c>
      <c r="I2344">
        <f t="shared" si="362"/>
        <v>0</v>
      </c>
      <c r="J2344">
        <v>91.3</v>
      </c>
      <c r="K2344">
        <v>127.1</v>
      </c>
      <c r="L2344">
        <v>91.6</v>
      </c>
      <c r="M2344">
        <v>109.7</v>
      </c>
      <c r="N2344">
        <v>79.599999999999994</v>
      </c>
      <c r="O2344">
        <v>69.099999999999994</v>
      </c>
      <c r="S2344">
        <f t="shared" si="363"/>
        <v>1</v>
      </c>
      <c r="T2344">
        <f t="shared" si="364"/>
        <v>1</v>
      </c>
      <c r="U2344">
        <f t="shared" si="365"/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28.9</v>
      </c>
      <c r="AC2344">
        <v>17.899999999999999</v>
      </c>
      <c r="AG2344">
        <f t="shared" si="366"/>
        <v>0</v>
      </c>
      <c r="AH2344">
        <f t="shared" si="367"/>
        <v>0</v>
      </c>
      <c r="AI2344">
        <f t="shared" si="368"/>
        <v>0</v>
      </c>
      <c r="AJ2344">
        <v>309.7</v>
      </c>
      <c r="AK2344">
        <v>1010</v>
      </c>
      <c r="AL2344">
        <v>0</v>
      </c>
      <c r="AM2344">
        <v>6.2</v>
      </c>
      <c r="AN2344">
        <v>320.8</v>
      </c>
      <c r="AO2344">
        <v>27.5</v>
      </c>
      <c r="AP2344">
        <v>10</v>
      </c>
      <c r="AQ2344">
        <v>0</v>
      </c>
      <c r="AR2344" t="s">
        <v>8049</v>
      </c>
      <c r="AS2344" t="s">
        <v>8050</v>
      </c>
      <c r="AT2344">
        <v>0.83</v>
      </c>
      <c r="AU2344" t="s">
        <v>74</v>
      </c>
      <c r="AV2344" t="s">
        <v>2955</v>
      </c>
      <c r="AW2344" t="s">
        <v>75</v>
      </c>
      <c r="AX2344" t="s">
        <v>2393</v>
      </c>
      <c r="AY2344" t="s">
        <v>8051</v>
      </c>
      <c r="AZ2344">
        <v>51588.000000006286</v>
      </c>
      <c r="BA2344">
        <v>1</v>
      </c>
      <c r="BB2344">
        <v>12000.26</v>
      </c>
      <c r="BC2344">
        <v>40000.660000000003</v>
      </c>
      <c r="BD2344">
        <v>0</v>
      </c>
      <c r="BE2344">
        <f t="shared" si="369"/>
        <v>1</v>
      </c>
    </row>
    <row r="2345" spans="1:57" x14ac:dyDescent="0.25">
      <c r="A2345" t="s">
        <v>39</v>
      </c>
      <c r="B2345" t="s">
        <v>8052</v>
      </c>
      <c r="C2345">
        <v>66.2</v>
      </c>
      <c r="D2345">
        <v>59</v>
      </c>
      <c r="G2345">
        <f t="shared" si="360"/>
        <v>0</v>
      </c>
      <c r="H2345">
        <f t="shared" si="361"/>
        <v>0</v>
      </c>
      <c r="I2345">
        <f t="shared" si="362"/>
        <v>0</v>
      </c>
      <c r="J2345">
        <v>63.2</v>
      </c>
      <c r="K2345">
        <v>66.2</v>
      </c>
      <c r="L2345">
        <v>59</v>
      </c>
      <c r="M2345">
        <v>63.2</v>
      </c>
      <c r="N2345">
        <v>53.7</v>
      </c>
      <c r="O2345">
        <v>71.400000000000006</v>
      </c>
      <c r="S2345">
        <f t="shared" si="363"/>
        <v>1</v>
      </c>
      <c r="T2345">
        <f t="shared" si="364"/>
        <v>1</v>
      </c>
      <c r="U2345">
        <f t="shared" si="365"/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12.8</v>
      </c>
      <c r="AC2345">
        <v>16.100000000000001</v>
      </c>
      <c r="AG2345">
        <f t="shared" si="366"/>
        <v>0</v>
      </c>
      <c r="AH2345">
        <f t="shared" si="367"/>
        <v>0</v>
      </c>
      <c r="AI2345">
        <f t="shared" si="368"/>
        <v>0</v>
      </c>
      <c r="AJ2345">
        <v>326.89999999999998</v>
      </c>
      <c r="AK2345">
        <v>1018.1</v>
      </c>
      <c r="AL2345">
        <v>66.3</v>
      </c>
      <c r="AM2345">
        <v>6.2</v>
      </c>
      <c r="AN2345">
        <v>121.3</v>
      </c>
      <c r="AO2345">
        <v>10.5</v>
      </c>
      <c r="AP2345">
        <v>5</v>
      </c>
      <c r="AQ2345">
        <v>0</v>
      </c>
      <c r="AR2345" t="s">
        <v>8053</v>
      </c>
      <c r="AS2345" t="s">
        <v>8054</v>
      </c>
      <c r="AT2345">
        <v>0.26</v>
      </c>
      <c r="AU2345" t="s">
        <v>43</v>
      </c>
      <c r="AV2345" t="s">
        <v>44</v>
      </c>
      <c r="AW2345" t="s">
        <v>45</v>
      </c>
      <c r="AX2345" t="s">
        <v>2582</v>
      </c>
      <c r="AY2345" t="s">
        <v>8055</v>
      </c>
      <c r="AZ2345">
        <v>65.000000002328306</v>
      </c>
      <c r="BA2345">
        <v>0</v>
      </c>
      <c r="BB2345">
        <v>0</v>
      </c>
      <c r="BC2345">
        <v>0.1</v>
      </c>
      <c r="BD2345">
        <v>0</v>
      </c>
      <c r="BE2345">
        <f t="shared" si="369"/>
        <v>0</v>
      </c>
    </row>
    <row r="2346" spans="1:57" x14ac:dyDescent="0.25">
      <c r="A2346" t="s">
        <v>39</v>
      </c>
      <c r="B2346" t="s">
        <v>8056</v>
      </c>
      <c r="C2346">
        <v>68</v>
      </c>
      <c r="D2346">
        <v>51.8</v>
      </c>
      <c r="G2346">
        <f t="shared" si="360"/>
        <v>0</v>
      </c>
      <c r="H2346">
        <f t="shared" si="361"/>
        <v>0</v>
      </c>
      <c r="I2346">
        <f t="shared" si="362"/>
        <v>0</v>
      </c>
      <c r="J2346">
        <v>60.4</v>
      </c>
      <c r="K2346">
        <v>68</v>
      </c>
      <c r="L2346">
        <v>51.8</v>
      </c>
      <c r="M2346">
        <v>60.4</v>
      </c>
      <c r="N2346">
        <v>52.9</v>
      </c>
      <c r="O2346">
        <v>76.900000000000006</v>
      </c>
      <c r="S2346">
        <f t="shared" si="363"/>
        <v>1</v>
      </c>
      <c r="T2346">
        <f t="shared" si="364"/>
        <v>1</v>
      </c>
      <c r="U2346">
        <f t="shared" si="365"/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21.9</v>
      </c>
      <c r="AC2346">
        <v>11.4</v>
      </c>
      <c r="AG2346">
        <f t="shared" si="366"/>
        <v>1</v>
      </c>
      <c r="AH2346">
        <f t="shared" si="367"/>
        <v>0</v>
      </c>
      <c r="AI2346">
        <f t="shared" si="368"/>
        <v>1</v>
      </c>
      <c r="AJ2346">
        <v>182.4</v>
      </c>
      <c r="AK2346">
        <v>1012.1</v>
      </c>
      <c r="AL2346">
        <v>23.4</v>
      </c>
      <c r="AM2346">
        <v>6.2</v>
      </c>
      <c r="AN2346">
        <v>284.89999999999998</v>
      </c>
      <c r="AO2346">
        <v>24.7</v>
      </c>
      <c r="AP2346">
        <v>9</v>
      </c>
      <c r="AQ2346">
        <v>0</v>
      </c>
      <c r="AR2346" t="s">
        <v>8057</v>
      </c>
      <c r="AS2346" t="s">
        <v>8058</v>
      </c>
      <c r="AT2346">
        <v>0.83</v>
      </c>
      <c r="AU2346" t="s">
        <v>43</v>
      </c>
      <c r="AV2346" t="s">
        <v>44</v>
      </c>
      <c r="AW2346" t="s">
        <v>45</v>
      </c>
      <c r="AX2346" t="s">
        <v>2582</v>
      </c>
      <c r="AY2346" t="s">
        <v>8059</v>
      </c>
      <c r="AZ2346">
        <v>105.00000000698491</v>
      </c>
      <c r="BA2346">
        <v>0</v>
      </c>
      <c r="BB2346">
        <v>0</v>
      </c>
      <c r="BC2346">
        <v>0.1</v>
      </c>
      <c r="BD2346">
        <v>0</v>
      </c>
      <c r="BE2346">
        <f t="shared" si="369"/>
        <v>0</v>
      </c>
    </row>
    <row r="2347" spans="1:57" x14ac:dyDescent="0.25">
      <c r="A2347" t="s">
        <v>39</v>
      </c>
      <c r="B2347" t="s">
        <v>8060</v>
      </c>
      <c r="C2347">
        <v>68</v>
      </c>
      <c r="D2347">
        <v>53.6</v>
      </c>
      <c r="G2347">
        <f t="shared" si="360"/>
        <v>1</v>
      </c>
      <c r="H2347">
        <f t="shared" si="361"/>
        <v>1</v>
      </c>
      <c r="I2347">
        <f t="shared" si="362"/>
        <v>0</v>
      </c>
      <c r="J2347">
        <v>61.5</v>
      </c>
      <c r="K2347">
        <v>68</v>
      </c>
      <c r="L2347">
        <v>53.6</v>
      </c>
      <c r="M2347">
        <v>61.5</v>
      </c>
      <c r="N2347">
        <v>49.1</v>
      </c>
      <c r="O2347">
        <v>66.400000000000006</v>
      </c>
      <c r="S2347">
        <f t="shared" si="363"/>
        <v>1</v>
      </c>
      <c r="T2347">
        <f t="shared" si="364"/>
        <v>1</v>
      </c>
      <c r="U2347">
        <f t="shared" si="365"/>
        <v>0</v>
      </c>
      <c r="V2347">
        <v>0.19700000000000001</v>
      </c>
      <c r="W2347">
        <v>100</v>
      </c>
      <c r="X2347">
        <v>4.17</v>
      </c>
      <c r="Y2347" t="s">
        <v>103</v>
      </c>
      <c r="Z2347">
        <v>0</v>
      </c>
      <c r="AA2347">
        <v>0</v>
      </c>
      <c r="AB2347">
        <v>39.1</v>
      </c>
      <c r="AC2347">
        <v>27.7</v>
      </c>
      <c r="AG2347">
        <f t="shared" si="366"/>
        <v>1</v>
      </c>
      <c r="AH2347">
        <f t="shared" si="367"/>
        <v>1</v>
      </c>
      <c r="AI2347">
        <f t="shared" si="368"/>
        <v>0</v>
      </c>
      <c r="AJ2347">
        <v>165.7</v>
      </c>
      <c r="AK2347">
        <v>1012.2</v>
      </c>
      <c r="AL2347">
        <v>42.3</v>
      </c>
      <c r="AM2347">
        <v>6.2</v>
      </c>
      <c r="AN2347">
        <v>243.6</v>
      </c>
      <c r="AO2347">
        <v>21</v>
      </c>
      <c r="AP2347">
        <v>8</v>
      </c>
      <c r="AQ2347">
        <v>0</v>
      </c>
      <c r="AR2347" t="s">
        <v>8061</v>
      </c>
      <c r="AS2347" t="s">
        <v>8062</v>
      </c>
      <c r="AT2347">
        <v>0.23</v>
      </c>
      <c r="AU2347" t="s">
        <v>106</v>
      </c>
      <c r="AV2347" t="s">
        <v>8063</v>
      </c>
      <c r="AW2347" t="s">
        <v>103</v>
      </c>
      <c r="AX2347" t="s">
        <v>2592</v>
      </c>
      <c r="AY2347" t="s">
        <v>8064</v>
      </c>
      <c r="AZ2347">
        <v>229.00000000256111</v>
      </c>
      <c r="BA2347">
        <v>0</v>
      </c>
      <c r="BB2347">
        <v>0</v>
      </c>
      <c r="BC2347">
        <v>3</v>
      </c>
      <c r="BD2347">
        <v>0</v>
      </c>
      <c r="BE2347">
        <f t="shared" si="369"/>
        <v>1</v>
      </c>
    </row>
    <row r="2348" spans="1:57" x14ac:dyDescent="0.25">
      <c r="A2348" t="s">
        <v>39</v>
      </c>
      <c r="B2348" t="s">
        <v>8065</v>
      </c>
      <c r="C2348">
        <v>66.2</v>
      </c>
      <c r="D2348">
        <v>59</v>
      </c>
      <c r="G2348">
        <f t="shared" si="360"/>
        <v>0</v>
      </c>
      <c r="H2348">
        <f t="shared" si="361"/>
        <v>0</v>
      </c>
      <c r="I2348">
        <f t="shared" si="362"/>
        <v>0</v>
      </c>
      <c r="J2348">
        <v>63.3</v>
      </c>
      <c r="K2348">
        <v>66.2</v>
      </c>
      <c r="L2348">
        <v>59</v>
      </c>
      <c r="M2348">
        <v>63.3</v>
      </c>
      <c r="N2348">
        <v>56</v>
      </c>
      <c r="O2348">
        <v>77.400000000000006</v>
      </c>
      <c r="S2348">
        <f t="shared" si="363"/>
        <v>1</v>
      </c>
      <c r="T2348">
        <f t="shared" si="364"/>
        <v>1</v>
      </c>
      <c r="U2348">
        <f t="shared" si="365"/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24.6</v>
      </c>
      <c r="AC2348">
        <v>21.6</v>
      </c>
      <c r="AG2348">
        <f t="shared" si="366"/>
        <v>1</v>
      </c>
      <c r="AH2348">
        <f t="shared" si="367"/>
        <v>1</v>
      </c>
      <c r="AI2348">
        <f t="shared" si="368"/>
        <v>0</v>
      </c>
      <c r="AJ2348">
        <v>297.8</v>
      </c>
      <c r="AK2348">
        <v>1013.7</v>
      </c>
      <c r="AL2348">
        <v>48</v>
      </c>
      <c r="AM2348">
        <v>6.2</v>
      </c>
      <c r="AN2348">
        <v>239.4</v>
      </c>
      <c r="AO2348">
        <v>20.7</v>
      </c>
      <c r="AP2348">
        <v>9</v>
      </c>
      <c r="AQ2348">
        <v>0</v>
      </c>
      <c r="AR2348" t="s">
        <v>8066</v>
      </c>
      <c r="AS2348" t="s">
        <v>8067</v>
      </c>
      <c r="AT2348">
        <v>0.24</v>
      </c>
      <c r="AU2348" t="s">
        <v>43</v>
      </c>
      <c r="AV2348" t="s">
        <v>44</v>
      </c>
      <c r="AW2348" t="s">
        <v>45</v>
      </c>
      <c r="AX2348" t="s">
        <v>8068</v>
      </c>
      <c r="AY2348" t="s">
        <v>8069</v>
      </c>
      <c r="AZ2348">
        <v>76.000000006752089</v>
      </c>
      <c r="BA2348">
        <v>0</v>
      </c>
      <c r="BB2348">
        <v>0</v>
      </c>
      <c r="BC2348">
        <v>0.01</v>
      </c>
      <c r="BD2348">
        <v>0</v>
      </c>
      <c r="BE2348">
        <f t="shared" si="369"/>
        <v>0</v>
      </c>
    </row>
    <row r="2349" spans="1:57" x14ac:dyDescent="0.25">
      <c r="A2349" t="s">
        <v>39</v>
      </c>
      <c r="B2349" t="s">
        <v>8070</v>
      </c>
      <c r="C2349">
        <v>93.2</v>
      </c>
      <c r="D2349">
        <v>69.8</v>
      </c>
      <c r="G2349">
        <f t="shared" si="360"/>
        <v>1</v>
      </c>
      <c r="H2349">
        <f t="shared" si="361"/>
        <v>1</v>
      </c>
      <c r="I2349">
        <f t="shared" si="362"/>
        <v>0</v>
      </c>
      <c r="J2349">
        <v>81.5</v>
      </c>
      <c r="K2349">
        <v>90.9</v>
      </c>
      <c r="L2349">
        <v>69.8</v>
      </c>
      <c r="M2349">
        <v>81.8</v>
      </c>
      <c r="N2349">
        <v>58.7</v>
      </c>
      <c r="O2349">
        <v>47.7</v>
      </c>
      <c r="S2349">
        <f t="shared" si="363"/>
        <v>1</v>
      </c>
      <c r="T2349">
        <f t="shared" si="364"/>
        <v>0</v>
      </c>
      <c r="U2349">
        <f t="shared" si="365"/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16.100000000000001</v>
      </c>
      <c r="AC2349">
        <v>13.9</v>
      </c>
      <c r="AG2349">
        <f t="shared" si="366"/>
        <v>1</v>
      </c>
      <c r="AH2349">
        <f t="shared" si="367"/>
        <v>0</v>
      </c>
      <c r="AI2349">
        <f t="shared" si="368"/>
        <v>1</v>
      </c>
      <c r="AJ2349">
        <v>174.8</v>
      </c>
      <c r="AK2349">
        <v>1013.6</v>
      </c>
      <c r="AL2349">
        <v>46.6</v>
      </c>
      <c r="AM2349">
        <v>6.2</v>
      </c>
      <c r="AN2349">
        <v>298.2</v>
      </c>
      <c r="AO2349">
        <v>25.6</v>
      </c>
      <c r="AP2349">
        <v>9</v>
      </c>
      <c r="AQ2349">
        <v>0</v>
      </c>
      <c r="AR2349" t="s">
        <v>8071</v>
      </c>
      <c r="AS2349" t="s">
        <v>8072</v>
      </c>
      <c r="AT2349">
        <v>0.68</v>
      </c>
      <c r="AU2349" t="s">
        <v>43</v>
      </c>
      <c r="AV2349" t="s">
        <v>44</v>
      </c>
      <c r="AW2349" t="s">
        <v>45</v>
      </c>
      <c r="AX2349" t="s">
        <v>4311</v>
      </c>
      <c r="AY2349" t="s">
        <v>8073</v>
      </c>
      <c r="AZ2349">
        <v>167.99999999231659</v>
      </c>
      <c r="BA2349">
        <v>0</v>
      </c>
      <c r="BB2349">
        <v>0</v>
      </c>
      <c r="BC2349">
        <v>0.01</v>
      </c>
      <c r="BD2349">
        <v>0</v>
      </c>
      <c r="BE2349">
        <f t="shared" si="369"/>
        <v>1</v>
      </c>
    </row>
    <row r="2350" spans="1:57" x14ac:dyDescent="0.25">
      <c r="A2350" t="s">
        <v>39</v>
      </c>
      <c r="B2350" t="s">
        <v>8074</v>
      </c>
      <c r="C2350">
        <v>77</v>
      </c>
      <c r="D2350">
        <v>62.6</v>
      </c>
      <c r="G2350">
        <f t="shared" si="360"/>
        <v>1</v>
      </c>
      <c r="H2350">
        <f t="shared" si="361"/>
        <v>1</v>
      </c>
      <c r="I2350">
        <f t="shared" si="362"/>
        <v>0</v>
      </c>
      <c r="J2350">
        <v>70.7</v>
      </c>
      <c r="K2350">
        <v>77</v>
      </c>
      <c r="L2350">
        <v>62.6</v>
      </c>
      <c r="M2350">
        <v>70.7</v>
      </c>
      <c r="N2350">
        <v>61.5</v>
      </c>
      <c r="O2350">
        <v>73</v>
      </c>
      <c r="S2350">
        <f t="shared" si="363"/>
        <v>1</v>
      </c>
      <c r="T2350">
        <f t="shared" si="364"/>
        <v>1</v>
      </c>
      <c r="U2350">
        <f t="shared" si="365"/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19.899999999999999</v>
      </c>
      <c r="AC2350">
        <v>11.4</v>
      </c>
      <c r="AG2350">
        <f t="shared" si="366"/>
        <v>1</v>
      </c>
      <c r="AH2350">
        <f t="shared" si="367"/>
        <v>0</v>
      </c>
      <c r="AI2350">
        <f t="shared" si="368"/>
        <v>1</v>
      </c>
      <c r="AJ2350">
        <v>296.10000000000002</v>
      </c>
      <c r="AK2350">
        <v>1012.2</v>
      </c>
      <c r="AL2350">
        <v>55.8</v>
      </c>
      <c r="AM2350">
        <v>6.2</v>
      </c>
      <c r="AN2350">
        <v>295.3</v>
      </c>
      <c r="AO2350">
        <v>25.4</v>
      </c>
      <c r="AP2350">
        <v>9</v>
      </c>
      <c r="AQ2350">
        <v>0</v>
      </c>
      <c r="AR2350" t="s">
        <v>8075</v>
      </c>
      <c r="AS2350" t="s">
        <v>8076</v>
      </c>
      <c r="AT2350">
        <v>0.75</v>
      </c>
      <c r="AU2350" t="s">
        <v>43</v>
      </c>
      <c r="AV2350" t="s">
        <v>44</v>
      </c>
      <c r="AW2350" t="s">
        <v>45</v>
      </c>
      <c r="AX2350" t="s">
        <v>4937</v>
      </c>
      <c r="AY2350" t="s">
        <v>8077</v>
      </c>
      <c r="AZ2350">
        <v>60.999999999767169</v>
      </c>
      <c r="BA2350">
        <v>0</v>
      </c>
      <c r="BB2350">
        <v>0</v>
      </c>
      <c r="BC2350">
        <v>0.02</v>
      </c>
      <c r="BD2350">
        <v>0</v>
      </c>
      <c r="BE2350">
        <f t="shared" si="369"/>
        <v>1</v>
      </c>
    </row>
    <row r="2351" spans="1:57" x14ac:dyDescent="0.25">
      <c r="A2351" t="s">
        <v>39</v>
      </c>
      <c r="B2351" t="s">
        <v>8078</v>
      </c>
      <c r="C2351">
        <v>78.8</v>
      </c>
      <c r="D2351">
        <v>73.400000000000006</v>
      </c>
      <c r="G2351">
        <f t="shared" si="360"/>
        <v>0</v>
      </c>
      <c r="H2351">
        <f t="shared" si="361"/>
        <v>0</v>
      </c>
      <c r="I2351">
        <f t="shared" si="362"/>
        <v>0</v>
      </c>
      <c r="J2351">
        <v>75.3</v>
      </c>
      <c r="K2351">
        <v>78.8</v>
      </c>
      <c r="L2351">
        <v>73.400000000000006</v>
      </c>
      <c r="M2351">
        <v>75.3</v>
      </c>
      <c r="N2351">
        <v>69.900000000000006</v>
      </c>
      <c r="O2351">
        <v>83.6</v>
      </c>
      <c r="S2351">
        <f t="shared" si="363"/>
        <v>1</v>
      </c>
      <c r="T2351">
        <f t="shared" si="364"/>
        <v>1</v>
      </c>
      <c r="U2351">
        <f t="shared" si="365"/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26.4</v>
      </c>
      <c r="AC2351">
        <v>13.9</v>
      </c>
      <c r="AG2351">
        <f t="shared" si="366"/>
        <v>1</v>
      </c>
      <c r="AH2351">
        <f t="shared" si="367"/>
        <v>0</v>
      </c>
      <c r="AI2351">
        <f t="shared" si="368"/>
        <v>1</v>
      </c>
      <c r="AJ2351">
        <v>310.7</v>
      </c>
      <c r="AK2351">
        <v>1014.2</v>
      </c>
      <c r="AL2351">
        <v>66</v>
      </c>
      <c r="AM2351">
        <v>6.2</v>
      </c>
      <c r="AN2351">
        <v>227.2</v>
      </c>
      <c r="AO2351">
        <v>19.600000000000001</v>
      </c>
      <c r="AP2351">
        <v>7</v>
      </c>
      <c r="AQ2351">
        <v>0</v>
      </c>
      <c r="AR2351" t="s">
        <v>8079</v>
      </c>
      <c r="AS2351" t="s">
        <v>8080</v>
      </c>
      <c r="AT2351">
        <v>0</v>
      </c>
      <c r="AU2351" t="s">
        <v>43</v>
      </c>
      <c r="AV2351" t="s">
        <v>44</v>
      </c>
      <c r="AW2351" t="s">
        <v>45</v>
      </c>
      <c r="AX2351" t="s">
        <v>8081</v>
      </c>
      <c r="AY2351" t="s">
        <v>8082</v>
      </c>
      <c r="AZ2351">
        <v>1943.999999997905</v>
      </c>
      <c r="BA2351">
        <v>1</v>
      </c>
      <c r="BB2351">
        <v>3</v>
      </c>
      <c r="BC2351">
        <v>0</v>
      </c>
      <c r="BD2351">
        <v>0</v>
      </c>
      <c r="BE2351">
        <f t="shared" si="369"/>
        <v>0</v>
      </c>
    </row>
    <row r="2352" spans="1:57" x14ac:dyDescent="0.25">
      <c r="A2352" t="s">
        <v>39</v>
      </c>
      <c r="B2352" t="s">
        <v>8083</v>
      </c>
      <c r="C2352">
        <v>64.400000000000006</v>
      </c>
      <c r="D2352">
        <v>60.8</v>
      </c>
      <c r="G2352">
        <f t="shared" si="360"/>
        <v>1</v>
      </c>
      <c r="H2352">
        <f t="shared" si="361"/>
        <v>0</v>
      </c>
      <c r="I2352">
        <f t="shared" si="362"/>
        <v>1</v>
      </c>
      <c r="J2352">
        <v>62.4</v>
      </c>
      <c r="K2352">
        <v>64.400000000000006</v>
      </c>
      <c r="L2352">
        <v>60.8</v>
      </c>
      <c r="M2352">
        <v>62.4</v>
      </c>
      <c r="N2352">
        <v>51.1</v>
      </c>
      <c r="O2352">
        <v>66.5</v>
      </c>
      <c r="S2352">
        <f t="shared" si="363"/>
        <v>0</v>
      </c>
      <c r="T2352">
        <f t="shared" si="364"/>
        <v>0</v>
      </c>
      <c r="U2352">
        <f t="shared" si="365"/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21.9</v>
      </c>
      <c r="AC2352">
        <v>21.9</v>
      </c>
      <c r="AG2352">
        <f t="shared" si="366"/>
        <v>1</v>
      </c>
      <c r="AH2352">
        <f t="shared" si="367"/>
        <v>1</v>
      </c>
      <c r="AI2352">
        <f t="shared" si="368"/>
        <v>0</v>
      </c>
      <c r="AJ2352">
        <v>327.60000000000002</v>
      </c>
      <c r="AK2352">
        <v>1020.4</v>
      </c>
      <c r="AL2352">
        <v>71.900000000000006</v>
      </c>
      <c r="AM2352">
        <v>6.2</v>
      </c>
      <c r="AN2352">
        <v>89.2</v>
      </c>
      <c r="AO2352">
        <v>7.8</v>
      </c>
      <c r="AP2352">
        <v>4</v>
      </c>
      <c r="AQ2352">
        <v>0</v>
      </c>
      <c r="AR2352" t="s">
        <v>8084</v>
      </c>
      <c r="AS2352" t="s">
        <v>8085</v>
      </c>
      <c r="AT2352">
        <v>0.25</v>
      </c>
      <c r="AU2352" t="s">
        <v>43</v>
      </c>
      <c r="AV2352" t="s">
        <v>44</v>
      </c>
      <c r="AW2352" t="s">
        <v>45</v>
      </c>
      <c r="AX2352" t="s">
        <v>8086</v>
      </c>
      <c r="AY2352" t="s">
        <v>8087</v>
      </c>
      <c r="AZ2352">
        <v>1062.999999996973</v>
      </c>
      <c r="BA2352">
        <v>1</v>
      </c>
      <c r="BB2352">
        <v>0</v>
      </c>
      <c r="BC2352">
        <v>20</v>
      </c>
      <c r="BD2352">
        <v>0</v>
      </c>
      <c r="BE2352">
        <f t="shared" si="369"/>
        <v>1</v>
      </c>
    </row>
    <row r="2353" spans="1:57" x14ac:dyDescent="0.25">
      <c r="A2353" t="s">
        <v>39</v>
      </c>
      <c r="B2353" t="s">
        <v>8088</v>
      </c>
      <c r="C2353">
        <v>53.6</v>
      </c>
      <c r="D2353">
        <v>46.4</v>
      </c>
      <c r="G2353">
        <f t="shared" si="360"/>
        <v>1</v>
      </c>
      <c r="H2353">
        <f t="shared" si="361"/>
        <v>0</v>
      </c>
      <c r="I2353">
        <f t="shared" si="362"/>
        <v>1</v>
      </c>
      <c r="J2353">
        <v>51</v>
      </c>
      <c r="K2353">
        <v>53.6</v>
      </c>
      <c r="L2353">
        <v>41.9</v>
      </c>
      <c r="M2353">
        <v>50.3</v>
      </c>
      <c r="N2353">
        <v>42.3</v>
      </c>
      <c r="O2353">
        <v>72.2</v>
      </c>
      <c r="S2353">
        <f t="shared" si="363"/>
        <v>1</v>
      </c>
      <c r="T2353">
        <f t="shared" si="364"/>
        <v>1</v>
      </c>
      <c r="U2353">
        <f t="shared" si="365"/>
        <v>0</v>
      </c>
      <c r="V2353">
        <v>0.98</v>
      </c>
      <c r="W2353">
        <v>100</v>
      </c>
      <c r="X2353">
        <v>16.670000000000002</v>
      </c>
      <c r="Y2353" t="s">
        <v>103</v>
      </c>
      <c r="Z2353">
        <v>0</v>
      </c>
      <c r="AA2353">
        <v>0</v>
      </c>
      <c r="AB2353">
        <v>48.3</v>
      </c>
      <c r="AC2353">
        <v>30</v>
      </c>
      <c r="AG2353">
        <f t="shared" si="366"/>
        <v>1</v>
      </c>
      <c r="AH2353">
        <f t="shared" si="367"/>
        <v>1</v>
      </c>
      <c r="AI2353">
        <f t="shared" si="368"/>
        <v>0</v>
      </c>
      <c r="AJ2353">
        <v>340.3</v>
      </c>
      <c r="AK2353">
        <v>1010.2</v>
      </c>
      <c r="AL2353">
        <v>89.1</v>
      </c>
      <c r="AM2353">
        <v>6.1</v>
      </c>
      <c r="AN2353">
        <v>88.1</v>
      </c>
      <c r="AO2353">
        <v>7.5</v>
      </c>
      <c r="AP2353">
        <v>4</v>
      </c>
      <c r="AQ2353">
        <v>0</v>
      </c>
      <c r="AR2353" t="s">
        <v>8089</v>
      </c>
      <c r="AS2353" t="s">
        <v>8090</v>
      </c>
      <c r="AT2353">
        <v>0.5</v>
      </c>
      <c r="AU2353" t="s">
        <v>106</v>
      </c>
      <c r="AV2353" t="s">
        <v>1783</v>
      </c>
      <c r="AW2353" t="s">
        <v>103</v>
      </c>
      <c r="AX2353" t="s">
        <v>7563</v>
      </c>
      <c r="AY2353" t="s">
        <v>8091</v>
      </c>
      <c r="AZ2353">
        <v>312.99999999348069</v>
      </c>
      <c r="BA2353">
        <v>0</v>
      </c>
      <c r="BB2353">
        <v>0</v>
      </c>
      <c r="BC2353">
        <v>0.4</v>
      </c>
      <c r="BD2353">
        <v>0</v>
      </c>
      <c r="BE2353">
        <f t="shared" si="369"/>
        <v>1</v>
      </c>
    </row>
    <row r="2354" spans="1:57" x14ac:dyDescent="0.25">
      <c r="A2354" t="s">
        <v>39</v>
      </c>
      <c r="B2354" t="s">
        <v>8092</v>
      </c>
      <c r="C2354">
        <v>57.2</v>
      </c>
      <c r="D2354">
        <v>50</v>
      </c>
      <c r="G2354">
        <f t="shared" si="360"/>
        <v>1</v>
      </c>
      <c r="H2354">
        <f t="shared" si="361"/>
        <v>0</v>
      </c>
      <c r="I2354">
        <f t="shared" si="362"/>
        <v>1</v>
      </c>
      <c r="J2354">
        <v>54.1</v>
      </c>
      <c r="K2354">
        <v>57.2</v>
      </c>
      <c r="L2354">
        <v>41.7</v>
      </c>
      <c r="M2354">
        <v>53.4</v>
      </c>
      <c r="N2354">
        <v>44</v>
      </c>
      <c r="O2354">
        <v>69.2</v>
      </c>
      <c r="S2354">
        <f t="shared" si="363"/>
        <v>1</v>
      </c>
      <c r="T2354">
        <f t="shared" si="364"/>
        <v>1</v>
      </c>
      <c r="U2354">
        <f t="shared" si="365"/>
        <v>0</v>
      </c>
      <c r="V2354">
        <v>1.6E-2</v>
      </c>
      <c r="W2354">
        <v>100</v>
      </c>
      <c r="X2354">
        <v>4.17</v>
      </c>
      <c r="Y2354" t="s">
        <v>103</v>
      </c>
      <c r="Z2354">
        <v>0</v>
      </c>
      <c r="AA2354">
        <v>0</v>
      </c>
      <c r="AB2354">
        <v>48.3</v>
      </c>
      <c r="AC2354">
        <v>32.700000000000003</v>
      </c>
      <c r="AG2354">
        <f t="shared" si="366"/>
        <v>1</v>
      </c>
      <c r="AH2354">
        <f t="shared" si="367"/>
        <v>1</v>
      </c>
      <c r="AI2354">
        <f t="shared" si="368"/>
        <v>0</v>
      </c>
      <c r="AJ2354">
        <v>330.8</v>
      </c>
      <c r="AK2354">
        <v>1024.4000000000001</v>
      </c>
      <c r="AL2354">
        <v>71.900000000000006</v>
      </c>
      <c r="AM2354">
        <v>6.2</v>
      </c>
      <c r="AN2354">
        <v>151.80000000000001</v>
      </c>
      <c r="AO2354">
        <v>13</v>
      </c>
      <c r="AP2354">
        <v>5</v>
      </c>
      <c r="AQ2354">
        <v>0</v>
      </c>
      <c r="AR2354" t="s">
        <v>8093</v>
      </c>
      <c r="AS2354" t="s">
        <v>8094</v>
      </c>
      <c r="AT2354">
        <v>0.64</v>
      </c>
      <c r="AU2354" t="s">
        <v>106</v>
      </c>
      <c r="AV2354" t="s">
        <v>433</v>
      </c>
      <c r="AW2354" t="s">
        <v>103</v>
      </c>
      <c r="AX2354" t="s">
        <v>4208</v>
      </c>
      <c r="AY2354" t="s">
        <v>8095</v>
      </c>
      <c r="AZ2354">
        <v>198.99999999906871</v>
      </c>
      <c r="BA2354">
        <v>0</v>
      </c>
      <c r="BB2354">
        <v>0</v>
      </c>
      <c r="BC2354">
        <v>4</v>
      </c>
      <c r="BD2354">
        <v>0</v>
      </c>
      <c r="BE2354">
        <f t="shared" si="369"/>
        <v>1</v>
      </c>
    </row>
    <row r="2355" spans="1:57" x14ac:dyDescent="0.25">
      <c r="A2355" t="s">
        <v>39</v>
      </c>
      <c r="B2355" t="s">
        <v>8096</v>
      </c>
      <c r="C2355">
        <v>60.8</v>
      </c>
      <c r="D2355">
        <v>48.2</v>
      </c>
      <c r="G2355">
        <f t="shared" si="360"/>
        <v>0</v>
      </c>
      <c r="H2355">
        <f t="shared" si="361"/>
        <v>0</v>
      </c>
      <c r="I2355">
        <f t="shared" si="362"/>
        <v>0</v>
      </c>
      <c r="J2355">
        <v>57.2</v>
      </c>
      <c r="K2355">
        <v>60.8</v>
      </c>
      <c r="L2355">
        <v>47.4</v>
      </c>
      <c r="M2355">
        <v>57.1</v>
      </c>
      <c r="N2355">
        <v>46.5</v>
      </c>
      <c r="O2355">
        <v>68.2</v>
      </c>
      <c r="S2355">
        <f t="shared" si="363"/>
        <v>1</v>
      </c>
      <c r="T2355">
        <f t="shared" si="364"/>
        <v>1</v>
      </c>
      <c r="U2355">
        <f t="shared" si="365"/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42.5</v>
      </c>
      <c r="AC2355">
        <v>25.2</v>
      </c>
      <c r="AG2355">
        <f t="shared" si="366"/>
        <v>1</v>
      </c>
      <c r="AH2355">
        <f t="shared" si="367"/>
        <v>1</v>
      </c>
      <c r="AI2355">
        <f t="shared" si="368"/>
        <v>0</v>
      </c>
      <c r="AJ2355">
        <v>332.9</v>
      </c>
      <c r="AK2355">
        <v>1022.3</v>
      </c>
      <c r="AL2355">
        <v>35.299999999999997</v>
      </c>
      <c r="AM2355">
        <v>6.2</v>
      </c>
      <c r="AN2355">
        <v>244.2</v>
      </c>
      <c r="AO2355">
        <v>21.1</v>
      </c>
      <c r="AP2355">
        <v>8</v>
      </c>
      <c r="AQ2355">
        <v>0</v>
      </c>
      <c r="AR2355" t="s">
        <v>8097</v>
      </c>
      <c r="AS2355" t="s">
        <v>8098</v>
      </c>
      <c r="AT2355">
        <v>0.56000000000000005</v>
      </c>
      <c r="AU2355" t="s">
        <v>43</v>
      </c>
      <c r="AV2355" t="s">
        <v>44</v>
      </c>
      <c r="AW2355" t="s">
        <v>45</v>
      </c>
      <c r="AX2355" t="s">
        <v>2459</v>
      </c>
      <c r="AY2355" t="s">
        <v>8099</v>
      </c>
      <c r="AZ2355">
        <v>349.99999999883579</v>
      </c>
      <c r="BA2355">
        <v>0</v>
      </c>
      <c r="BB2355">
        <v>0</v>
      </c>
      <c r="BC2355">
        <v>3</v>
      </c>
      <c r="BD2355">
        <v>0</v>
      </c>
      <c r="BE2355">
        <f t="shared" si="369"/>
        <v>0</v>
      </c>
    </row>
    <row r="2356" spans="1:57" x14ac:dyDescent="0.25">
      <c r="A2356" t="s">
        <v>39</v>
      </c>
      <c r="B2356" t="s">
        <v>8100</v>
      </c>
      <c r="C2356">
        <v>77</v>
      </c>
      <c r="D2356">
        <v>55.4</v>
      </c>
      <c r="G2356">
        <f t="shared" si="360"/>
        <v>1</v>
      </c>
      <c r="H2356">
        <f t="shared" si="361"/>
        <v>1</v>
      </c>
      <c r="I2356">
        <f t="shared" si="362"/>
        <v>0</v>
      </c>
      <c r="J2356">
        <v>67.2</v>
      </c>
      <c r="K2356">
        <v>77</v>
      </c>
      <c r="L2356">
        <v>55.4</v>
      </c>
      <c r="M2356">
        <v>67.2</v>
      </c>
      <c r="N2356">
        <v>48.1</v>
      </c>
      <c r="O2356">
        <v>52.8</v>
      </c>
      <c r="S2356">
        <f t="shared" si="363"/>
        <v>1</v>
      </c>
      <c r="T2356">
        <f t="shared" si="364"/>
        <v>0</v>
      </c>
      <c r="U2356">
        <f t="shared" si="365"/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41.4</v>
      </c>
      <c r="AC2356">
        <v>29.8</v>
      </c>
      <c r="AG2356">
        <f t="shared" si="366"/>
        <v>1</v>
      </c>
      <c r="AH2356">
        <f t="shared" si="367"/>
        <v>1</v>
      </c>
      <c r="AI2356">
        <f t="shared" si="368"/>
        <v>0</v>
      </c>
      <c r="AJ2356">
        <v>175</v>
      </c>
      <c r="AK2356">
        <v>1013.3</v>
      </c>
      <c r="AL2356">
        <v>27.8</v>
      </c>
      <c r="AM2356">
        <v>6.2</v>
      </c>
      <c r="AN2356">
        <v>256.39999999999998</v>
      </c>
      <c r="AO2356">
        <v>22.3</v>
      </c>
      <c r="AP2356">
        <v>8</v>
      </c>
      <c r="AQ2356">
        <v>0</v>
      </c>
      <c r="AR2356" t="s">
        <v>8101</v>
      </c>
      <c r="AS2356" t="s">
        <v>8102</v>
      </c>
      <c r="AT2356">
        <v>0.75</v>
      </c>
      <c r="AU2356" t="s">
        <v>43</v>
      </c>
      <c r="AV2356" t="s">
        <v>44</v>
      </c>
      <c r="AW2356" t="s">
        <v>45</v>
      </c>
      <c r="AX2356" t="s">
        <v>6562</v>
      </c>
      <c r="AY2356" t="s">
        <v>8103</v>
      </c>
      <c r="AZ2356">
        <v>260.9999999916181</v>
      </c>
      <c r="BA2356">
        <v>0</v>
      </c>
      <c r="BB2356">
        <v>0</v>
      </c>
      <c r="BC2356">
        <v>1</v>
      </c>
      <c r="BD2356">
        <v>0</v>
      </c>
      <c r="BE2356">
        <f t="shared" si="369"/>
        <v>1</v>
      </c>
    </row>
    <row r="2357" spans="1:57" x14ac:dyDescent="0.25">
      <c r="A2357" t="s">
        <v>39</v>
      </c>
      <c r="B2357" t="s">
        <v>8031</v>
      </c>
      <c r="C2357">
        <v>64.400000000000006</v>
      </c>
      <c r="D2357">
        <v>50</v>
      </c>
      <c r="G2357">
        <f t="shared" si="360"/>
        <v>1</v>
      </c>
      <c r="H2357">
        <f t="shared" si="361"/>
        <v>0</v>
      </c>
      <c r="I2357">
        <f t="shared" si="362"/>
        <v>1</v>
      </c>
      <c r="J2357">
        <v>57.2</v>
      </c>
      <c r="K2357">
        <v>64.400000000000006</v>
      </c>
      <c r="L2357">
        <v>50</v>
      </c>
      <c r="M2357">
        <v>57.2</v>
      </c>
      <c r="N2357">
        <v>48.9</v>
      </c>
      <c r="O2357">
        <v>74.599999999999994</v>
      </c>
      <c r="S2357">
        <f t="shared" si="363"/>
        <v>1</v>
      </c>
      <c r="T2357">
        <f t="shared" si="364"/>
        <v>1</v>
      </c>
      <c r="U2357">
        <f t="shared" si="365"/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25.7</v>
      </c>
      <c r="AC2357">
        <v>13</v>
      </c>
      <c r="AG2357">
        <f t="shared" si="366"/>
        <v>1</v>
      </c>
      <c r="AH2357">
        <f t="shared" si="367"/>
        <v>0</v>
      </c>
      <c r="AI2357">
        <f t="shared" si="368"/>
        <v>1</v>
      </c>
      <c r="AJ2357">
        <v>306.7</v>
      </c>
      <c r="AK2357">
        <v>1022.4</v>
      </c>
      <c r="AL2357">
        <v>29.4</v>
      </c>
      <c r="AM2357">
        <v>6.2</v>
      </c>
      <c r="AN2357">
        <v>290.7</v>
      </c>
      <c r="AO2357">
        <v>25.1</v>
      </c>
      <c r="AP2357">
        <v>9</v>
      </c>
      <c r="AQ2357">
        <v>0</v>
      </c>
      <c r="AR2357" t="s">
        <v>8032</v>
      </c>
      <c r="AS2357" t="s">
        <v>8033</v>
      </c>
      <c r="AT2357">
        <v>0</v>
      </c>
      <c r="AU2357" t="s">
        <v>43</v>
      </c>
      <c r="AV2357" t="s">
        <v>44</v>
      </c>
      <c r="AW2357" t="s">
        <v>45</v>
      </c>
      <c r="AX2357" t="s">
        <v>4311</v>
      </c>
      <c r="AY2357" t="s">
        <v>8104</v>
      </c>
      <c r="AZ2357">
        <v>319.99999999534339</v>
      </c>
      <c r="BA2357">
        <v>0</v>
      </c>
      <c r="BB2357">
        <v>0</v>
      </c>
      <c r="BC2357">
        <v>2</v>
      </c>
      <c r="BD2357">
        <v>0</v>
      </c>
      <c r="BE2357">
        <f t="shared" si="369"/>
        <v>0</v>
      </c>
    </row>
    <row r="2358" spans="1:57" x14ac:dyDescent="0.25">
      <c r="A2358" t="s">
        <v>39</v>
      </c>
      <c r="B2358" t="s">
        <v>8105</v>
      </c>
      <c r="C2358">
        <v>96.8</v>
      </c>
      <c r="D2358">
        <v>71.599999999999994</v>
      </c>
      <c r="G2358">
        <f t="shared" si="360"/>
        <v>1</v>
      </c>
      <c r="H2358">
        <f t="shared" si="361"/>
        <v>1</v>
      </c>
      <c r="I2358">
        <f t="shared" si="362"/>
        <v>0</v>
      </c>
      <c r="J2358">
        <v>86.3</v>
      </c>
      <c r="K2358">
        <v>109.6</v>
      </c>
      <c r="L2358">
        <v>71.599999999999994</v>
      </c>
      <c r="M2358">
        <v>89.7</v>
      </c>
      <c r="N2358">
        <v>65.3</v>
      </c>
      <c r="O2358">
        <v>50.9</v>
      </c>
      <c r="S2358">
        <f t="shared" si="363"/>
        <v>1</v>
      </c>
      <c r="T2358">
        <f t="shared" si="364"/>
        <v>0</v>
      </c>
      <c r="U2358">
        <f t="shared" si="365"/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22.8</v>
      </c>
      <c r="AC2358">
        <v>10.9</v>
      </c>
      <c r="AG2358">
        <f t="shared" si="366"/>
        <v>1</v>
      </c>
      <c r="AH2358">
        <f t="shared" si="367"/>
        <v>0</v>
      </c>
      <c r="AI2358">
        <f t="shared" si="368"/>
        <v>1</v>
      </c>
      <c r="AJ2358">
        <v>166.4</v>
      </c>
      <c r="AK2358">
        <v>1010.7</v>
      </c>
      <c r="AL2358">
        <v>3.5</v>
      </c>
      <c r="AM2358">
        <v>6.2</v>
      </c>
      <c r="AN2358">
        <v>340.3</v>
      </c>
      <c r="AO2358">
        <v>29.3</v>
      </c>
      <c r="AP2358">
        <v>10</v>
      </c>
      <c r="AQ2358">
        <v>0</v>
      </c>
      <c r="AR2358" t="s">
        <v>8106</v>
      </c>
      <c r="AS2358" t="s">
        <v>8107</v>
      </c>
      <c r="AT2358">
        <v>0.72</v>
      </c>
      <c r="AU2358" t="s">
        <v>74</v>
      </c>
      <c r="AV2358" t="s">
        <v>2955</v>
      </c>
      <c r="AW2358" t="s">
        <v>75</v>
      </c>
      <c r="AX2358" t="s">
        <v>2486</v>
      </c>
      <c r="AY2358" t="s">
        <v>8108</v>
      </c>
      <c r="AZ2358">
        <v>30.00000000349246</v>
      </c>
      <c r="BA2358">
        <v>0</v>
      </c>
      <c r="BB2358">
        <v>0</v>
      </c>
      <c r="BC2358">
        <v>20</v>
      </c>
      <c r="BD2358">
        <v>0</v>
      </c>
      <c r="BE2358">
        <f t="shared" si="369"/>
        <v>1</v>
      </c>
    </row>
    <row r="2359" spans="1:57" x14ac:dyDescent="0.25">
      <c r="A2359" t="s">
        <v>39</v>
      </c>
      <c r="B2359" t="s">
        <v>8109</v>
      </c>
      <c r="C2359">
        <v>91.4</v>
      </c>
      <c r="D2359">
        <v>82.4</v>
      </c>
      <c r="G2359">
        <f t="shared" si="360"/>
        <v>1</v>
      </c>
      <c r="H2359">
        <f t="shared" si="361"/>
        <v>1</v>
      </c>
      <c r="I2359">
        <f t="shared" si="362"/>
        <v>0</v>
      </c>
      <c r="J2359">
        <v>86.7</v>
      </c>
      <c r="K2359">
        <v>110.9</v>
      </c>
      <c r="L2359">
        <v>89.5</v>
      </c>
      <c r="M2359">
        <v>98</v>
      </c>
      <c r="N2359">
        <v>76.599999999999994</v>
      </c>
      <c r="O2359">
        <v>72.3</v>
      </c>
      <c r="S2359">
        <f t="shared" si="363"/>
        <v>1</v>
      </c>
      <c r="T2359">
        <f t="shared" si="364"/>
        <v>1</v>
      </c>
      <c r="U2359">
        <f t="shared" si="365"/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28.6</v>
      </c>
      <c r="AC2359">
        <v>18.3</v>
      </c>
      <c r="AG2359">
        <f t="shared" si="366"/>
        <v>0</v>
      </c>
      <c r="AH2359">
        <f t="shared" si="367"/>
        <v>0</v>
      </c>
      <c r="AI2359">
        <f t="shared" si="368"/>
        <v>0</v>
      </c>
      <c r="AJ2359">
        <v>300.5</v>
      </c>
      <c r="AK2359">
        <v>1007.8</v>
      </c>
      <c r="AL2359">
        <v>0.1</v>
      </c>
      <c r="AM2359">
        <v>6.2</v>
      </c>
      <c r="AN2359">
        <v>324.39999999999998</v>
      </c>
      <c r="AO2359">
        <v>28.1</v>
      </c>
      <c r="AP2359">
        <v>10</v>
      </c>
      <c r="AQ2359">
        <v>0</v>
      </c>
      <c r="AR2359" t="s">
        <v>8110</v>
      </c>
      <c r="AS2359" t="s">
        <v>8111</v>
      </c>
      <c r="AT2359">
        <v>0.7</v>
      </c>
      <c r="AU2359" t="s">
        <v>74</v>
      </c>
      <c r="AV2359" t="s">
        <v>2955</v>
      </c>
      <c r="AW2359" t="s">
        <v>75</v>
      </c>
      <c r="AX2359" t="s">
        <v>5238</v>
      </c>
      <c r="AY2359" t="s">
        <v>8112</v>
      </c>
      <c r="AZ2359">
        <v>26.999999993713569</v>
      </c>
      <c r="BA2359">
        <v>0</v>
      </c>
      <c r="BB2359">
        <v>0</v>
      </c>
      <c r="BC2359">
        <v>0.01</v>
      </c>
      <c r="BD2359">
        <v>0</v>
      </c>
      <c r="BE2359">
        <f t="shared" si="369"/>
        <v>0</v>
      </c>
    </row>
    <row r="2360" spans="1:57" x14ac:dyDescent="0.25">
      <c r="A2360" t="s">
        <v>39</v>
      </c>
      <c r="B2360" t="s">
        <v>8113</v>
      </c>
      <c r="C2360">
        <v>71.599999999999994</v>
      </c>
      <c r="D2360">
        <v>51.8</v>
      </c>
      <c r="G2360">
        <f t="shared" si="360"/>
        <v>1</v>
      </c>
      <c r="H2360">
        <f t="shared" si="361"/>
        <v>1</v>
      </c>
      <c r="I2360">
        <f t="shared" si="362"/>
        <v>0</v>
      </c>
      <c r="J2360">
        <v>60.1</v>
      </c>
      <c r="K2360">
        <v>71.599999999999994</v>
      </c>
      <c r="L2360">
        <v>51.8</v>
      </c>
      <c r="M2360">
        <v>60.1</v>
      </c>
      <c r="N2360">
        <v>53</v>
      </c>
      <c r="O2360">
        <v>78.099999999999994</v>
      </c>
      <c r="S2360">
        <f t="shared" si="363"/>
        <v>1</v>
      </c>
      <c r="T2360">
        <f t="shared" si="364"/>
        <v>1</v>
      </c>
      <c r="U2360">
        <f t="shared" si="365"/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20.8</v>
      </c>
      <c r="AC2360">
        <v>18.899999999999999</v>
      </c>
      <c r="AG2360">
        <f t="shared" si="366"/>
        <v>0</v>
      </c>
      <c r="AH2360">
        <f t="shared" si="367"/>
        <v>0</v>
      </c>
      <c r="AI2360">
        <f t="shared" si="368"/>
        <v>0</v>
      </c>
      <c r="AJ2360">
        <v>168.9</v>
      </c>
      <c r="AK2360">
        <v>1017.5</v>
      </c>
      <c r="AL2360">
        <v>27.7</v>
      </c>
      <c r="AM2360">
        <v>6.2</v>
      </c>
      <c r="AN2360">
        <v>128.5</v>
      </c>
      <c r="AO2360">
        <v>11.1</v>
      </c>
      <c r="AP2360">
        <v>5</v>
      </c>
      <c r="AQ2360">
        <v>0</v>
      </c>
      <c r="AR2360" t="s">
        <v>8114</v>
      </c>
      <c r="AS2360" t="s">
        <v>8115</v>
      </c>
      <c r="AT2360">
        <v>0.83</v>
      </c>
      <c r="AU2360" t="s">
        <v>43</v>
      </c>
      <c r="AV2360" t="s">
        <v>44</v>
      </c>
      <c r="AW2360" t="s">
        <v>45</v>
      </c>
      <c r="AX2360" t="s">
        <v>2476</v>
      </c>
      <c r="AY2360" t="s">
        <v>8116</v>
      </c>
      <c r="AZ2360">
        <v>32.999999992316589</v>
      </c>
      <c r="BA2360">
        <v>0</v>
      </c>
      <c r="BB2360">
        <v>0</v>
      </c>
      <c r="BC2360">
        <v>1</v>
      </c>
      <c r="BD2360">
        <v>0</v>
      </c>
      <c r="BE2360">
        <f t="shared" si="369"/>
        <v>0</v>
      </c>
    </row>
    <row r="2361" spans="1:57" x14ac:dyDescent="0.25">
      <c r="A2361" t="s">
        <v>39</v>
      </c>
      <c r="B2361" t="s">
        <v>8117</v>
      </c>
      <c r="C2361">
        <v>62.6</v>
      </c>
      <c r="D2361">
        <v>46.4</v>
      </c>
      <c r="G2361">
        <f t="shared" si="360"/>
        <v>0</v>
      </c>
      <c r="H2361">
        <f t="shared" si="361"/>
        <v>0</v>
      </c>
      <c r="I2361">
        <f t="shared" si="362"/>
        <v>0</v>
      </c>
      <c r="J2361">
        <v>54.5</v>
      </c>
      <c r="K2361">
        <v>62.6</v>
      </c>
      <c r="L2361">
        <v>41.5</v>
      </c>
      <c r="M2361">
        <v>53.3</v>
      </c>
      <c r="N2361">
        <v>48.4</v>
      </c>
      <c r="O2361">
        <v>80.5</v>
      </c>
      <c r="S2361">
        <f t="shared" si="363"/>
        <v>1</v>
      </c>
      <c r="T2361">
        <f t="shared" si="364"/>
        <v>1</v>
      </c>
      <c r="U2361">
        <f t="shared" si="365"/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17.7</v>
      </c>
      <c r="AC2361">
        <v>13.9</v>
      </c>
      <c r="AG2361">
        <f t="shared" si="366"/>
        <v>1</v>
      </c>
      <c r="AH2361">
        <f t="shared" si="367"/>
        <v>0</v>
      </c>
      <c r="AI2361">
        <f t="shared" si="368"/>
        <v>1</v>
      </c>
      <c r="AJ2361">
        <v>220.1</v>
      </c>
      <c r="AK2361">
        <v>1017.9</v>
      </c>
      <c r="AL2361">
        <v>38.200000000000003</v>
      </c>
      <c r="AM2361">
        <v>6.2</v>
      </c>
      <c r="AN2361">
        <v>230.8</v>
      </c>
      <c r="AO2361">
        <v>19.8</v>
      </c>
      <c r="AP2361">
        <v>8</v>
      </c>
      <c r="AQ2361">
        <v>0</v>
      </c>
      <c r="AR2361" t="s">
        <v>8118</v>
      </c>
      <c r="AS2361" t="s">
        <v>8119</v>
      </c>
      <c r="AT2361">
        <v>0</v>
      </c>
      <c r="AU2361" t="s">
        <v>43</v>
      </c>
      <c r="AV2361" t="s">
        <v>44</v>
      </c>
      <c r="AW2361" t="s">
        <v>45</v>
      </c>
      <c r="AX2361" t="s">
        <v>2466</v>
      </c>
      <c r="AY2361" t="s">
        <v>8120</v>
      </c>
      <c r="AZ2361">
        <v>314.00000000721769</v>
      </c>
      <c r="BA2361">
        <v>0</v>
      </c>
      <c r="BB2361">
        <v>0</v>
      </c>
      <c r="BC2361">
        <v>40</v>
      </c>
      <c r="BD2361">
        <v>0</v>
      </c>
      <c r="BE2361">
        <f t="shared" si="369"/>
        <v>0</v>
      </c>
    </row>
    <row r="2362" spans="1:57" x14ac:dyDescent="0.25">
      <c r="A2362" t="s">
        <v>39</v>
      </c>
      <c r="B2362" t="s">
        <v>8121</v>
      </c>
      <c r="C2362">
        <v>59</v>
      </c>
      <c r="D2362">
        <v>51.8</v>
      </c>
      <c r="G2362">
        <f t="shared" si="360"/>
        <v>1</v>
      </c>
      <c r="H2362">
        <f t="shared" si="361"/>
        <v>0</v>
      </c>
      <c r="I2362">
        <f t="shared" si="362"/>
        <v>1</v>
      </c>
      <c r="J2362">
        <v>54.7</v>
      </c>
      <c r="K2362">
        <v>59</v>
      </c>
      <c r="L2362">
        <v>51.8</v>
      </c>
      <c r="M2362">
        <v>54.7</v>
      </c>
      <c r="N2362">
        <v>41.9</v>
      </c>
      <c r="O2362">
        <v>62.4</v>
      </c>
      <c r="S2362">
        <f t="shared" si="363"/>
        <v>1</v>
      </c>
      <c r="T2362">
        <f t="shared" si="364"/>
        <v>0</v>
      </c>
      <c r="U2362">
        <f t="shared" si="365"/>
        <v>1</v>
      </c>
      <c r="V2362">
        <v>1.7000000000000001E-2</v>
      </c>
      <c r="W2362">
        <v>100</v>
      </c>
      <c r="X2362">
        <v>8.33</v>
      </c>
      <c r="Y2362" t="s">
        <v>103</v>
      </c>
      <c r="Z2362">
        <v>0</v>
      </c>
      <c r="AA2362">
        <v>0</v>
      </c>
      <c r="AB2362">
        <v>47</v>
      </c>
      <c r="AC2362">
        <v>27.7</v>
      </c>
      <c r="AG2362">
        <f t="shared" si="366"/>
        <v>1</v>
      </c>
      <c r="AH2362">
        <f t="shared" si="367"/>
        <v>1</v>
      </c>
      <c r="AI2362">
        <f t="shared" si="368"/>
        <v>0</v>
      </c>
      <c r="AJ2362">
        <v>344.3</v>
      </c>
      <c r="AK2362">
        <v>1023.2</v>
      </c>
      <c r="AL2362">
        <v>77.900000000000006</v>
      </c>
      <c r="AM2362">
        <v>6.2</v>
      </c>
      <c r="AN2362">
        <v>238.9</v>
      </c>
      <c r="AO2362">
        <v>20.6</v>
      </c>
      <c r="AP2362">
        <v>8</v>
      </c>
      <c r="AQ2362">
        <v>0</v>
      </c>
      <c r="AR2362" t="s">
        <v>8122</v>
      </c>
      <c r="AS2362" t="s">
        <v>8123</v>
      </c>
      <c r="AT2362">
        <v>0.9</v>
      </c>
      <c r="AU2362" t="s">
        <v>106</v>
      </c>
      <c r="AV2362" t="s">
        <v>1098</v>
      </c>
      <c r="AW2362" t="s">
        <v>103</v>
      </c>
      <c r="AX2362" t="s">
        <v>8124</v>
      </c>
      <c r="AY2362" t="s">
        <v>8125</v>
      </c>
      <c r="AZ2362">
        <v>99.999999990686774</v>
      </c>
      <c r="BA2362">
        <v>0</v>
      </c>
      <c r="BB2362">
        <v>0</v>
      </c>
      <c r="BC2362">
        <v>0.5</v>
      </c>
      <c r="BD2362">
        <v>0</v>
      </c>
      <c r="BE2362">
        <f t="shared" si="369"/>
        <v>1</v>
      </c>
    </row>
    <row r="2363" spans="1:57" x14ac:dyDescent="0.25">
      <c r="A2363" t="s">
        <v>39</v>
      </c>
      <c r="B2363" t="s">
        <v>8126</v>
      </c>
      <c r="C2363">
        <v>90.6</v>
      </c>
      <c r="D2363">
        <v>55.4</v>
      </c>
      <c r="G2363">
        <f t="shared" si="360"/>
        <v>1</v>
      </c>
      <c r="H2363">
        <f t="shared" si="361"/>
        <v>1</v>
      </c>
      <c r="I2363">
        <f t="shared" si="362"/>
        <v>0</v>
      </c>
      <c r="J2363">
        <v>73.900000000000006</v>
      </c>
      <c r="K2363">
        <v>88.6</v>
      </c>
      <c r="L2363">
        <v>55.4</v>
      </c>
      <c r="M2363">
        <v>73.5</v>
      </c>
      <c r="N2363">
        <v>53.8</v>
      </c>
      <c r="O2363">
        <v>52.8</v>
      </c>
      <c r="S2363">
        <f t="shared" si="363"/>
        <v>1</v>
      </c>
      <c r="T2363">
        <f t="shared" si="364"/>
        <v>0</v>
      </c>
      <c r="U2363">
        <f t="shared" si="365"/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40</v>
      </c>
      <c r="AC2363">
        <v>28.7</v>
      </c>
      <c r="AG2363">
        <f t="shared" si="366"/>
        <v>1</v>
      </c>
      <c r="AH2363">
        <f t="shared" si="367"/>
        <v>1</v>
      </c>
      <c r="AI2363">
        <f t="shared" si="368"/>
        <v>0</v>
      </c>
      <c r="AJ2363">
        <v>169.5</v>
      </c>
      <c r="AK2363">
        <v>1011.7</v>
      </c>
      <c r="AL2363">
        <v>51</v>
      </c>
      <c r="AM2363">
        <v>6.2</v>
      </c>
      <c r="AN2363">
        <v>277.89999999999998</v>
      </c>
      <c r="AO2363">
        <v>23.9</v>
      </c>
      <c r="AP2363">
        <v>9</v>
      </c>
      <c r="AQ2363">
        <v>0</v>
      </c>
      <c r="AR2363" t="s">
        <v>8127</v>
      </c>
      <c r="AS2363" t="s">
        <v>8128</v>
      </c>
      <c r="AT2363">
        <v>0.54</v>
      </c>
      <c r="AU2363" t="s">
        <v>43</v>
      </c>
      <c r="AV2363" t="s">
        <v>44</v>
      </c>
      <c r="AW2363" t="s">
        <v>45</v>
      </c>
      <c r="AX2363" t="s">
        <v>2597</v>
      </c>
      <c r="AY2363" t="s">
        <v>8129</v>
      </c>
      <c r="AZ2363">
        <v>3065.999999998603</v>
      </c>
      <c r="BA2363">
        <v>1</v>
      </c>
      <c r="BB2363">
        <v>0</v>
      </c>
      <c r="BC2363">
        <v>1500</v>
      </c>
      <c r="BD2363">
        <v>0</v>
      </c>
      <c r="BE2363">
        <f t="shared" si="369"/>
        <v>1</v>
      </c>
    </row>
    <row r="2364" spans="1:57" x14ac:dyDescent="0.25">
      <c r="A2364" t="s">
        <v>39</v>
      </c>
      <c r="B2364" t="s">
        <v>8130</v>
      </c>
      <c r="C2364">
        <v>71.599999999999994</v>
      </c>
      <c r="D2364">
        <v>55.4</v>
      </c>
      <c r="G2364">
        <f t="shared" si="360"/>
        <v>0</v>
      </c>
      <c r="H2364">
        <f t="shared" si="361"/>
        <v>0</v>
      </c>
      <c r="I2364">
        <f t="shared" si="362"/>
        <v>0</v>
      </c>
      <c r="J2364">
        <v>66</v>
      </c>
      <c r="K2364">
        <v>71.599999999999994</v>
      </c>
      <c r="L2364">
        <v>55.4</v>
      </c>
      <c r="M2364">
        <v>66</v>
      </c>
      <c r="N2364">
        <v>56.2</v>
      </c>
      <c r="O2364">
        <v>71.599999999999994</v>
      </c>
      <c r="S2364">
        <f t="shared" si="363"/>
        <v>1</v>
      </c>
      <c r="T2364">
        <f t="shared" si="364"/>
        <v>1</v>
      </c>
      <c r="U2364">
        <f t="shared" si="365"/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27.1</v>
      </c>
      <c r="AC2364">
        <v>11.4</v>
      </c>
      <c r="AG2364">
        <f t="shared" si="366"/>
        <v>1</v>
      </c>
      <c r="AH2364">
        <f t="shared" si="367"/>
        <v>0</v>
      </c>
      <c r="AI2364">
        <f t="shared" si="368"/>
        <v>1</v>
      </c>
      <c r="AJ2364">
        <v>320.10000000000002</v>
      </c>
      <c r="AK2364">
        <v>1019.1</v>
      </c>
      <c r="AL2364">
        <v>14.3</v>
      </c>
      <c r="AM2364">
        <v>6.2</v>
      </c>
      <c r="AN2364">
        <v>332</v>
      </c>
      <c r="AO2364">
        <v>28.6</v>
      </c>
      <c r="AP2364">
        <v>10</v>
      </c>
      <c r="AQ2364">
        <v>0</v>
      </c>
      <c r="AR2364" t="s">
        <v>8131</v>
      </c>
      <c r="AS2364" t="s">
        <v>8132</v>
      </c>
      <c r="AT2364">
        <v>0.36</v>
      </c>
      <c r="AU2364" t="s">
        <v>74</v>
      </c>
      <c r="AV2364" t="s">
        <v>2955</v>
      </c>
      <c r="AW2364" t="s">
        <v>75</v>
      </c>
      <c r="AX2364" t="s">
        <v>7887</v>
      </c>
      <c r="AY2364" t="s">
        <v>8133</v>
      </c>
      <c r="AZ2364">
        <v>176.00000000791621</v>
      </c>
      <c r="BA2364">
        <v>0</v>
      </c>
      <c r="BB2364">
        <v>1</v>
      </c>
      <c r="BC2364">
        <v>1</v>
      </c>
      <c r="BD2364">
        <v>0</v>
      </c>
      <c r="BE2364">
        <f t="shared" si="369"/>
        <v>0</v>
      </c>
    </row>
    <row r="2365" spans="1:57" x14ac:dyDescent="0.25">
      <c r="A2365" t="s">
        <v>39</v>
      </c>
      <c r="B2365" t="s">
        <v>8109</v>
      </c>
      <c r="C2365">
        <v>91.4</v>
      </c>
      <c r="D2365">
        <v>82.4</v>
      </c>
      <c r="G2365">
        <f t="shared" si="360"/>
        <v>1</v>
      </c>
      <c r="H2365">
        <f t="shared" si="361"/>
        <v>1</v>
      </c>
      <c r="I2365">
        <f t="shared" si="362"/>
        <v>0</v>
      </c>
      <c r="J2365">
        <v>86.7</v>
      </c>
      <c r="K2365">
        <v>110.9</v>
      </c>
      <c r="L2365">
        <v>89.5</v>
      </c>
      <c r="M2365">
        <v>98</v>
      </c>
      <c r="N2365">
        <v>76.599999999999994</v>
      </c>
      <c r="O2365">
        <v>72.3</v>
      </c>
      <c r="S2365">
        <f t="shared" si="363"/>
        <v>1</v>
      </c>
      <c r="T2365">
        <f t="shared" si="364"/>
        <v>1</v>
      </c>
      <c r="U2365">
        <f t="shared" si="365"/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28.6</v>
      </c>
      <c r="AC2365">
        <v>18.3</v>
      </c>
      <c r="AG2365">
        <f t="shared" si="366"/>
        <v>0</v>
      </c>
      <c r="AH2365">
        <f t="shared" si="367"/>
        <v>0</v>
      </c>
      <c r="AI2365">
        <f t="shared" si="368"/>
        <v>0</v>
      </c>
      <c r="AJ2365">
        <v>300.5</v>
      </c>
      <c r="AK2365">
        <v>1007.8</v>
      </c>
      <c r="AL2365">
        <v>0.1</v>
      </c>
      <c r="AM2365">
        <v>6.2</v>
      </c>
      <c r="AN2365">
        <v>324.39999999999998</v>
      </c>
      <c r="AO2365">
        <v>28.1</v>
      </c>
      <c r="AP2365">
        <v>10</v>
      </c>
      <c r="AQ2365">
        <v>0</v>
      </c>
      <c r="AR2365" t="s">
        <v>8110</v>
      </c>
      <c r="AS2365" t="s">
        <v>8111</v>
      </c>
      <c r="AT2365">
        <v>0.7</v>
      </c>
      <c r="AU2365" t="s">
        <v>74</v>
      </c>
      <c r="AV2365" t="s">
        <v>2955</v>
      </c>
      <c r="AW2365" t="s">
        <v>75</v>
      </c>
      <c r="AX2365" t="s">
        <v>8134</v>
      </c>
      <c r="AY2365" t="s">
        <v>8135</v>
      </c>
      <c r="AZ2365">
        <v>40.000000004656613</v>
      </c>
      <c r="BA2365">
        <v>0</v>
      </c>
      <c r="BB2365">
        <v>0</v>
      </c>
      <c r="BC2365">
        <v>1</v>
      </c>
      <c r="BD2365">
        <v>0</v>
      </c>
      <c r="BE2365">
        <f t="shared" si="369"/>
        <v>0</v>
      </c>
    </row>
    <row r="2366" spans="1:57" x14ac:dyDescent="0.25">
      <c r="A2366" t="s">
        <v>39</v>
      </c>
      <c r="B2366" t="s">
        <v>8136</v>
      </c>
      <c r="C2366">
        <v>96.8</v>
      </c>
      <c r="D2366">
        <v>78.8</v>
      </c>
      <c r="G2366">
        <f t="shared" si="360"/>
        <v>1</v>
      </c>
      <c r="H2366">
        <f t="shared" si="361"/>
        <v>1</v>
      </c>
      <c r="I2366">
        <f t="shared" si="362"/>
        <v>0</v>
      </c>
      <c r="J2366">
        <v>87.4</v>
      </c>
      <c r="K2366">
        <v>121.8</v>
      </c>
      <c r="L2366">
        <v>78.8</v>
      </c>
      <c r="M2366">
        <v>98.9</v>
      </c>
      <c r="N2366">
        <v>75.3</v>
      </c>
      <c r="O2366">
        <v>67.900000000000006</v>
      </c>
      <c r="S2366">
        <f t="shared" si="363"/>
        <v>1</v>
      </c>
      <c r="T2366">
        <f t="shared" si="364"/>
        <v>1</v>
      </c>
      <c r="U2366">
        <f t="shared" si="365"/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26.5</v>
      </c>
      <c r="AC2366">
        <v>16.100000000000001</v>
      </c>
      <c r="AG2366">
        <f t="shared" si="366"/>
        <v>0</v>
      </c>
      <c r="AH2366">
        <f t="shared" si="367"/>
        <v>0</v>
      </c>
      <c r="AI2366">
        <f t="shared" si="368"/>
        <v>0</v>
      </c>
      <c r="AJ2366">
        <v>286.8</v>
      </c>
      <c r="AK2366">
        <v>1009.7</v>
      </c>
      <c r="AL2366">
        <v>0</v>
      </c>
      <c r="AM2366">
        <v>6.2</v>
      </c>
      <c r="AN2366">
        <v>316.89999999999998</v>
      </c>
      <c r="AO2366">
        <v>27.2</v>
      </c>
      <c r="AP2366">
        <v>9</v>
      </c>
      <c r="AQ2366">
        <v>0</v>
      </c>
      <c r="AR2366" t="s">
        <v>8137</v>
      </c>
      <c r="AS2366" t="s">
        <v>8138</v>
      </c>
      <c r="AT2366">
        <v>0.9</v>
      </c>
      <c r="AU2366" t="s">
        <v>74</v>
      </c>
      <c r="AV2366" t="s">
        <v>2955</v>
      </c>
      <c r="AW2366" t="s">
        <v>75</v>
      </c>
      <c r="AX2366" t="s">
        <v>8139</v>
      </c>
      <c r="AY2366" t="s">
        <v>8140</v>
      </c>
      <c r="AZ2366">
        <v>1080</v>
      </c>
      <c r="BA2366">
        <v>1</v>
      </c>
      <c r="BB2366">
        <v>0</v>
      </c>
      <c r="BC2366">
        <v>10</v>
      </c>
      <c r="BD2366">
        <v>0</v>
      </c>
      <c r="BE2366">
        <f t="shared" si="369"/>
        <v>1</v>
      </c>
    </row>
    <row r="2367" spans="1:57" x14ac:dyDescent="0.25">
      <c r="A2367" t="s">
        <v>39</v>
      </c>
      <c r="B2367" t="s">
        <v>8141</v>
      </c>
      <c r="C2367">
        <v>103</v>
      </c>
      <c r="D2367">
        <v>82.4</v>
      </c>
      <c r="G2367">
        <f t="shared" si="360"/>
        <v>1</v>
      </c>
      <c r="H2367">
        <f t="shared" si="361"/>
        <v>1</v>
      </c>
      <c r="I2367">
        <f t="shared" si="362"/>
        <v>0</v>
      </c>
      <c r="J2367">
        <v>91.1</v>
      </c>
      <c r="K2367">
        <v>127.3</v>
      </c>
      <c r="L2367">
        <v>83.9</v>
      </c>
      <c r="M2367">
        <v>104.4</v>
      </c>
      <c r="N2367">
        <v>74.8</v>
      </c>
      <c r="O2367">
        <v>59.2</v>
      </c>
      <c r="S2367">
        <f t="shared" si="363"/>
        <v>0</v>
      </c>
      <c r="T2367">
        <f t="shared" si="364"/>
        <v>0</v>
      </c>
      <c r="U2367">
        <f t="shared" si="365"/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25.7</v>
      </c>
      <c r="AC2367">
        <v>22.9</v>
      </c>
      <c r="AG2367">
        <f t="shared" si="366"/>
        <v>1</v>
      </c>
      <c r="AH2367">
        <f t="shared" si="367"/>
        <v>1</v>
      </c>
      <c r="AI2367">
        <f t="shared" si="368"/>
        <v>0</v>
      </c>
      <c r="AJ2367">
        <v>268.89999999999998</v>
      </c>
      <c r="AK2367">
        <v>1004.6</v>
      </c>
      <c r="AL2367">
        <v>3.9</v>
      </c>
      <c r="AM2367">
        <v>6.2</v>
      </c>
      <c r="AN2367">
        <v>319.3</v>
      </c>
      <c r="AO2367">
        <v>27.6</v>
      </c>
      <c r="AP2367">
        <v>10</v>
      </c>
      <c r="AQ2367">
        <v>0</v>
      </c>
      <c r="AR2367" t="s">
        <v>8142</v>
      </c>
      <c r="AS2367" t="s">
        <v>8143</v>
      </c>
      <c r="AT2367">
        <v>0.93</v>
      </c>
      <c r="AU2367" t="s">
        <v>74</v>
      </c>
      <c r="AV2367" t="s">
        <v>2955</v>
      </c>
      <c r="AW2367" t="s">
        <v>75</v>
      </c>
      <c r="AX2367" t="s">
        <v>8144</v>
      </c>
      <c r="AY2367" t="s">
        <v>8145</v>
      </c>
      <c r="AZ2367">
        <v>180</v>
      </c>
      <c r="BA2367">
        <v>0</v>
      </c>
      <c r="BB2367">
        <v>0</v>
      </c>
      <c r="BC2367">
        <v>2</v>
      </c>
      <c r="BD2367">
        <v>0</v>
      </c>
      <c r="BE2367">
        <f t="shared" si="369"/>
        <v>0</v>
      </c>
    </row>
    <row r="2368" spans="1:57" x14ac:dyDescent="0.25">
      <c r="A2368" t="s">
        <v>39</v>
      </c>
      <c r="B2368" t="s">
        <v>8146</v>
      </c>
      <c r="C2368">
        <v>86</v>
      </c>
      <c r="D2368">
        <v>78.8</v>
      </c>
      <c r="G2368">
        <f t="shared" si="360"/>
        <v>1</v>
      </c>
      <c r="H2368">
        <f t="shared" si="361"/>
        <v>1</v>
      </c>
      <c r="I2368">
        <f t="shared" si="362"/>
        <v>0</v>
      </c>
      <c r="J2368">
        <v>82.4</v>
      </c>
      <c r="K2368">
        <v>97.2</v>
      </c>
      <c r="L2368">
        <v>78.8</v>
      </c>
      <c r="M2368">
        <v>89.9</v>
      </c>
      <c r="N2368">
        <v>76</v>
      </c>
      <c r="O2368">
        <v>81.099999999999994</v>
      </c>
      <c r="S2368">
        <f t="shared" si="363"/>
        <v>1</v>
      </c>
      <c r="T2368">
        <f t="shared" si="364"/>
        <v>1</v>
      </c>
      <c r="U2368">
        <f t="shared" si="365"/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27.5</v>
      </c>
      <c r="AC2368">
        <v>16.600000000000001</v>
      </c>
      <c r="AG2368">
        <f t="shared" si="366"/>
        <v>0</v>
      </c>
      <c r="AH2368">
        <f t="shared" si="367"/>
        <v>0</v>
      </c>
      <c r="AI2368">
        <f t="shared" si="368"/>
        <v>0</v>
      </c>
      <c r="AJ2368">
        <v>300.60000000000002</v>
      </c>
      <c r="AK2368">
        <v>1013.8</v>
      </c>
      <c r="AL2368">
        <v>15.5</v>
      </c>
      <c r="AM2368">
        <v>6.2</v>
      </c>
      <c r="AN2368">
        <v>306.10000000000002</v>
      </c>
      <c r="AO2368">
        <v>26.6</v>
      </c>
      <c r="AP2368">
        <v>9</v>
      </c>
      <c r="AQ2368">
        <v>0</v>
      </c>
      <c r="AR2368" t="s">
        <v>8147</v>
      </c>
      <c r="AS2368" t="s">
        <v>8148</v>
      </c>
      <c r="AT2368">
        <v>0.17</v>
      </c>
      <c r="AU2368" t="s">
        <v>74</v>
      </c>
      <c r="AV2368" t="s">
        <v>2955</v>
      </c>
      <c r="AW2368" t="s">
        <v>75</v>
      </c>
      <c r="AX2368" t="s">
        <v>7353</v>
      </c>
      <c r="AY2368" t="s">
        <v>8149</v>
      </c>
      <c r="AZ2368">
        <v>1001.999999997206</v>
      </c>
      <c r="BA2368">
        <v>1</v>
      </c>
      <c r="BB2368">
        <v>0</v>
      </c>
      <c r="BC2368">
        <v>100</v>
      </c>
      <c r="BD2368">
        <v>0</v>
      </c>
      <c r="BE2368">
        <f t="shared" si="369"/>
        <v>1</v>
      </c>
    </row>
    <row r="2369" spans="1:57" x14ac:dyDescent="0.25">
      <c r="A2369" t="s">
        <v>39</v>
      </c>
      <c r="B2369" t="s">
        <v>8150</v>
      </c>
      <c r="C2369">
        <v>87.8</v>
      </c>
      <c r="D2369">
        <v>69.8</v>
      </c>
      <c r="G2369">
        <f t="shared" si="360"/>
        <v>1</v>
      </c>
      <c r="H2369">
        <f t="shared" si="361"/>
        <v>1</v>
      </c>
      <c r="I2369">
        <f t="shared" si="362"/>
        <v>0</v>
      </c>
      <c r="J2369">
        <v>79.7</v>
      </c>
      <c r="K2369">
        <v>108.1</v>
      </c>
      <c r="L2369">
        <v>69.8</v>
      </c>
      <c r="M2369">
        <v>87.5</v>
      </c>
      <c r="N2369">
        <v>74.599999999999994</v>
      </c>
      <c r="O2369">
        <v>84.8</v>
      </c>
      <c r="S2369">
        <f t="shared" si="363"/>
        <v>1</v>
      </c>
      <c r="T2369">
        <f t="shared" si="364"/>
        <v>1</v>
      </c>
      <c r="U2369">
        <f t="shared" si="365"/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23.5</v>
      </c>
      <c r="AC2369">
        <v>11.4</v>
      </c>
      <c r="AG2369">
        <f t="shared" si="366"/>
        <v>1</v>
      </c>
      <c r="AH2369">
        <f t="shared" si="367"/>
        <v>0</v>
      </c>
      <c r="AI2369">
        <f t="shared" si="368"/>
        <v>1</v>
      </c>
      <c r="AJ2369">
        <v>246.4</v>
      </c>
      <c r="AK2369">
        <v>1008</v>
      </c>
      <c r="AL2369">
        <v>5.7</v>
      </c>
      <c r="AM2369">
        <v>6.2</v>
      </c>
      <c r="AN2369">
        <v>297.8</v>
      </c>
      <c r="AO2369">
        <v>25.7</v>
      </c>
      <c r="AP2369">
        <v>9</v>
      </c>
      <c r="AQ2369">
        <v>0</v>
      </c>
      <c r="AR2369" t="s">
        <v>8151</v>
      </c>
      <c r="AS2369" t="s">
        <v>8152</v>
      </c>
      <c r="AT2369">
        <v>0.35</v>
      </c>
      <c r="AU2369" t="s">
        <v>74</v>
      </c>
      <c r="AV2369" t="s">
        <v>2955</v>
      </c>
      <c r="AW2369" t="s">
        <v>75</v>
      </c>
      <c r="AX2369" t="s">
        <v>2351</v>
      </c>
      <c r="AY2369" t="s">
        <v>8153</v>
      </c>
      <c r="AZ2369">
        <v>184.99999999534339</v>
      </c>
      <c r="BA2369">
        <v>0</v>
      </c>
      <c r="BB2369">
        <v>0</v>
      </c>
      <c r="BC2369">
        <v>1200</v>
      </c>
      <c r="BD2369">
        <v>0</v>
      </c>
      <c r="BE2369">
        <f t="shared" si="369"/>
        <v>1</v>
      </c>
    </row>
    <row r="2370" spans="1:57" x14ac:dyDescent="0.25">
      <c r="A2370" t="s">
        <v>39</v>
      </c>
      <c r="B2370" t="s">
        <v>8154</v>
      </c>
      <c r="C2370">
        <v>81.599999999999994</v>
      </c>
      <c r="D2370">
        <v>75.099999999999994</v>
      </c>
      <c r="G2370">
        <f t="shared" si="360"/>
        <v>1</v>
      </c>
      <c r="H2370">
        <f t="shared" si="361"/>
        <v>1</v>
      </c>
      <c r="I2370">
        <f t="shared" si="362"/>
        <v>0</v>
      </c>
      <c r="J2370">
        <v>77.900000000000006</v>
      </c>
      <c r="K2370">
        <v>86.4</v>
      </c>
      <c r="L2370">
        <v>75.099999999999994</v>
      </c>
      <c r="M2370">
        <v>79.7</v>
      </c>
      <c r="N2370">
        <v>71.5</v>
      </c>
      <c r="O2370">
        <v>80.599999999999994</v>
      </c>
      <c r="S2370">
        <f t="shared" si="363"/>
        <v>1</v>
      </c>
      <c r="T2370">
        <f t="shared" si="364"/>
        <v>1</v>
      </c>
      <c r="U2370">
        <f t="shared" si="365"/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29.5</v>
      </c>
      <c r="AC2370">
        <v>14</v>
      </c>
      <c r="AG2370">
        <f t="shared" si="366"/>
        <v>1</v>
      </c>
      <c r="AH2370">
        <f t="shared" si="367"/>
        <v>0</v>
      </c>
      <c r="AI2370">
        <f t="shared" si="368"/>
        <v>1</v>
      </c>
      <c r="AJ2370">
        <v>304.2</v>
      </c>
      <c r="AK2370">
        <v>1012.9</v>
      </c>
      <c r="AL2370">
        <v>21.2</v>
      </c>
      <c r="AM2370">
        <v>6.2</v>
      </c>
      <c r="AN2370">
        <v>267.39999999999998</v>
      </c>
      <c r="AO2370">
        <v>23.2</v>
      </c>
      <c r="AP2370">
        <v>9</v>
      </c>
      <c r="AQ2370">
        <v>0</v>
      </c>
      <c r="AR2370" t="s">
        <v>8155</v>
      </c>
      <c r="AS2370" t="s">
        <v>8156</v>
      </c>
      <c r="AT2370">
        <v>0.95</v>
      </c>
      <c r="AU2370" t="s">
        <v>43</v>
      </c>
      <c r="AV2370" t="s">
        <v>44</v>
      </c>
      <c r="AW2370" t="s">
        <v>45</v>
      </c>
      <c r="AX2370" t="s">
        <v>4282</v>
      </c>
      <c r="AY2370" t="s">
        <v>8157</v>
      </c>
      <c r="AZ2370">
        <v>917.0000000030268</v>
      </c>
      <c r="BA2370">
        <v>1</v>
      </c>
      <c r="BB2370">
        <v>0</v>
      </c>
      <c r="BC2370">
        <v>100</v>
      </c>
      <c r="BD2370">
        <v>0</v>
      </c>
      <c r="BE2370">
        <f t="shared" si="369"/>
        <v>1</v>
      </c>
    </row>
    <row r="2371" spans="1:57" x14ac:dyDescent="0.25">
      <c r="A2371" t="s">
        <v>39</v>
      </c>
      <c r="B2371" t="s">
        <v>8158</v>
      </c>
      <c r="C2371">
        <v>82.4</v>
      </c>
      <c r="D2371">
        <v>68</v>
      </c>
      <c r="G2371">
        <f t="shared" ref="G2371:G2434" si="370">IF(ABS(C2371-INDEX($F$2:$F$13,MONTH(B2371)))&gt;1.8,1,0)</f>
        <v>1</v>
      </c>
      <c r="H2371">
        <f t="shared" ref="H2371:H2434" si="371">IF(C2371&gt;=INDEX($F$2:$F$13,MONTH(B2371))+1.8,1,0)</f>
        <v>1</v>
      </c>
      <c r="I2371">
        <f t="shared" ref="I2371:I2434" si="372">IF(C2371&lt;=INDEX($F$2:$F$13,MONTH(B2371))-1.8,1,0)</f>
        <v>0</v>
      </c>
      <c r="J2371">
        <v>74.900000000000006</v>
      </c>
      <c r="K2371">
        <v>89.5</v>
      </c>
      <c r="L2371">
        <v>68</v>
      </c>
      <c r="M2371">
        <v>76.7</v>
      </c>
      <c r="N2371">
        <v>71.400000000000006</v>
      </c>
      <c r="O2371">
        <v>89.2</v>
      </c>
      <c r="S2371">
        <f t="shared" ref="S2371:S2434" si="373">IF(OR(O2371&lt;INDEX($Q$2:$Q$13,MONTH(B2371)),O2371&gt;INDEX($R$2:$R$13,MONTH(B2371))),1,0)</f>
        <v>1</v>
      </c>
      <c r="T2371">
        <f t="shared" ref="T2371:T2434" si="374">IF(O2371&gt;INDEX($R$2:$R$13,MONTH(B2371)),1,0)</f>
        <v>1</v>
      </c>
      <c r="U2371">
        <f t="shared" ref="U2371:U2434" si="375">IF(O2371&lt;INDEX($Q$2:$Q$13,MONTH(B2371)),1,0)</f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22.4</v>
      </c>
      <c r="AC2371">
        <v>10.4</v>
      </c>
      <c r="AG2371">
        <f t="shared" ref="AG2371:AG2434" si="376">IF(OR(AC2371&lt;INDEX($AE$2:$AE$13,MONTH(B2371)),AC2371&gt;INDEX($AF$2:$AF$13,MONTH(B2371))),1,0)</f>
        <v>1</v>
      </c>
      <c r="AH2371">
        <f t="shared" ref="AH2371:AH2434" si="377">IF(AC2371&gt;INDEX($AF$2:$AF$13,MONTH(B2371)),1,0)</f>
        <v>0</v>
      </c>
      <c r="AI2371">
        <f t="shared" ref="AI2371:AI2434" si="378">IF(AC2371&lt;INDEX($AE$2:$AE$13,MONTH(B2371)),1,0)</f>
        <v>1</v>
      </c>
      <c r="AJ2371">
        <v>46.3</v>
      </c>
      <c r="AK2371">
        <v>1014.2</v>
      </c>
      <c r="AL2371">
        <v>12</v>
      </c>
      <c r="AM2371">
        <v>6.2</v>
      </c>
      <c r="AN2371">
        <v>236</v>
      </c>
      <c r="AO2371">
        <v>20.399999999999999</v>
      </c>
      <c r="AP2371">
        <v>8</v>
      </c>
      <c r="AQ2371">
        <v>0</v>
      </c>
      <c r="AR2371" t="s">
        <v>8159</v>
      </c>
      <c r="AS2371" t="s">
        <v>8160</v>
      </c>
      <c r="AT2371">
        <v>0.54</v>
      </c>
      <c r="AU2371" t="s">
        <v>74</v>
      </c>
      <c r="AV2371" t="s">
        <v>2955</v>
      </c>
      <c r="AW2371" t="s">
        <v>75</v>
      </c>
      <c r="AX2371" t="s">
        <v>2491</v>
      </c>
      <c r="AY2371" t="s">
        <v>8161</v>
      </c>
      <c r="AZ2371">
        <v>6060.0000000034916</v>
      </c>
      <c r="BA2371">
        <v>1</v>
      </c>
      <c r="BB2371">
        <v>0</v>
      </c>
      <c r="BC2371">
        <v>3000</v>
      </c>
      <c r="BD2371">
        <v>0</v>
      </c>
      <c r="BE2371">
        <f t="shared" ref="BE2371:BE2434" si="379">IF((3*AH2371+3*H2371+2*U2371+2*BA2371-(2*(1-T2371)+2*(1-I2371)+2*(1-AI2371)))&gt;=1,1,0)</f>
        <v>1</v>
      </c>
    </row>
    <row r="2372" spans="1:57" x14ac:dyDescent="0.25">
      <c r="A2372" t="s">
        <v>39</v>
      </c>
      <c r="B2372" t="s">
        <v>8162</v>
      </c>
      <c r="C2372">
        <v>73.400000000000006</v>
      </c>
      <c r="D2372">
        <v>61.8</v>
      </c>
      <c r="G2372">
        <f t="shared" si="370"/>
        <v>0</v>
      </c>
      <c r="H2372">
        <f t="shared" si="371"/>
        <v>0</v>
      </c>
      <c r="I2372">
        <f t="shared" si="372"/>
        <v>0</v>
      </c>
      <c r="J2372">
        <v>68</v>
      </c>
      <c r="K2372">
        <v>73.400000000000006</v>
      </c>
      <c r="L2372">
        <v>61.8</v>
      </c>
      <c r="M2372">
        <v>68</v>
      </c>
      <c r="N2372">
        <v>63.5</v>
      </c>
      <c r="O2372">
        <v>85.6</v>
      </c>
      <c r="S2372">
        <f t="shared" si="373"/>
        <v>1</v>
      </c>
      <c r="T2372">
        <f t="shared" si="374"/>
        <v>1</v>
      </c>
      <c r="U2372">
        <f t="shared" si="375"/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17.2</v>
      </c>
      <c r="AC2372">
        <v>10.7</v>
      </c>
      <c r="AG2372">
        <f t="shared" si="376"/>
        <v>1</v>
      </c>
      <c r="AH2372">
        <f t="shared" si="377"/>
        <v>0</v>
      </c>
      <c r="AI2372">
        <f t="shared" si="378"/>
        <v>1</v>
      </c>
      <c r="AJ2372">
        <v>348.1</v>
      </c>
      <c r="AK2372">
        <v>1016.3</v>
      </c>
      <c r="AL2372">
        <v>31</v>
      </c>
      <c r="AM2372">
        <v>6.2</v>
      </c>
      <c r="AN2372">
        <v>212.4</v>
      </c>
      <c r="AO2372">
        <v>18.3</v>
      </c>
      <c r="AP2372">
        <v>7</v>
      </c>
      <c r="AQ2372">
        <v>0</v>
      </c>
      <c r="AR2372" t="s">
        <v>8163</v>
      </c>
      <c r="AS2372" t="s">
        <v>8164</v>
      </c>
      <c r="AT2372">
        <v>0.03</v>
      </c>
      <c r="AU2372" t="s">
        <v>43</v>
      </c>
      <c r="AV2372" t="s">
        <v>44</v>
      </c>
      <c r="AW2372" t="s">
        <v>45</v>
      </c>
      <c r="AX2372" t="s">
        <v>4937</v>
      </c>
      <c r="AY2372" t="s">
        <v>8165</v>
      </c>
      <c r="AZ2372">
        <v>105.9999999997672</v>
      </c>
      <c r="BA2372">
        <v>0</v>
      </c>
      <c r="BB2372">
        <v>0</v>
      </c>
      <c r="BC2372">
        <v>2</v>
      </c>
      <c r="BD2372">
        <v>0</v>
      </c>
      <c r="BE2372">
        <f t="shared" si="379"/>
        <v>0</v>
      </c>
    </row>
    <row r="2373" spans="1:57" x14ac:dyDescent="0.25">
      <c r="A2373" t="s">
        <v>39</v>
      </c>
      <c r="B2373" t="s">
        <v>8166</v>
      </c>
      <c r="C2373">
        <v>75.2</v>
      </c>
      <c r="D2373">
        <v>60.8</v>
      </c>
      <c r="G2373">
        <f t="shared" si="370"/>
        <v>0</v>
      </c>
      <c r="H2373">
        <f t="shared" si="371"/>
        <v>0</v>
      </c>
      <c r="I2373">
        <f t="shared" si="372"/>
        <v>0</v>
      </c>
      <c r="J2373">
        <v>68.2</v>
      </c>
      <c r="K2373">
        <v>75.2</v>
      </c>
      <c r="L2373">
        <v>60.8</v>
      </c>
      <c r="M2373">
        <v>68.2</v>
      </c>
      <c r="N2373">
        <v>56.4</v>
      </c>
      <c r="O2373">
        <v>66.900000000000006</v>
      </c>
      <c r="S2373">
        <f t="shared" si="373"/>
        <v>0</v>
      </c>
      <c r="T2373">
        <f t="shared" si="374"/>
        <v>0</v>
      </c>
      <c r="U2373">
        <f t="shared" si="375"/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20.8</v>
      </c>
      <c r="AC2373">
        <v>12.8</v>
      </c>
      <c r="AG2373">
        <f t="shared" si="376"/>
        <v>1</v>
      </c>
      <c r="AH2373">
        <f t="shared" si="377"/>
        <v>0</v>
      </c>
      <c r="AI2373">
        <f t="shared" si="378"/>
        <v>1</v>
      </c>
      <c r="AJ2373">
        <v>176.9</v>
      </c>
      <c r="AK2373">
        <v>1012.2</v>
      </c>
      <c r="AL2373">
        <v>39.6</v>
      </c>
      <c r="AM2373">
        <v>6.2</v>
      </c>
      <c r="AN2373">
        <v>144.9</v>
      </c>
      <c r="AO2373">
        <v>12.5</v>
      </c>
      <c r="AP2373">
        <v>6</v>
      </c>
      <c r="AQ2373">
        <v>0</v>
      </c>
      <c r="AR2373" t="s">
        <v>8167</v>
      </c>
      <c r="AS2373" t="s">
        <v>8168</v>
      </c>
      <c r="AT2373">
        <v>0.25</v>
      </c>
      <c r="AU2373" t="s">
        <v>43</v>
      </c>
      <c r="AV2373" t="s">
        <v>44</v>
      </c>
      <c r="AW2373" t="s">
        <v>45</v>
      </c>
      <c r="AX2373" t="s">
        <v>8169</v>
      </c>
      <c r="AY2373" t="s">
        <v>8170</v>
      </c>
      <c r="AZ2373">
        <v>60.000000006984919</v>
      </c>
      <c r="BA2373">
        <v>0</v>
      </c>
      <c r="BB2373">
        <v>0</v>
      </c>
      <c r="BC2373">
        <v>1</v>
      </c>
      <c r="BD2373">
        <v>0</v>
      </c>
      <c r="BE2373">
        <f t="shared" si="379"/>
        <v>0</v>
      </c>
    </row>
    <row r="2374" spans="1:57" x14ac:dyDescent="0.25">
      <c r="A2374" t="s">
        <v>39</v>
      </c>
      <c r="B2374" t="s">
        <v>8171</v>
      </c>
      <c r="C2374">
        <v>66.2</v>
      </c>
      <c r="D2374">
        <v>57.2</v>
      </c>
      <c r="G2374">
        <f t="shared" si="370"/>
        <v>1</v>
      </c>
      <c r="H2374">
        <f t="shared" si="371"/>
        <v>0</v>
      </c>
      <c r="I2374">
        <f t="shared" si="372"/>
        <v>1</v>
      </c>
      <c r="J2374">
        <v>62.2</v>
      </c>
      <c r="K2374">
        <v>66.2</v>
      </c>
      <c r="L2374">
        <v>57.2</v>
      </c>
      <c r="M2374">
        <v>62.2</v>
      </c>
      <c r="N2374">
        <v>57.8</v>
      </c>
      <c r="O2374">
        <v>85.5</v>
      </c>
      <c r="S2374">
        <f t="shared" si="373"/>
        <v>1</v>
      </c>
      <c r="T2374">
        <f t="shared" si="374"/>
        <v>1</v>
      </c>
      <c r="U2374">
        <f t="shared" si="375"/>
        <v>0</v>
      </c>
      <c r="V2374">
        <v>0.156</v>
      </c>
      <c r="W2374">
        <v>100</v>
      </c>
      <c r="X2374">
        <v>4.17</v>
      </c>
      <c r="Y2374" t="s">
        <v>103</v>
      </c>
      <c r="Z2374">
        <v>0</v>
      </c>
      <c r="AA2374">
        <v>0</v>
      </c>
      <c r="AB2374">
        <v>18.3</v>
      </c>
      <c r="AC2374">
        <v>10.3</v>
      </c>
      <c r="AG2374">
        <f t="shared" si="376"/>
        <v>1</v>
      </c>
      <c r="AH2374">
        <f t="shared" si="377"/>
        <v>0</v>
      </c>
      <c r="AI2374">
        <f t="shared" si="378"/>
        <v>1</v>
      </c>
      <c r="AJ2374">
        <v>84.9</v>
      </c>
      <c r="AK2374">
        <v>1015.4</v>
      </c>
      <c r="AL2374">
        <v>79</v>
      </c>
      <c r="AM2374">
        <v>6.2</v>
      </c>
      <c r="AN2374">
        <v>61.2</v>
      </c>
      <c r="AO2374">
        <v>5.3</v>
      </c>
      <c r="AP2374">
        <v>3</v>
      </c>
      <c r="AQ2374">
        <v>0</v>
      </c>
      <c r="AR2374" t="s">
        <v>8172</v>
      </c>
      <c r="AS2374" t="s">
        <v>8173</v>
      </c>
      <c r="AT2374">
        <v>0.85</v>
      </c>
      <c r="AU2374" t="s">
        <v>106</v>
      </c>
      <c r="AV2374" t="s">
        <v>438</v>
      </c>
      <c r="AW2374" t="s">
        <v>103</v>
      </c>
      <c r="AX2374" t="s">
        <v>8174</v>
      </c>
      <c r="AY2374" t="s">
        <v>8175</v>
      </c>
      <c r="AZ2374">
        <v>76.999999999534339</v>
      </c>
      <c r="BA2374">
        <v>0</v>
      </c>
      <c r="BB2374">
        <v>0</v>
      </c>
      <c r="BC2374">
        <v>0.2</v>
      </c>
      <c r="BD2374">
        <v>0</v>
      </c>
      <c r="BE2374">
        <f t="shared" si="379"/>
        <v>0</v>
      </c>
    </row>
    <row r="2375" spans="1:57" x14ac:dyDescent="0.25">
      <c r="A2375" t="s">
        <v>39</v>
      </c>
      <c r="B2375" t="s">
        <v>8176</v>
      </c>
      <c r="C2375">
        <v>71.599999999999994</v>
      </c>
      <c r="D2375">
        <v>57.2</v>
      </c>
      <c r="G2375">
        <f t="shared" si="370"/>
        <v>1</v>
      </c>
      <c r="H2375">
        <f t="shared" si="371"/>
        <v>1</v>
      </c>
      <c r="I2375">
        <f t="shared" si="372"/>
        <v>0</v>
      </c>
      <c r="J2375">
        <v>63.9</v>
      </c>
      <c r="K2375">
        <v>71.599999999999994</v>
      </c>
      <c r="L2375">
        <v>57.2</v>
      </c>
      <c r="M2375">
        <v>63.9</v>
      </c>
      <c r="N2375">
        <v>60.2</v>
      </c>
      <c r="O2375">
        <v>88.2</v>
      </c>
      <c r="S2375">
        <f t="shared" si="373"/>
        <v>1</v>
      </c>
      <c r="T2375">
        <f t="shared" si="374"/>
        <v>1</v>
      </c>
      <c r="U2375">
        <f t="shared" si="375"/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10.3</v>
      </c>
      <c r="AC2375">
        <v>9.1999999999999993</v>
      </c>
      <c r="AG2375">
        <f t="shared" si="376"/>
        <v>1</v>
      </c>
      <c r="AH2375">
        <f t="shared" si="377"/>
        <v>0</v>
      </c>
      <c r="AI2375">
        <f t="shared" si="378"/>
        <v>1</v>
      </c>
      <c r="AJ2375">
        <v>156.19999999999999</v>
      </c>
      <c r="AK2375">
        <v>1019.6</v>
      </c>
      <c r="AL2375">
        <v>38.9</v>
      </c>
      <c r="AM2375">
        <v>6.2</v>
      </c>
      <c r="AN2375">
        <v>125.9</v>
      </c>
      <c r="AO2375">
        <v>10.7</v>
      </c>
      <c r="AP2375">
        <v>5</v>
      </c>
      <c r="AQ2375">
        <v>0</v>
      </c>
      <c r="AR2375" t="s">
        <v>8177</v>
      </c>
      <c r="AS2375" t="s">
        <v>8178</v>
      </c>
      <c r="AT2375">
        <v>0.16</v>
      </c>
      <c r="AU2375" t="s">
        <v>43</v>
      </c>
      <c r="AV2375" t="s">
        <v>44</v>
      </c>
      <c r="AW2375" t="s">
        <v>45</v>
      </c>
      <c r="AX2375" t="s">
        <v>8179</v>
      </c>
      <c r="AY2375" t="s">
        <v>8180</v>
      </c>
      <c r="AZ2375">
        <v>84.000000001396984</v>
      </c>
      <c r="BA2375">
        <v>0</v>
      </c>
      <c r="BB2375">
        <v>0</v>
      </c>
      <c r="BC2375">
        <v>1</v>
      </c>
      <c r="BD2375">
        <v>0</v>
      </c>
      <c r="BE2375">
        <f t="shared" si="379"/>
        <v>1</v>
      </c>
    </row>
    <row r="2376" spans="1:57" x14ac:dyDescent="0.25">
      <c r="A2376" t="s">
        <v>39</v>
      </c>
      <c r="B2376" t="s">
        <v>8181</v>
      </c>
      <c r="C2376">
        <v>68</v>
      </c>
      <c r="D2376">
        <v>62.6</v>
      </c>
      <c r="G2376">
        <f t="shared" si="370"/>
        <v>0</v>
      </c>
      <c r="H2376">
        <f t="shared" si="371"/>
        <v>0</v>
      </c>
      <c r="I2376">
        <f t="shared" si="372"/>
        <v>0</v>
      </c>
      <c r="J2376">
        <v>64.900000000000006</v>
      </c>
      <c r="K2376">
        <v>68</v>
      </c>
      <c r="L2376">
        <v>62.6</v>
      </c>
      <c r="M2376">
        <v>64.900000000000006</v>
      </c>
      <c r="N2376">
        <v>56.1</v>
      </c>
      <c r="O2376">
        <v>73.8</v>
      </c>
      <c r="S2376">
        <f t="shared" si="373"/>
        <v>1</v>
      </c>
      <c r="T2376">
        <f t="shared" si="374"/>
        <v>1</v>
      </c>
      <c r="U2376">
        <f t="shared" si="375"/>
        <v>0</v>
      </c>
      <c r="V2376">
        <v>0.19500000000000001</v>
      </c>
      <c r="W2376">
        <v>100</v>
      </c>
      <c r="X2376">
        <v>4.17</v>
      </c>
      <c r="Y2376" t="s">
        <v>103</v>
      </c>
      <c r="Z2376">
        <v>0</v>
      </c>
      <c r="AA2376">
        <v>0</v>
      </c>
      <c r="AB2376">
        <v>28.9</v>
      </c>
      <c r="AC2376">
        <v>20.3</v>
      </c>
      <c r="AG2376">
        <f t="shared" si="376"/>
        <v>1</v>
      </c>
      <c r="AH2376">
        <f t="shared" si="377"/>
        <v>1</v>
      </c>
      <c r="AI2376">
        <f t="shared" si="378"/>
        <v>0</v>
      </c>
      <c r="AJ2376">
        <v>342.9</v>
      </c>
      <c r="AK2376">
        <v>1023.9</v>
      </c>
      <c r="AL2376">
        <v>64</v>
      </c>
      <c r="AM2376">
        <v>6.2</v>
      </c>
      <c r="AN2376">
        <v>92.3</v>
      </c>
      <c r="AO2376">
        <v>8</v>
      </c>
      <c r="AP2376">
        <v>4</v>
      </c>
      <c r="AQ2376">
        <v>0</v>
      </c>
      <c r="AR2376" t="s">
        <v>8182</v>
      </c>
      <c r="AS2376" t="s">
        <v>8183</v>
      </c>
      <c r="AT2376">
        <v>0.19</v>
      </c>
      <c r="AU2376" t="s">
        <v>106</v>
      </c>
      <c r="AV2376" t="s">
        <v>296</v>
      </c>
      <c r="AW2376" t="s">
        <v>103</v>
      </c>
      <c r="AX2376" t="s">
        <v>8068</v>
      </c>
      <c r="AY2376" t="s">
        <v>8184</v>
      </c>
      <c r="AZ2376">
        <v>361.00000000325957</v>
      </c>
      <c r="BA2376">
        <v>1</v>
      </c>
      <c r="BB2376">
        <v>0</v>
      </c>
      <c r="BC2376">
        <v>10</v>
      </c>
      <c r="BD2376">
        <v>0</v>
      </c>
      <c r="BE2376">
        <f t="shared" si="379"/>
        <v>1</v>
      </c>
    </row>
    <row r="2377" spans="1:57" x14ac:dyDescent="0.25">
      <c r="A2377" t="s">
        <v>39</v>
      </c>
      <c r="B2377" t="s">
        <v>8083</v>
      </c>
      <c r="C2377">
        <v>64.400000000000006</v>
      </c>
      <c r="D2377">
        <v>60.8</v>
      </c>
      <c r="G2377">
        <f t="shared" si="370"/>
        <v>1</v>
      </c>
      <c r="H2377">
        <f t="shared" si="371"/>
        <v>0</v>
      </c>
      <c r="I2377">
        <f t="shared" si="372"/>
        <v>1</v>
      </c>
      <c r="J2377">
        <v>62.4</v>
      </c>
      <c r="K2377">
        <v>64.400000000000006</v>
      </c>
      <c r="L2377">
        <v>60.8</v>
      </c>
      <c r="M2377">
        <v>62.4</v>
      </c>
      <c r="N2377">
        <v>51.1</v>
      </c>
      <c r="O2377">
        <v>66.5</v>
      </c>
      <c r="S2377">
        <f t="shared" si="373"/>
        <v>0</v>
      </c>
      <c r="T2377">
        <f t="shared" si="374"/>
        <v>0</v>
      </c>
      <c r="U2377">
        <f t="shared" si="375"/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21.9</v>
      </c>
      <c r="AC2377">
        <v>21.9</v>
      </c>
      <c r="AG2377">
        <f t="shared" si="376"/>
        <v>1</v>
      </c>
      <c r="AH2377">
        <f t="shared" si="377"/>
        <v>1</v>
      </c>
      <c r="AI2377">
        <f t="shared" si="378"/>
        <v>0</v>
      </c>
      <c r="AJ2377">
        <v>327.60000000000002</v>
      </c>
      <c r="AK2377">
        <v>1020.4</v>
      </c>
      <c r="AL2377">
        <v>71.900000000000006</v>
      </c>
      <c r="AM2377">
        <v>6.2</v>
      </c>
      <c r="AN2377">
        <v>89.2</v>
      </c>
      <c r="AO2377">
        <v>7.8</v>
      </c>
      <c r="AP2377">
        <v>4</v>
      </c>
      <c r="AQ2377">
        <v>0</v>
      </c>
      <c r="AR2377" t="s">
        <v>8084</v>
      </c>
      <c r="AS2377" t="s">
        <v>8085</v>
      </c>
      <c r="AT2377">
        <v>0.25</v>
      </c>
      <c r="AU2377" t="s">
        <v>43</v>
      </c>
      <c r="AV2377" t="s">
        <v>44</v>
      </c>
      <c r="AW2377" t="s">
        <v>45</v>
      </c>
      <c r="AX2377" t="s">
        <v>8185</v>
      </c>
      <c r="AY2377" t="s">
        <v>8186</v>
      </c>
      <c r="AZ2377">
        <v>165.00000000349249</v>
      </c>
      <c r="BA2377">
        <v>0</v>
      </c>
      <c r="BB2377">
        <v>0</v>
      </c>
      <c r="BC2377">
        <v>30</v>
      </c>
      <c r="BD2377">
        <v>0</v>
      </c>
      <c r="BE2377">
        <f t="shared" si="379"/>
        <v>0</v>
      </c>
    </row>
    <row r="2378" spans="1:57" x14ac:dyDescent="0.25">
      <c r="A2378" t="s">
        <v>39</v>
      </c>
      <c r="B2378" t="s">
        <v>8187</v>
      </c>
      <c r="C2378">
        <v>69.8</v>
      </c>
      <c r="D2378">
        <v>59</v>
      </c>
      <c r="G2378">
        <f t="shared" si="370"/>
        <v>1</v>
      </c>
      <c r="H2378">
        <f t="shared" si="371"/>
        <v>1</v>
      </c>
      <c r="I2378">
        <f t="shared" si="372"/>
        <v>0</v>
      </c>
      <c r="J2378">
        <v>63.4</v>
      </c>
      <c r="K2378">
        <v>69.8</v>
      </c>
      <c r="L2378">
        <v>59</v>
      </c>
      <c r="M2378">
        <v>63.4</v>
      </c>
      <c r="N2378">
        <v>57.5</v>
      </c>
      <c r="O2378">
        <v>81.7</v>
      </c>
      <c r="S2378">
        <f t="shared" si="373"/>
        <v>1</v>
      </c>
      <c r="T2378">
        <f t="shared" si="374"/>
        <v>1</v>
      </c>
      <c r="U2378">
        <f t="shared" si="375"/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13.9</v>
      </c>
      <c r="AC2378">
        <v>7.4</v>
      </c>
      <c r="AG2378">
        <f t="shared" si="376"/>
        <v>1</v>
      </c>
      <c r="AH2378">
        <f t="shared" si="377"/>
        <v>0</v>
      </c>
      <c r="AI2378">
        <f t="shared" si="378"/>
        <v>1</v>
      </c>
      <c r="AJ2378">
        <v>140</v>
      </c>
      <c r="AK2378">
        <v>1018.5</v>
      </c>
      <c r="AL2378">
        <v>62.6</v>
      </c>
      <c r="AM2378">
        <v>6.2</v>
      </c>
      <c r="AN2378">
        <v>111.1</v>
      </c>
      <c r="AO2378">
        <v>9.6</v>
      </c>
      <c r="AP2378">
        <v>5</v>
      </c>
      <c r="AQ2378">
        <v>0</v>
      </c>
      <c r="AR2378" t="s">
        <v>8188</v>
      </c>
      <c r="AS2378" t="s">
        <v>8189</v>
      </c>
      <c r="AT2378">
        <v>0.33</v>
      </c>
      <c r="AU2378" t="s">
        <v>43</v>
      </c>
      <c r="AV2378" t="s">
        <v>44</v>
      </c>
      <c r="AW2378" t="s">
        <v>45</v>
      </c>
      <c r="AX2378" t="s">
        <v>8190</v>
      </c>
      <c r="AY2378" t="s">
        <v>8191</v>
      </c>
      <c r="AZ2378">
        <v>88.000000003958121</v>
      </c>
      <c r="BA2378">
        <v>0</v>
      </c>
      <c r="BB2378">
        <v>0</v>
      </c>
      <c r="BC2378">
        <v>2</v>
      </c>
      <c r="BD2378">
        <v>0</v>
      </c>
      <c r="BE2378">
        <f t="shared" si="379"/>
        <v>1</v>
      </c>
    </row>
    <row r="2379" spans="1:57" x14ac:dyDescent="0.25">
      <c r="A2379" t="s">
        <v>39</v>
      </c>
      <c r="B2379" t="s">
        <v>8192</v>
      </c>
      <c r="C2379">
        <v>62.6</v>
      </c>
      <c r="D2379">
        <v>55.4</v>
      </c>
      <c r="G2379">
        <f t="shared" si="370"/>
        <v>0</v>
      </c>
      <c r="H2379">
        <f t="shared" si="371"/>
        <v>0</v>
      </c>
      <c r="I2379">
        <f t="shared" si="372"/>
        <v>0</v>
      </c>
      <c r="J2379">
        <v>59</v>
      </c>
      <c r="K2379">
        <v>62.6</v>
      </c>
      <c r="L2379">
        <v>55.4</v>
      </c>
      <c r="M2379">
        <v>59</v>
      </c>
      <c r="N2379">
        <v>42.8</v>
      </c>
      <c r="O2379">
        <v>55.3</v>
      </c>
      <c r="S2379">
        <f t="shared" si="373"/>
        <v>1</v>
      </c>
      <c r="T2379">
        <f t="shared" si="374"/>
        <v>0</v>
      </c>
      <c r="U2379">
        <f t="shared" si="375"/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28.2</v>
      </c>
      <c r="AC2379">
        <v>27.5</v>
      </c>
      <c r="AG2379">
        <f t="shared" si="376"/>
        <v>1</v>
      </c>
      <c r="AH2379">
        <f t="shared" si="377"/>
        <v>1</v>
      </c>
      <c r="AI2379">
        <f t="shared" si="378"/>
        <v>0</v>
      </c>
      <c r="AJ2379">
        <v>275.3</v>
      </c>
      <c r="AK2379">
        <v>1017.6</v>
      </c>
      <c r="AL2379">
        <v>54.2</v>
      </c>
      <c r="AM2379">
        <v>6.2</v>
      </c>
      <c r="AN2379">
        <v>121.6</v>
      </c>
      <c r="AO2379">
        <v>10.5</v>
      </c>
      <c r="AP2379">
        <v>5</v>
      </c>
      <c r="AQ2379">
        <v>0</v>
      </c>
      <c r="AR2379" t="s">
        <v>8193</v>
      </c>
      <c r="AS2379" t="s">
        <v>8194</v>
      </c>
      <c r="AT2379">
        <v>0.9</v>
      </c>
      <c r="AU2379" t="s">
        <v>43</v>
      </c>
      <c r="AV2379" t="s">
        <v>80</v>
      </c>
      <c r="AW2379" t="s">
        <v>45</v>
      </c>
      <c r="AX2379" t="s">
        <v>8195</v>
      </c>
      <c r="AY2379" t="s">
        <v>8196</v>
      </c>
      <c r="AZ2379">
        <v>230.99999999860299</v>
      </c>
      <c r="BA2379">
        <v>0</v>
      </c>
      <c r="BB2379">
        <v>0</v>
      </c>
      <c r="BC2379">
        <v>10</v>
      </c>
      <c r="BD2379">
        <v>0</v>
      </c>
      <c r="BE2379">
        <f t="shared" si="379"/>
        <v>0</v>
      </c>
    </row>
    <row r="2380" spans="1:57" x14ac:dyDescent="0.25">
      <c r="A2380" t="s">
        <v>39</v>
      </c>
      <c r="B2380" t="s">
        <v>8197</v>
      </c>
      <c r="C2380">
        <v>64.400000000000006</v>
      </c>
      <c r="D2380">
        <v>51.8</v>
      </c>
      <c r="G2380">
        <f t="shared" si="370"/>
        <v>1</v>
      </c>
      <c r="H2380">
        <f t="shared" si="371"/>
        <v>1</v>
      </c>
      <c r="I2380">
        <f t="shared" si="372"/>
        <v>0</v>
      </c>
      <c r="J2380">
        <v>59</v>
      </c>
      <c r="K2380">
        <v>64.400000000000006</v>
      </c>
      <c r="L2380">
        <v>51.8</v>
      </c>
      <c r="M2380">
        <v>59</v>
      </c>
      <c r="N2380">
        <v>53.5</v>
      </c>
      <c r="O2380">
        <v>82.2</v>
      </c>
      <c r="S2380">
        <f t="shared" si="373"/>
        <v>1</v>
      </c>
      <c r="T2380">
        <f t="shared" si="374"/>
        <v>1</v>
      </c>
      <c r="U2380">
        <f t="shared" si="375"/>
        <v>0</v>
      </c>
      <c r="V2380">
        <v>0.35699999999999998</v>
      </c>
      <c r="W2380">
        <v>100</v>
      </c>
      <c r="X2380">
        <v>8.33</v>
      </c>
      <c r="Y2380" t="s">
        <v>103</v>
      </c>
      <c r="Z2380">
        <v>0</v>
      </c>
      <c r="AA2380">
        <v>0</v>
      </c>
      <c r="AB2380">
        <v>19</v>
      </c>
      <c r="AC2380">
        <v>16.399999999999999</v>
      </c>
      <c r="AG2380">
        <f t="shared" si="376"/>
        <v>1</v>
      </c>
      <c r="AH2380">
        <f t="shared" si="377"/>
        <v>0</v>
      </c>
      <c r="AI2380">
        <f t="shared" si="378"/>
        <v>1</v>
      </c>
      <c r="AJ2380">
        <v>280.7</v>
      </c>
      <c r="AK2380">
        <v>1011.6</v>
      </c>
      <c r="AL2380">
        <v>60.7</v>
      </c>
      <c r="AM2380">
        <v>6.2</v>
      </c>
      <c r="AN2380">
        <v>113.9</v>
      </c>
      <c r="AO2380">
        <v>9.8000000000000007</v>
      </c>
      <c r="AP2380">
        <v>5</v>
      </c>
      <c r="AQ2380">
        <v>0</v>
      </c>
      <c r="AR2380" t="s">
        <v>8198</v>
      </c>
      <c r="AS2380" t="s">
        <v>8199</v>
      </c>
      <c r="AT2380">
        <v>0.04</v>
      </c>
      <c r="AU2380" t="s">
        <v>106</v>
      </c>
      <c r="AV2380" t="s">
        <v>8200</v>
      </c>
      <c r="AW2380" t="s">
        <v>103</v>
      </c>
      <c r="AX2380" t="s">
        <v>2534</v>
      </c>
      <c r="AY2380" t="s">
        <v>8201</v>
      </c>
      <c r="AZ2380">
        <v>110.9999999951106</v>
      </c>
      <c r="BA2380">
        <v>0</v>
      </c>
      <c r="BB2380">
        <v>0</v>
      </c>
      <c r="BC2380">
        <v>0.02</v>
      </c>
      <c r="BD2380">
        <v>0</v>
      </c>
      <c r="BE2380">
        <f t="shared" si="379"/>
        <v>1</v>
      </c>
    </row>
    <row r="2381" spans="1:57" x14ac:dyDescent="0.25">
      <c r="A2381" t="s">
        <v>39</v>
      </c>
      <c r="B2381" t="s">
        <v>8202</v>
      </c>
      <c r="C2381">
        <v>59</v>
      </c>
      <c r="D2381">
        <v>44.6</v>
      </c>
      <c r="G2381">
        <f t="shared" si="370"/>
        <v>1</v>
      </c>
      <c r="H2381">
        <f t="shared" si="371"/>
        <v>0</v>
      </c>
      <c r="I2381">
        <f t="shared" si="372"/>
        <v>1</v>
      </c>
      <c r="J2381">
        <v>51.2</v>
      </c>
      <c r="K2381">
        <v>59</v>
      </c>
      <c r="L2381">
        <v>40.700000000000003</v>
      </c>
      <c r="M2381">
        <v>49.8</v>
      </c>
      <c r="N2381">
        <v>44.6</v>
      </c>
      <c r="O2381">
        <v>78.5</v>
      </c>
      <c r="S2381">
        <f t="shared" si="373"/>
        <v>1</v>
      </c>
      <c r="T2381">
        <f t="shared" si="374"/>
        <v>1</v>
      </c>
      <c r="U2381">
        <f t="shared" si="375"/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16.100000000000001</v>
      </c>
      <c r="AC2381">
        <v>9.4</v>
      </c>
      <c r="AG2381">
        <f t="shared" si="376"/>
        <v>1</v>
      </c>
      <c r="AH2381">
        <f t="shared" si="377"/>
        <v>0</v>
      </c>
      <c r="AI2381">
        <f t="shared" si="378"/>
        <v>1</v>
      </c>
      <c r="AJ2381">
        <v>181.4</v>
      </c>
      <c r="AK2381">
        <v>1021.6</v>
      </c>
      <c r="AL2381">
        <v>50.7</v>
      </c>
      <c r="AM2381">
        <v>6.2</v>
      </c>
      <c r="AN2381">
        <v>95.9</v>
      </c>
      <c r="AO2381">
        <v>8.1</v>
      </c>
      <c r="AP2381">
        <v>4</v>
      </c>
      <c r="AQ2381">
        <v>0</v>
      </c>
      <c r="AR2381" t="s">
        <v>8203</v>
      </c>
      <c r="AS2381" t="s">
        <v>8204</v>
      </c>
      <c r="AT2381">
        <v>0.68</v>
      </c>
      <c r="AU2381" t="s">
        <v>43</v>
      </c>
      <c r="AV2381" t="s">
        <v>44</v>
      </c>
      <c r="AW2381" t="s">
        <v>45</v>
      </c>
      <c r="AX2381" t="s">
        <v>8179</v>
      </c>
      <c r="AY2381" t="s">
        <v>8205</v>
      </c>
      <c r="AZ2381">
        <v>134.00000000721769</v>
      </c>
      <c r="BA2381">
        <v>0</v>
      </c>
      <c r="BB2381">
        <v>0</v>
      </c>
      <c r="BC2381">
        <v>2</v>
      </c>
      <c r="BD2381">
        <v>0</v>
      </c>
      <c r="BE2381">
        <f t="shared" si="379"/>
        <v>0</v>
      </c>
    </row>
    <row r="2382" spans="1:57" x14ac:dyDescent="0.25">
      <c r="A2382" t="s">
        <v>39</v>
      </c>
      <c r="B2382" t="s">
        <v>8206</v>
      </c>
      <c r="C2382">
        <v>66.2</v>
      </c>
      <c r="D2382">
        <v>55.4</v>
      </c>
      <c r="G2382">
        <f t="shared" si="370"/>
        <v>1</v>
      </c>
      <c r="H2382">
        <f t="shared" si="371"/>
        <v>1</v>
      </c>
      <c r="I2382">
        <f t="shared" si="372"/>
        <v>0</v>
      </c>
      <c r="J2382">
        <v>59.5</v>
      </c>
      <c r="K2382">
        <v>66.2</v>
      </c>
      <c r="L2382">
        <v>55.4</v>
      </c>
      <c r="M2382">
        <v>59.5</v>
      </c>
      <c r="N2382">
        <v>46.8</v>
      </c>
      <c r="O2382">
        <v>63.5</v>
      </c>
      <c r="S2382">
        <f t="shared" si="373"/>
        <v>1</v>
      </c>
      <c r="T2382">
        <f t="shared" si="374"/>
        <v>0</v>
      </c>
      <c r="U2382">
        <f t="shared" si="375"/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21.9</v>
      </c>
      <c r="AC2382">
        <v>20.2</v>
      </c>
      <c r="AG2382">
        <f t="shared" si="376"/>
        <v>0</v>
      </c>
      <c r="AH2382">
        <f t="shared" si="377"/>
        <v>0</v>
      </c>
      <c r="AI2382">
        <f t="shared" si="378"/>
        <v>0</v>
      </c>
      <c r="AJ2382">
        <v>174</v>
      </c>
      <c r="AK2382">
        <v>1018.8</v>
      </c>
      <c r="AL2382">
        <v>27.8</v>
      </c>
      <c r="AM2382">
        <v>6.2</v>
      </c>
      <c r="AN2382">
        <v>117.8</v>
      </c>
      <c r="AO2382">
        <v>10</v>
      </c>
      <c r="AP2382">
        <v>5</v>
      </c>
      <c r="AQ2382">
        <v>0</v>
      </c>
      <c r="AR2382" t="s">
        <v>8207</v>
      </c>
      <c r="AS2382" t="s">
        <v>8208</v>
      </c>
      <c r="AT2382">
        <v>0.75</v>
      </c>
      <c r="AU2382" t="s">
        <v>43</v>
      </c>
      <c r="AV2382" t="s">
        <v>44</v>
      </c>
      <c r="AW2382" t="s">
        <v>45</v>
      </c>
      <c r="AX2382" t="s">
        <v>8190</v>
      </c>
      <c r="AY2382" t="s">
        <v>8209</v>
      </c>
      <c r="AZ2382">
        <v>248.00000000162979</v>
      </c>
      <c r="BA2382">
        <v>0</v>
      </c>
      <c r="BB2382">
        <v>0</v>
      </c>
      <c r="BC2382">
        <v>20</v>
      </c>
      <c r="BD2382">
        <v>0</v>
      </c>
      <c r="BE2382">
        <f t="shared" si="379"/>
        <v>0</v>
      </c>
    </row>
    <row r="2383" spans="1:57" x14ac:dyDescent="0.25">
      <c r="A2383" t="s">
        <v>39</v>
      </c>
      <c r="B2383" t="s">
        <v>8048</v>
      </c>
      <c r="C2383">
        <v>98.6</v>
      </c>
      <c r="D2383">
        <v>84.2</v>
      </c>
      <c r="G2383">
        <f t="shared" si="370"/>
        <v>1</v>
      </c>
      <c r="H2383">
        <f t="shared" si="371"/>
        <v>1</v>
      </c>
      <c r="I2383">
        <f t="shared" si="372"/>
        <v>0</v>
      </c>
      <c r="J2383">
        <v>91.3</v>
      </c>
      <c r="K2383">
        <v>127.1</v>
      </c>
      <c r="L2383">
        <v>91.6</v>
      </c>
      <c r="M2383">
        <v>109.7</v>
      </c>
      <c r="N2383">
        <v>79.599999999999994</v>
      </c>
      <c r="O2383">
        <v>69.099999999999994</v>
      </c>
      <c r="S2383">
        <f t="shared" si="373"/>
        <v>1</v>
      </c>
      <c r="T2383">
        <f t="shared" si="374"/>
        <v>1</v>
      </c>
      <c r="U2383">
        <f t="shared" si="375"/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28.9</v>
      </c>
      <c r="AC2383">
        <v>17.899999999999999</v>
      </c>
      <c r="AG2383">
        <f t="shared" si="376"/>
        <v>0</v>
      </c>
      <c r="AH2383">
        <f t="shared" si="377"/>
        <v>0</v>
      </c>
      <c r="AI2383">
        <f t="shared" si="378"/>
        <v>0</v>
      </c>
      <c r="AJ2383">
        <v>309.7</v>
      </c>
      <c r="AK2383">
        <v>1010</v>
      </c>
      <c r="AL2383">
        <v>0</v>
      </c>
      <c r="AM2383">
        <v>6.2</v>
      </c>
      <c r="AN2383">
        <v>320.8</v>
      </c>
      <c r="AO2383">
        <v>27.5</v>
      </c>
      <c r="AP2383">
        <v>10</v>
      </c>
      <c r="AQ2383">
        <v>0</v>
      </c>
      <c r="AR2383" t="s">
        <v>8049</v>
      </c>
      <c r="AS2383" t="s">
        <v>8050</v>
      </c>
      <c r="AT2383">
        <v>0.83</v>
      </c>
      <c r="AU2383" t="s">
        <v>74</v>
      </c>
      <c r="AV2383" t="s">
        <v>2955</v>
      </c>
      <c r="AW2383" t="s">
        <v>75</v>
      </c>
      <c r="AX2383" t="s">
        <v>5513</v>
      </c>
      <c r="AY2383" t="s">
        <v>8210</v>
      </c>
      <c r="AZ2383">
        <v>201.99999999837021</v>
      </c>
      <c r="BA2383">
        <v>0</v>
      </c>
      <c r="BB2383">
        <v>0</v>
      </c>
      <c r="BC2383">
        <v>0.5</v>
      </c>
      <c r="BD2383">
        <v>0</v>
      </c>
      <c r="BE2383">
        <f t="shared" si="379"/>
        <v>0</v>
      </c>
    </row>
    <row r="2384" spans="1:57" x14ac:dyDescent="0.25">
      <c r="A2384" t="s">
        <v>39</v>
      </c>
      <c r="B2384" t="s">
        <v>8211</v>
      </c>
      <c r="C2384">
        <v>68</v>
      </c>
      <c r="D2384">
        <v>56.9</v>
      </c>
      <c r="G2384">
        <f t="shared" si="370"/>
        <v>0</v>
      </c>
      <c r="H2384">
        <f t="shared" si="371"/>
        <v>0</v>
      </c>
      <c r="I2384">
        <f t="shared" si="372"/>
        <v>0</v>
      </c>
      <c r="J2384">
        <v>63.6</v>
      </c>
      <c r="K2384">
        <v>68</v>
      </c>
      <c r="L2384">
        <v>56.9</v>
      </c>
      <c r="M2384">
        <v>63.6</v>
      </c>
      <c r="N2384">
        <v>56.4</v>
      </c>
      <c r="O2384">
        <v>77.8</v>
      </c>
      <c r="S2384">
        <f t="shared" si="373"/>
        <v>1</v>
      </c>
      <c r="T2384">
        <f t="shared" si="374"/>
        <v>1</v>
      </c>
      <c r="U2384">
        <f t="shared" si="375"/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11.6</v>
      </c>
      <c r="AC2384">
        <v>8.1</v>
      </c>
      <c r="AG2384">
        <f t="shared" si="376"/>
        <v>1</v>
      </c>
      <c r="AH2384">
        <f t="shared" si="377"/>
        <v>0</v>
      </c>
      <c r="AI2384">
        <f t="shared" si="378"/>
        <v>1</v>
      </c>
      <c r="AJ2384">
        <v>86.2</v>
      </c>
      <c r="AK2384">
        <v>1019.3</v>
      </c>
      <c r="AL2384">
        <v>84.6</v>
      </c>
      <c r="AM2384">
        <v>6.2</v>
      </c>
      <c r="AN2384">
        <v>118.5</v>
      </c>
      <c r="AO2384">
        <v>10.3</v>
      </c>
      <c r="AP2384">
        <v>5</v>
      </c>
      <c r="AQ2384">
        <v>0</v>
      </c>
      <c r="AR2384" t="s">
        <v>8212</v>
      </c>
      <c r="AS2384" t="s">
        <v>8213</v>
      </c>
      <c r="AT2384">
        <v>0.28999999999999998</v>
      </c>
      <c r="AU2384" t="s">
        <v>43</v>
      </c>
      <c r="AV2384" t="s">
        <v>44</v>
      </c>
      <c r="AW2384" t="s">
        <v>45</v>
      </c>
      <c r="AX2384" t="s">
        <v>4134</v>
      </c>
      <c r="AY2384" t="s">
        <v>8214</v>
      </c>
      <c r="AZ2384">
        <v>322.9999999946449</v>
      </c>
      <c r="BA2384">
        <v>0</v>
      </c>
      <c r="BB2384">
        <v>0.2</v>
      </c>
      <c r="BC2384">
        <v>0</v>
      </c>
      <c r="BD2384">
        <v>0</v>
      </c>
      <c r="BE2384">
        <f t="shared" si="379"/>
        <v>0</v>
      </c>
    </row>
    <row r="2385" spans="1:57" x14ac:dyDescent="0.25">
      <c r="A2385" t="s">
        <v>39</v>
      </c>
      <c r="B2385" t="s">
        <v>8215</v>
      </c>
      <c r="C2385">
        <v>86</v>
      </c>
      <c r="D2385">
        <v>71.599999999999994</v>
      </c>
      <c r="G2385">
        <f t="shared" si="370"/>
        <v>1</v>
      </c>
      <c r="H2385">
        <f t="shared" si="371"/>
        <v>1</v>
      </c>
      <c r="I2385">
        <f t="shared" si="372"/>
        <v>0</v>
      </c>
      <c r="J2385">
        <v>79.2</v>
      </c>
      <c r="K2385">
        <v>92.8</v>
      </c>
      <c r="L2385">
        <v>71.599999999999994</v>
      </c>
      <c r="M2385">
        <v>82.2</v>
      </c>
      <c r="N2385">
        <v>68.900000000000006</v>
      </c>
      <c r="O2385">
        <v>70.8</v>
      </c>
      <c r="S2385">
        <f t="shared" si="373"/>
        <v>1</v>
      </c>
      <c r="T2385">
        <f t="shared" si="374"/>
        <v>1</v>
      </c>
      <c r="U2385">
        <f t="shared" si="375"/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23.7</v>
      </c>
      <c r="AC2385">
        <v>7.4</v>
      </c>
      <c r="AG2385">
        <f t="shared" si="376"/>
        <v>1</v>
      </c>
      <c r="AH2385">
        <f t="shared" si="377"/>
        <v>0</v>
      </c>
      <c r="AI2385">
        <f t="shared" si="378"/>
        <v>1</v>
      </c>
      <c r="AJ2385">
        <v>34.6</v>
      </c>
      <c r="AK2385">
        <v>1012.4</v>
      </c>
      <c r="AL2385">
        <v>5.2</v>
      </c>
      <c r="AM2385">
        <v>6.2</v>
      </c>
      <c r="AN2385">
        <v>334.1</v>
      </c>
      <c r="AO2385">
        <v>28.8</v>
      </c>
      <c r="AP2385">
        <v>10</v>
      </c>
      <c r="AQ2385">
        <v>0</v>
      </c>
      <c r="AR2385" t="s">
        <v>8216</v>
      </c>
      <c r="AS2385" t="s">
        <v>8217</v>
      </c>
      <c r="AT2385">
        <v>0.42</v>
      </c>
      <c r="AU2385" t="s">
        <v>74</v>
      </c>
      <c r="AV2385" t="s">
        <v>2955</v>
      </c>
      <c r="AW2385" t="s">
        <v>75</v>
      </c>
      <c r="AX2385" t="s">
        <v>4110</v>
      </c>
      <c r="AY2385" t="s">
        <v>8218</v>
      </c>
      <c r="AZ2385">
        <v>3377.999999999302</v>
      </c>
      <c r="BA2385">
        <v>1</v>
      </c>
      <c r="BB2385">
        <v>0</v>
      </c>
      <c r="BC2385">
        <v>200</v>
      </c>
      <c r="BD2385">
        <v>0</v>
      </c>
      <c r="BE2385">
        <f t="shared" si="379"/>
        <v>1</v>
      </c>
    </row>
    <row r="2386" spans="1:57" x14ac:dyDescent="0.25">
      <c r="A2386" t="s">
        <v>39</v>
      </c>
      <c r="B2386" t="s">
        <v>8219</v>
      </c>
      <c r="C2386">
        <v>79.599999999999994</v>
      </c>
      <c r="D2386">
        <v>59.8</v>
      </c>
      <c r="G2386">
        <f t="shared" si="370"/>
        <v>1</v>
      </c>
      <c r="H2386">
        <f t="shared" si="371"/>
        <v>1</v>
      </c>
      <c r="I2386">
        <f t="shared" si="372"/>
        <v>0</v>
      </c>
      <c r="J2386">
        <v>71</v>
      </c>
      <c r="K2386">
        <v>79.599999999999994</v>
      </c>
      <c r="L2386">
        <v>59.8</v>
      </c>
      <c r="M2386">
        <v>71</v>
      </c>
      <c r="N2386">
        <v>60.6</v>
      </c>
      <c r="O2386">
        <v>71.2</v>
      </c>
      <c r="S2386">
        <f t="shared" si="373"/>
        <v>1</v>
      </c>
      <c r="T2386">
        <f t="shared" si="374"/>
        <v>1</v>
      </c>
      <c r="U2386">
        <f t="shared" si="375"/>
        <v>0</v>
      </c>
      <c r="V2386">
        <v>1.048</v>
      </c>
      <c r="W2386">
        <v>100</v>
      </c>
      <c r="X2386">
        <v>4.17</v>
      </c>
      <c r="Y2386" t="s">
        <v>103</v>
      </c>
      <c r="Z2386">
        <v>0</v>
      </c>
      <c r="AA2386">
        <v>0</v>
      </c>
      <c r="AB2386">
        <v>40.700000000000003</v>
      </c>
      <c r="AC2386">
        <v>22.5</v>
      </c>
      <c r="AG2386">
        <f t="shared" si="376"/>
        <v>1</v>
      </c>
      <c r="AH2386">
        <f t="shared" si="377"/>
        <v>1</v>
      </c>
      <c r="AI2386">
        <f t="shared" si="378"/>
        <v>0</v>
      </c>
      <c r="AJ2386">
        <v>185.7</v>
      </c>
      <c r="AK2386">
        <v>1009.7</v>
      </c>
      <c r="AL2386">
        <v>56.8</v>
      </c>
      <c r="AM2386">
        <v>6</v>
      </c>
      <c r="AN2386">
        <v>181.8</v>
      </c>
      <c r="AO2386">
        <v>15.8</v>
      </c>
      <c r="AP2386">
        <v>7</v>
      </c>
      <c r="AQ2386">
        <v>0</v>
      </c>
      <c r="AR2386" t="s">
        <v>8220</v>
      </c>
      <c r="AS2386" t="s">
        <v>8221</v>
      </c>
      <c r="AT2386">
        <v>0.31</v>
      </c>
      <c r="AU2386" t="s">
        <v>106</v>
      </c>
      <c r="AV2386" t="s">
        <v>296</v>
      </c>
      <c r="AW2386" t="s">
        <v>103</v>
      </c>
      <c r="AX2386" t="s">
        <v>8222</v>
      </c>
      <c r="AY2386" t="s">
        <v>8223</v>
      </c>
      <c r="AZ2386">
        <v>358.99999999674043</v>
      </c>
      <c r="BA2386">
        <v>0</v>
      </c>
      <c r="BB2386">
        <v>0</v>
      </c>
      <c r="BC2386">
        <v>2</v>
      </c>
      <c r="BD2386">
        <v>0</v>
      </c>
      <c r="BE2386">
        <f t="shared" si="379"/>
        <v>1</v>
      </c>
    </row>
    <row r="2387" spans="1:57" x14ac:dyDescent="0.25">
      <c r="A2387" t="s">
        <v>39</v>
      </c>
      <c r="B2387" t="s">
        <v>8224</v>
      </c>
      <c r="C2387">
        <v>71.599999999999994</v>
      </c>
      <c r="D2387">
        <v>51.8</v>
      </c>
      <c r="G2387">
        <f t="shared" si="370"/>
        <v>1</v>
      </c>
      <c r="H2387">
        <f t="shared" si="371"/>
        <v>1</v>
      </c>
      <c r="I2387">
        <f t="shared" si="372"/>
        <v>0</v>
      </c>
      <c r="J2387">
        <v>61.5</v>
      </c>
      <c r="K2387">
        <v>71.599999999999994</v>
      </c>
      <c r="L2387">
        <v>51.8</v>
      </c>
      <c r="M2387">
        <v>61.5</v>
      </c>
      <c r="N2387">
        <v>50.6</v>
      </c>
      <c r="O2387">
        <v>69.5</v>
      </c>
      <c r="S2387">
        <f t="shared" si="373"/>
        <v>1</v>
      </c>
      <c r="T2387">
        <f t="shared" si="374"/>
        <v>1</v>
      </c>
      <c r="U2387">
        <f t="shared" si="375"/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25.3</v>
      </c>
      <c r="AC2387">
        <v>18.3</v>
      </c>
      <c r="AG2387">
        <f t="shared" si="376"/>
        <v>1</v>
      </c>
      <c r="AH2387">
        <f t="shared" si="377"/>
        <v>1</v>
      </c>
      <c r="AI2387">
        <f t="shared" si="378"/>
        <v>0</v>
      </c>
      <c r="AJ2387">
        <v>171.8</v>
      </c>
      <c r="AK2387">
        <v>1017.4</v>
      </c>
      <c r="AL2387">
        <v>34.799999999999997</v>
      </c>
      <c r="AM2387">
        <v>6.2</v>
      </c>
      <c r="AN2387">
        <v>119</v>
      </c>
      <c r="AO2387">
        <v>10.3</v>
      </c>
      <c r="AP2387">
        <v>5</v>
      </c>
      <c r="AQ2387">
        <v>0</v>
      </c>
      <c r="AR2387" t="s">
        <v>8225</v>
      </c>
      <c r="AS2387" t="s">
        <v>8226</v>
      </c>
      <c r="AT2387">
        <v>0.6</v>
      </c>
      <c r="AU2387" t="s">
        <v>43</v>
      </c>
      <c r="AV2387" t="s">
        <v>44</v>
      </c>
      <c r="AW2387" t="s">
        <v>45</v>
      </c>
      <c r="AX2387" t="s">
        <v>2378</v>
      </c>
      <c r="AY2387" t="s">
        <v>8227</v>
      </c>
      <c r="AZ2387">
        <v>1810.0000000011639</v>
      </c>
      <c r="BA2387">
        <v>1</v>
      </c>
      <c r="BB2387">
        <v>0</v>
      </c>
      <c r="BC2387">
        <v>5</v>
      </c>
      <c r="BD2387">
        <v>0</v>
      </c>
      <c r="BE2387">
        <f t="shared" si="379"/>
        <v>1</v>
      </c>
    </row>
    <row r="2388" spans="1:57" x14ac:dyDescent="0.25">
      <c r="A2388" t="s">
        <v>39</v>
      </c>
      <c r="B2388" t="s">
        <v>8228</v>
      </c>
      <c r="C2388">
        <v>76.900000000000006</v>
      </c>
      <c r="D2388">
        <v>60.8</v>
      </c>
      <c r="G2388">
        <f t="shared" si="370"/>
        <v>1</v>
      </c>
      <c r="H2388">
        <f t="shared" si="371"/>
        <v>1</v>
      </c>
      <c r="I2388">
        <f t="shared" si="372"/>
        <v>0</v>
      </c>
      <c r="J2388">
        <v>67.400000000000006</v>
      </c>
      <c r="K2388">
        <v>76.900000000000006</v>
      </c>
      <c r="L2388">
        <v>60.8</v>
      </c>
      <c r="M2388">
        <v>67.400000000000006</v>
      </c>
      <c r="N2388">
        <v>55.2</v>
      </c>
      <c r="O2388">
        <v>65.900000000000006</v>
      </c>
      <c r="S2388">
        <f t="shared" si="373"/>
        <v>0</v>
      </c>
      <c r="T2388">
        <f t="shared" si="374"/>
        <v>0</v>
      </c>
      <c r="U2388">
        <f t="shared" si="375"/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24.2</v>
      </c>
      <c r="AC2388">
        <v>20.8</v>
      </c>
      <c r="AG2388">
        <f t="shared" si="376"/>
        <v>1</v>
      </c>
      <c r="AH2388">
        <f t="shared" si="377"/>
        <v>1</v>
      </c>
      <c r="AI2388">
        <f t="shared" si="378"/>
        <v>0</v>
      </c>
      <c r="AJ2388">
        <v>174.6</v>
      </c>
      <c r="AK2388">
        <v>1016.9</v>
      </c>
      <c r="AL2388">
        <v>56.8</v>
      </c>
      <c r="AM2388">
        <v>6.2</v>
      </c>
      <c r="AN2388">
        <v>118</v>
      </c>
      <c r="AO2388">
        <v>10.199999999999999</v>
      </c>
      <c r="AP2388">
        <v>5</v>
      </c>
      <c r="AQ2388">
        <v>0</v>
      </c>
      <c r="AR2388" t="s">
        <v>8229</v>
      </c>
      <c r="AS2388" t="s">
        <v>8230</v>
      </c>
      <c r="AT2388">
        <v>0.64</v>
      </c>
      <c r="AU2388" t="s">
        <v>43</v>
      </c>
      <c r="AV2388" t="s">
        <v>44</v>
      </c>
      <c r="AW2388" t="s">
        <v>45</v>
      </c>
      <c r="AX2388" t="s">
        <v>2486</v>
      </c>
      <c r="AY2388" t="s">
        <v>8231</v>
      </c>
      <c r="AZ2388">
        <v>270</v>
      </c>
      <c r="BA2388">
        <v>0</v>
      </c>
      <c r="BB2388">
        <v>0</v>
      </c>
      <c r="BC2388">
        <v>1</v>
      </c>
      <c r="BD2388">
        <v>0</v>
      </c>
      <c r="BE2388">
        <f t="shared" si="379"/>
        <v>0</v>
      </c>
    </row>
    <row r="2389" spans="1:57" x14ac:dyDescent="0.25">
      <c r="A2389" t="s">
        <v>39</v>
      </c>
      <c r="B2389" t="s">
        <v>8228</v>
      </c>
      <c r="C2389">
        <v>76.900000000000006</v>
      </c>
      <c r="D2389">
        <v>60.8</v>
      </c>
      <c r="G2389">
        <f t="shared" si="370"/>
        <v>1</v>
      </c>
      <c r="H2389">
        <f t="shared" si="371"/>
        <v>1</v>
      </c>
      <c r="I2389">
        <f t="shared" si="372"/>
        <v>0</v>
      </c>
      <c r="J2389">
        <v>67.400000000000006</v>
      </c>
      <c r="K2389">
        <v>76.900000000000006</v>
      </c>
      <c r="L2389">
        <v>60.8</v>
      </c>
      <c r="M2389">
        <v>67.400000000000006</v>
      </c>
      <c r="N2389">
        <v>55.2</v>
      </c>
      <c r="O2389">
        <v>65.900000000000006</v>
      </c>
      <c r="S2389">
        <f t="shared" si="373"/>
        <v>0</v>
      </c>
      <c r="T2389">
        <f t="shared" si="374"/>
        <v>0</v>
      </c>
      <c r="U2389">
        <f t="shared" si="375"/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24.2</v>
      </c>
      <c r="AC2389">
        <v>20.8</v>
      </c>
      <c r="AG2389">
        <f t="shared" si="376"/>
        <v>1</v>
      </c>
      <c r="AH2389">
        <f t="shared" si="377"/>
        <v>1</v>
      </c>
      <c r="AI2389">
        <f t="shared" si="378"/>
        <v>0</v>
      </c>
      <c r="AJ2389">
        <v>174.6</v>
      </c>
      <c r="AK2389">
        <v>1016.9</v>
      </c>
      <c r="AL2389">
        <v>56.8</v>
      </c>
      <c r="AM2389">
        <v>6.2</v>
      </c>
      <c r="AN2389">
        <v>118</v>
      </c>
      <c r="AO2389">
        <v>10.199999999999999</v>
      </c>
      <c r="AP2389">
        <v>5</v>
      </c>
      <c r="AQ2389">
        <v>0</v>
      </c>
      <c r="AR2389" t="s">
        <v>8229</v>
      </c>
      <c r="AS2389" t="s">
        <v>8230</v>
      </c>
      <c r="AT2389">
        <v>0.64</v>
      </c>
      <c r="AU2389" t="s">
        <v>43</v>
      </c>
      <c r="AV2389" t="s">
        <v>44</v>
      </c>
      <c r="AW2389" t="s">
        <v>45</v>
      </c>
      <c r="AX2389" t="s">
        <v>7786</v>
      </c>
      <c r="AY2389" t="s">
        <v>8232</v>
      </c>
      <c r="AZ2389">
        <v>402.00000000069849</v>
      </c>
      <c r="BA2389">
        <v>1</v>
      </c>
      <c r="BB2389">
        <v>0</v>
      </c>
      <c r="BC2389">
        <v>1</v>
      </c>
      <c r="BD2389">
        <v>0</v>
      </c>
      <c r="BE2389">
        <f t="shared" si="379"/>
        <v>1</v>
      </c>
    </row>
    <row r="2390" spans="1:57" x14ac:dyDescent="0.25">
      <c r="A2390" t="s">
        <v>39</v>
      </c>
      <c r="B2390" t="s">
        <v>8233</v>
      </c>
      <c r="C2390">
        <v>67.2</v>
      </c>
      <c r="D2390">
        <v>51.8</v>
      </c>
      <c r="G2390">
        <f t="shared" si="370"/>
        <v>1</v>
      </c>
      <c r="H2390">
        <f t="shared" si="371"/>
        <v>1</v>
      </c>
      <c r="I2390">
        <f t="shared" si="372"/>
        <v>0</v>
      </c>
      <c r="J2390">
        <v>58.5</v>
      </c>
      <c r="K2390">
        <v>67.2</v>
      </c>
      <c r="L2390">
        <v>51.8</v>
      </c>
      <c r="M2390">
        <v>58.5</v>
      </c>
      <c r="N2390">
        <v>50.2</v>
      </c>
      <c r="O2390">
        <v>75</v>
      </c>
      <c r="S2390">
        <f t="shared" si="373"/>
        <v>1</v>
      </c>
      <c r="T2390">
        <f t="shared" si="374"/>
        <v>1</v>
      </c>
      <c r="U2390">
        <f t="shared" si="375"/>
        <v>0</v>
      </c>
      <c r="V2390">
        <v>1.9E-2</v>
      </c>
      <c r="W2390">
        <v>100</v>
      </c>
      <c r="X2390">
        <v>4.17</v>
      </c>
      <c r="Y2390" t="s">
        <v>103</v>
      </c>
      <c r="Z2390">
        <v>0</v>
      </c>
      <c r="AA2390">
        <v>0</v>
      </c>
      <c r="AB2390">
        <v>24.2</v>
      </c>
      <c r="AC2390">
        <v>22.9</v>
      </c>
      <c r="AG2390">
        <f t="shared" si="376"/>
        <v>1</v>
      </c>
      <c r="AH2390">
        <f t="shared" si="377"/>
        <v>1</v>
      </c>
      <c r="AI2390">
        <f t="shared" si="378"/>
        <v>0</v>
      </c>
      <c r="AJ2390">
        <v>192</v>
      </c>
      <c r="AK2390">
        <v>1013.9</v>
      </c>
      <c r="AL2390">
        <v>47.3</v>
      </c>
      <c r="AM2390">
        <v>6</v>
      </c>
      <c r="AN2390">
        <v>145.9</v>
      </c>
      <c r="AO2390">
        <v>12.5</v>
      </c>
      <c r="AP2390">
        <v>6</v>
      </c>
      <c r="AQ2390">
        <v>0</v>
      </c>
      <c r="AR2390" t="s">
        <v>8234</v>
      </c>
      <c r="AS2390" t="s">
        <v>8235</v>
      </c>
      <c r="AT2390">
        <v>0.08</v>
      </c>
      <c r="AU2390" t="s">
        <v>106</v>
      </c>
      <c r="AV2390" t="s">
        <v>438</v>
      </c>
      <c r="AW2390" t="s">
        <v>103</v>
      </c>
      <c r="AX2390" t="s">
        <v>2491</v>
      </c>
      <c r="AY2390" t="s">
        <v>8236</v>
      </c>
      <c r="AZ2390">
        <v>90</v>
      </c>
      <c r="BA2390">
        <v>0</v>
      </c>
      <c r="BB2390">
        <v>2</v>
      </c>
      <c r="BC2390">
        <v>0</v>
      </c>
      <c r="BD2390">
        <v>0</v>
      </c>
      <c r="BE2390">
        <f t="shared" si="379"/>
        <v>1</v>
      </c>
    </row>
    <row r="2391" spans="1:57" x14ac:dyDescent="0.25">
      <c r="A2391" t="s">
        <v>39</v>
      </c>
      <c r="B2391" t="s">
        <v>8237</v>
      </c>
      <c r="C2391">
        <v>84.2</v>
      </c>
      <c r="D2391">
        <v>78.8</v>
      </c>
      <c r="G2391">
        <f t="shared" si="370"/>
        <v>0</v>
      </c>
      <c r="H2391">
        <f t="shared" si="371"/>
        <v>0</v>
      </c>
      <c r="I2391">
        <f t="shared" si="372"/>
        <v>0</v>
      </c>
      <c r="J2391">
        <v>80.599999999999994</v>
      </c>
      <c r="K2391">
        <v>90.1</v>
      </c>
      <c r="L2391">
        <v>78.8</v>
      </c>
      <c r="M2391">
        <v>82.8</v>
      </c>
      <c r="N2391">
        <v>70.599999999999994</v>
      </c>
      <c r="O2391">
        <v>72</v>
      </c>
      <c r="S2391">
        <f t="shared" si="373"/>
        <v>1</v>
      </c>
      <c r="T2391">
        <f t="shared" si="374"/>
        <v>1</v>
      </c>
      <c r="U2391">
        <f t="shared" si="375"/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38.700000000000003</v>
      </c>
      <c r="AC2391">
        <v>23.7</v>
      </c>
      <c r="AG2391">
        <f t="shared" si="376"/>
        <v>1</v>
      </c>
      <c r="AH2391">
        <f t="shared" si="377"/>
        <v>1</v>
      </c>
      <c r="AI2391">
        <f t="shared" si="378"/>
        <v>0</v>
      </c>
      <c r="AJ2391">
        <v>306.8</v>
      </c>
      <c r="AK2391">
        <v>1012.5</v>
      </c>
      <c r="AL2391">
        <v>41.5</v>
      </c>
      <c r="AM2391">
        <v>6.2</v>
      </c>
      <c r="AN2391">
        <v>300.8</v>
      </c>
      <c r="AO2391">
        <v>25.8</v>
      </c>
      <c r="AP2391">
        <v>9</v>
      </c>
      <c r="AQ2391">
        <v>0</v>
      </c>
      <c r="AR2391" t="s">
        <v>8238</v>
      </c>
      <c r="AS2391" t="s">
        <v>8239</v>
      </c>
      <c r="AT2391">
        <v>0.98</v>
      </c>
      <c r="AU2391" t="s">
        <v>43</v>
      </c>
      <c r="AV2391" t="s">
        <v>44</v>
      </c>
      <c r="AW2391" t="s">
        <v>45</v>
      </c>
      <c r="AX2391" t="s">
        <v>8240</v>
      </c>
      <c r="AY2391" t="s">
        <v>8241</v>
      </c>
      <c r="AZ2391">
        <v>2254.9999999953429</v>
      </c>
      <c r="BA2391">
        <v>1</v>
      </c>
      <c r="BB2391">
        <v>0</v>
      </c>
      <c r="BC2391">
        <v>0.5</v>
      </c>
      <c r="BD2391">
        <v>0</v>
      </c>
      <c r="BE2391">
        <f t="shared" si="379"/>
        <v>1</v>
      </c>
    </row>
    <row r="2392" spans="1:57" x14ac:dyDescent="0.25">
      <c r="A2392" t="s">
        <v>39</v>
      </c>
      <c r="B2392" t="s">
        <v>8141</v>
      </c>
      <c r="C2392">
        <v>103</v>
      </c>
      <c r="D2392">
        <v>82.4</v>
      </c>
      <c r="G2392">
        <f t="shared" si="370"/>
        <v>1</v>
      </c>
      <c r="H2392">
        <f t="shared" si="371"/>
        <v>1</v>
      </c>
      <c r="I2392">
        <f t="shared" si="372"/>
        <v>0</v>
      </c>
      <c r="J2392">
        <v>91.1</v>
      </c>
      <c r="K2392">
        <v>127.3</v>
      </c>
      <c r="L2392">
        <v>83.9</v>
      </c>
      <c r="M2392">
        <v>104.4</v>
      </c>
      <c r="N2392">
        <v>74.8</v>
      </c>
      <c r="O2392">
        <v>59.2</v>
      </c>
      <c r="S2392">
        <f t="shared" si="373"/>
        <v>0</v>
      </c>
      <c r="T2392">
        <f t="shared" si="374"/>
        <v>0</v>
      </c>
      <c r="U2392">
        <f t="shared" si="375"/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25.7</v>
      </c>
      <c r="AC2392">
        <v>22.9</v>
      </c>
      <c r="AG2392">
        <f t="shared" si="376"/>
        <v>1</v>
      </c>
      <c r="AH2392">
        <f t="shared" si="377"/>
        <v>1</v>
      </c>
      <c r="AI2392">
        <f t="shared" si="378"/>
        <v>0</v>
      </c>
      <c r="AJ2392">
        <v>268.89999999999998</v>
      </c>
      <c r="AK2392">
        <v>1004.6</v>
      </c>
      <c r="AL2392">
        <v>3.9</v>
      </c>
      <c r="AM2392">
        <v>6.2</v>
      </c>
      <c r="AN2392">
        <v>319.3</v>
      </c>
      <c r="AO2392">
        <v>27.6</v>
      </c>
      <c r="AP2392">
        <v>10</v>
      </c>
      <c r="AQ2392">
        <v>0</v>
      </c>
      <c r="AR2392" t="s">
        <v>8142</v>
      </c>
      <c r="AS2392" t="s">
        <v>8143</v>
      </c>
      <c r="AT2392">
        <v>0.93</v>
      </c>
      <c r="AU2392" t="s">
        <v>74</v>
      </c>
      <c r="AV2392" t="s">
        <v>2955</v>
      </c>
      <c r="AW2392" t="s">
        <v>75</v>
      </c>
      <c r="AX2392" t="s">
        <v>8242</v>
      </c>
      <c r="AY2392" t="s">
        <v>8243</v>
      </c>
      <c r="AZ2392">
        <v>1535.999999998603</v>
      </c>
      <c r="BA2392">
        <v>1</v>
      </c>
      <c r="BB2392">
        <v>0</v>
      </c>
      <c r="BC2392">
        <v>8</v>
      </c>
      <c r="BD2392">
        <v>0</v>
      </c>
      <c r="BE2392">
        <f t="shared" si="379"/>
        <v>1</v>
      </c>
    </row>
    <row r="2393" spans="1:57" x14ac:dyDescent="0.25">
      <c r="A2393" t="s">
        <v>39</v>
      </c>
      <c r="B2393" t="s">
        <v>8244</v>
      </c>
      <c r="C2393">
        <v>59</v>
      </c>
      <c r="D2393">
        <v>48.2</v>
      </c>
      <c r="G2393">
        <f t="shared" si="370"/>
        <v>0</v>
      </c>
      <c r="H2393">
        <f t="shared" si="371"/>
        <v>0</v>
      </c>
      <c r="I2393">
        <f t="shared" si="372"/>
        <v>0</v>
      </c>
      <c r="J2393">
        <v>53.8</v>
      </c>
      <c r="K2393">
        <v>59</v>
      </c>
      <c r="L2393">
        <v>44.3</v>
      </c>
      <c r="M2393">
        <v>53.6</v>
      </c>
      <c r="N2393">
        <v>44.5</v>
      </c>
      <c r="O2393">
        <v>71.2</v>
      </c>
      <c r="S2393">
        <f t="shared" si="373"/>
        <v>1</v>
      </c>
      <c r="T2393">
        <f t="shared" si="374"/>
        <v>1</v>
      </c>
      <c r="U2393">
        <f t="shared" si="375"/>
        <v>0</v>
      </c>
      <c r="V2393">
        <v>2.7E-2</v>
      </c>
      <c r="W2393">
        <v>100</v>
      </c>
      <c r="X2393">
        <v>4.17</v>
      </c>
      <c r="Y2393" t="s">
        <v>103</v>
      </c>
      <c r="Z2393">
        <v>0</v>
      </c>
      <c r="AA2393">
        <v>0</v>
      </c>
      <c r="AB2393">
        <v>41.4</v>
      </c>
      <c r="AC2393">
        <v>31.9</v>
      </c>
      <c r="AG2393">
        <f t="shared" si="376"/>
        <v>1</v>
      </c>
      <c r="AH2393">
        <f t="shared" si="377"/>
        <v>1</v>
      </c>
      <c r="AI2393">
        <f t="shared" si="378"/>
        <v>0</v>
      </c>
      <c r="AJ2393">
        <v>275</v>
      </c>
      <c r="AK2393">
        <v>1010</v>
      </c>
      <c r="AL2393">
        <v>50</v>
      </c>
      <c r="AM2393">
        <v>6.2</v>
      </c>
      <c r="AN2393">
        <v>114.8</v>
      </c>
      <c r="AO2393">
        <v>9.8000000000000007</v>
      </c>
      <c r="AP2393">
        <v>5</v>
      </c>
      <c r="AQ2393">
        <v>0</v>
      </c>
      <c r="AR2393" t="s">
        <v>8245</v>
      </c>
      <c r="AS2393" t="s">
        <v>8246</v>
      </c>
      <c r="AT2393">
        <v>0.04</v>
      </c>
      <c r="AU2393" t="s">
        <v>106</v>
      </c>
      <c r="AV2393" t="s">
        <v>438</v>
      </c>
      <c r="AW2393" t="s">
        <v>103</v>
      </c>
      <c r="AX2393" t="s">
        <v>7612</v>
      </c>
      <c r="AY2393" t="s">
        <v>8247</v>
      </c>
      <c r="AZ2393">
        <v>47.999999999301508</v>
      </c>
      <c r="BA2393">
        <v>0</v>
      </c>
      <c r="BB2393">
        <v>0</v>
      </c>
      <c r="BC2393">
        <v>0.05</v>
      </c>
      <c r="BD2393">
        <v>0</v>
      </c>
      <c r="BE2393">
        <f t="shared" si="379"/>
        <v>0</v>
      </c>
    </row>
    <row r="2394" spans="1:57" x14ac:dyDescent="0.25">
      <c r="A2394" t="s">
        <v>39</v>
      </c>
      <c r="B2394" t="s">
        <v>8248</v>
      </c>
      <c r="C2394">
        <v>62.6</v>
      </c>
      <c r="D2394">
        <v>46.4</v>
      </c>
      <c r="G2394">
        <f t="shared" si="370"/>
        <v>1</v>
      </c>
      <c r="H2394">
        <f t="shared" si="371"/>
        <v>1</v>
      </c>
      <c r="I2394">
        <f t="shared" si="372"/>
        <v>0</v>
      </c>
      <c r="J2394">
        <v>56.1</v>
      </c>
      <c r="K2394">
        <v>62.6</v>
      </c>
      <c r="L2394">
        <v>43.5</v>
      </c>
      <c r="M2394">
        <v>55.6</v>
      </c>
      <c r="N2394">
        <v>50.7</v>
      </c>
      <c r="O2394">
        <v>82.5</v>
      </c>
      <c r="S2394">
        <f t="shared" si="373"/>
        <v>1</v>
      </c>
      <c r="T2394">
        <f t="shared" si="374"/>
        <v>1</v>
      </c>
      <c r="U2394">
        <f t="shared" si="375"/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28.9</v>
      </c>
      <c r="AC2394">
        <v>18.3</v>
      </c>
      <c r="AG2394">
        <f t="shared" si="376"/>
        <v>1</v>
      </c>
      <c r="AH2394">
        <f t="shared" si="377"/>
        <v>0</v>
      </c>
      <c r="AI2394">
        <f t="shared" si="378"/>
        <v>1</v>
      </c>
      <c r="AJ2394">
        <v>303.7</v>
      </c>
      <c r="AK2394">
        <v>1020.6</v>
      </c>
      <c r="AL2394">
        <v>55.9</v>
      </c>
      <c r="AM2394">
        <v>6.2</v>
      </c>
      <c r="AN2394">
        <v>203.2</v>
      </c>
      <c r="AO2394">
        <v>17.399999999999999</v>
      </c>
      <c r="AP2394">
        <v>8</v>
      </c>
      <c r="AQ2394">
        <v>0</v>
      </c>
      <c r="AR2394" t="s">
        <v>8249</v>
      </c>
      <c r="AS2394" t="s">
        <v>8250</v>
      </c>
      <c r="AT2394">
        <v>0.54</v>
      </c>
      <c r="AU2394" t="s">
        <v>43</v>
      </c>
      <c r="AV2394" t="s">
        <v>44</v>
      </c>
      <c r="AW2394" t="s">
        <v>45</v>
      </c>
      <c r="AX2394" t="s">
        <v>4815</v>
      </c>
      <c r="AY2394" t="s">
        <v>8251</v>
      </c>
      <c r="AZ2394">
        <v>1364.999999996508</v>
      </c>
      <c r="BA2394">
        <v>1</v>
      </c>
      <c r="BB2394">
        <v>0</v>
      </c>
      <c r="BC2394">
        <v>5</v>
      </c>
      <c r="BD2394">
        <v>0</v>
      </c>
      <c r="BE2394">
        <f t="shared" si="379"/>
        <v>1</v>
      </c>
    </row>
    <row r="2395" spans="1:57" x14ac:dyDescent="0.25">
      <c r="A2395" t="s">
        <v>39</v>
      </c>
      <c r="B2395" t="s">
        <v>8252</v>
      </c>
      <c r="C2395">
        <v>74.400000000000006</v>
      </c>
      <c r="D2395">
        <v>68</v>
      </c>
      <c r="G2395">
        <f t="shared" si="370"/>
        <v>1</v>
      </c>
      <c r="H2395">
        <f t="shared" si="371"/>
        <v>0</v>
      </c>
      <c r="I2395">
        <f t="shared" si="372"/>
        <v>1</v>
      </c>
      <c r="J2395">
        <v>71.2</v>
      </c>
      <c r="K2395">
        <v>74.400000000000006</v>
      </c>
      <c r="L2395">
        <v>68</v>
      </c>
      <c r="M2395">
        <v>71.2</v>
      </c>
      <c r="N2395">
        <v>62.7</v>
      </c>
      <c r="O2395">
        <v>74.7</v>
      </c>
      <c r="S2395">
        <f t="shared" si="373"/>
        <v>1</v>
      </c>
      <c r="T2395">
        <f t="shared" si="374"/>
        <v>1</v>
      </c>
      <c r="U2395">
        <f t="shared" si="375"/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32.200000000000003</v>
      </c>
      <c r="AC2395">
        <v>12.8</v>
      </c>
      <c r="AG2395">
        <f t="shared" si="376"/>
        <v>1</v>
      </c>
      <c r="AH2395">
        <f t="shared" si="377"/>
        <v>0</v>
      </c>
      <c r="AI2395">
        <f t="shared" si="378"/>
        <v>1</v>
      </c>
      <c r="AJ2395">
        <v>310</v>
      </c>
      <c r="AK2395">
        <v>1019.4</v>
      </c>
      <c r="AL2395">
        <v>27.8</v>
      </c>
      <c r="AM2395">
        <v>6.2</v>
      </c>
      <c r="AN2395">
        <v>340.4</v>
      </c>
      <c r="AO2395">
        <v>29.4</v>
      </c>
      <c r="AP2395">
        <v>10</v>
      </c>
      <c r="AQ2395">
        <v>0</v>
      </c>
      <c r="AR2395" t="s">
        <v>8253</v>
      </c>
      <c r="AS2395" t="s">
        <v>8254</v>
      </c>
      <c r="AT2395">
        <v>0.83</v>
      </c>
      <c r="AU2395" t="s">
        <v>43</v>
      </c>
      <c r="AV2395" t="s">
        <v>44</v>
      </c>
      <c r="AW2395" t="s">
        <v>45</v>
      </c>
      <c r="AX2395" t="s">
        <v>4736</v>
      </c>
      <c r="AY2395" t="s">
        <v>8255</v>
      </c>
      <c r="AZ2395">
        <v>830.99999999511056</v>
      </c>
      <c r="BA2395">
        <v>1</v>
      </c>
      <c r="BB2395">
        <v>0</v>
      </c>
      <c r="BC2395">
        <v>1</v>
      </c>
      <c r="BD2395">
        <v>0</v>
      </c>
      <c r="BE2395">
        <f t="shared" si="379"/>
        <v>1</v>
      </c>
    </row>
    <row r="2396" spans="1:57" x14ac:dyDescent="0.25">
      <c r="A2396" t="s">
        <v>39</v>
      </c>
      <c r="B2396" t="s">
        <v>8256</v>
      </c>
      <c r="C2396">
        <v>68</v>
      </c>
      <c r="D2396">
        <v>51.2</v>
      </c>
      <c r="G2396">
        <f t="shared" si="370"/>
        <v>1</v>
      </c>
      <c r="H2396">
        <f t="shared" si="371"/>
        <v>1</v>
      </c>
      <c r="I2396">
        <f t="shared" si="372"/>
        <v>0</v>
      </c>
      <c r="J2396">
        <v>60.1</v>
      </c>
      <c r="K2396">
        <v>68</v>
      </c>
      <c r="L2396">
        <v>51.2</v>
      </c>
      <c r="M2396">
        <v>60.1</v>
      </c>
      <c r="N2396">
        <v>52.2</v>
      </c>
      <c r="O2396">
        <v>76</v>
      </c>
      <c r="S2396">
        <f t="shared" si="373"/>
        <v>1</v>
      </c>
      <c r="T2396">
        <f t="shared" si="374"/>
        <v>1</v>
      </c>
      <c r="U2396">
        <f t="shared" si="375"/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28.9</v>
      </c>
      <c r="AC2396">
        <v>19.7</v>
      </c>
      <c r="AG2396">
        <f t="shared" si="376"/>
        <v>0</v>
      </c>
      <c r="AH2396">
        <f t="shared" si="377"/>
        <v>0</v>
      </c>
      <c r="AI2396">
        <f t="shared" si="378"/>
        <v>0</v>
      </c>
      <c r="AJ2396">
        <v>172.2</v>
      </c>
      <c r="AK2396">
        <v>1018.8</v>
      </c>
      <c r="AL2396">
        <v>42.1</v>
      </c>
      <c r="AM2396">
        <v>6.2</v>
      </c>
      <c r="AN2396">
        <v>116.5</v>
      </c>
      <c r="AO2396">
        <v>10</v>
      </c>
      <c r="AP2396">
        <v>5</v>
      </c>
      <c r="AQ2396">
        <v>0</v>
      </c>
      <c r="AR2396" t="s">
        <v>8257</v>
      </c>
      <c r="AS2396" t="s">
        <v>8258</v>
      </c>
      <c r="AT2396">
        <v>0.62</v>
      </c>
      <c r="AU2396" t="s">
        <v>43</v>
      </c>
      <c r="AV2396" t="s">
        <v>44</v>
      </c>
      <c r="AW2396" t="s">
        <v>45</v>
      </c>
      <c r="AX2396" t="s">
        <v>5835</v>
      </c>
      <c r="AY2396" t="s">
        <v>8259</v>
      </c>
      <c r="AZ2396">
        <v>230.99999999860299</v>
      </c>
      <c r="BA2396">
        <v>0</v>
      </c>
      <c r="BB2396">
        <v>0</v>
      </c>
      <c r="BC2396">
        <v>2.5</v>
      </c>
      <c r="BD2396">
        <v>0</v>
      </c>
      <c r="BE2396">
        <f t="shared" si="379"/>
        <v>0</v>
      </c>
    </row>
    <row r="2397" spans="1:57" x14ac:dyDescent="0.25">
      <c r="A2397" t="s">
        <v>39</v>
      </c>
      <c r="B2397" t="s">
        <v>8260</v>
      </c>
      <c r="C2397">
        <v>73.3</v>
      </c>
      <c r="D2397">
        <v>49.4</v>
      </c>
      <c r="G2397">
        <f t="shared" si="370"/>
        <v>1</v>
      </c>
      <c r="H2397">
        <f t="shared" si="371"/>
        <v>1</v>
      </c>
      <c r="I2397">
        <f t="shared" si="372"/>
        <v>0</v>
      </c>
      <c r="J2397">
        <v>61.4</v>
      </c>
      <c r="K2397">
        <v>73.3</v>
      </c>
      <c r="L2397">
        <v>48</v>
      </c>
      <c r="M2397">
        <v>61.4</v>
      </c>
      <c r="N2397">
        <v>49.3</v>
      </c>
      <c r="O2397">
        <v>66</v>
      </c>
      <c r="S2397">
        <f t="shared" si="373"/>
        <v>1</v>
      </c>
      <c r="T2397">
        <f t="shared" si="374"/>
        <v>0</v>
      </c>
      <c r="U2397">
        <f t="shared" si="375"/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29.8</v>
      </c>
      <c r="AC2397">
        <v>18.3</v>
      </c>
      <c r="AG2397">
        <f t="shared" si="376"/>
        <v>1</v>
      </c>
      <c r="AH2397">
        <f t="shared" si="377"/>
        <v>0</v>
      </c>
      <c r="AI2397">
        <f t="shared" si="378"/>
        <v>1</v>
      </c>
      <c r="AJ2397">
        <v>186.7</v>
      </c>
      <c r="AK2397">
        <v>1015.6</v>
      </c>
      <c r="AL2397">
        <v>16.8</v>
      </c>
      <c r="AM2397">
        <v>6.2</v>
      </c>
      <c r="AN2397">
        <v>182</v>
      </c>
      <c r="AO2397">
        <v>15.6</v>
      </c>
      <c r="AP2397">
        <v>7</v>
      </c>
      <c r="AQ2397">
        <v>0</v>
      </c>
      <c r="AR2397" t="s">
        <v>8261</v>
      </c>
      <c r="AS2397" t="s">
        <v>8262</v>
      </c>
      <c r="AT2397">
        <v>0</v>
      </c>
      <c r="AU2397" t="s">
        <v>74</v>
      </c>
      <c r="AV2397" t="s">
        <v>2955</v>
      </c>
      <c r="AW2397" t="s">
        <v>75</v>
      </c>
      <c r="AX2397" t="s">
        <v>2373</v>
      </c>
      <c r="AY2397" t="s">
        <v>8263</v>
      </c>
      <c r="AZ2397">
        <v>274.99999999534339</v>
      </c>
      <c r="BA2397">
        <v>0</v>
      </c>
      <c r="BB2397">
        <v>0</v>
      </c>
      <c r="BC2397">
        <v>1</v>
      </c>
      <c r="BD2397">
        <v>0</v>
      </c>
      <c r="BE2397">
        <f t="shared" si="379"/>
        <v>1</v>
      </c>
    </row>
    <row r="2398" spans="1:57" x14ac:dyDescent="0.25">
      <c r="A2398" t="s">
        <v>39</v>
      </c>
      <c r="B2398" t="s">
        <v>8264</v>
      </c>
      <c r="C2398">
        <v>75.2</v>
      </c>
      <c r="D2398">
        <v>71.599999999999994</v>
      </c>
      <c r="G2398">
        <f t="shared" si="370"/>
        <v>1</v>
      </c>
      <c r="H2398">
        <f t="shared" si="371"/>
        <v>1</v>
      </c>
      <c r="I2398">
        <f t="shared" si="372"/>
        <v>0</v>
      </c>
      <c r="J2398">
        <v>74.099999999999994</v>
      </c>
      <c r="K2398">
        <v>75.2</v>
      </c>
      <c r="L2398">
        <v>71.599999999999994</v>
      </c>
      <c r="M2398">
        <v>74.099999999999994</v>
      </c>
      <c r="N2398">
        <v>44.5</v>
      </c>
      <c r="O2398">
        <v>34.9</v>
      </c>
      <c r="S2398">
        <f t="shared" si="373"/>
        <v>1</v>
      </c>
      <c r="T2398">
        <f t="shared" si="374"/>
        <v>0</v>
      </c>
      <c r="U2398">
        <f t="shared" si="375"/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45</v>
      </c>
      <c r="AC2398">
        <v>31.1</v>
      </c>
      <c r="AG2398">
        <f t="shared" si="376"/>
        <v>1</v>
      </c>
      <c r="AH2398">
        <f t="shared" si="377"/>
        <v>1</v>
      </c>
      <c r="AI2398">
        <f t="shared" si="378"/>
        <v>0</v>
      </c>
      <c r="AJ2398">
        <v>172.9</v>
      </c>
      <c r="AK2398">
        <v>1011.1</v>
      </c>
      <c r="AL2398">
        <v>33.1</v>
      </c>
      <c r="AM2398">
        <v>6.2</v>
      </c>
      <c r="AN2398">
        <v>241.6</v>
      </c>
      <c r="AO2398">
        <v>20.8</v>
      </c>
      <c r="AP2398">
        <v>8</v>
      </c>
      <c r="AQ2398">
        <v>0</v>
      </c>
      <c r="AR2398" t="s">
        <v>8265</v>
      </c>
      <c r="AS2398" t="s">
        <v>8266</v>
      </c>
      <c r="AT2398">
        <v>0.77</v>
      </c>
      <c r="AU2398" t="s">
        <v>43</v>
      </c>
      <c r="AV2398" t="s">
        <v>44</v>
      </c>
      <c r="AW2398" t="s">
        <v>419</v>
      </c>
      <c r="AX2398" t="s">
        <v>8267</v>
      </c>
      <c r="AY2398" t="s">
        <v>8268</v>
      </c>
      <c r="AZ2398">
        <v>1043.999999997905</v>
      </c>
      <c r="BA2398">
        <v>1</v>
      </c>
      <c r="BB2398">
        <v>0</v>
      </c>
      <c r="BC2398">
        <v>15</v>
      </c>
      <c r="BD2398">
        <v>0</v>
      </c>
      <c r="BE2398">
        <f t="shared" si="379"/>
        <v>1</v>
      </c>
    </row>
    <row r="2399" spans="1:57" x14ac:dyDescent="0.25">
      <c r="A2399" t="s">
        <v>39</v>
      </c>
      <c r="B2399" t="s">
        <v>8269</v>
      </c>
      <c r="C2399">
        <v>60.8</v>
      </c>
      <c r="D2399">
        <v>48.2</v>
      </c>
      <c r="G2399">
        <f t="shared" si="370"/>
        <v>1</v>
      </c>
      <c r="H2399">
        <f t="shared" si="371"/>
        <v>0</v>
      </c>
      <c r="I2399">
        <f t="shared" si="372"/>
        <v>1</v>
      </c>
      <c r="J2399">
        <v>55.8</v>
      </c>
      <c r="K2399">
        <v>60.8</v>
      </c>
      <c r="L2399">
        <v>47.3</v>
      </c>
      <c r="M2399">
        <v>55.7</v>
      </c>
      <c r="N2399">
        <v>45.1</v>
      </c>
      <c r="O2399">
        <v>67.7</v>
      </c>
      <c r="S2399">
        <f t="shared" si="373"/>
        <v>1</v>
      </c>
      <c r="T2399">
        <f t="shared" si="374"/>
        <v>1</v>
      </c>
      <c r="U2399">
        <f t="shared" si="375"/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29.1</v>
      </c>
      <c r="AC2399">
        <v>12.8</v>
      </c>
      <c r="AG2399">
        <f t="shared" si="376"/>
        <v>1</v>
      </c>
      <c r="AH2399">
        <f t="shared" si="377"/>
        <v>0</v>
      </c>
      <c r="AI2399">
        <f t="shared" si="378"/>
        <v>1</v>
      </c>
      <c r="AJ2399">
        <v>322.2</v>
      </c>
      <c r="AK2399">
        <v>1023.1</v>
      </c>
      <c r="AL2399">
        <v>32.799999999999997</v>
      </c>
      <c r="AM2399">
        <v>6.2</v>
      </c>
      <c r="AN2399">
        <v>285.10000000000002</v>
      </c>
      <c r="AO2399">
        <v>24.6</v>
      </c>
      <c r="AP2399">
        <v>9</v>
      </c>
      <c r="AQ2399">
        <v>0</v>
      </c>
      <c r="AR2399" t="s">
        <v>8270</v>
      </c>
      <c r="AS2399" t="s">
        <v>8271</v>
      </c>
      <c r="AT2399">
        <v>0.97</v>
      </c>
      <c r="AU2399" t="s">
        <v>43</v>
      </c>
      <c r="AV2399" t="s">
        <v>44</v>
      </c>
      <c r="AW2399" t="s">
        <v>45</v>
      </c>
      <c r="AX2399" t="s">
        <v>8272</v>
      </c>
      <c r="AY2399" t="s">
        <v>8273</v>
      </c>
      <c r="AZ2399">
        <v>55.999999993946403</v>
      </c>
      <c r="BA2399">
        <v>0</v>
      </c>
      <c r="BB2399">
        <v>1</v>
      </c>
      <c r="BC2399">
        <v>0</v>
      </c>
      <c r="BD2399">
        <v>0</v>
      </c>
      <c r="BE2399">
        <f t="shared" si="379"/>
        <v>0</v>
      </c>
    </row>
    <row r="2400" spans="1:57" x14ac:dyDescent="0.25">
      <c r="A2400" t="s">
        <v>39</v>
      </c>
      <c r="B2400" t="s">
        <v>8274</v>
      </c>
      <c r="C2400">
        <v>69.8</v>
      </c>
      <c r="D2400">
        <v>55.4</v>
      </c>
      <c r="G2400">
        <f t="shared" si="370"/>
        <v>1</v>
      </c>
      <c r="H2400">
        <f t="shared" si="371"/>
        <v>1</v>
      </c>
      <c r="I2400">
        <f t="shared" si="372"/>
        <v>0</v>
      </c>
      <c r="J2400">
        <v>62.6</v>
      </c>
      <c r="K2400">
        <v>69.8</v>
      </c>
      <c r="L2400">
        <v>55.4</v>
      </c>
      <c r="M2400">
        <v>62.6</v>
      </c>
      <c r="N2400">
        <v>57.1</v>
      </c>
      <c r="O2400">
        <v>82.6</v>
      </c>
      <c r="S2400">
        <f t="shared" si="373"/>
        <v>1</v>
      </c>
      <c r="T2400">
        <f t="shared" si="374"/>
        <v>1</v>
      </c>
      <c r="U2400">
        <f t="shared" si="375"/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19.5</v>
      </c>
      <c r="AC2400">
        <v>14.5</v>
      </c>
      <c r="AG2400">
        <f t="shared" si="376"/>
        <v>1</v>
      </c>
      <c r="AH2400">
        <f t="shared" si="377"/>
        <v>0</v>
      </c>
      <c r="AI2400">
        <f t="shared" si="378"/>
        <v>1</v>
      </c>
      <c r="AJ2400">
        <v>332.2</v>
      </c>
      <c r="AK2400">
        <v>1014.3</v>
      </c>
      <c r="AL2400">
        <v>67.900000000000006</v>
      </c>
      <c r="AM2400">
        <v>6.2</v>
      </c>
      <c r="AN2400">
        <v>238</v>
      </c>
      <c r="AO2400">
        <v>20.6</v>
      </c>
      <c r="AP2400">
        <v>9</v>
      </c>
      <c r="AQ2400">
        <v>0</v>
      </c>
      <c r="AR2400" t="s">
        <v>8275</v>
      </c>
      <c r="AS2400" t="s">
        <v>8276</v>
      </c>
      <c r="AT2400">
        <v>0.41</v>
      </c>
      <c r="AU2400" t="s">
        <v>43</v>
      </c>
      <c r="AV2400" t="s">
        <v>44</v>
      </c>
      <c r="AW2400" t="s">
        <v>45</v>
      </c>
      <c r="AX2400" t="s">
        <v>4712</v>
      </c>
      <c r="AY2400" t="s">
        <v>8277</v>
      </c>
      <c r="AZ2400">
        <v>519.99999999767169</v>
      </c>
      <c r="BA2400">
        <v>1</v>
      </c>
      <c r="BB2400">
        <v>0</v>
      </c>
      <c r="BC2400">
        <v>1</v>
      </c>
      <c r="BD2400">
        <v>0</v>
      </c>
      <c r="BE2400">
        <f t="shared" si="379"/>
        <v>1</v>
      </c>
    </row>
    <row r="2401" spans="1:57" x14ac:dyDescent="0.25">
      <c r="A2401" t="s">
        <v>39</v>
      </c>
      <c r="B2401" t="s">
        <v>8278</v>
      </c>
      <c r="C2401">
        <v>77</v>
      </c>
      <c r="D2401">
        <v>59</v>
      </c>
      <c r="G2401">
        <f t="shared" si="370"/>
        <v>1</v>
      </c>
      <c r="H2401">
        <f t="shared" si="371"/>
        <v>1</v>
      </c>
      <c r="I2401">
        <f t="shared" si="372"/>
        <v>0</v>
      </c>
      <c r="J2401">
        <v>69</v>
      </c>
      <c r="K2401">
        <v>77</v>
      </c>
      <c r="L2401">
        <v>59</v>
      </c>
      <c r="M2401">
        <v>69</v>
      </c>
      <c r="N2401">
        <v>62.6</v>
      </c>
      <c r="O2401">
        <v>80.5</v>
      </c>
      <c r="S2401">
        <f t="shared" si="373"/>
        <v>1</v>
      </c>
      <c r="T2401">
        <f t="shared" si="374"/>
        <v>1</v>
      </c>
      <c r="U2401">
        <f t="shared" si="375"/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23.5</v>
      </c>
      <c r="AC2401">
        <v>12.7</v>
      </c>
      <c r="AG2401">
        <f t="shared" si="376"/>
        <v>1</v>
      </c>
      <c r="AH2401">
        <f t="shared" si="377"/>
        <v>0</v>
      </c>
      <c r="AI2401">
        <f t="shared" si="378"/>
        <v>1</v>
      </c>
      <c r="AJ2401">
        <v>5.3</v>
      </c>
      <c r="AK2401">
        <v>1011.8</v>
      </c>
      <c r="AL2401">
        <v>17.899999999999999</v>
      </c>
      <c r="AM2401">
        <v>6.2</v>
      </c>
      <c r="AN2401">
        <v>332.1</v>
      </c>
      <c r="AO2401">
        <v>28.6</v>
      </c>
      <c r="AP2401">
        <v>10</v>
      </c>
      <c r="AQ2401">
        <v>0</v>
      </c>
      <c r="AR2401" t="s">
        <v>8279</v>
      </c>
      <c r="AS2401" t="s">
        <v>8280</v>
      </c>
      <c r="AT2401">
        <v>0.66</v>
      </c>
      <c r="AU2401" t="s">
        <v>74</v>
      </c>
      <c r="AV2401" t="s">
        <v>2955</v>
      </c>
      <c r="AW2401" t="s">
        <v>75</v>
      </c>
      <c r="AX2401" t="s">
        <v>8281</v>
      </c>
      <c r="AY2401" t="s">
        <v>8282</v>
      </c>
      <c r="AZ2401">
        <v>1019.0000000002329</v>
      </c>
      <c r="BA2401">
        <v>1</v>
      </c>
      <c r="BB2401">
        <v>0</v>
      </c>
      <c r="BC2401">
        <v>1</v>
      </c>
      <c r="BD2401">
        <v>0</v>
      </c>
      <c r="BE2401">
        <f t="shared" si="379"/>
        <v>1</v>
      </c>
    </row>
    <row r="2402" spans="1:57" x14ac:dyDescent="0.25">
      <c r="A2402" t="s">
        <v>39</v>
      </c>
      <c r="B2402" t="s">
        <v>8283</v>
      </c>
      <c r="C2402">
        <v>75.2</v>
      </c>
      <c r="D2402">
        <v>57.2</v>
      </c>
      <c r="G2402">
        <f t="shared" si="370"/>
        <v>1</v>
      </c>
      <c r="H2402">
        <f t="shared" si="371"/>
        <v>0</v>
      </c>
      <c r="I2402">
        <f t="shared" si="372"/>
        <v>1</v>
      </c>
      <c r="J2402">
        <v>68.2</v>
      </c>
      <c r="K2402">
        <v>75.2</v>
      </c>
      <c r="L2402">
        <v>57.2</v>
      </c>
      <c r="M2402">
        <v>68.2</v>
      </c>
      <c r="N2402">
        <v>61.1</v>
      </c>
      <c r="O2402">
        <v>78.5</v>
      </c>
      <c r="S2402">
        <f t="shared" si="373"/>
        <v>1</v>
      </c>
      <c r="T2402">
        <f t="shared" si="374"/>
        <v>1</v>
      </c>
      <c r="U2402">
        <f t="shared" si="375"/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32</v>
      </c>
      <c r="AC2402">
        <v>13.9</v>
      </c>
      <c r="AG2402">
        <f t="shared" si="376"/>
        <v>1</v>
      </c>
      <c r="AH2402">
        <f t="shared" si="377"/>
        <v>0</v>
      </c>
      <c r="AI2402">
        <f t="shared" si="378"/>
        <v>1</v>
      </c>
      <c r="AJ2402">
        <v>300.2</v>
      </c>
      <c r="AK2402">
        <v>1020</v>
      </c>
      <c r="AL2402">
        <v>20.8</v>
      </c>
      <c r="AM2402">
        <v>6.2</v>
      </c>
      <c r="AN2402">
        <v>338.5</v>
      </c>
      <c r="AO2402">
        <v>29.3</v>
      </c>
      <c r="AP2402">
        <v>10</v>
      </c>
      <c r="AQ2402">
        <v>0</v>
      </c>
      <c r="AR2402" t="s">
        <v>8284</v>
      </c>
      <c r="AS2402" t="s">
        <v>8285</v>
      </c>
      <c r="AT2402">
        <v>0.8</v>
      </c>
      <c r="AU2402" t="s">
        <v>43</v>
      </c>
      <c r="AV2402" t="s">
        <v>44</v>
      </c>
      <c r="AW2402" t="s">
        <v>45</v>
      </c>
      <c r="AX2402" t="s">
        <v>2754</v>
      </c>
      <c r="AY2402" t="s">
        <v>8286</v>
      </c>
      <c r="AZ2402">
        <v>149.99999999650751</v>
      </c>
      <c r="BA2402">
        <v>0</v>
      </c>
      <c r="BB2402">
        <v>2.5</v>
      </c>
      <c r="BC2402">
        <v>0</v>
      </c>
      <c r="BD2402">
        <v>0</v>
      </c>
      <c r="BE2402">
        <f t="shared" si="379"/>
        <v>0</v>
      </c>
    </row>
    <row r="2403" spans="1:57" x14ac:dyDescent="0.25">
      <c r="A2403" t="s">
        <v>39</v>
      </c>
      <c r="B2403" t="s">
        <v>8287</v>
      </c>
      <c r="C2403">
        <v>81.400000000000006</v>
      </c>
      <c r="D2403">
        <v>66.2</v>
      </c>
      <c r="G2403">
        <f t="shared" si="370"/>
        <v>0</v>
      </c>
      <c r="H2403">
        <f t="shared" si="371"/>
        <v>0</v>
      </c>
      <c r="I2403">
        <f t="shared" si="372"/>
        <v>0</v>
      </c>
      <c r="J2403">
        <v>75</v>
      </c>
      <c r="K2403">
        <v>85.4</v>
      </c>
      <c r="L2403">
        <v>66.2</v>
      </c>
      <c r="M2403">
        <v>76</v>
      </c>
      <c r="N2403">
        <v>66.599999999999994</v>
      </c>
      <c r="O2403">
        <v>75.5</v>
      </c>
      <c r="S2403">
        <f t="shared" si="373"/>
        <v>1</v>
      </c>
      <c r="T2403">
        <f t="shared" si="374"/>
        <v>1</v>
      </c>
      <c r="U2403">
        <f t="shared" si="375"/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20.100000000000001</v>
      </c>
      <c r="AC2403">
        <v>6.3</v>
      </c>
      <c r="AG2403">
        <f t="shared" si="376"/>
        <v>1</v>
      </c>
      <c r="AH2403">
        <f t="shared" si="377"/>
        <v>0</v>
      </c>
      <c r="AI2403">
        <f t="shared" si="378"/>
        <v>1</v>
      </c>
      <c r="AJ2403">
        <v>344.3</v>
      </c>
      <c r="AK2403">
        <v>1010.5</v>
      </c>
      <c r="AL2403">
        <v>21</v>
      </c>
      <c r="AM2403">
        <v>6.2</v>
      </c>
      <c r="AN2403">
        <v>323.2</v>
      </c>
      <c r="AO2403">
        <v>27.6</v>
      </c>
      <c r="AP2403">
        <v>9</v>
      </c>
      <c r="AQ2403">
        <v>0</v>
      </c>
      <c r="AR2403" t="s">
        <v>8288</v>
      </c>
      <c r="AS2403" t="s">
        <v>8289</v>
      </c>
      <c r="AT2403">
        <v>0.35</v>
      </c>
      <c r="AU2403" t="s">
        <v>43</v>
      </c>
      <c r="AV2403" t="s">
        <v>44</v>
      </c>
      <c r="AW2403" t="s">
        <v>45</v>
      </c>
      <c r="AX2403" t="s">
        <v>2670</v>
      </c>
      <c r="AY2403" t="s">
        <v>8290</v>
      </c>
      <c r="AZ2403">
        <v>90</v>
      </c>
      <c r="BA2403">
        <v>0</v>
      </c>
      <c r="BB2403">
        <v>0</v>
      </c>
      <c r="BC2403">
        <v>0.5</v>
      </c>
      <c r="BD2403">
        <v>0</v>
      </c>
      <c r="BE2403">
        <f t="shared" si="379"/>
        <v>0</v>
      </c>
    </row>
    <row r="2404" spans="1:57" x14ac:dyDescent="0.25">
      <c r="A2404" t="s">
        <v>39</v>
      </c>
      <c r="B2404" t="s">
        <v>8291</v>
      </c>
      <c r="C2404">
        <v>88.8</v>
      </c>
      <c r="D2404">
        <v>80.599999999999994</v>
      </c>
      <c r="G2404">
        <f t="shared" si="370"/>
        <v>1</v>
      </c>
      <c r="H2404">
        <f t="shared" si="371"/>
        <v>1</v>
      </c>
      <c r="I2404">
        <f t="shared" si="372"/>
        <v>0</v>
      </c>
      <c r="J2404">
        <v>84.4</v>
      </c>
      <c r="K2404">
        <v>94.9</v>
      </c>
      <c r="L2404">
        <v>84.5</v>
      </c>
      <c r="M2404">
        <v>89.1</v>
      </c>
      <c r="N2404">
        <v>70.7</v>
      </c>
      <c r="O2404">
        <v>64.099999999999994</v>
      </c>
      <c r="S2404">
        <f t="shared" si="373"/>
        <v>1</v>
      </c>
      <c r="T2404">
        <f t="shared" si="374"/>
        <v>1</v>
      </c>
      <c r="U2404">
        <f t="shared" si="375"/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34.700000000000003</v>
      </c>
      <c r="AC2404">
        <v>23</v>
      </c>
      <c r="AG2404">
        <f t="shared" si="376"/>
        <v>1</v>
      </c>
      <c r="AH2404">
        <f t="shared" si="377"/>
        <v>1</v>
      </c>
      <c r="AI2404">
        <f t="shared" si="378"/>
        <v>0</v>
      </c>
      <c r="AJ2404">
        <v>304.2</v>
      </c>
      <c r="AK2404">
        <v>1012.8</v>
      </c>
      <c r="AL2404">
        <v>0.4</v>
      </c>
      <c r="AM2404">
        <v>6.2</v>
      </c>
      <c r="AN2404">
        <v>339.6</v>
      </c>
      <c r="AO2404">
        <v>29.2</v>
      </c>
      <c r="AP2404">
        <v>10</v>
      </c>
      <c r="AQ2404">
        <v>0</v>
      </c>
      <c r="AR2404" t="s">
        <v>8292</v>
      </c>
      <c r="AS2404" t="s">
        <v>8293</v>
      </c>
      <c r="AT2404">
        <v>0.65</v>
      </c>
      <c r="AU2404" t="s">
        <v>74</v>
      </c>
      <c r="AV2404" t="s">
        <v>2955</v>
      </c>
      <c r="AW2404" t="s">
        <v>75</v>
      </c>
      <c r="AX2404" t="s">
        <v>7861</v>
      </c>
      <c r="AY2404" t="s">
        <v>8294</v>
      </c>
      <c r="AZ2404">
        <v>3549.9999999941788</v>
      </c>
      <c r="BA2404">
        <v>1</v>
      </c>
      <c r="BB2404">
        <v>0</v>
      </c>
      <c r="BC2404">
        <v>20</v>
      </c>
      <c r="BD2404">
        <v>0</v>
      </c>
      <c r="BE2404">
        <f t="shared" si="379"/>
        <v>1</v>
      </c>
    </row>
    <row r="2405" spans="1:57" x14ac:dyDescent="0.25">
      <c r="A2405" t="s">
        <v>39</v>
      </c>
      <c r="B2405" t="s">
        <v>8295</v>
      </c>
      <c r="C2405">
        <v>82.4</v>
      </c>
      <c r="D2405">
        <v>78.8</v>
      </c>
      <c r="G2405">
        <f t="shared" si="370"/>
        <v>0</v>
      </c>
      <c r="H2405">
        <f t="shared" si="371"/>
        <v>0</v>
      </c>
      <c r="I2405">
        <f t="shared" si="372"/>
        <v>0</v>
      </c>
      <c r="J2405">
        <v>80.400000000000006</v>
      </c>
      <c r="K2405">
        <v>89.4</v>
      </c>
      <c r="L2405">
        <v>78.8</v>
      </c>
      <c r="M2405">
        <v>82.8</v>
      </c>
      <c r="N2405">
        <v>71.7</v>
      </c>
      <c r="O2405">
        <v>75.2</v>
      </c>
      <c r="S2405">
        <f t="shared" si="373"/>
        <v>1</v>
      </c>
      <c r="T2405">
        <f t="shared" si="374"/>
        <v>1</v>
      </c>
      <c r="U2405">
        <f t="shared" si="375"/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42.5</v>
      </c>
      <c r="AC2405">
        <v>24.2</v>
      </c>
      <c r="AG2405">
        <f t="shared" si="376"/>
        <v>1</v>
      </c>
      <c r="AH2405">
        <f t="shared" si="377"/>
        <v>1</v>
      </c>
      <c r="AI2405">
        <f t="shared" si="378"/>
        <v>0</v>
      </c>
      <c r="AJ2405">
        <v>310.60000000000002</v>
      </c>
      <c r="AK2405">
        <v>1010.1</v>
      </c>
      <c r="AL2405">
        <v>32.6</v>
      </c>
      <c r="AM2405">
        <v>6.2</v>
      </c>
      <c r="AN2405">
        <v>319.8</v>
      </c>
      <c r="AO2405">
        <v>27.7</v>
      </c>
      <c r="AP2405">
        <v>9</v>
      </c>
      <c r="AQ2405">
        <v>0</v>
      </c>
      <c r="AR2405" t="s">
        <v>8296</v>
      </c>
      <c r="AS2405" t="s">
        <v>8297</v>
      </c>
      <c r="AT2405">
        <v>0.47</v>
      </c>
      <c r="AU2405" t="s">
        <v>43</v>
      </c>
      <c r="AV2405" t="s">
        <v>44</v>
      </c>
      <c r="AW2405" t="s">
        <v>45</v>
      </c>
      <c r="AX2405" t="s">
        <v>2582</v>
      </c>
      <c r="AY2405" t="s">
        <v>8298</v>
      </c>
      <c r="AZ2405">
        <v>1918.000000007451</v>
      </c>
      <c r="BA2405">
        <v>1</v>
      </c>
      <c r="BB2405">
        <v>0</v>
      </c>
      <c r="BC2405">
        <v>5</v>
      </c>
      <c r="BD2405">
        <v>0</v>
      </c>
      <c r="BE2405">
        <f t="shared" si="379"/>
        <v>1</v>
      </c>
    </row>
    <row r="2406" spans="1:57" x14ac:dyDescent="0.25">
      <c r="A2406" t="s">
        <v>39</v>
      </c>
      <c r="B2406" t="s">
        <v>8299</v>
      </c>
      <c r="C2406">
        <v>82.4</v>
      </c>
      <c r="D2406">
        <v>77</v>
      </c>
      <c r="G2406">
        <f t="shared" si="370"/>
        <v>0</v>
      </c>
      <c r="H2406">
        <f t="shared" si="371"/>
        <v>0</v>
      </c>
      <c r="I2406">
        <f t="shared" si="372"/>
        <v>0</v>
      </c>
      <c r="J2406">
        <v>79.900000000000006</v>
      </c>
      <c r="K2406">
        <v>88.3</v>
      </c>
      <c r="L2406">
        <v>77</v>
      </c>
      <c r="M2406">
        <v>81.900000000000006</v>
      </c>
      <c r="N2406">
        <v>69.8</v>
      </c>
      <c r="O2406">
        <v>71.5</v>
      </c>
      <c r="S2406">
        <f t="shared" si="373"/>
        <v>1</v>
      </c>
      <c r="T2406">
        <f t="shared" si="374"/>
        <v>1</v>
      </c>
      <c r="U2406">
        <f t="shared" si="375"/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41.6</v>
      </c>
      <c r="AC2406">
        <v>25.3</v>
      </c>
      <c r="AG2406">
        <f t="shared" si="376"/>
        <v>1</v>
      </c>
      <c r="AH2406">
        <f t="shared" si="377"/>
        <v>1</v>
      </c>
      <c r="AI2406">
        <f t="shared" si="378"/>
        <v>0</v>
      </c>
      <c r="AJ2406">
        <v>309.89999999999998</v>
      </c>
      <c r="AK2406">
        <v>1009.6</v>
      </c>
      <c r="AL2406">
        <v>23.9</v>
      </c>
      <c r="AM2406">
        <v>6.2</v>
      </c>
      <c r="AN2406">
        <v>315.5</v>
      </c>
      <c r="AO2406">
        <v>27.2</v>
      </c>
      <c r="AP2406">
        <v>9</v>
      </c>
      <c r="AQ2406">
        <v>0</v>
      </c>
      <c r="AR2406" t="s">
        <v>8300</v>
      </c>
      <c r="AS2406" t="s">
        <v>8301</v>
      </c>
      <c r="AT2406">
        <v>0.5</v>
      </c>
      <c r="AU2406" t="s">
        <v>43</v>
      </c>
      <c r="AV2406" t="s">
        <v>44</v>
      </c>
      <c r="AW2406" t="s">
        <v>45</v>
      </c>
      <c r="AX2406" t="s">
        <v>8302</v>
      </c>
      <c r="AY2406" t="s">
        <v>8303</v>
      </c>
      <c r="AZ2406">
        <v>1235.999999995111</v>
      </c>
      <c r="BA2406">
        <v>1</v>
      </c>
      <c r="BB2406">
        <v>0</v>
      </c>
      <c r="BC2406">
        <v>1</v>
      </c>
      <c r="BD2406">
        <v>0</v>
      </c>
      <c r="BE2406">
        <f t="shared" si="379"/>
        <v>1</v>
      </c>
    </row>
    <row r="2407" spans="1:57" x14ac:dyDescent="0.25">
      <c r="A2407" t="s">
        <v>39</v>
      </c>
      <c r="B2407" t="s">
        <v>8304</v>
      </c>
      <c r="C2407">
        <v>87.8</v>
      </c>
      <c r="D2407">
        <v>73.400000000000006</v>
      </c>
      <c r="G2407">
        <f t="shared" si="370"/>
        <v>1</v>
      </c>
      <c r="H2407">
        <f t="shared" si="371"/>
        <v>1</v>
      </c>
      <c r="I2407">
        <f t="shared" si="372"/>
        <v>0</v>
      </c>
      <c r="J2407">
        <v>83</v>
      </c>
      <c r="K2407">
        <v>102.4</v>
      </c>
      <c r="L2407">
        <v>73.400000000000006</v>
      </c>
      <c r="M2407">
        <v>90.3</v>
      </c>
      <c r="N2407">
        <v>74.5</v>
      </c>
      <c r="O2407">
        <v>75.8</v>
      </c>
      <c r="S2407">
        <f t="shared" si="373"/>
        <v>1</v>
      </c>
      <c r="T2407">
        <f t="shared" si="374"/>
        <v>1</v>
      </c>
      <c r="U2407">
        <f t="shared" si="375"/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27.5</v>
      </c>
      <c r="AC2407">
        <v>20.8</v>
      </c>
      <c r="AG2407">
        <f t="shared" si="376"/>
        <v>1</v>
      </c>
      <c r="AH2407">
        <f t="shared" si="377"/>
        <v>1</v>
      </c>
      <c r="AI2407">
        <f t="shared" si="378"/>
        <v>0</v>
      </c>
      <c r="AJ2407">
        <v>286.3</v>
      </c>
      <c r="AK2407">
        <v>1009.4</v>
      </c>
      <c r="AL2407">
        <v>0</v>
      </c>
      <c r="AM2407">
        <v>6.2</v>
      </c>
      <c r="AN2407">
        <v>327</v>
      </c>
      <c r="AO2407">
        <v>28.3</v>
      </c>
      <c r="AP2407">
        <v>10</v>
      </c>
      <c r="AQ2407">
        <v>0</v>
      </c>
      <c r="AR2407" t="s">
        <v>8305</v>
      </c>
      <c r="AS2407" t="s">
        <v>8306</v>
      </c>
      <c r="AT2407">
        <v>0.67</v>
      </c>
      <c r="AU2407" t="s">
        <v>74</v>
      </c>
      <c r="AV2407" t="s">
        <v>2955</v>
      </c>
      <c r="AW2407" t="s">
        <v>75</v>
      </c>
      <c r="AX2407" t="s">
        <v>8307</v>
      </c>
      <c r="AY2407" t="s">
        <v>8308</v>
      </c>
      <c r="AZ2407">
        <v>1622.999999999302</v>
      </c>
      <c r="BA2407">
        <v>1</v>
      </c>
      <c r="BB2407">
        <v>0</v>
      </c>
      <c r="BC2407">
        <v>2</v>
      </c>
      <c r="BD2407">
        <v>0</v>
      </c>
      <c r="BE2407">
        <f t="shared" si="379"/>
        <v>1</v>
      </c>
    </row>
    <row r="2408" spans="1:57" x14ac:dyDescent="0.25">
      <c r="A2408" t="s">
        <v>39</v>
      </c>
      <c r="B2408" t="s">
        <v>8309</v>
      </c>
      <c r="C2408">
        <v>91.4</v>
      </c>
      <c r="D2408">
        <v>77</v>
      </c>
      <c r="G2408">
        <f t="shared" si="370"/>
        <v>1</v>
      </c>
      <c r="H2408">
        <f t="shared" si="371"/>
        <v>1</v>
      </c>
      <c r="I2408">
        <f t="shared" si="372"/>
        <v>0</v>
      </c>
      <c r="J2408">
        <v>84.6</v>
      </c>
      <c r="K2408">
        <v>117.9</v>
      </c>
      <c r="L2408">
        <v>77</v>
      </c>
      <c r="M2408">
        <v>96.1</v>
      </c>
      <c r="N2408">
        <v>75.900000000000006</v>
      </c>
      <c r="O2408">
        <v>75.400000000000006</v>
      </c>
      <c r="S2408">
        <f t="shared" si="373"/>
        <v>1</v>
      </c>
      <c r="T2408">
        <f t="shared" si="374"/>
        <v>1</v>
      </c>
      <c r="U2408">
        <f t="shared" si="375"/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24.8</v>
      </c>
      <c r="AC2408">
        <v>11.4</v>
      </c>
      <c r="AG2408">
        <f t="shared" si="376"/>
        <v>1</v>
      </c>
      <c r="AH2408">
        <f t="shared" si="377"/>
        <v>0</v>
      </c>
      <c r="AI2408">
        <f t="shared" si="378"/>
        <v>1</v>
      </c>
      <c r="AJ2408">
        <v>261.3</v>
      </c>
      <c r="AK2408">
        <v>1008.3</v>
      </c>
      <c r="AL2408">
        <v>0</v>
      </c>
      <c r="AM2408">
        <v>6.2</v>
      </c>
      <c r="AN2408">
        <v>325.39999999999998</v>
      </c>
      <c r="AO2408">
        <v>28.3</v>
      </c>
      <c r="AP2408">
        <v>10</v>
      </c>
      <c r="AQ2408">
        <v>0</v>
      </c>
      <c r="AR2408" t="s">
        <v>8310</v>
      </c>
      <c r="AS2408" t="s">
        <v>8311</v>
      </c>
      <c r="AT2408">
        <v>0.77</v>
      </c>
      <c r="AU2408" t="s">
        <v>74</v>
      </c>
      <c r="AV2408" t="s">
        <v>2955</v>
      </c>
      <c r="AW2408" t="s">
        <v>75</v>
      </c>
      <c r="AX2408" t="s">
        <v>2611</v>
      </c>
      <c r="AY2408" t="s">
        <v>8312</v>
      </c>
      <c r="AZ2408">
        <v>1795.0000000046571</v>
      </c>
      <c r="BA2408">
        <v>1</v>
      </c>
      <c r="BB2408">
        <v>0</v>
      </c>
      <c r="BC2408">
        <v>2</v>
      </c>
      <c r="BD2408">
        <v>0</v>
      </c>
      <c r="BE2408">
        <f t="shared" si="379"/>
        <v>1</v>
      </c>
    </row>
    <row r="2409" spans="1:57" x14ac:dyDescent="0.25">
      <c r="A2409" t="s">
        <v>39</v>
      </c>
      <c r="B2409" t="s">
        <v>8048</v>
      </c>
      <c r="C2409">
        <v>98.6</v>
      </c>
      <c r="D2409">
        <v>84.2</v>
      </c>
      <c r="G2409">
        <f t="shared" si="370"/>
        <v>1</v>
      </c>
      <c r="H2409">
        <f t="shared" si="371"/>
        <v>1</v>
      </c>
      <c r="I2409">
        <f t="shared" si="372"/>
        <v>0</v>
      </c>
      <c r="J2409">
        <v>91.3</v>
      </c>
      <c r="K2409">
        <v>127.1</v>
      </c>
      <c r="L2409">
        <v>91.6</v>
      </c>
      <c r="M2409">
        <v>109.7</v>
      </c>
      <c r="N2409">
        <v>79.599999999999994</v>
      </c>
      <c r="O2409">
        <v>69.099999999999994</v>
      </c>
      <c r="S2409">
        <f t="shared" si="373"/>
        <v>1</v>
      </c>
      <c r="T2409">
        <f t="shared" si="374"/>
        <v>1</v>
      </c>
      <c r="U2409">
        <f t="shared" si="375"/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28.9</v>
      </c>
      <c r="AC2409">
        <v>17.899999999999999</v>
      </c>
      <c r="AG2409">
        <f t="shared" si="376"/>
        <v>0</v>
      </c>
      <c r="AH2409">
        <f t="shared" si="377"/>
        <v>0</v>
      </c>
      <c r="AI2409">
        <f t="shared" si="378"/>
        <v>0</v>
      </c>
      <c r="AJ2409">
        <v>309.7</v>
      </c>
      <c r="AK2409">
        <v>1010</v>
      </c>
      <c r="AL2409">
        <v>0</v>
      </c>
      <c r="AM2409">
        <v>6.2</v>
      </c>
      <c r="AN2409">
        <v>320.8</v>
      </c>
      <c r="AO2409">
        <v>27.5</v>
      </c>
      <c r="AP2409">
        <v>10</v>
      </c>
      <c r="AQ2409">
        <v>0</v>
      </c>
      <c r="AR2409" t="s">
        <v>8049</v>
      </c>
      <c r="AS2409" t="s">
        <v>8050</v>
      </c>
      <c r="AT2409">
        <v>0.83</v>
      </c>
      <c r="AU2409" t="s">
        <v>74</v>
      </c>
      <c r="AV2409" t="s">
        <v>2955</v>
      </c>
      <c r="AW2409" t="s">
        <v>75</v>
      </c>
      <c r="AX2409" t="s">
        <v>6386</v>
      </c>
      <c r="AY2409" t="s">
        <v>8313</v>
      </c>
      <c r="AZ2409">
        <v>361.99999999604188</v>
      </c>
      <c r="BA2409">
        <v>1</v>
      </c>
      <c r="BB2409">
        <v>0.5</v>
      </c>
      <c r="BC2409">
        <v>0</v>
      </c>
      <c r="BD2409">
        <v>0</v>
      </c>
      <c r="BE2409">
        <f t="shared" si="379"/>
        <v>1</v>
      </c>
    </row>
    <row r="2410" spans="1:57" x14ac:dyDescent="0.25">
      <c r="A2410" t="s">
        <v>39</v>
      </c>
      <c r="B2410" t="s">
        <v>8141</v>
      </c>
      <c r="C2410">
        <v>103</v>
      </c>
      <c r="D2410">
        <v>82.4</v>
      </c>
      <c r="G2410">
        <f t="shared" si="370"/>
        <v>1</v>
      </c>
      <c r="H2410">
        <f t="shared" si="371"/>
        <v>1</v>
      </c>
      <c r="I2410">
        <f t="shared" si="372"/>
        <v>0</v>
      </c>
      <c r="J2410">
        <v>91.1</v>
      </c>
      <c r="K2410">
        <v>127.3</v>
      </c>
      <c r="L2410">
        <v>83.9</v>
      </c>
      <c r="M2410">
        <v>104.4</v>
      </c>
      <c r="N2410">
        <v>74.8</v>
      </c>
      <c r="O2410">
        <v>59.2</v>
      </c>
      <c r="S2410">
        <f t="shared" si="373"/>
        <v>0</v>
      </c>
      <c r="T2410">
        <f t="shared" si="374"/>
        <v>0</v>
      </c>
      <c r="U2410">
        <f t="shared" si="375"/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25.7</v>
      </c>
      <c r="AC2410">
        <v>22.9</v>
      </c>
      <c r="AG2410">
        <f t="shared" si="376"/>
        <v>1</v>
      </c>
      <c r="AH2410">
        <f t="shared" si="377"/>
        <v>1</v>
      </c>
      <c r="AI2410">
        <f t="shared" si="378"/>
        <v>0</v>
      </c>
      <c r="AJ2410">
        <v>268.89999999999998</v>
      </c>
      <c r="AK2410">
        <v>1004.6</v>
      </c>
      <c r="AL2410">
        <v>3.9</v>
      </c>
      <c r="AM2410">
        <v>6.2</v>
      </c>
      <c r="AN2410">
        <v>319.3</v>
      </c>
      <c r="AO2410">
        <v>27.6</v>
      </c>
      <c r="AP2410">
        <v>10</v>
      </c>
      <c r="AQ2410">
        <v>0</v>
      </c>
      <c r="AR2410" t="s">
        <v>8142</v>
      </c>
      <c r="AS2410" t="s">
        <v>8143</v>
      </c>
      <c r="AT2410">
        <v>0.93</v>
      </c>
      <c r="AU2410" t="s">
        <v>74</v>
      </c>
      <c r="AV2410" t="s">
        <v>2955</v>
      </c>
      <c r="AW2410" t="s">
        <v>75</v>
      </c>
      <c r="AX2410" t="s">
        <v>2493</v>
      </c>
      <c r="AY2410" t="s">
        <v>8314</v>
      </c>
      <c r="AZ2410">
        <v>3180.000000003492</v>
      </c>
      <c r="BA2410">
        <v>1</v>
      </c>
      <c r="BB2410">
        <v>0</v>
      </c>
      <c r="BC2410">
        <v>15</v>
      </c>
      <c r="BD2410">
        <v>0</v>
      </c>
      <c r="BE2410">
        <f t="shared" si="379"/>
        <v>1</v>
      </c>
    </row>
    <row r="2411" spans="1:57" x14ac:dyDescent="0.25">
      <c r="A2411" t="s">
        <v>39</v>
      </c>
      <c r="B2411" t="s">
        <v>8315</v>
      </c>
      <c r="C2411">
        <v>86</v>
      </c>
      <c r="D2411">
        <v>78.8</v>
      </c>
      <c r="G2411">
        <f t="shared" si="370"/>
        <v>1</v>
      </c>
      <c r="H2411">
        <f t="shared" si="371"/>
        <v>1</v>
      </c>
      <c r="I2411">
        <f t="shared" si="372"/>
        <v>0</v>
      </c>
      <c r="J2411">
        <v>82.7</v>
      </c>
      <c r="K2411">
        <v>97.2</v>
      </c>
      <c r="L2411">
        <v>78.8</v>
      </c>
      <c r="M2411">
        <v>89.5</v>
      </c>
      <c r="N2411">
        <v>75</v>
      </c>
      <c r="O2411">
        <v>77.8</v>
      </c>
      <c r="S2411">
        <f t="shared" si="373"/>
        <v>1</v>
      </c>
      <c r="T2411">
        <f t="shared" si="374"/>
        <v>1</v>
      </c>
      <c r="U2411">
        <f t="shared" si="375"/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33.6</v>
      </c>
      <c r="AC2411">
        <v>15.1</v>
      </c>
      <c r="AG2411">
        <f t="shared" si="376"/>
        <v>1</v>
      </c>
      <c r="AH2411">
        <f t="shared" si="377"/>
        <v>0</v>
      </c>
      <c r="AI2411">
        <f t="shared" si="378"/>
        <v>1</v>
      </c>
      <c r="AJ2411">
        <v>296.89999999999998</v>
      </c>
      <c r="AK2411">
        <v>1012.9</v>
      </c>
      <c r="AL2411">
        <v>13.2</v>
      </c>
      <c r="AM2411">
        <v>6.2</v>
      </c>
      <c r="AN2411">
        <v>317.2</v>
      </c>
      <c r="AO2411">
        <v>27.2</v>
      </c>
      <c r="AP2411">
        <v>10</v>
      </c>
      <c r="AQ2411">
        <v>0</v>
      </c>
      <c r="AR2411" t="s">
        <v>8316</v>
      </c>
      <c r="AS2411" t="s">
        <v>8317</v>
      </c>
      <c r="AT2411">
        <v>0</v>
      </c>
      <c r="AU2411" t="s">
        <v>74</v>
      </c>
      <c r="AV2411" t="s">
        <v>2955</v>
      </c>
      <c r="AW2411" t="s">
        <v>75</v>
      </c>
      <c r="AX2411" t="s">
        <v>8318</v>
      </c>
      <c r="AY2411" t="s">
        <v>8319</v>
      </c>
      <c r="AZ2411">
        <v>2042.999999995809</v>
      </c>
      <c r="BA2411">
        <v>1</v>
      </c>
      <c r="BB2411">
        <v>0</v>
      </c>
      <c r="BC2411">
        <v>40</v>
      </c>
      <c r="BD2411">
        <v>0</v>
      </c>
      <c r="BE2411">
        <f t="shared" si="379"/>
        <v>1</v>
      </c>
    </row>
    <row r="2412" spans="1:57" x14ac:dyDescent="0.25">
      <c r="A2412" t="s">
        <v>39</v>
      </c>
      <c r="B2412" t="s">
        <v>8320</v>
      </c>
      <c r="C2412">
        <v>86</v>
      </c>
      <c r="D2412">
        <v>77</v>
      </c>
      <c r="G2412">
        <f t="shared" si="370"/>
        <v>1</v>
      </c>
      <c r="H2412">
        <f t="shared" si="371"/>
        <v>1</v>
      </c>
      <c r="I2412">
        <f t="shared" si="372"/>
        <v>0</v>
      </c>
      <c r="J2412">
        <v>81</v>
      </c>
      <c r="K2412">
        <v>99.4</v>
      </c>
      <c r="L2412">
        <v>77</v>
      </c>
      <c r="M2412">
        <v>85.4</v>
      </c>
      <c r="N2412">
        <v>74.3</v>
      </c>
      <c r="O2412">
        <v>80.2</v>
      </c>
      <c r="S2412">
        <f t="shared" si="373"/>
        <v>1</v>
      </c>
      <c r="T2412">
        <f t="shared" si="374"/>
        <v>1</v>
      </c>
      <c r="U2412">
        <f t="shared" si="375"/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34</v>
      </c>
      <c r="AC2412">
        <v>19.7</v>
      </c>
      <c r="AG2412">
        <f t="shared" si="376"/>
        <v>1</v>
      </c>
      <c r="AH2412">
        <f t="shared" si="377"/>
        <v>1</v>
      </c>
      <c r="AI2412">
        <f t="shared" si="378"/>
        <v>0</v>
      </c>
      <c r="AJ2412">
        <v>288.3</v>
      </c>
      <c r="AK2412">
        <v>1011.6</v>
      </c>
      <c r="AL2412">
        <v>14.6</v>
      </c>
      <c r="AM2412">
        <v>6.2</v>
      </c>
      <c r="AN2412">
        <v>296.7</v>
      </c>
      <c r="AO2412">
        <v>25.4</v>
      </c>
      <c r="AP2412">
        <v>9</v>
      </c>
      <c r="AQ2412">
        <v>0</v>
      </c>
      <c r="AR2412" t="s">
        <v>8321</v>
      </c>
      <c r="AS2412" t="s">
        <v>8322</v>
      </c>
      <c r="AT2412">
        <v>0.46</v>
      </c>
      <c r="AU2412" t="s">
        <v>74</v>
      </c>
      <c r="AV2412" t="s">
        <v>2955</v>
      </c>
      <c r="AW2412" t="s">
        <v>75</v>
      </c>
      <c r="AX2412" t="s">
        <v>5173</v>
      </c>
      <c r="AY2412" t="s">
        <v>8323</v>
      </c>
      <c r="AZ2412">
        <v>336.99999999837019</v>
      </c>
      <c r="BA2412">
        <v>0</v>
      </c>
      <c r="BB2412">
        <v>0</v>
      </c>
      <c r="BC2412">
        <v>0.5</v>
      </c>
      <c r="BD2412">
        <v>0</v>
      </c>
      <c r="BE2412">
        <f t="shared" si="379"/>
        <v>1</v>
      </c>
    </row>
    <row r="2413" spans="1:57" x14ac:dyDescent="0.25">
      <c r="A2413" t="s">
        <v>39</v>
      </c>
      <c r="B2413" t="s">
        <v>8324</v>
      </c>
      <c r="C2413">
        <v>73.400000000000006</v>
      </c>
      <c r="D2413">
        <v>57.2</v>
      </c>
      <c r="G2413">
        <f t="shared" si="370"/>
        <v>0</v>
      </c>
      <c r="H2413">
        <f t="shared" si="371"/>
        <v>0</v>
      </c>
      <c r="I2413">
        <f t="shared" si="372"/>
        <v>0</v>
      </c>
      <c r="J2413">
        <v>66</v>
      </c>
      <c r="K2413">
        <v>73.400000000000006</v>
      </c>
      <c r="L2413">
        <v>57.2</v>
      </c>
      <c r="M2413">
        <v>66</v>
      </c>
      <c r="N2413">
        <v>57</v>
      </c>
      <c r="O2413">
        <v>73.599999999999994</v>
      </c>
      <c r="S2413">
        <f t="shared" si="373"/>
        <v>1</v>
      </c>
      <c r="T2413">
        <f t="shared" si="374"/>
        <v>1</v>
      </c>
      <c r="U2413">
        <f t="shared" si="375"/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18.600000000000001</v>
      </c>
      <c r="AC2413">
        <v>16.100000000000001</v>
      </c>
      <c r="AG2413">
        <f t="shared" si="376"/>
        <v>0</v>
      </c>
      <c r="AH2413">
        <f t="shared" si="377"/>
        <v>0</v>
      </c>
      <c r="AI2413">
        <f t="shared" si="378"/>
        <v>0</v>
      </c>
      <c r="AJ2413">
        <v>260.2</v>
      </c>
      <c r="AK2413">
        <v>1020.7</v>
      </c>
      <c r="AL2413">
        <v>44.5</v>
      </c>
      <c r="AM2413">
        <v>6.2</v>
      </c>
      <c r="AN2413">
        <v>162.5</v>
      </c>
      <c r="AO2413">
        <v>14</v>
      </c>
      <c r="AP2413">
        <v>6</v>
      </c>
      <c r="AQ2413">
        <v>0</v>
      </c>
      <c r="AR2413" t="s">
        <v>8325</v>
      </c>
      <c r="AS2413" t="s">
        <v>8326</v>
      </c>
      <c r="AT2413">
        <v>0.56000000000000005</v>
      </c>
      <c r="AU2413" t="s">
        <v>43</v>
      </c>
      <c r="AV2413" t="s">
        <v>44</v>
      </c>
      <c r="AW2413" t="s">
        <v>45</v>
      </c>
      <c r="AX2413" t="s">
        <v>8327</v>
      </c>
      <c r="AY2413" t="s">
        <v>8328</v>
      </c>
      <c r="AZ2413">
        <v>430.99999999045389</v>
      </c>
      <c r="BA2413">
        <v>1</v>
      </c>
      <c r="BB2413">
        <v>0</v>
      </c>
      <c r="BC2413">
        <v>0.5</v>
      </c>
      <c r="BD2413">
        <v>0</v>
      </c>
      <c r="BE2413">
        <f t="shared" si="379"/>
        <v>0</v>
      </c>
    </row>
    <row r="2414" spans="1:57" x14ac:dyDescent="0.25">
      <c r="A2414" t="s">
        <v>39</v>
      </c>
      <c r="B2414" t="s">
        <v>8329</v>
      </c>
      <c r="C2414">
        <v>68</v>
      </c>
      <c r="D2414">
        <v>64.400000000000006</v>
      </c>
      <c r="G2414">
        <f t="shared" si="370"/>
        <v>1</v>
      </c>
      <c r="H2414">
        <f t="shared" si="371"/>
        <v>0</v>
      </c>
      <c r="I2414">
        <f t="shared" si="372"/>
        <v>1</v>
      </c>
      <c r="J2414">
        <v>66.8</v>
      </c>
      <c r="K2414">
        <v>68</v>
      </c>
      <c r="L2414">
        <v>64.400000000000006</v>
      </c>
      <c r="M2414">
        <v>66.8</v>
      </c>
      <c r="N2414">
        <v>57.6</v>
      </c>
      <c r="O2414">
        <v>73</v>
      </c>
      <c r="S2414">
        <f t="shared" si="373"/>
        <v>1</v>
      </c>
      <c r="T2414">
        <f t="shared" si="374"/>
        <v>1</v>
      </c>
      <c r="U2414">
        <f t="shared" si="375"/>
        <v>0</v>
      </c>
      <c r="V2414">
        <v>8.0000000000000002E-3</v>
      </c>
      <c r="W2414">
        <v>100</v>
      </c>
      <c r="X2414">
        <v>4.17</v>
      </c>
      <c r="Y2414" t="s">
        <v>103</v>
      </c>
      <c r="Z2414">
        <v>0</v>
      </c>
      <c r="AA2414">
        <v>0</v>
      </c>
      <c r="AB2414">
        <v>28.6</v>
      </c>
      <c r="AC2414">
        <v>18.3</v>
      </c>
      <c r="AG2414">
        <f t="shared" si="376"/>
        <v>1</v>
      </c>
      <c r="AH2414">
        <f t="shared" si="377"/>
        <v>1</v>
      </c>
      <c r="AI2414">
        <f t="shared" si="378"/>
        <v>0</v>
      </c>
      <c r="AJ2414">
        <v>336.7</v>
      </c>
      <c r="AK2414">
        <v>1020.8</v>
      </c>
      <c r="AL2414">
        <v>76.099999999999994</v>
      </c>
      <c r="AM2414">
        <v>6.2</v>
      </c>
      <c r="AN2414">
        <v>141.80000000000001</v>
      </c>
      <c r="AO2414">
        <v>12.2</v>
      </c>
      <c r="AP2414">
        <v>6</v>
      </c>
      <c r="AQ2414">
        <v>0</v>
      </c>
      <c r="AR2414" t="s">
        <v>8330</v>
      </c>
      <c r="AS2414" t="s">
        <v>8331</v>
      </c>
      <c r="AT2414">
        <v>0.66</v>
      </c>
      <c r="AU2414" t="s">
        <v>106</v>
      </c>
      <c r="AV2414" t="s">
        <v>296</v>
      </c>
      <c r="AW2414" t="s">
        <v>103</v>
      </c>
      <c r="AX2414" t="s">
        <v>8332</v>
      </c>
      <c r="AY2414" t="s">
        <v>8333</v>
      </c>
      <c r="AZ2414">
        <v>355.99999999743892</v>
      </c>
      <c r="BA2414">
        <v>0</v>
      </c>
      <c r="BB2414">
        <v>0</v>
      </c>
      <c r="BC2414">
        <v>15</v>
      </c>
      <c r="BD2414">
        <v>0</v>
      </c>
      <c r="BE2414">
        <f t="shared" si="379"/>
        <v>1</v>
      </c>
    </row>
    <row r="2415" spans="1:57" x14ac:dyDescent="0.25">
      <c r="A2415" t="s">
        <v>39</v>
      </c>
      <c r="B2415" t="s">
        <v>8334</v>
      </c>
      <c r="C2415">
        <v>62.6</v>
      </c>
      <c r="D2415">
        <v>53.6</v>
      </c>
      <c r="G2415">
        <f t="shared" si="370"/>
        <v>1</v>
      </c>
      <c r="H2415">
        <f t="shared" si="371"/>
        <v>0</v>
      </c>
      <c r="I2415">
        <f t="shared" si="372"/>
        <v>1</v>
      </c>
      <c r="J2415">
        <v>60.1</v>
      </c>
      <c r="K2415">
        <v>62.6</v>
      </c>
      <c r="L2415">
        <v>53.6</v>
      </c>
      <c r="M2415">
        <v>60.1</v>
      </c>
      <c r="N2415">
        <v>52</v>
      </c>
      <c r="O2415">
        <v>74.8</v>
      </c>
      <c r="S2415">
        <f t="shared" si="373"/>
        <v>1</v>
      </c>
      <c r="T2415">
        <f t="shared" si="374"/>
        <v>1</v>
      </c>
      <c r="U2415">
        <f t="shared" si="375"/>
        <v>0</v>
      </c>
      <c r="V2415">
        <v>8.0000000000000002E-3</v>
      </c>
      <c r="W2415">
        <v>100</v>
      </c>
      <c r="X2415">
        <v>4.17</v>
      </c>
      <c r="Y2415" t="s">
        <v>103</v>
      </c>
      <c r="Z2415">
        <v>0</v>
      </c>
      <c r="AA2415">
        <v>0</v>
      </c>
      <c r="AB2415">
        <v>19.899999999999999</v>
      </c>
      <c r="AC2415">
        <v>14.9</v>
      </c>
      <c r="AG2415">
        <f t="shared" si="376"/>
        <v>1</v>
      </c>
      <c r="AH2415">
        <f t="shared" si="377"/>
        <v>0</v>
      </c>
      <c r="AI2415">
        <f t="shared" si="378"/>
        <v>1</v>
      </c>
      <c r="AJ2415">
        <v>340.6</v>
      </c>
      <c r="AK2415">
        <v>1017.4</v>
      </c>
      <c r="AL2415">
        <v>87.4</v>
      </c>
      <c r="AM2415">
        <v>6.2</v>
      </c>
      <c r="AN2415">
        <v>106.2</v>
      </c>
      <c r="AO2415">
        <v>9.3000000000000007</v>
      </c>
      <c r="AP2415">
        <v>4</v>
      </c>
      <c r="AQ2415">
        <v>0</v>
      </c>
      <c r="AR2415" t="s">
        <v>8335</v>
      </c>
      <c r="AS2415" t="s">
        <v>8336</v>
      </c>
      <c r="AT2415">
        <v>0.7</v>
      </c>
      <c r="AU2415" t="s">
        <v>106</v>
      </c>
      <c r="AV2415" t="s">
        <v>433</v>
      </c>
      <c r="AW2415" t="s">
        <v>103</v>
      </c>
      <c r="AX2415" t="s">
        <v>8169</v>
      </c>
      <c r="AY2415" t="s">
        <v>8337</v>
      </c>
      <c r="AZ2415">
        <v>200.00000000232831</v>
      </c>
      <c r="BA2415">
        <v>0</v>
      </c>
      <c r="BB2415">
        <v>0.05</v>
      </c>
      <c r="BC2415">
        <v>0</v>
      </c>
      <c r="BD2415">
        <v>0</v>
      </c>
      <c r="BE2415">
        <f t="shared" si="379"/>
        <v>0</v>
      </c>
    </row>
    <row r="2416" spans="1:57" x14ac:dyDescent="0.25">
      <c r="A2416" t="s">
        <v>39</v>
      </c>
      <c r="B2416" t="s">
        <v>8338</v>
      </c>
      <c r="C2416">
        <v>63.4</v>
      </c>
      <c r="D2416">
        <v>55.4</v>
      </c>
      <c r="G2416">
        <f t="shared" si="370"/>
        <v>0</v>
      </c>
      <c r="H2416">
        <f t="shared" si="371"/>
        <v>0</v>
      </c>
      <c r="I2416">
        <f t="shared" si="372"/>
        <v>0</v>
      </c>
      <c r="J2416">
        <v>60.4</v>
      </c>
      <c r="K2416">
        <v>63.4</v>
      </c>
      <c r="L2416">
        <v>55.4</v>
      </c>
      <c r="M2416">
        <v>60.4</v>
      </c>
      <c r="N2416">
        <v>51.3</v>
      </c>
      <c r="O2416">
        <v>72.2</v>
      </c>
      <c r="S2416">
        <f t="shared" si="373"/>
        <v>1</v>
      </c>
      <c r="T2416">
        <f t="shared" si="374"/>
        <v>1</v>
      </c>
      <c r="U2416">
        <f t="shared" si="375"/>
        <v>0</v>
      </c>
      <c r="V2416">
        <v>7.0000000000000001E-3</v>
      </c>
      <c r="W2416">
        <v>100</v>
      </c>
      <c r="X2416">
        <v>8.33</v>
      </c>
      <c r="Y2416" t="s">
        <v>103</v>
      </c>
      <c r="Z2416">
        <v>0</v>
      </c>
      <c r="AA2416">
        <v>0</v>
      </c>
      <c r="AB2416">
        <v>31.1</v>
      </c>
      <c r="AC2416">
        <v>24</v>
      </c>
      <c r="AG2416">
        <f t="shared" si="376"/>
        <v>1</v>
      </c>
      <c r="AH2416">
        <f t="shared" si="377"/>
        <v>1</v>
      </c>
      <c r="AI2416">
        <f t="shared" si="378"/>
        <v>0</v>
      </c>
      <c r="AJ2416">
        <v>176.6</v>
      </c>
      <c r="AK2416">
        <v>1011.9</v>
      </c>
      <c r="AL2416">
        <v>40.799999999999997</v>
      </c>
      <c r="AM2416">
        <v>6.2</v>
      </c>
      <c r="AN2416">
        <v>96.1</v>
      </c>
      <c r="AO2416">
        <v>8.4</v>
      </c>
      <c r="AP2416">
        <v>4</v>
      </c>
      <c r="AQ2416">
        <v>0</v>
      </c>
      <c r="AR2416" t="s">
        <v>8339</v>
      </c>
      <c r="AS2416" t="s">
        <v>8340</v>
      </c>
      <c r="AT2416">
        <v>7.0000000000000007E-2</v>
      </c>
      <c r="AU2416" t="s">
        <v>106</v>
      </c>
      <c r="AV2416" t="s">
        <v>257</v>
      </c>
      <c r="AW2416" t="s">
        <v>103</v>
      </c>
      <c r="AX2416" t="s">
        <v>8341</v>
      </c>
      <c r="AY2416" t="s">
        <v>8342</v>
      </c>
      <c r="AZ2416">
        <v>150.9999999997672</v>
      </c>
      <c r="BA2416">
        <v>0</v>
      </c>
      <c r="BB2416">
        <v>0</v>
      </c>
      <c r="BC2416">
        <v>0.2</v>
      </c>
      <c r="BD2416">
        <v>0</v>
      </c>
      <c r="BE2416">
        <f t="shared" si="379"/>
        <v>0</v>
      </c>
    </row>
    <row r="2417" spans="1:57" x14ac:dyDescent="0.25">
      <c r="A2417" t="s">
        <v>39</v>
      </c>
      <c r="B2417" t="s">
        <v>8343</v>
      </c>
      <c r="C2417">
        <v>65.2</v>
      </c>
      <c r="D2417">
        <v>53.6</v>
      </c>
      <c r="G2417">
        <f t="shared" si="370"/>
        <v>1</v>
      </c>
      <c r="H2417">
        <f t="shared" si="371"/>
        <v>1</v>
      </c>
      <c r="I2417">
        <f t="shared" si="372"/>
        <v>0</v>
      </c>
      <c r="J2417">
        <v>59.1</v>
      </c>
      <c r="K2417">
        <v>65.2</v>
      </c>
      <c r="L2417">
        <v>53.6</v>
      </c>
      <c r="M2417">
        <v>59.1</v>
      </c>
      <c r="N2417">
        <v>48.2</v>
      </c>
      <c r="O2417">
        <v>67.400000000000006</v>
      </c>
      <c r="S2417">
        <f t="shared" si="373"/>
        <v>0</v>
      </c>
      <c r="T2417">
        <f t="shared" si="374"/>
        <v>0</v>
      </c>
      <c r="U2417">
        <f t="shared" si="375"/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34.4</v>
      </c>
      <c r="AC2417">
        <v>22.9</v>
      </c>
      <c r="AG2417">
        <f t="shared" si="376"/>
        <v>1</v>
      </c>
      <c r="AH2417">
        <f t="shared" si="377"/>
        <v>1</v>
      </c>
      <c r="AI2417">
        <f t="shared" si="378"/>
        <v>0</v>
      </c>
      <c r="AJ2417">
        <v>171.5</v>
      </c>
      <c r="AK2417">
        <v>1012.9</v>
      </c>
      <c r="AL2417">
        <v>77</v>
      </c>
      <c r="AM2417">
        <v>6.2</v>
      </c>
      <c r="AN2417">
        <v>96.2</v>
      </c>
      <c r="AO2417">
        <v>8.3000000000000007</v>
      </c>
      <c r="AP2417">
        <v>4</v>
      </c>
      <c r="AQ2417">
        <v>0</v>
      </c>
      <c r="AR2417" t="s">
        <v>8344</v>
      </c>
      <c r="AS2417" t="s">
        <v>8345</v>
      </c>
      <c r="AT2417">
        <v>0.82</v>
      </c>
      <c r="AU2417" t="s">
        <v>43</v>
      </c>
      <c r="AV2417" t="s">
        <v>44</v>
      </c>
      <c r="AW2417" t="s">
        <v>45</v>
      </c>
      <c r="AX2417" t="s">
        <v>2459</v>
      </c>
      <c r="AY2417" t="s">
        <v>8346</v>
      </c>
      <c r="AZ2417">
        <v>100.0000000011642</v>
      </c>
      <c r="BA2417">
        <v>0</v>
      </c>
      <c r="BB2417">
        <v>1.5</v>
      </c>
      <c r="BC2417">
        <v>0</v>
      </c>
      <c r="BD2417">
        <v>0</v>
      </c>
      <c r="BE2417">
        <f t="shared" si="379"/>
        <v>0</v>
      </c>
    </row>
    <row r="2418" spans="1:57" x14ac:dyDescent="0.25">
      <c r="A2418" t="s">
        <v>39</v>
      </c>
      <c r="B2418" t="s">
        <v>8347</v>
      </c>
      <c r="C2418">
        <v>75.2</v>
      </c>
      <c r="D2418">
        <v>60.8</v>
      </c>
      <c r="G2418">
        <f t="shared" si="370"/>
        <v>0</v>
      </c>
      <c r="H2418">
        <f t="shared" si="371"/>
        <v>0</v>
      </c>
      <c r="I2418">
        <f t="shared" si="372"/>
        <v>0</v>
      </c>
      <c r="J2418">
        <v>67.7</v>
      </c>
      <c r="K2418">
        <v>75.2</v>
      </c>
      <c r="L2418">
        <v>60.8</v>
      </c>
      <c r="M2418">
        <v>67.7</v>
      </c>
      <c r="N2418">
        <v>60.5</v>
      </c>
      <c r="O2418">
        <v>78.7</v>
      </c>
      <c r="S2418">
        <f t="shared" si="373"/>
        <v>1</v>
      </c>
      <c r="T2418">
        <f t="shared" si="374"/>
        <v>1</v>
      </c>
      <c r="U2418">
        <f t="shared" si="375"/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19.2</v>
      </c>
      <c r="AC2418">
        <v>10.8</v>
      </c>
      <c r="AG2418">
        <f t="shared" si="376"/>
        <v>1</v>
      </c>
      <c r="AH2418">
        <f t="shared" si="377"/>
        <v>0</v>
      </c>
      <c r="AI2418">
        <f t="shared" si="378"/>
        <v>1</v>
      </c>
      <c r="AJ2418">
        <v>254.9</v>
      </c>
      <c r="AK2418">
        <v>1020.6</v>
      </c>
      <c r="AL2418">
        <v>24.3</v>
      </c>
      <c r="AM2418">
        <v>6.2</v>
      </c>
      <c r="AN2418">
        <v>176.4</v>
      </c>
      <c r="AO2418">
        <v>15.1</v>
      </c>
      <c r="AP2418">
        <v>6</v>
      </c>
      <c r="AQ2418">
        <v>0</v>
      </c>
      <c r="AR2418" t="s">
        <v>8348</v>
      </c>
      <c r="AS2418" t="s">
        <v>8349</v>
      </c>
      <c r="AT2418">
        <v>0.62</v>
      </c>
      <c r="AU2418" t="s">
        <v>43</v>
      </c>
      <c r="AV2418" t="s">
        <v>44</v>
      </c>
      <c r="AW2418" t="s">
        <v>45</v>
      </c>
      <c r="AX2418" t="s">
        <v>2459</v>
      </c>
      <c r="AY2418" t="s">
        <v>8350</v>
      </c>
      <c r="AZ2418">
        <v>146.999999997206</v>
      </c>
      <c r="BA2418">
        <v>0</v>
      </c>
      <c r="BB2418">
        <v>0</v>
      </c>
      <c r="BC2418">
        <v>2.5</v>
      </c>
      <c r="BD2418">
        <v>0</v>
      </c>
      <c r="BE2418">
        <f t="shared" si="379"/>
        <v>0</v>
      </c>
    </row>
    <row r="2419" spans="1:57" x14ac:dyDescent="0.25">
      <c r="A2419" t="s">
        <v>39</v>
      </c>
      <c r="B2419" t="s">
        <v>8351</v>
      </c>
      <c r="C2419">
        <v>75.2</v>
      </c>
      <c r="D2419">
        <v>64.400000000000006</v>
      </c>
      <c r="G2419">
        <f t="shared" si="370"/>
        <v>1</v>
      </c>
      <c r="H2419">
        <f t="shared" si="371"/>
        <v>1</v>
      </c>
      <c r="I2419">
        <f t="shared" si="372"/>
        <v>0</v>
      </c>
      <c r="J2419">
        <v>70</v>
      </c>
      <c r="K2419">
        <v>75.2</v>
      </c>
      <c r="L2419">
        <v>64.400000000000006</v>
      </c>
      <c r="M2419">
        <v>70</v>
      </c>
      <c r="N2419">
        <v>64.400000000000006</v>
      </c>
      <c r="O2419">
        <v>82.8</v>
      </c>
      <c r="S2419">
        <f t="shared" si="373"/>
        <v>1</v>
      </c>
      <c r="T2419">
        <f t="shared" si="374"/>
        <v>1</v>
      </c>
      <c r="U2419">
        <f t="shared" si="375"/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19.7</v>
      </c>
      <c r="AC2419">
        <v>13.9</v>
      </c>
      <c r="AG2419">
        <f t="shared" si="376"/>
        <v>1</v>
      </c>
      <c r="AH2419">
        <f t="shared" si="377"/>
        <v>0</v>
      </c>
      <c r="AI2419">
        <f t="shared" si="378"/>
        <v>1</v>
      </c>
      <c r="AJ2419">
        <v>131.9</v>
      </c>
      <c r="AK2419">
        <v>1016.3</v>
      </c>
      <c r="AL2419">
        <v>31.7</v>
      </c>
      <c r="AM2419">
        <v>6.2</v>
      </c>
      <c r="AN2419">
        <v>154.80000000000001</v>
      </c>
      <c r="AO2419">
        <v>13.4</v>
      </c>
      <c r="AP2419">
        <v>6</v>
      </c>
      <c r="AQ2419">
        <v>0</v>
      </c>
      <c r="AR2419" t="s">
        <v>8352</v>
      </c>
      <c r="AS2419" t="s">
        <v>8353</v>
      </c>
      <c r="AT2419">
        <v>0.95</v>
      </c>
      <c r="AU2419" t="s">
        <v>43</v>
      </c>
      <c r="AV2419" t="s">
        <v>44</v>
      </c>
      <c r="AW2419" t="s">
        <v>45</v>
      </c>
      <c r="AX2419" t="s">
        <v>4357</v>
      </c>
      <c r="AY2419" t="s">
        <v>8354</v>
      </c>
      <c r="AZ2419">
        <v>233.0000000051223</v>
      </c>
      <c r="BA2419">
        <v>0</v>
      </c>
      <c r="BB2419">
        <v>0</v>
      </c>
      <c r="BC2419">
        <v>5</v>
      </c>
      <c r="BD2419">
        <v>0</v>
      </c>
      <c r="BE2419">
        <f t="shared" si="379"/>
        <v>1</v>
      </c>
    </row>
    <row r="2420" spans="1:57" x14ac:dyDescent="0.25">
      <c r="A2420" t="s">
        <v>39</v>
      </c>
      <c r="B2420" t="s">
        <v>8355</v>
      </c>
      <c r="C2420">
        <v>60.8</v>
      </c>
      <c r="D2420">
        <v>53.6</v>
      </c>
      <c r="G2420">
        <f t="shared" si="370"/>
        <v>0</v>
      </c>
      <c r="H2420">
        <f t="shared" si="371"/>
        <v>0</v>
      </c>
      <c r="I2420">
        <f t="shared" si="372"/>
        <v>0</v>
      </c>
      <c r="J2420">
        <v>56.3</v>
      </c>
      <c r="K2420">
        <v>60.8</v>
      </c>
      <c r="L2420">
        <v>53.6</v>
      </c>
      <c r="M2420">
        <v>56.3</v>
      </c>
      <c r="N2420">
        <v>47.4</v>
      </c>
      <c r="O2420">
        <v>72.3</v>
      </c>
      <c r="S2420">
        <f t="shared" si="373"/>
        <v>1</v>
      </c>
      <c r="T2420">
        <f t="shared" si="374"/>
        <v>1</v>
      </c>
      <c r="U2420">
        <f t="shared" si="375"/>
        <v>0</v>
      </c>
      <c r="V2420">
        <v>3.1E-2</v>
      </c>
      <c r="W2420">
        <v>100</v>
      </c>
      <c r="X2420">
        <v>4.17</v>
      </c>
      <c r="Y2420" t="s">
        <v>103</v>
      </c>
      <c r="Z2420">
        <v>0</v>
      </c>
      <c r="AA2420">
        <v>0</v>
      </c>
      <c r="AB2420">
        <v>25.1</v>
      </c>
      <c r="AC2420">
        <v>17.2</v>
      </c>
      <c r="AG2420">
        <f t="shared" si="376"/>
        <v>1</v>
      </c>
      <c r="AH2420">
        <f t="shared" si="377"/>
        <v>0</v>
      </c>
      <c r="AI2420">
        <f t="shared" si="378"/>
        <v>1</v>
      </c>
      <c r="AJ2420">
        <v>322.7</v>
      </c>
      <c r="AK2420">
        <v>1018.7</v>
      </c>
      <c r="AL2420">
        <v>64.2</v>
      </c>
      <c r="AM2420">
        <v>6.2</v>
      </c>
      <c r="AN2420">
        <v>95.4</v>
      </c>
      <c r="AO2420">
        <v>8.1999999999999993</v>
      </c>
      <c r="AP2420">
        <v>4</v>
      </c>
      <c r="AQ2420">
        <v>0</v>
      </c>
      <c r="AR2420" t="s">
        <v>8356</v>
      </c>
      <c r="AS2420" t="s">
        <v>8357</v>
      </c>
      <c r="AT2420">
        <v>0.57999999999999996</v>
      </c>
      <c r="AU2420" t="s">
        <v>106</v>
      </c>
      <c r="AV2420" t="s">
        <v>1180</v>
      </c>
      <c r="AW2420" t="s">
        <v>103</v>
      </c>
      <c r="AX2420" t="s">
        <v>2577</v>
      </c>
      <c r="AY2420" t="s">
        <v>8358</v>
      </c>
      <c r="AZ2420">
        <v>124.9999999988358</v>
      </c>
      <c r="BA2420">
        <v>0</v>
      </c>
      <c r="BB2420">
        <v>0</v>
      </c>
      <c r="BC2420">
        <v>2</v>
      </c>
      <c r="BD2420">
        <v>0</v>
      </c>
      <c r="BE2420">
        <f t="shared" si="379"/>
        <v>0</v>
      </c>
    </row>
    <row r="2421" spans="1:57" x14ac:dyDescent="0.25">
      <c r="A2421" t="s">
        <v>39</v>
      </c>
      <c r="B2421" t="s">
        <v>8359</v>
      </c>
      <c r="C2421">
        <v>64.400000000000006</v>
      </c>
      <c r="D2421">
        <v>55.1</v>
      </c>
      <c r="G2421">
        <f t="shared" si="370"/>
        <v>1</v>
      </c>
      <c r="H2421">
        <f t="shared" si="371"/>
        <v>1</v>
      </c>
      <c r="I2421">
        <f t="shared" si="372"/>
        <v>0</v>
      </c>
      <c r="J2421">
        <v>60.2</v>
      </c>
      <c r="K2421">
        <v>64.400000000000006</v>
      </c>
      <c r="L2421">
        <v>55.1</v>
      </c>
      <c r="M2421">
        <v>60.2</v>
      </c>
      <c r="N2421">
        <v>56.6</v>
      </c>
      <c r="O2421">
        <v>88.1</v>
      </c>
      <c r="S2421">
        <f t="shared" si="373"/>
        <v>1</v>
      </c>
      <c r="T2421">
        <f t="shared" si="374"/>
        <v>1</v>
      </c>
      <c r="U2421">
        <f t="shared" si="375"/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24.4</v>
      </c>
      <c r="AC2421">
        <v>12.2</v>
      </c>
      <c r="AG2421">
        <f t="shared" si="376"/>
        <v>1</v>
      </c>
      <c r="AH2421">
        <f t="shared" si="377"/>
        <v>0</v>
      </c>
      <c r="AI2421">
        <f t="shared" si="378"/>
        <v>1</v>
      </c>
      <c r="AJ2421">
        <v>300.5</v>
      </c>
      <c r="AK2421">
        <v>1010.4</v>
      </c>
      <c r="AL2421">
        <v>58.1</v>
      </c>
      <c r="AM2421">
        <v>6.2</v>
      </c>
      <c r="AN2421">
        <v>202.5</v>
      </c>
      <c r="AO2421">
        <v>17.399999999999999</v>
      </c>
      <c r="AP2421">
        <v>8</v>
      </c>
      <c r="AQ2421">
        <v>0</v>
      </c>
      <c r="AR2421" t="s">
        <v>8360</v>
      </c>
      <c r="AS2421" t="s">
        <v>8361</v>
      </c>
      <c r="AT2421">
        <v>0.89</v>
      </c>
      <c r="AU2421" t="s">
        <v>43</v>
      </c>
      <c r="AV2421" t="s">
        <v>44</v>
      </c>
      <c r="AW2421" t="s">
        <v>45</v>
      </c>
      <c r="AX2421" t="s">
        <v>2534</v>
      </c>
      <c r="AY2421" t="s">
        <v>8362</v>
      </c>
      <c r="AZ2421">
        <v>349.99999999883579</v>
      </c>
      <c r="BA2421">
        <v>0</v>
      </c>
      <c r="BB2421">
        <v>0</v>
      </c>
      <c r="BC2421">
        <v>1</v>
      </c>
      <c r="BD2421">
        <v>0</v>
      </c>
      <c r="BE2421">
        <f t="shared" si="379"/>
        <v>1</v>
      </c>
    </row>
    <row r="2422" spans="1:57" x14ac:dyDescent="0.25">
      <c r="A2422" t="s">
        <v>39</v>
      </c>
      <c r="B2422" t="s">
        <v>8363</v>
      </c>
      <c r="C2422">
        <v>87.8</v>
      </c>
      <c r="D2422">
        <v>78.8</v>
      </c>
      <c r="G2422">
        <f t="shared" si="370"/>
        <v>1</v>
      </c>
      <c r="H2422">
        <f t="shared" si="371"/>
        <v>1</v>
      </c>
      <c r="I2422">
        <f t="shared" si="372"/>
        <v>0</v>
      </c>
      <c r="J2422">
        <v>83.1</v>
      </c>
      <c r="K2422">
        <v>94.2</v>
      </c>
      <c r="L2422">
        <v>78.8</v>
      </c>
      <c r="M2422">
        <v>87.4</v>
      </c>
      <c r="N2422">
        <v>70.599999999999994</v>
      </c>
      <c r="O2422">
        <v>66.2</v>
      </c>
      <c r="S2422">
        <f t="shared" si="373"/>
        <v>1</v>
      </c>
      <c r="T2422">
        <f t="shared" si="374"/>
        <v>1</v>
      </c>
      <c r="U2422">
        <f t="shared" si="375"/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34.4</v>
      </c>
      <c r="AC2422">
        <v>20.3</v>
      </c>
      <c r="AG2422">
        <f t="shared" si="376"/>
        <v>1</v>
      </c>
      <c r="AH2422">
        <f t="shared" si="377"/>
        <v>1</v>
      </c>
      <c r="AI2422">
        <f t="shared" si="378"/>
        <v>0</v>
      </c>
      <c r="AJ2422">
        <v>290.60000000000002</v>
      </c>
      <c r="AK2422">
        <v>1011.1</v>
      </c>
      <c r="AL2422">
        <v>21</v>
      </c>
      <c r="AM2422">
        <v>6.2</v>
      </c>
      <c r="AN2422">
        <v>329</v>
      </c>
      <c r="AO2422">
        <v>28.5</v>
      </c>
      <c r="AP2422">
        <v>10</v>
      </c>
      <c r="AQ2422">
        <v>0</v>
      </c>
      <c r="AR2422" t="s">
        <v>8364</v>
      </c>
      <c r="AS2422" t="s">
        <v>8365</v>
      </c>
      <c r="AT2422">
        <v>0.91</v>
      </c>
      <c r="AU2422" t="s">
        <v>43</v>
      </c>
      <c r="AV2422" t="s">
        <v>44</v>
      </c>
      <c r="AW2422" t="s">
        <v>45</v>
      </c>
      <c r="AX2422" t="s">
        <v>4095</v>
      </c>
      <c r="AY2422" t="s">
        <v>8366</v>
      </c>
      <c r="AZ2422">
        <v>5440.0000000046566</v>
      </c>
      <c r="BA2422">
        <v>1</v>
      </c>
      <c r="BB2422">
        <v>5</v>
      </c>
      <c r="BC2422">
        <v>0</v>
      </c>
      <c r="BD2422">
        <v>0</v>
      </c>
      <c r="BE2422">
        <f t="shared" si="379"/>
        <v>1</v>
      </c>
    </row>
    <row r="2423" spans="1:57" x14ac:dyDescent="0.25">
      <c r="A2423" t="s">
        <v>39</v>
      </c>
      <c r="B2423" t="s">
        <v>8367</v>
      </c>
      <c r="C2423">
        <v>86</v>
      </c>
      <c r="D2423">
        <v>75.2</v>
      </c>
      <c r="G2423">
        <f t="shared" si="370"/>
        <v>1</v>
      </c>
      <c r="H2423">
        <f t="shared" si="371"/>
        <v>1</v>
      </c>
      <c r="I2423">
        <f t="shared" si="372"/>
        <v>0</v>
      </c>
      <c r="J2423">
        <v>81.8</v>
      </c>
      <c r="K2423">
        <v>90.1</v>
      </c>
      <c r="L2423">
        <v>75.2</v>
      </c>
      <c r="M2423">
        <v>83.6</v>
      </c>
      <c r="N2423">
        <v>66</v>
      </c>
      <c r="O2423">
        <v>59.1</v>
      </c>
      <c r="S2423">
        <f t="shared" si="373"/>
        <v>0</v>
      </c>
      <c r="T2423">
        <f t="shared" si="374"/>
        <v>0</v>
      </c>
      <c r="U2423">
        <f t="shared" si="375"/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31.5</v>
      </c>
      <c r="AC2423">
        <v>21.2</v>
      </c>
      <c r="AG2423">
        <f t="shared" si="376"/>
        <v>1</v>
      </c>
      <c r="AH2423">
        <f t="shared" si="377"/>
        <v>1</v>
      </c>
      <c r="AI2423">
        <f t="shared" si="378"/>
        <v>0</v>
      </c>
      <c r="AJ2423">
        <v>295.7</v>
      </c>
      <c r="AK2423">
        <v>1009.8</v>
      </c>
      <c r="AL2423">
        <v>0</v>
      </c>
      <c r="AM2423">
        <v>6.2</v>
      </c>
      <c r="AN2423">
        <v>336.3</v>
      </c>
      <c r="AO2423">
        <v>29.1</v>
      </c>
      <c r="AP2423">
        <v>10</v>
      </c>
      <c r="AQ2423">
        <v>0</v>
      </c>
      <c r="AR2423" t="s">
        <v>8368</v>
      </c>
      <c r="AS2423" t="s">
        <v>8369</v>
      </c>
      <c r="AT2423">
        <v>0.08</v>
      </c>
      <c r="AU2423" t="s">
        <v>74</v>
      </c>
      <c r="AV2423" t="s">
        <v>2955</v>
      </c>
      <c r="AW2423" t="s">
        <v>75</v>
      </c>
      <c r="AX2423" t="s">
        <v>8370</v>
      </c>
      <c r="AY2423" t="s">
        <v>8371</v>
      </c>
      <c r="AZ2423">
        <v>0</v>
      </c>
      <c r="BA2423">
        <v>0</v>
      </c>
      <c r="BB2423">
        <v>0.2</v>
      </c>
      <c r="BC2423">
        <v>0.2</v>
      </c>
      <c r="BD2423">
        <v>0</v>
      </c>
      <c r="BE2423">
        <f t="shared" si="379"/>
        <v>0</v>
      </c>
    </row>
    <row r="2424" spans="1:57" x14ac:dyDescent="0.25">
      <c r="A2424" t="s">
        <v>39</v>
      </c>
      <c r="B2424" t="s">
        <v>8372</v>
      </c>
      <c r="C2424">
        <v>80.599999999999994</v>
      </c>
      <c r="D2424">
        <v>68</v>
      </c>
      <c r="G2424">
        <f t="shared" si="370"/>
        <v>1</v>
      </c>
      <c r="H2424">
        <f t="shared" si="371"/>
        <v>1</v>
      </c>
      <c r="I2424">
        <f t="shared" si="372"/>
        <v>0</v>
      </c>
      <c r="J2424">
        <v>73.5</v>
      </c>
      <c r="K2424">
        <v>82.8</v>
      </c>
      <c r="L2424">
        <v>68</v>
      </c>
      <c r="M2424">
        <v>73.7</v>
      </c>
      <c r="N2424">
        <v>63.5</v>
      </c>
      <c r="O2424">
        <v>72</v>
      </c>
      <c r="S2424">
        <f t="shared" si="373"/>
        <v>1</v>
      </c>
      <c r="T2424">
        <f t="shared" si="374"/>
        <v>1</v>
      </c>
      <c r="U2424">
        <f t="shared" si="375"/>
        <v>0</v>
      </c>
      <c r="V2424">
        <v>8.0000000000000002E-3</v>
      </c>
      <c r="W2424">
        <v>100</v>
      </c>
      <c r="X2424">
        <v>4.17</v>
      </c>
      <c r="Y2424" t="s">
        <v>103</v>
      </c>
      <c r="Z2424">
        <v>0</v>
      </c>
      <c r="AA2424">
        <v>0</v>
      </c>
      <c r="AB2424">
        <v>22.8</v>
      </c>
      <c r="AC2424">
        <v>19.899999999999999</v>
      </c>
      <c r="AG2424">
        <f t="shared" si="376"/>
        <v>1</v>
      </c>
      <c r="AH2424">
        <f t="shared" si="377"/>
        <v>1</v>
      </c>
      <c r="AI2424">
        <f t="shared" si="378"/>
        <v>0</v>
      </c>
      <c r="AJ2424">
        <v>128.69999999999999</v>
      </c>
      <c r="AK2424">
        <v>1014.9</v>
      </c>
      <c r="AL2424">
        <v>28.1</v>
      </c>
      <c r="AM2424">
        <v>6.2</v>
      </c>
      <c r="AN2424">
        <v>190.7</v>
      </c>
      <c r="AO2424">
        <v>16.600000000000001</v>
      </c>
      <c r="AP2424">
        <v>7</v>
      </c>
      <c r="AQ2424">
        <v>0</v>
      </c>
      <c r="AR2424" t="s">
        <v>8373</v>
      </c>
      <c r="AS2424" t="s">
        <v>8374</v>
      </c>
      <c r="AT2424">
        <v>0.17</v>
      </c>
      <c r="AU2424" t="s">
        <v>106</v>
      </c>
      <c r="AV2424" t="s">
        <v>1180</v>
      </c>
      <c r="AW2424" t="s">
        <v>103</v>
      </c>
      <c r="AX2424" t="s">
        <v>2418</v>
      </c>
      <c r="AY2424" t="s">
        <v>8375</v>
      </c>
      <c r="AZ2424">
        <v>315</v>
      </c>
      <c r="BA2424">
        <v>0</v>
      </c>
      <c r="BB2424">
        <v>0</v>
      </c>
      <c r="BC2424">
        <v>1</v>
      </c>
      <c r="BD2424">
        <v>0</v>
      </c>
      <c r="BE2424">
        <f t="shared" si="379"/>
        <v>1</v>
      </c>
    </row>
    <row r="2425" spans="1:57" x14ac:dyDescent="0.25">
      <c r="A2425" t="s">
        <v>39</v>
      </c>
      <c r="B2425" t="s">
        <v>8376</v>
      </c>
      <c r="C2425">
        <v>71.599999999999994</v>
      </c>
      <c r="D2425">
        <v>59</v>
      </c>
      <c r="G2425">
        <f t="shared" si="370"/>
        <v>1</v>
      </c>
      <c r="H2425">
        <f t="shared" si="371"/>
        <v>1</v>
      </c>
      <c r="I2425">
        <f t="shared" si="372"/>
        <v>0</v>
      </c>
      <c r="J2425">
        <v>65.2</v>
      </c>
      <c r="K2425">
        <v>71.599999999999994</v>
      </c>
      <c r="L2425">
        <v>59</v>
      </c>
      <c r="M2425">
        <v>65.2</v>
      </c>
      <c r="N2425">
        <v>61.3</v>
      </c>
      <c r="O2425">
        <v>87.3</v>
      </c>
      <c r="S2425">
        <f t="shared" si="373"/>
        <v>1</v>
      </c>
      <c r="T2425">
        <f t="shared" si="374"/>
        <v>1</v>
      </c>
      <c r="U2425">
        <f t="shared" si="375"/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21.9</v>
      </c>
      <c r="AC2425">
        <v>8.1</v>
      </c>
      <c r="AG2425">
        <f t="shared" si="376"/>
        <v>1</v>
      </c>
      <c r="AH2425">
        <f t="shared" si="377"/>
        <v>0</v>
      </c>
      <c r="AI2425">
        <f t="shared" si="378"/>
        <v>1</v>
      </c>
      <c r="AJ2425">
        <v>314.39999999999998</v>
      </c>
      <c r="AK2425">
        <v>1019.2</v>
      </c>
      <c r="AL2425">
        <v>30.6</v>
      </c>
      <c r="AM2425">
        <v>6.2</v>
      </c>
      <c r="AN2425">
        <v>158.5</v>
      </c>
      <c r="AO2425">
        <v>13.7</v>
      </c>
      <c r="AP2425">
        <v>6</v>
      </c>
      <c r="AQ2425">
        <v>0</v>
      </c>
      <c r="AR2425" t="s">
        <v>8377</v>
      </c>
      <c r="AS2425" t="s">
        <v>8378</v>
      </c>
      <c r="AT2425">
        <v>0.05</v>
      </c>
      <c r="AU2425" t="s">
        <v>43</v>
      </c>
      <c r="AV2425" t="s">
        <v>44</v>
      </c>
      <c r="AW2425" t="s">
        <v>45</v>
      </c>
      <c r="AX2425" t="s">
        <v>2582</v>
      </c>
      <c r="AY2425" t="s">
        <v>8379</v>
      </c>
      <c r="AZ2425">
        <v>81.000000002095476</v>
      </c>
      <c r="BA2425">
        <v>0</v>
      </c>
      <c r="BB2425">
        <v>0</v>
      </c>
      <c r="BC2425">
        <v>1</v>
      </c>
      <c r="BD2425">
        <v>0</v>
      </c>
      <c r="BE2425">
        <f t="shared" si="379"/>
        <v>1</v>
      </c>
    </row>
    <row r="2426" spans="1:57" x14ac:dyDescent="0.25">
      <c r="A2426" t="s">
        <v>39</v>
      </c>
      <c r="B2426" t="s">
        <v>8376</v>
      </c>
      <c r="C2426">
        <v>71.599999999999994</v>
      </c>
      <c r="D2426">
        <v>59</v>
      </c>
      <c r="G2426">
        <f t="shared" si="370"/>
        <v>1</v>
      </c>
      <c r="H2426">
        <f t="shared" si="371"/>
        <v>1</v>
      </c>
      <c r="I2426">
        <f t="shared" si="372"/>
        <v>0</v>
      </c>
      <c r="J2426">
        <v>65.2</v>
      </c>
      <c r="K2426">
        <v>71.599999999999994</v>
      </c>
      <c r="L2426">
        <v>59</v>
      </c>
      <c r="M2426">
        <v>65.2</v>
      </c>
      <c r="N2426">
        <v>61.3</v>
      </c>
      <c r="O2426">
        <v>87.3</v>
      </c>
      <c r="S2426">
        <f t="shared" si="373"/>
        <v>1</v>
      </c>
      <c r="T2426">
        <f t="shared" si="374"/>
        <v>1</v>
      </c>
      <c r="U2426">
        <f t="shared" si="375"/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21.9</v>
      </c>
      <c r="AC2426">
        <v>8.1</v>
      </c>
      <c r="AG2426">
        <f t="shared" si="376"/>
        <v>1</v>
      </c>
      <c r="AH2426">
        <f t="shared" si="377"/>
        <v>0</v>
      </c>
      <c r="AI2426">
        <f t="shared" si="378"/>
        <v>1</v>
      </c>
      <c r="AJ2426">
        <v>314.39999999999998</v>
      </c>
      <c r="AK2426">
        <v>1019.2</v>
      </c>
      <c r="AL2426">
        <v>30.6</v>
      </c>
      <c r="AM2426">
        <v>6.2</v>
      </c>
      <c r="AN2426">
        <v>158.5</v>
      </c>
      <c r="AO2426">
        <v>13.7</v>
      </c>
      <c r="AP2426">
        <v>6</v>
      </c>
      <c r="AQ2426">
        <v>0</v>
      </c>
      <c r="AR2426" t="s">
        <v>8377</v>
      </c>
      <c r="AS2426" t="s">
        <v>8378</v>
      </c>
      <c r="AT2426">
        <v>0.05</v>
      </c>
      <c r="AU2426" t="s">
        <v>43</v>
      </c>
      <c r="AV2426" t="s">
        <v>44</v>
      </c>
      <c r="AW2426" t="s">
        <v>45</v>
      </c>
      <c r="AX2426" t="s">
        <v>4290</v>
      </c>
      <c r="AY2426" t="s">
        <v>8380</v>
      </c>
      <c r="AZ2426">
        <v>439.99999999883579</v>
      </c>
      <c r="BA2426">
        <v>1</v>
      </c>
      <c r="BB2426">
        <v>0</v>
      </c>
      <c r="BC2426">
        <v>1</v>
      </c>
      <c r="BD2426">
        <v>0</v>
      </c>
      <c r="BE2426">
        <f t="shared" si="379"/>
        <v>1</v>
      </c>
    </row>
    <row r="2427" spans="1:57" x14ac:dyDescent="0.25">
      <c r="A2427" t="s">
        <v>39</v>
      </c>
      <c r="B2427" t="s">
        <v>8381</v>
      </c>
      <c r="C2427">
        <v>87.8</v>
      </c>
      <c r="D2427">
        <v>71.599999999999994</v>
      </c>
      <c r="G2427">
        <f t="shared" si="370"/>
        <v>1</v>
      </c>
      <c r="H2427">
        <f t="shared" si="371"/>
        <v>1</v>
      </c>
      <c r="I2427">
        <f t="shared" si="372"/>
        <v>0</v>
      </c>
      <c r="J2427">
        <v>78.900000000000006</v>
      </c>
      <c r="K2427">
        <v>102.4</v>
      </c>
      <c r="L2427">
        <v>71.599999999999994</v>
      </c>
      <c r="M2427">
        <v>83.9</v>
      </c>
      <c r="N2427">
        <v>70.3</v>
      </c>
      <c r="O2427">
        <v>75.8</v>
      </c>
      <c r="S2427">
        <f t="shared" si="373"/>
        <v>1</v>
      </c>
      <c r="T2427">
        <f t="shared" si="374"/>
        <v>1</v>
      </c>
      <c r="U2427">
        <f t="shared" si="375"/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18.8</v>
      </c>
      <c r="AC2427">
        <v>10.199999999999999</v>
      </c>
      <c r="AG2427">
        <f t="shared" si="376"/>
        <v>1</v>
      </c>
      <c r="AH2427">
        <f t="shared" si="377"/>
        <v>0</v>
      </c>
      <c r="AI2427">
        <f t="shared" si="378"/>
        <v>1</v>
      </c>
      <c r="AJ2427">
        <v>164.7</v>
      </c>
      <c r="AK2427">
        <v>1013.3</v>
      </c>
      <c r="AL2427">
        <v>0</v>
      </c>
      <c r="AM2427">
        <v>6.2</v>
      </c>
      <c r="AN2427">
        <v>246.6</v>
      </c>
      <c r="AO2427">
        <v>21.5</v>
      </c>
      <c r="AP2427">
        <v>8</v>
      </c>
      <c r="AQ2427">
        <v>0</v>
      </c>
      <c r="AR2427" t="s">
        <v>8382</v>
      </c>
      <c r="AS2427" t="s">
        <v>8383</v>
      </c>
      <c r="AT2427">
        <v>0.41</v>
      </c>
      <c r="AU2427" t="s">
        <v>74</v>
      </c>
      <c r="AV2427" t="s">
        <v>2955</v>
      </c>
      <c r="AW2427" t="s">
        <v>75</v>
      </c>
      <c r="AX2427" t="s">
        <v>6414</v>
      </c>
      <c r="AY2427" t="s">
        <v>8384</v>
      </c>
      <c r="AZ2427">
        <v>454.00000000256108</v>
      </c>
      <c r="BA2427">
        <v>1</v>
      </c>
      <c r="BB2427">
        <v>3</v>
      </c>
      <c r="BC2427">
        <v>0</v>
      </c>
      <c r="BD2427">
        <v>0</v>
      </c>
      <c r="BE2427">
        <f t="shared" si="379"/>
        <v>1</v>
      </c>
    </row>
    <row r="2428" spans="1:57" x14ac:dyDescent="0.25">
      <c r="A2428" t="s">
        <v>39</v>
      </c>
      <c r="B2428" t="s">
        <v>8385</v>
      </c>
      <c r="C2428">
        <v>69.8</v>
      </c>
      <c r="D2428">
        <v>50</v>
      </c>
      <c r="G2428">
        <f t="shared" si="370"/>
        <v>1</v>
      </c>
      <c r="H2428">
        <f t="shared" si="371"/>
        <v>1</v>
      </c>
      <c r="I2428">
        <f t="shared" si="372"/>
        <v>0</v>
      </c>
      <c r="J2428">
        <v>58.7</v>
      </c>
      <c r="K2428">
        <v>69.8</v>
      </c>
      <c r="L2428">
        <v>46.5</v>
      </c>
      <c r="M2428">
        <v>58.5</v>
      </c>
      <c r="N2428">
        <v>49.3</v>
      </c>
      <c r="O2428">
        <v>72.599999999999994</v>
      </c>
      <c r="S2428">
        <f t="shared" si="373"/>
        <v>1</v>
      </c>
      <c r="T2428">
        <f t="shared" si="374"/>
        <v>1</v>
      </c>
      <c r="U2428">
        <f t="shared" si="375"/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16.600000000000001</v>
      </c>
      <c r="AC2428">
        <v>10.8</v>
      </c>
      <c r="AG2428">
        <f t="shared" si="376"/>
        <v>1</v>
      </c>
      <c r="AH2428">
        <f t="shared" si="377"/>
        <v>0</v>
      </c>
      <c r="AI2428">
        <f t="shared" si="378"/>
        <v>1</v>
      </c>
      <c r="AJ2428">
        <v>167.6</v>
      </c>
      <c r="AK2428">
        <v>1019</v>
      </c>
      <c r="AL2428">
        <v>13.2</v>
      </c>
      <c r="AM2428">
        <v>6.2</v>
      </c>
      <c r="AN2428">
        <v>170</v>
      </c>
      <c r="AO2428">
        <v>14.6</v>
      </c>
      <c r="AP2428">
        <v>6</v>
      </c>
      <c r="AQ2428">
        <v>0</v>
      </c>
      <c r="AR2428" t="s">
        <v>8386</v>
      </c>
      <c r="AS2428" t="s">
        <v>8387</v>
      </c>
      <c r="AT2428">
        <v>0.81</v>
      </c>
      <c r="AU2428" t="s">
        <v>74</v>
      </c>
      <c r="AV2428" t="s">
        <v>2955</v>
      </c>
      <c r="AW2428" t="s">
        <v>75</v>
      </c>
      <c r="AX2428" t="s">
        <v>4132</v>
      </c>
      <c r="AY2428" t="s">
        <v>8388</v>
      </c>
      <c r="AZ2428">
        <v>399.99999999417918</v>
      </c>
      <c r="BA2428">
        <v>1</v>
      </c>
      <c r="BB2428">
        <v>6</v>
      </c>
      <c r="BC2428">
        <v>0</v>
      </c>
      <c r="BD2428">
        <v>0</v>
      </c>
      <c r="BE2428">
        <f t="shared" si="379"/>
        <v>1</v>
      </c>
    </row>
    <row r="2429" spans="1:57" x14ac:dyDescent="0.25">
      <c r="A2429" t="s">
        <v>39</v>
      </c>
      <c r="B2429" t="s">
        <v>8264</v>
      </c>
      <c r="C2429">
        <v>75.2</v>
      </c>
      <c r="D2429">
        <v>71.599999999999994</v>
      </c>
      <c r="G2429">
        <f t="shared" si="370"/>
        <v>1</v>
      </c>
      <c r="H2429">
        <f t="shared" si="371"/>
        <v>1</v>
      </c>
      <c r="I2429">
        <f t="shared" si="372"/>
        <v>0</v>
      </c>
      <c r="J2429">
        <v>74.099999999999994</v>
      </c>
      <c r="K2429">
        <v>75.2</v>
      </c>
      <c r="L2429">
        <v>71.599999999999994</v>
      </c>
      <c r="M2429">
        <v>74.099999999999994</v>
      </c>
      <c r="N2429">
        <v>44.5</v>
      </c>
      <c r="O2429">
        <v>34.9</v>
      </c>
      <c r="S2429">
        <f t="shared" si="373"/>
        <v>1</v>
      </c>
      <c r="T2429">
        <f t="shared" si="374"/>
        <v>0</v>
      </c>
      <c r="U2429">
        <f t="shared" si="375"/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45</v>
      </c>
      <c r="AC2429">
        <v>31.1</v>
      </c>
      <c r="AG2429">
        <f t="shared" si="376"/>
        <v>1</v>
      </c>
      <c r="AH2429">
        <f t="shared" si="377"/>
        <v>1</v>
      </c>
      <c r="AI2429">
        <f t="shared" si="378"/>
        <v>0</v>
      </c>
      <c r="AJ2429">
        <v>172.9</v>
      </c>
      <c r="AK2429">
        <v>1011.1</v>
      </c>
      <c r="AL2429">
        <v>33.1</v>
      </c>
      <c r="AM2429">
        <v>6.2</v>
      </c>
      <c r="AN2429">
        <v>241.6</v>
      </c>
      <c r="AO2429">
        <v>20.8</v>
      </c>
      <c r="AP2429">
        <v>8</v>
      </c>
      <c r="AQ2429">
        <v>0</v>
      </c>
      <c r="AR2429" t="s">
        <v>8265</v>
      </c>
      <c r="AS2429" t="s">
        <v>8266</v>
      </c>
      <c r="AT2429">
        <v>0.77</v>
      </c>
      <c r="AU2429" t="s">
        <v>43</v>
      </c>
      <c r="AV2429" t="s">
        <v>44</v>
      </c>
      <c r="AW2429" t="s">
        <v>419</v>
      </c>
      <c r="AX2429" t="s">
        <v>2413</v>
      </c>
      <c r="AY2429" t="s">
        <v>8389</v>
      </c>
      <c r="AZ2429">
        <v>245.99999999511061</v>
      </c>
      <c r="BA2429">
        <v>0</v>
      </c>
      <c r="BB2429">
        <v>0</v>
      </c>
      <c r="BC2429">
        <v>0.9</v>
      </c>
      <c r="BD2429">
        <v>0</v>
      </c>
      <c r="BE2429">
        <f t="shared" si="379"/>
        <v>1</v>
      </c>
    </row>
    <row r="2430" spans="1:57" x14ac:dyDescent="0.25">
      <c r="A2430" t="s">
        <v>39</v>
      </c>
      <c r="B2430" t="s">
        <v>8162</v>
      </c>
      <c r="C2430">
        <v>73.400000000000006</v>
      </c>
      <c r="D2430">
        <v>61.8</v>
      </c>
      <c r="G2430">
        <f t="shared" si="370"/>
        <v>0</v>
      </c>
      <c r="H2430">
        <f t="shared" si="371"/>
        <v>0</v>
      </c>
      <c r="I2430">
        <f t="shared" si="372"/>
        <v>0</v>
      </c>
      <c r="J2430">
        <v>68</v>
      </c>
      <c r="K2430">
        <v>73.400000000000006</v>
      </c>
      <c r="L2430">
        <v>61.8</v>
      </c>
      <c r="M2430">
        <v>68</v>
      </c>
      <c r="N2430">
        <v>63.5</v>
      </c>
      <c r="O2430">
        <v>85.6</v>
      </c>
      <c r="S2430">
        <f t="shared" si="373"/>
        <v>1</v>
      </c>
      <c r="T2430">
        <f t="shared" si="374"/>
        <v>1</v>
      </c>
      <c r="U2430">
        <f t="shared" si="375"/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17.2</v>
      </c>
      <c r="AC2430">
        <v>10.7</v>
      </c>
      <c r="AG2430">
        <f t="shared" si="376"/>
        <v>1</v>
      </c>
      <c r="AH2430">
        <f t="shared" si="377"/>
        <v>0</v>
      </c>
      <c r="AI2430">
        <f t="shared" si="378"/>
        <v>1</v>
      </c>
      <c r="AJ2430">
        <v>348.1</v>
      </c>
      <c r="AK2430">
        <v>1016.3</v>
      </c>
      <c r="AL2430">
        <v>31</v>
      </c>
      <c r="AM2430">
        <v>6.2</v>
      </c>
      <c r="AN2430">
        <v>212.4</v>
      </c>
      <c r="AO2430">
        <v>18.3</v>
      </c>
      <c r="AP2430">
        <v>7</v>
      </c>
      <c r="AQ2430">
        <v>0</v>
      </c>
      <c r="AR2430" t="s">
        <v>8163</v>
      </c>
      <c r="AS2430" t="s">
        <v>8164</v>
      </c>
      <c r="AT2430">
        <v>0.03</v>
      </c>
      <c r="AU2430" t="s">
        <v>43</v>
      </c>
      <c r="AV2430" t="s">
        <v>44</v>
      </c>
      <c r="AW2430" t="s">
        <v>45</v>
      </c>
      <c r="AX2430" t="s">
        <v>4039</v>
      </c>
      <c r="AY2430" t="s">
        <v>8390</v>
      </c>
      <c r="AZ2430">
        <v>1569.999999994179</v>
      </c>
      <c r="BA2430">
        <v>1</v>
      </c>
      <c r="BB2430">
        <v>0</v>
      </c>
      <c r="BC2430">
        <v>0.4</v>
      </c>
      <c r="BD2430">
        <v>0</v>
      </c>
      <c r="BE2430">
        <f t="shared" si="379"/>
        <v>0</v>
      </c>
    </row>
    <row r="2431" spans="1:57" x14ac:dyDescent="0.25">
      <c r="A2431" t="s">
        <v>39</v>
      </c>
      <c r="B2431" t="s">
        <v>8260</v>
      </c>
      <c r="C2431">
        <v>73.3</v>
      </c>
      <c r="D2431">
        <v>49.4</v>
      </c>
      <c r="G2431">
        <f t="shared" si="370"/>
        <v>1</v>
      </c>
      <c r="H2431">
        <f t="shared" si="371"/>
        <v>1</v>
      </c>
      <c r="I2431">
        <f t="shared" si="372"/>
        <v>0</v>
      </c>
      <c r="J2431">
        <v>61.4</v>
      </c>
      <c r="K2431">
        <v>73.3</v>
      </c>
      <c r="L2431">
        <v>48</v>
      </c>
      <c r="M2431">
        <v>61.4</v>
      </c>
      <c r="N2431">
        <v>49.3</v>
      </c>
      <c r="O2431">
        <v>66</v>
      </c>
      <c r="S2431">
        <f t="shared" si="373"/>
        <v>1</v>
      </c>
      <c r="T2431">
        <f t="shared" si="374"/>
        <v>0</v>
      </c>
      <c r="U2431">
        <f t="shared" si="375"/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29.8</v>
      </c>
      <c r="AC2431">
        <v>18.3</v>
      </c>
      <c r="AG2431">
        <f t="shared" si="376"/>
        <v>1</v>
      </c>
      <c r="AH2431">
        <f t="shared" si="377"/>
        <v>0</v>
      </c>
      <c r="AI2431">
        <f t="shared" si="378"/>
        <v>1</v>
      </c>
      <c r="AJ2431">
        <v>186.7</v>
      </c>
      <c r="AK2431">
        <v>1015.6</v>
      </c>
      <c r="AL2431">
        <v>16.8</v>
      </c>
      <c r="AM2431">
        <v>6.2</v>
      </c>
      <c r="AN2431">
        <v>182</v>
      </c>
      <c r="AO2431">
        <v>15.6</v>
      </c>
      <c r="AP2431">
        <v>7</v>
      </c>
      <c r="AQ2431">
        <v>0</v>
      </c>
      <c r="AR2431" t="s">
        <v>8261</v>
      </c>
      <c r="AS2431" t="s">
        <v>8262</v>
      </c>
      <c r="AT2431">
        <v>0</v>
      </c>
      <c r="AU2431" t="s">
        <v>74</v>
      </c>
      <c r="AV2431" t="s">
        <v>2955</v>
      </c>
      <c r="AW2431" t="s">
        <v>75</v>
      </c>
      <c r="AX2431" t="s">
        <v>2587</v>
      </c>
      <c r="AY2431" t="s">
        <v>8391</v>
      </c>
      <c r="AZ2431">
        <v>156.00000000558791</v>
      </c>
      <c r="BA2431">
        <v>0</v>
      </c>
      <c r="BB2431">
        <v>0</v>
      </c>
      <c r="BC2431">
        <v>1</v>
      </c>
      <c r="BD2431">
        <v>0</v>
      </c>
      <c r="BE2431">
        <f t="shared" si="379"/>
        <v>1</v>
      </c>
    </row>
    <row r="2432" spans="1:57" x14ac:dyDescent="0.25">
      <c r="A2432" t="s">
        <v>39</v>
      </c>
      <c r="B2432" t="s">
        <v>8260</v>
      </c>
      <c r="C2432">
        <v>73.3</v>
      </c>
      <c r="D2432">
        <v>49.4</v>
      </c>
      <c r="G2432">
        <f t="shared" si="370"/>
        <v>1</v>
      </c>
      <c r="H2432">
        <f t="shared" si="371"/>
        <v>1</v>
      </c>
      <c r="I2432">
        <f t="shared" si="372"/>
        <v>0</v>
      </c>
      <c r="J2432">
        <v>61.4</v>
      </c>
      <c r="K2432">
        <v>73.3</v>
      </c>
      <c r="L2432">
        <v>48</v>
      </c>
      <c r="M2432">
        <v>61.4</v>
      </c>
      <c r="N2432">
        <v>49.3</v>
      </c>
      <c r="O2432">
        <v>66</v>
      </c>
      <c r="S2432">
        <f t="shared" si="373"/>
        <v>1</v>
      </c>
      <c r="T2432">
        <f t="shared" si="374"/>
        <v>0</v>
      </c>
      <c r="U2432">
        <f t="shared" si="375"/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29.8</v>
      </c>
      <c r="AC2432">
        <v>18.3</v>
      </c>
      <c r="AG2432">
        <f t="shared" si="376"/>
        <v>1</v>
      </c>
      <c r="AH2432">
        <f t="shared" si="377"/>
        <v>0</v>
      </c>
      <c r="AI2432">
        <f t="shared" si="378"/>
        <v>1</v>
      </c>
      <c r="AJ2432">
        <v>186.7</v>
      </c>
      <c r="AK2432">
        <v>1015.6</v>
      </c>
      <c r="AL2432">
        <v>16.8</v>
      </c>
      <c r="AM2432">
        <v>6.2</v>
      </c>
      <c r="AN2432">
        <v>182</v>
      </c>
      <c r="AO2432">
        <v>15.6</v>
      </c>
      <c r="AP2432">
        <v>7</v>
      </c>
      <c r="AQ2432">
        <v>0</v>
      </c>
      <c r="AR2432" t="s">
        <v>8261</v>
      </c>
      <c r="AS2432" t="s">
        <v>8262</v>
      </c>
      <c r="AT2432">
        <v>0</v>
      </c>
      <c r="AU2432" t="s">
        <v>74</v>
      </c>
      <c r="AV2432" t="s">
        <v>2955</v>
      </c>
      <c r="AW2432" t="s">
        <v>75</v>
      </c>
      <c r="AX2432" t="s">
        <v>7484</v>
      </c>
      <c r="AY2432" t="s">
        <v>8392</v>
      </c>
      <c r="AZ2432">
        <v>164.0000000002328</v>
      </c>
      <c r="BA2432">
        <v>0</v>
      </c>
      <c r="BB2432">
        <v>0</v>
      </c>
      <c r="BC2432">
        <v>1</v>
      </c>
      <c r="BD2432">
        <v>0</v>
      </c>
      <c r="BE2432">
        <f t="shared" si="379"/>
        <v>1</v>
      </c>
    </row>
    <row r="2433" spans="1:57" x14ac:dyDescent="0.25">
      <c r="A2433" t="s">
        <v>39</v>
      </c>
      <c r="B2433" t="s">
        <v>8393</v>
      </c>
      <c r="C2433">
        <v>64.3</v>
      </c>
      <c r="D2433">
        <v>49.9</v>
      </c>
      <c r="G2433">
        <f t="shared" si="370"/>
        <v>1</v>
      </c>
      <c r="H2433">
        <f t="shared" si="371"/>
        <v>1</v>
      </c>
      <c r="I2433">
        <f t="shared" si="372"/>
        <v>0</v>
      </c>
      <c r="J2433">
        <v>57.6</v>
      </c>
      <c r="K2433">
        <v>64.3</v>
      </c>
      <c r="L2433">
        <v>49.9</v>
      </c>
      <c r="M2433">
        <v>57.6</v>
      </c>
      <c r="N2433">
        <v>49.7</v>
      </c>
      <c r="O2433">
        <v>75.5</v>
      </c>
      <c r="S2433">
        <f t="shared" si="373"/>
        <v>1</v>
      </c>
      <c r="T2433">
        <f t="shared" si="374"/>
        <v>1</v>
      </c>
      <c r="U2433">
        <f t="shared" si="375"/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24.6</v>
      </c>
      <c r="AC2433">
        <v>18.3</v>
      </c>
      <c r="AG2433">
        <f t="shared" si="376"/>
        <v>1</v>
      </c>
      <c r="AH2433">
        <f t="shared" si="377"/>
        <v>0</v>
      </c>
      <c r="AI2433">
        <f t="shared" si="378"/>
        <v>1</v>
      </c>
      <c r="AJ2433">
        <v>278.3</v>
      </c>
      <c r="AK2433">
        <v>1018</v>
      </c>
      <c r="AL2433">
        <v>26</v>
      </c>
      <c r="AM2433">
        <v>6.2</v>
      </c>
      <c r="AN2433">
        <v>164</v>
      </c>
      <c r="AO2433">
        <v>14.1</v>
      </c>
      <c r="AP2433">
        <v>6</v>
      </c>
      <c r="AQ2433">
        <v>0</v>
      </c>
      <c r="AR2433" t="s">
        <v>8394</v>
      </c>
      <c r="AS2433" t="s">
        <v>8395</v>
      </c>
      <c r="AT2433">
        <v>0.02</v>
      </c>
      <c r="AU2433" t="s">
        <v>43</v>
      </c>
      <c r="AV2433" t="s">
        <v>44</v>
      </c>
      <c r="AW2433" t="s">
        <v>45</v>
      </c>
      <c r="AX2433" t="s">
        <v>2428</v>
      </c>
      <c r="AY2433" t="s">
        <v>8396</v>
      </c>
      <c r="AZ2433">
        <v>239.99999999650751</v>
      </c>
      <c r="BA2433">
        <v>0</v>
      </c>
      <c r="BB2433">
        <v>0</v>
      </c>
      <c r="BC2433">
        <v>0.1</v>
      </c>
      <c r="BD2433">
        <v>0</v>
      </c>
      <c r="BE2433">
        <f t="shared" si="379"/>
        <v>1</v>
      </c>
    </row>
    <row r="2434" spans="1:57" x14ac:dyDescent="0.25">
      <c r="A2434" t="s">
        <v>39</v>
      </c>
      <c r="B2434" t="s">
        <v>8397</v>
      </c>
      <c r="C2434">
        <v>71.599999999999994</v>
      </c>
      <c r="D2434">
        <v>68.8</v>
      </c>
      <c r="G2434">
        <f t="shared" si="370"/>
        <v>1</v>
      </c>
      <c r="H2434">
        <f t="shared" si="371"/>
        <v>0</v>
      </c>
      <c r="I2434">
        <f t="shared" si="372"/>
        <v>1</v>
      </c>
      <c r="J2434">
        <v>70.2</v>
      </c>
      <c r="K2434">
        <v>71.599999999999994</v>
      </c>
      <c r="L2434">
        <v>68.8</v>
      </c>
      <c r="M2434">
        <v>70.2</v>
      </c>
      <c r="N2434">
        <v>62.8</v>
      </c>
      <c r="O2434">
        <v>77.7</v>
      </c>
      <c r="S2434">
        <f t="shared" si="373"/>
        <v>1</v>
      </c>
      <c r="T2434">
        <f t="shared" si="374"/>
        <v>1</v>
      </c>
      <c r="U2434">
        <f t="shared" si="375"/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35.299999999999997</v>
      </c>
      <c r="AC2434">
        <v>24.7</v>
      </c>
      <c r="AG2434">
        <f t="shared" si="376"/>
        <v>1</v>
      </c>
      <c r="AH2434">
        <f t="shared" si="377"/>
        <v>1</v>
      </c>
      <c r="AI2434">
        <f t="shared" si="378"/>
        <v>0</v>
      </c>
      <c r="AJ2434">
        <v>323.3</v>
      </c>
      <c r="AK2434">
        <v>1016.2</v>
      </c>
      <c r="AL2434">
        <v>67.3</v>
      </c>
      <c r="AM2434">
        <v>6.2</v>
      </c>
      <c r="AN2434">
        <v>178.3</v>
      </c>
      <c r="AO2434">
        <v>15.6</v>
      </c>
      <c r="AP2434">
        <v>7</v>
      </c>
      <c r="AQ2434">
        <v>0</v>
      </c>
      <c r="AR2434" t="s">
        <v>8398</v>
      </c>
      <c r="AS2434" t="s">
        <v>8399</v>
      </c>
      <c r="AT2434">
        <v>0.84</v>
      </c>
      <c r="AU2434" t="s">
        <v>43</v>
      </c>
      <c r="AV2434" t="s">
        <v>44</v>
      </c>
      <c r="AW2434" t="s">
        <v>45</v>
      </c>
      <c r="AX2434" t="s">
        <v>7516</v>
      </c>
      <c r="AY2434" t="s">
        <v>8400</v>
      </c>
      <c r="AZ2434">
        <v>1011.99999999837</v>
      </c>
      <c r="BA2434">
        <v>1</v>
      </c>
      <c r="BB2434">
        <v>0</v>
      </c>
      <c r="BC2434">
        <v>2</v>
      </c>
      <c r="BD2434">
        <v>0</v>
      </c>
      <c r="BE2434">
        <f t="shared" si="379"/>
        <v>1</v>
      </c>
    </row>
    <row r="2435" spans="1:57" x14ac:dyDescent="0.25">
      <c r="A2435" t="s">
        <v>39</v>
      </c>
      <c r="B2435" t="s">
        <v>8401</v>
      </c>
      <c r="C2435">
        <v>73.400000000000006</v>
      </c>
      <c r="D2435">
        <v>62.6</v>
      </c>
      <c r="G2435">
        <f t="shared" ref="G2435:G2498" si="380">IF(ABS(C2435-INDEX($F$2:$F$13,MONTH(B2435)))&gt;1.8,1,0)</f>
        <v>1</v>
      </c>
      <c r="H2435">
        <f t="shared" ref="H2435:H2498" si="381">IF(C2435&gt;=INDEX($F$2:$F$13,MONTH(B2435))+1.8,1,0)</f>
        <v>1</v>
      </c>
      <c r="I2435">
        <f t="shared" ref="I2435:I2498" si="382">IF(C2435&lt;=INDEX($F$2:$F$13,MONTH(B2435))-1.8,1,0)</f>
        <v>0</v>
      </c>
      <c r="J2435">
        <v>68.2</v>
      </c>
      <c r="K2435">
        <v>73.400000000000006</v>
      </c>
      <c r="L2435">
        <v>62.6</v>
      </c>
      <c r="M2435">
        <v>68.2</v>
      </c>
      <c r="N2435">
        <v>57.7</v>
      </c>
      <c r="O2435">
        <v>70.599999999999994</v>
      </c>
      <c r="S2435">
        <f t="shared" ref="S2435:S2498" si="383">IF(OR(O2435&lt;INDEX($Q$2:$Q$13,MONTH(B2435)),O2435&gt;INDEX($R$2:$R$13,MONTH(B2435))),1,0)</f>
        <v>1</v>
      </c>
      <c r="T2435">
        <f t="shared" ref="T2435:T2498" si="384">IF(O2435&gt;INDEX($R$2:$R$13,MONTH(B2435)),1,0)</f>
        <v>1</v>
      </c>
      <c r="U2435">
        <f t="shared" ref="U2435:U2498" si="385">IF(O2435&lt;INDEX($Q$2:$Q$13,MONTH(B2435)),1,0)</f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42.5</v>
      </c>
      <c r="AC2435">
        <v>23.6</v>
      </c>
      <c r="AG2435">
        <f t="shared" ref="AG2435:AG2498" si="386">IF(OR(AC2435&lt;INDEX($AE$2:$AE$13,MONTH(B2435)),AC2435&gt;INDEX($AF$2:$AF$13,MONTH(B2435))),1,0)</f>
        <v>1</v>
      </c>
      <c r="AH2435">
        <f t="shared" ref="AH2435:AH2498" si="387">IF(AC2435&gt;INDEX($AF$2:$AF$13,MONTH(B2435)),1,0)</f>
        <v>1</v>
      </c>
      <c r="AI2435">
        <f t="shared" ref="AI2435:AI2498" si="388">IF(AC2435&lt;INDEX($AE$2:$AE$13,MONTH(B2435)),1,0)</f>
        <v>0</v>
      </c>
      <c r="AJ2435">
        <v>192.2</v>
      </c>
      <c r="AK2435">
        <v>1011.4</v>
      </c>
      <c r="AL2435">
        <v>34.5</v>
      </c>
      <c r="AM2435">
        <v>6.2</v>
      </c>
      <c r="AN2435">
        <v>124.8</v>
      </c>
      <c r="AO2435">
        <v>10.8</v>
      </c>
      <c r="AP2435">
        <v>5</v>
      </c>
      <c r="AQ2435">
        <v>0</v>
      </c>
      <c r="AR2435" t="s">
        <v>8402</v>
      </c>
      <c r="AS2435" t="s">
        <v>8403</v>
      </c>
      <c r="AT2435">
        <v>0.8</v>
      </c>
      <c r="AU2435" t="s">
        <v>43</v>
      </c>
      <c r="AV2435" t="s">
        <v>44</v>
      </c>
      <c r="AW2435" t="s">
        <v>45</v>
      </c>
      <c r="AX2435" t="s">
        <v>2491</v>
      </c>
      <c r="AY2435" t="s">
        <v>8404</v>
      </c>
      <c r="AZ2435">
        <v>1519.9999999988361</v>
      </c>
      <c r="BA2435">
        <v>1</v>
      </c>
      <c r="BB2435">
        <v>5</v>
      </c>
      <c r="BC2435">
        <v>0</v>
      </c>
      <c r="BD2435">
        <v>0</v>
      </c>
      <c r="BE2435">
        <f t="shared" ref="BE2435:BE2498" si="389">IF((3*AH2435+3*H2435+2*U2435+2*BA2435-(2*(1-T2435)+2*(1-I2435)+2*(1-AI2435)))&gt;=1,1,0)</f>
        <v>1</v>
      </c>
    </row>
    <row r="2436" spans="1:57" x14ac:dyDescent="0.25">
      <c r="A2436" t="s">
        <v>39</v>
      </c>
      <c r="B2436" t="s">
        <v>8385</v>
      </c>
      <c r="C2436">
        <v>69.8</v>
      </c>
      <c r="D2436">
        <v>50</v>
      </c>
      <c r="G2436">
        <f t="shared" si="380"/>
        <v>1</v>
      </c>
      <c r="H2436">
        <f t="shared" si="381"/>
        <v>1</v>
      </c>
      <c r="I2436">
        <f t="shared" si="382"/>
        <v>0</v>
      </c>
      <c r="J2436">
        <v>58.7</v>
      </c>
      <c r="K2436">
        <v>69.8</v>
      </c>
      <c r="L2436">
        <v>46.5</v>
      </c>
      <c r="M2436">
        <v>58.5</v>
      </c>
      <c r="N2436">
        <v>49.3</v>
      </c>
      <c r="O2436">
        <v>72.599999999999994</v>
      </c>
      <c r="S2436">
        <f t="shared" si="383"/>
        <v>1</v>
      </c>
      <c r="T2436">
        <f t="shared" si="384"/>
        <v>1</v>
      </c>
      <c r="U2436">
        <f t="shared" si="385"/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16.600000000000001</v>
      </c>
      <c r="AC2436">
        <v>10.8</v>
      </c>
      <c r="AG2436">
        <f t="shared" si="386"/>
        <v>1</v>
      </c>
      <c r="AH2436">
        <f t="shared" si="387"/>
        <v>0</v>
      </c>
      <c r="AI2436">
        <f t="shared" si="388"/>
        <v>1</v>
      </c>
      <c r="AJ2436">
        <v>167.6</v>
      </c>
      <c r="AK2436">
        <v>1019</v>
      </c>
      <c r="AL2436">
        <v>13.2</v>
      </c>
      <c r="AM2436">
        <v>6.2</v>
      </c>
      <c r="AN2436">
        <v>170</v>
      </c>
      <c r="AO2436">
        <v>14.6</v>
      </c>
      <c r="AP2436">
        <v>6</v>
      </c>
      <c r="AQ2436">
        <v>0</v>
      </c>
      <c r="AR2436" t="s">
        <v>8386</v>
      </c>
      <c r="AS2436" t="s">
        <v>8387</v>
      </c>
      <c r="AT2436">
        <v>0.81</v>
      </c>
      <c r="AU2436" t="s">
        <v>74</v>
      </c>
      <c r="AV2436" t="s">
        <v>2955</v>
      </c>
      <c r="AW2436" t="s">
        <v>75</v>
      </c>
      <c r="AX2436" t="s">
        <v>2443</v>
      </c>
      <c r="AY2436" t="s">
        <v>8405</v>
      </c>
      <c r="AZ2436">
        <v>45</v>
      </c>
      <c r="BA2436">
        <v>0</v>
      </c>
      <c r="BB2436">
        <v>0</v>
      </c>
      <c r="BC2436">
        <v>1</v>
      </c>
      <c r="BD2436">
        <v>0</v>
      </c>
      <c r="BE2436">
        <f t="shared" si="389"/>
        <v>1</v>
      </c>
    </row>
    <row r="2437" spans="1:57" x14ac:dyDescent="0.25">
      <c r="A2437" t="s">
        <v>39</v>
      </c>
      <c r="B2437" t="s">
        <v>8406</v>
      </c>
      <c r="C2437">
        <v>82.4</v>
      </c>
      <c r="D2437">
        <v>75.2</v>
      </c>
      <c r="G2437">
        <f t="shared" si="380"/>
        <v>1</v>
      </c>
      <c r="H2437">
        <f t="shared" si="381"/>
        <v>1</v>
      </c>
      <c r="I2437">
        <f t="shared" si="382"/>
        <v>0</v>
      </c>
      <c r="J2437">
        <v>77.7</v>
      </c>
      <c r="K2437">
        <v>88.2</v>
      </c>
      <c r="L2437">
        <v>75.2</v>
      </c>
      <c r="M2437">
        <v>78.900000000000006</v>
      </c>
      <c r="N2437">
        <v>70.099999999999994</v>
      </c>
      <c r="O2437">
        <v>77.7</v>
      </c>
      <c r="S2437">
        <f t="shared" si="383"/>
        <v>1</v>
      </c>
      <c r="T2437">
        <f t="shared" si="384"/>
        <v>1</v>
      </c>
      <c r="U2437">
        <f t="shared" si="385"/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32.200000000000003</v>
      </c>
      <c r="AC2437">
        <v>19.2</v>
      </c>
      <c r="AG2437">
        <f t="shared" si="386"/>
        <v>1</v>
      </c>
      <c r="AH2437">
        <f t="shared" si="387"/>
        <v>1</v>
      </c>
      <c r="AI2437">
        <f t="shared" si="388"/>
        <v>0</v>
      </c>
      <c r="AJ2437">
        <v>309.8</v>
      </c>
      <c r="AK2437">
        <v>1013.2</v>
      </c>
      <c r="AL2437">
        <v>23.2</v>
      </c>
      <c r="AM2437">
        <v>6.2</v>
      </c>
      <c r="AN2437">
        <v>271.39999999999998</v>
      </c>
      <c r="AO2437">
        <v>23.5</v>
      </c>
      <c r="AP2437">
        <v>9</v>
      </c>
      <c r="AQ2437">
        <v>0</v>
      </c>
      <c r="AR2437" t="s">
        <v>8407</v>
      </c>
      <c r="AS2437" t="s">
        <v>8408</v>
      </c>
      <c r="AT2437">
        <v>0.91</v>
      </c>
      <c r="AU2437" t="s">
        <v>43</v>
      </c>
      <c r="AV2437" t="s">
        <v>44</v>
      </c>
      <c r="AW2437" t="s">
        <v>45</v>
      </c>
      <c r="AX2437" t="s">
        <v>8409</v>
      </c>
      <c r="AY2437" t="s">
        <v>8410</v>
      </c>
      <c r="AZ2437">
        <v>1405.0000000011639</v>
      </c>
      <c r="BA2437">
        <v>1</v>
      </c>
      <c r="BB2437">
        <v>0</v>
      </c>
      <c r="BC2437">
        <v>5</v>
      </c>
      <c r="BD2437">
        <v>0</v>
      </c>
      <c r="BE2437">
        <f t="shared" si="389"/>
        <v>1</v>
      </c>
    </row>
    <row r="2438" spans="1:57" x14ac:dyDescent="0.25">
      <c r="A2438" t="s">
        <v>39</v>
      </c>
      <c r="B2438" t="s">
        <v>8411</v>
      </c>
      <c r="C2438">
        <v>73.400000000000006</v>
      </c>
      <c r="D2438">
        <v>68</v>
      </c>
      <c r="G2438">
        <f t="shared" si="380"/>
        <v>0</v>
      </c>
      <c r="H2438">
        <f t="shared" si="381"/>
        <v>0</v>
      </c>
      <c r="I2438">
        <f t="shared" si="382"/>
        <v>0</v>
      </c>
      <c r="J2438">
        <v>69.5</v>
      </c>
      <c r="K2438">
        <v>73.400000000000006</v>
      </c>
      <c r="L2438">
        <v>68</v>
      </c>
      <c r="M2438">
        <v>69.5</v>
      </c>
      <c r="N2438">
        <v>63.2</v>
      </c>
      <c r="O2438">
        <v>80.400000000000006</v>
      </c>
      <c r="S2438">
        <f t="shared" si="383"/>
        <v>1</v>
      </c>
      <c r="T2438">
        <f t="shared" si="384"/>
        <v>1</v>
      </c>
      <c r="U2438">
        <f t="shared" si="385"/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31.8</v>
      </c>
      <c r="AC2438">
        <v>19.7</v>
      </c>
      <c r="AG2438">
        <f t="shared" si="386"/>
        <v>1</v>
      </c>
      <c r="AH2438">
        <f t="shared" si="387"/>
        <v>1</v>
      </c>
      <c r="AI2438">
        <f t="shared" si="388"/>
        <v>0</v>
      </c>
      <c r="AJ2438">
        <v>318.3</v>
      </c>
      <c r="AK2438">
        <v>1019.1</v>
      </c>
      <c r="AL2438">
        <v>57.9</v>
      </c>
      <c r="AM2438">
        <v>6.2</v>
      </c>
      <c r="AN2438">
        <v>183.5</v>
      </c>
      <c r="AO2438">
        <v>15.7</v>
      </c>
      <c r="AP2438">
        <v>6</v>
      </c>
      <c r="AQ2438">
        <v>0</v>
      </c>
      <c r="AR2438" t="s">
        <v>8412</v>
      </c>
      <c r="AS2438" t="s">
        <v>8413</v>
      </c>
      <c r="AT2438">
        <v>0.93</v>
      </c>
      <c r="AU2438" t="s">
        <v>43</v>
      </c>
      <c r="AV2438" t="s">
        <v>44</v>
      </c>
      <c r="AW2438" t="s">
        <v>45</v>
      </c>
      <c r="AX2438" t="s">
        <v>8318</v>
      </c>
      <c r="AY2438" t="s">
        <v>8414</v>
      </c>
      <c r="AZ2438">
        <v>1640.999999995111</v>
      </c>
      <c r="BA2438">
        <v>1</v>
      </c>
      <c r="BB2438">
        <v>0</v>
      </c>
      <c r="BC2438">
        <v>3</v>
      </c>
      <c r="BD2438">
        <v>0</v>
      </c>
      <c r="BE2438">
        <f t="shared" si="389"/>
        <v>1</v>
      </c>
    </row>
    <row r="2439" spans="1:57" x14ac:dyDescent="0.25">
      <c r="A2439" t="s">
        <v>39</v>
      </c>
      <c r="B2439" t="s">
        <v>8126</v>
      </c>
      <c r="C2439">
        <v>90.6</v>
      </c>
      <c r="D2439">
        <v>55.4</v>
      </c>
      <c r="G2439">
        <f t="shared" si="380"/>
        <v>1</v>
      </c>
      <c r="H2439">
        <f t="shared" si="381"/>
        <v>1</v>
      </c>
      <c r="I2439">
        <f t="shared" si="382"/>
        <v>0</v>
      </c>
      <c r="J2439">
        <v>73.900000000000006</v>
      </c>
      <c r="K2439">
        <v>88.6</v>
      </c>
      <c r="L2439">
        <v>55.4</v>
      </c>
      <c r="M2439">
        <v>73.5</v>
      </c>
      <c r="N2439">
        <v>53.8</v>
      </c>
      <c r="O2439">
        <v>52.8</v>
      </c>
      <c r="S2439">
        <f t="shared" si="383"/>
        <v>1</v>
      </c>
      <c r="T2439">
        <f t="shared" si="384"/>
        <v>0</v>
      </c>
      <c r="U2439">
        <f t="shared" si="385"/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40</v>
      </c>
      <c r="AC2439">
        <v>28.7</v>
      </c>
      <c r="AG2439">
        <f t="shared" si="386"/>
        <v>1</v>
      </c>
      <c r="AH2439">
        <f t="shared" si="387"/>
        <v>1</v>
      </c>
      <c r="AI2439">
        <f t="shared" si="388"/>
        <v>0</v>
      </c>
      <c r="AJ2439">
        <v>169.5</v>
      </c>
      <c r="AK2439">
        <v>1011.7</v>
      </c>
      <c r="AL2439">
        <v>51</v>
      </c>
      <c r="AM2439">
        <v>6.2</v>
      </c>
      <c r="AN2439">
        <v>277.89999999999998</v>
      </c>
      <c r="AO2439">
        <v>23.9</v>
      </c>
      <c r="AP2439">
        <v>9</v>
      </c>
      <c r="AQ2439">
        <v>0</v>
      </c>
      <c r="AR2439" t="s">
        <v>8127</v>
      </c>
      <c r="AS2439" t="s">
        <v>8128</v>
      </c>
      <c r="AT2439">
        <v>0.54</v>
      </c>
      <c r="AU2439" t="s">
        <v>43</v>
      </c>
      <c r="AV2439" t="s">
        <v>44</v>
      </c>
      <c r="AW2439" t="s">
        <v>45</v>
      </c>
      <c r="AX2439" t="s">
        <v>2459</v>
      </c>
      <c r="AY2439" t="s">
        <v>8415</v>
      </c>
      <c r="AZ2439">
        <v>792.00000000419095</v>
      </c>
      <c r="BA2439">
        <v>1</v>
      </c>
      <c r="BB2439">
        <v>0</v>
      </c>
      <c r="BC2439">
        <v>1</v>
      </c>
      <c r="BD2439">
        <v>0</v>
      </c>
      <c r="BE2439">
        <f t="shared" si="389"/>
        <v>1</v>
      </c>
    </row>
    <row r="2440" spans="1:57" x14ac:dyDescent="0.25">
      <c r="A2440" t="s">
        <v>39</v>
      </c>
      <c r="B2440" t="s">
        <v>8048</v>
      </c>
      <c r="C2440">
        <v>98.6</v>
      </c>
      <c r="D2440">
        <v>84.2</v>
      </c>
      <c r="G2440">
        <f t="shared" si="380"/>
        <v>1</v>
      </c>
      <c r="H2440">
        <f t="shared" si="381"/>
        <v>1</v>
      </c>
      <c r="I2440">
        <f t="shared" si="382"/>
        <v>0</v>
      </c>
      <c r="J2440">
        <v>91.3</v>
      </c>
      <c r="K2440">
        <v>127.1</v>
      </c>
      <c r="L2440">
        <v>91.6</v>
      </c>
      <c r="M2440">
        <v>109.7</v>
      </c>
      <c r="N2440">
        <v>79.599999999999994</v>
      </c>
      <c r="O2440">
        <v>69.099999999999994</v>
      </c>
      <c r="S2440">
        <f t="shared" si="383"/>
        <v>1</v>
      </c>
      <c r="T2440">
        <f t="shared" si="384"/>
        <v>1</v>
      </c>
      <c r="U2440">
        <f t="shared" si="385"/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28.9</v>
      </c>
      <c r="AC2440">
        <v>17.899999999999999</v>
      </c>
      <c r="AG2440">
        <f t="shared" si="386"/>
        <v>0</v>
      </c>
      <c r="AH2440">
        <f t="shared" si="387"/>
        <v>0</v>
      </c>
      <c r="AI2440">
        <f t="shared" si="388"/>
        <v>0</v>
      </c>
      <c r="AJ2440">
        <v>309.7</v>
      </c>
      <c r="AK2440">
        <v>1010</v>
      </c>
      <c r="AL2440">
        <v>0</v>
      </c>
      <c r="AM2440">
        <v>6.2</v>
      </c>
      <c r="AN2440">
        <v>320.8</v>
      </c>
      <c r="AO2440">
        <v>27.5</v>
      </c>
      <c r="AP2440">
        <v>10</v>
      </c>
      <c r="AQ2440">
        <v>0</v>
      </c>
      <c r="AR2440" t="s">
        <v>8049</v>
      </c>
      <c r="AS2440" t="s">
        <v>8050</v>
      </c>
      <c r="AT2440">
        <v>0.83</v>
      </c>
      <c r="AU2440" t="s">
        <v>74</v>
      </c>
      <c r="AV2440" t="s">
        <v>2955</v>
      </c>
      <c r="AW2440" t="s">
        <v>75</v>
      </c>
      <c r="AX2440" t="s">
        <v>8416</v>
      </c>
      <c r="AY2440" t="s">
        <v>8417</v>
      </c>
      <c r="AZ2440">
        <v>184.00000000256111</v>
      </c>
      <c r="BA2440">
        <v>0</v>
      </c>
      <c r="BB2440">
        <v>0</v>
      </c>
      <c r="BC2440">
        <v>0.2</v>
      </c>
      <c r="BD2440">
        <v>0</v>
      </c>
      <c r="BE2440">
        <f t="shared" si="389"/>
        <v>0</v>
      </c>
    </row>
    <row r="2441" spans="1:57" x14ac:dyDescent="0.25">
      <c r="A2441" t="s">
        <v>39</v>
      </c>
      <c r="B2441" t="s">
        <v>8048</v>
      </c>
      <c r="C2441">
        <v>98.6</v>
      </c>
      <c r="D2441">
        <v>84.2</v>
      </c>
      <c r="G2441">
        <f t="shared" si="380"/>
        <v>1</v>
      </c>
      <c r="H2441">
        <f t="shared" si="381"/>
        <v>1</v>
      </c>
      <c r="I2441">
        <f t="shared" si="382"/>
        <v>0</v>
      </c>
      <c r="J2441">
        <v>91.3</v>
      </c>
      <c r="K2441">
        <v>127.1</v>
      </c>
      <c r="L2441">
        <v>91.6</v>
      </c>
      <c r="M2441">
        <v>109.7</v>
      </c>
      <c r="N2441">
        <v>79.599999999999994</v>
      </c>
      <c r="O2441">
        <v>69.099999999999994</v>
      </c>
      <c r="S2441">
        <f t="shared" si="383"/>
        <v>1</v>
      </c>
      <c r="T2441">
        <f t="shared" si="384"/>
        <v>1</v>
      </c>
      <c r="U2441">
        <f t="shared" si="385"/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28.9</v>
      </c>
      <c r="AC2441">
        <v>17.899999999999999</v>
      </c>
      <c r="AG2441">
        <f t="shared" si="386"/>
        <v>0</v>
      </c>
      <c r="AH2441">
        <f t="shared" si="387"/>
        <v>0</v>
      </c>
      <c r="AI2441">
        <f t="shared" si="388"/>
        <v>0</v>
      </c>
      <c r="AJ2441">
        <v>309.7</v>
      </c>
      <c r="AK2441">
        <v>1010</v>
      </c>
      <c r="AL2441">
        <v>0</v>
      </c>
      <c r="AM2441">
        <v>6.2</v>
      </c>
      <c r="AN2441">
        <v>320.8</v>
      </c>
      <c r="AO2441">
        <v>27.5</v>
      </c>
      <c r="AP2441">
        <v>10</v>
      </c>
      <c r="AQ2441">
        <v>0</v>
      </c>
      <c r="AR2441" t="s">
        <v>8049</v>
      </c>
      <c r="AS2441" t="s">
        <v>8050</v>
      </c>
      <c r="AT2441">
        <v>0.83</v>
      </c>
      <c r="AU2441" t="s">
        <v>74</v>
      </c>
      <c r="AV2441" t="s">
        <v>2955</v>
      </c>
      <c r="AW2441" t="s">
        <v>75</v>
      </c>
      <c r="AX2441" t="s">
        <v>8418</v>
      </c>
      <c r="AY2441" t="s">
        <v>8419</v>
      </c>
      <c r="AZ2441">
        <v>950.99999999860302</v>
      </c>
      <c r="BA2441">
        <v>1</v>
      </c>
      <c r="BB2441">
        <v>0</v>
      </c>
      <c r="BC2441">
        <v>4</v>
      </c>
      <c r="BD2441">
        <v>0</v>
      </c>
      <c r="BE2441">
        <f t="shared" si="389"/>
        <v>1</v>
      </c>
    </row>
    <row r="2442" spans="1:57" x14ac:dyDescent="0.25">
      <c r="A2442" t="s">
        <v>39</v>
      </c>
      <c r="B2442" t="s">
        <v>8136</v>
      </c>
      <c r="C2442">
        <v>96.8</v>
      </c>
      <c r="D2442">
        <v>78.8</v>
      </c>
      <c r="G2442">
        <f t="shared" si="380"/>
        <v>1</v>
      </c>
      <c r="H2442">
        <f t="shared" si="381"/>
        <v>1</v>
      </c>
      <c r="I2442">
        <f t="shared" si="382"/>
        <v>0</v>
      </c>
      <c r="J2442">
        <v>87.4</v>
      </c>
      <c r="K2442">
        <v>121.8</v>
      </c>
      <c r="L2442">
        <v>78.8</v>
      </c>
      <c r="M2442">
        <v>98.9</v>
      </c>
      <c r="N2442">
        <v>75.3</v>
      </c>
      <c r="O2442">
        <v>67.900000000000006</v>
      </c>
      <c r="S2442">
        <f t="shared" si="383"/>
        <v>1</v>
      </c>
      <c r="T2442">
        <f t="shared" si="384"/>
        <v>1</v>
      </c>
      <c r="U2442">
        <f t="shared" si="385"/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26.5</v>
      </c>
      <c r="AC2442">
        <v>16.100000000000001</v>
      </c>
      <c r="AG2442">
        <f t="shared" si="386"/>
        <v>0</v>
      </c>
      <c r="AH2442">
        <f t="shared" si="387"/>
        <v>0</v>
      </c>
      <c r="AI2442">
        <f t="shared" si="388"/>
        <v>0</v>
      </c>
      <c r="AJ2442">
        <v>286.8</v>
      </c>
      <c r="AK2442">
        <v>1009.7</v>
      </c>
      <c r="AL2442">
        <v>0</v>
      </c>
      <c r="AM2442">
        <v>6.2</v>
      </c>
      <c r="AN2442">
        <v>316.89999999999998</v>
      </c>
      <c r="AO2442">
        <v>27.2</v>
      </c>
      <c r="AP2442">
        <v>9</v>
      </c>
      <c r="AQ2442">
        <v>0</v>
      </c>
      <c r="AR2442" t="s">
        <v>8137</v>
      </c>
      <c r="AS2442" t="s">
        <v>8138</v>
      </c>
      <c r="AT2442">
        <v>0.9</v>
      </c>
      <c r="AU2442" t="s">
        <v>74</v>
      </c>
      <c r="AV2442" t="s">
        <v>2955</v>
      </c>
      <c r="AW2442" t="s">
        <v>75</v>
      </c>
      <c r="AX2442" t="s">
        <v>6825</v>
      </c>
      <c r="AY2442" t="s">
        <v>8420</v>
      </c>
      <c r="AZ2442">
        <v>1217.999999999302</v>
      </c>
      <c r="BA2442">
        <v>1</v>
      </c>
      <c r="BB2442">
        <v>0</v>
      </c>
      <c r="BC2442">
        <v>18</v>
      </c>
      <c r="BD2442">
        <v>0</v>
      </c>
      <c r="BE2442">
        <f t="shared" si="389"/>
        <v>1</v>
      </c>
    </row>
    <row r="2443" spans="1:57" x14ac:dyDescent="0.25">
      <c r="A2443" t="s">
        <v>39</v>
      </c>
      <c r="B2443" t="s">
        <v>8421</v>
      </c>
      <c r="C2443">
        <v>77</v>
      </c>
      <c r="D2443">
        <v>63.6</v>
      </c>
      <c r="G2443">
        <f t="shared" si="380"/>
        <v>1</v>
      </c>
      <c r="H2443">
        <f t="shared" si="381"/>
        <v>1</v>
      </c>
      <c r="I2443">
        <f t="shared" si="382"/>
        <v>0</v>
      </c>
      <c r="J2443">
        <v>70.7</v>
      </c>
      <c r="K2443">
        <v>77</v>
      </c>
      <c r="L2443">
        <v>63.6</v>
      </c>
      <c r="M2443">
        <v>70.7</v>
      </c>
      <c r="N2443">
        <v>67</v>
      </c>
      <c r="O2443">
        <v>88.2</v>
      </c>
      <c r="S2443">
        <f t="shared" si="383"/>
        <v>1</v>
      </c>
      <c r="T2443">
        <f t="shared" si="384"/>
        <v>1</v>
      </c>
      <c r="U2443">
        <f t="shared" si="385"/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20.8</v>
      </c>
      <c r="AC2443">
        <v>9.1999999999999993</v>
      </c>
      <c r="AG2443">
        <f t="shared" si="386"/>
        <v>1</v>
      </c>
      <c r="AH2443">
        <f t="shared" si="387"/>
        <v>0</v>
      </c>
      <c r="AI2443">
        <f t="shared" si="388"/>
        <v>1</v>
      </c>
      <c r="AJ2443">
        <v>125</v>
      </c>
      <c r="AK2443">
        <v>1016.8</v>
      </c>
      <c r="AL2443">
        <v>32.200000000000003</v>
      </c>
      <c r="AM2443">
        <v>6.2</v>
      </c>
      <c r="AN2443">
        <v>199.9</v>
      </c>
      <c r="AO2443">
        <v>17.3</v>
      </c>
      <c r="AP2443">
        <v>7</v>
      </c>
      <c r="AQ2443">
        <v>0</v>
      </c>
      <c r="AR2443" t="s">
        <v>8422</v>
      </c>
      <c r="AS2443" t="s">
        <v>8423</v>
      </c>
      <c r="AT2443">
        <v>0.14000000000000001</v>
      </c>
      <c r="AU2443" t="s">
        <v>43</v>
      </c>
      <c r="AV2443" t="s">
        <v>44</v>
      </c>
      <c r="AW2443" t="s">
        <v>45</v>
      </c>
      <c r="AX2443" t="s">
        <v>2572</v>
      </c>
      <c r="AY2443" t="s">
        <v>8424</v>
      </c>
      <c r="AZ2443">
        <v>949.99999999534339</v>
      </c>
      <c r="BA2443">
        <v>1</v>
      </c>
      <c r="BB2443">
        <v>0</v>
      </c>
      <c r="BC2443">
        <v>0.5</v>
      </c>
      <c r="BD2443">
        <v>0</v>
      </c>
      <c r="BE2443">
        <f t="shared" si="389"/>
        <v>1</v>
      </c>
    </row>
    <row r="2444" spans="1:57" x14ac:dyDescent="0.25">
      <c r="A2444" t="s">
        <v>39</v>
      </c>
      <c r="B2444" t="s">
        <v>8425</v>
      </c>
      <c r="C2444">
        <v>73.400000000000006</v>
      </c>
      <c r="D2444">
        <v>59</v>
      </c>
      <c r="G2444">
        <f t="shared" si="380"/>
        <v>0</v>
      </c>
      <c r="H2444">
        <f t="shared" si="381"/>
        <v>0</v>
      </c>
      <c r="I2444">
        <f t="shared" si="382"/>
        <v>0</v>
      </c>
      <c r="J2444">
        <v>67</v>
      </c>
      <c r="K2444">
        <v>73.400000000000006</v>
      </c>
      <c r="L2444">
        <v>59</v>
      </c>
      <c r="M2444">
        <v>67</v>
      </c>
      <c r="N2444">
        <v>60.1</v>
      </c>
      <c r="O2444">
        <v>78.900000000000006</v>
      </c>
      <c r="S2444">
        <f t="shared" si="383"/>
        <v>1</v>
      </c>
      <c r="T2444">
        <f t="shared" si="384"/>
        <v>1</v>
      </c>
      <c r="U2444">
        <f t="shared" si="385"/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21.7</v>
      </c>
      <c r="AC2444">
        <v>18.899999999999999</v>
      </c>
      <c r="AG2444">
        <f t="shared" si="386"/>
        <v>1</v>
      </c>
      <c r="AH2444">
        <f t="shared" si="387"/>
        <v>1</v>
      </c>
      <c r="AI2444">
        <f t="shared" si="388"/>
        <v>0</v>
      </c>
      <c r="AJ2444">
        <v>270.7</v>
      </c>
      <c r="AK2444">
        <v>1020.8</v>
      </c>
      <c r="AL2444">
        <v>26.3</v>
      </c>
      <c r="AM2444">
        <v>6.2</v>
      </c>
      <c r="AN2444">
        <v>173.5</v>
      </c>
      <c r="AO2444">
        <v>14.9</v>
      </c>
      <c r="AP2444">
        <v>6</v>
      </c>
      <c r="AQ2444">
        <v>0</v>
      </c>
      <c r="AR2444" t="s">
        <v>8426</v>
      </c>
      <c r="AS2444" t="s">
        <v>8427</v>
      </c>
      <c r="AT2444">
        <v>0.59</v>
      </c>
      <c r="AU2444" t="s">
        <v>43</v>
      </c>
      <c r="AV2444" t="s">
        <v>44</v>
      </c>
      <c r="AW2444" t="s">
        <v>45</v>
      </c>
      <c r="AX2444" t="s">
        <v>8428</v>
      </c>
      <c r="AY2444" t="s">
        <v>8429</v>
      </c>
      <c r="AZ2444">
        <v>235.00000000116421</v>
      </c>
      <c r="BA2444">
        <v>0</v>
      </c>
      <c r="BB2444">
        <v>0</v>
      </c>
      <c r="BC2444">
        <v>1</v>
      </c>
      <c r="BD2444">
        <v>0</v>
      </c>
      <c r="BE2444">
        <f t="shared" si="389"/>
        <v>0</v>
      </c>
    </row>
    <row r="2445" spans="1:57" x14ac:dyDescent="0.25">
      <c r="A2445" t="s">
        <v>39</v>
      </c>
      <c r="B2445" t="s">
        <v>8224</v>
      </c>
      <c r="C2445">
        <v>71.599999999999994</v>
      </c>
      <c r="D2445">
        <v>51.8</v>
      </c>
      <c r="G2445">
        <f t="shared" si="380"/>
        <v>1</v>
      </c>
      <c r="H2445">
        <f t="shared" si="381"/>
        <v>1</v>
      </c>
      <c r="I2445">
        <f t="shared" si="382"/>
        <v>0</v>
      </c>
      <c r="J2445">
        <v>61.5</v>
      </c>
      <c r="K2445">
        <v>71.599999999999994</v>
      </c>
      <c r="L2445">
        <v>51.8</v>
      </c>
      <c r="M2445">
        <v>61.5</v>
      </c>
      <c r="N2445">
        <v>50.6</v>
      </c>
      <c r="O2445">
        <v>69.5</v>
      </c>
      <c r="S2445">
        <f t="shared" si="383"/>
        <v>1</v>
      </c>
      <c r="T2445">
        <f t="shared" si="384"/>
        <v>1</v>
      </c>
      <c r="U2445">
        <f t="shared" si="385"/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25.3</v>
      </c>
      <c r="AC2445">
        <v>18.3</v>
      </c>
      <c r="AG2445">
        <f t="shared" si="386"/>
        <v>1</v>
      </c>
      <c r="AH2445">
        <f t="shared" si="387"/>
        <v>1</v>
      </c>
      <c r="AI2445">
        <f t="shared" si="388"/>
        <v>0</v>
      </c>
      <c r="AJ2445">
        <v>171.8</v>
      </c>
      <c r="AK2445">
        <v>1017.4</v>
      </c>
      <c r="AL2445">
        <v>34.799999999999997</v>
      </c>
      <c r="AM2445">
        <v>6.2</v>
      </c>
      <c r="AN2445">
        <v>119</v>
      </c>
      <c r="AO2445">
        <v>10.3</v>
      </c>
      <c r="AP2445">
        <v>5</v>
      </c>
      <c r="AQ2445">
        <v>0</v>
      </c>
      <c r="AR2445" t="s">
        <v>8225</v>
      </c>
      <c r="AS2445" t="s">
        <v>8226</v>
      </c>
      <c r="AT2445">
        <v>0.6</v>
      </c>
      <c r="AU2445" t="s">
        <v>43</v>
      </c>
      <c r="AV2445" t="s">
        <v>44</v>
      </c>
      <c r="AW2445" t="s">
        <v>45</v>
      </c>
      <c r="AX2445" t="s">
        <v>4778</v>
      </c>
      <c r="AY2445" t="s">
        <v>8430</v>
      </c>
      <c r="AZ2445">
        <v>169.99999999883579</v>
      </c>
      <c r="BA2445">
        <v>0</v>
      </c>
      <c r="BB2445">
        <v>0</v>
      </c>
      <c r="BC2445">
        <v>1</v>
      </c>
      <c r="BD2445">
        <v>0</v>
      </c>
      <c r="BE2445">
        <f t="shared" si="389"/>
        <v>1</v>
      </c>
    </row>
    <row r="2446" spans="1:57" x14ac:dyDescent="0.25">
      <c r="A2446" t="s">
        <v>39</v>
      </c>
      <c r="B2446" t="s">
        <v>8431</v>
      </c>
      <c r="C2446">
        <v>75.2</v>
      </c>
      <c r="D2446">
        <v>61.6</v>
      </c>
      <c r="G2446">
        <f t="shared" si="380"/>
        <v>1</v>
      </c>
      <c r="H2446">
        <f t="shared" si="381"/>
        <v>1</v>
      </c>
      <c r="I2446">
        <f t="shared" si="382"/>
        <v>0</v>
      </c>
      <c r="J2446">
        <v>67.599999999999994</v>
      </c>
      <c r="K2446">
        <v>75.2</v>
      </c>
      <c r="L2446">
        <v>61.6</v>
      </c>
      <c r="M2446">
        <v>67.599999999999994</v>
      </c>
      <c r="N2446">
        <v>54.9</v>
      </c>
      <c r="O2446">
        <v>65.5</v>
      </c>
      <c r="S2446">
        <f t="shared" si="383"/>
        <v>0</v>
      </c>
      <c r="T2446">
        <f t="shared" si="384"/>
        <v>0</v>
      </c>
      <c r="U2446">
        <f t="shared" si="385"/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36.9</v>
      </c>
      <c r="AC2446">
        <v>18.3</v>
      </c>
      <c r="AG2446">
        <f t="shared" si="386"/>
        <v>1</v>
      </c>
      <c r="AH2446">
        <f t="shared" si="387"/>
        <v>1</v>
      </c>
      <c r="AI2446">
        <f t="shared" si="388"/>
        <v>0</v>
      </c>
      <c r="AJ2446">
        <v>181.5</v>
      </c>
      <c r="AK2446">
        <v>1011.6</v>
      </c>
      <c r="AL2446">
        <v>47.5</v>
      </c>
      <c r="AM2446">
        <v>6.2</v>
      </c>
      <c r="AN2446">
        <v>119.6</v>
      </c>
      <c r="AO2446">
        <v>10.3</v>
      </c>
      <c r="AP2446">
        <v>5</v>
      </c>
      <c r="AQ2446">
        <v>0</v>
      </c>
      <c r="AR2446" t="s">
        <v>8432</v>
      </c>
      <c r="AS2446" t="s">
        <v>8433</v>
      </c>
      <c r="AT2446">
        <v>0.75</v>
      </c>
      <c r="AU2446" t="s">
        <v>43</v>
      </c>
      <c r="AV2446" t="s">
        <v>44</v>
      </c>
      <c r="AW2446" t="s">
        <v>45</v>
      </c>
      <c r="AX2446" t="s">
        <v>8016</v>
      </c>
      <c r="AY2446" t="s">
        <v>8434</v>
      </c>
      <c r="AZ2446">
        <v>300.99999999627471</v>
      </c>
      <c r="BA2446">
        <v>0</v>
      </c>
      <c r="BB2446">
        <v>0</v>
      </c>
      <c r="BC2446">
        <v>2</v>
      </c>
      <c r="BD2446">
        <v>0</v>
      </c>
      <c r="BE2446">
        <f t="shared" si="389"/>
        <v>0</v>
      </c>
    </row>
    <row r="2447" spans="1:57" x14ac:dyDescent="0.25">
      <c r="A2447" t="s">
        <v>39</v>
      </c>
      <c r="B2447" t="s">
        <v>8435</v>
      </c>
      <c r="C2447">
        <v>68</v>
      </c>
      <c r="D2447">
        <v>57.2</v>
      </c>
      <c r="G2447">
        <f t="shared" si="380"/>
        <v>0</v>
      </c>
      <c r="H2447">
        <f t="shared" si="381"/>
        <v>0</v>
      </c>
      <c r="I2447">
        <f t="shared" si="382"/>
        <v>0</v>
      </c>
      <c r="J2447">
        <v>63.6</v>
      </c>
      <c r="K2447">
        <v>68</v>
      </c>
      <c r="L2447">
        <v>57.2</v>
      </c>
      <c r="M2447">
        <v>63.6</v>
      </c>
      <c r="N2447">
        <v>47</v>
      </c>
      <c r="O2447">
        <v>55.3</v>
      </c>
      <c r="S2447">
        <f t="shared" si="383"/>
        <v>1</v>
      </c>
      <c r="T2447">
        <f t="shared" si="384"/>
        <v>0</v>
      </c>
      <c r="U2447">
        <f t="shared" si="385"/>
        <v>1</v>
      </c>
      <c r="V2447">
        <v>3.9E-2</v>
      </c>
      <c r="W2447">
        <v>100</v>
      </c>
      <c r="X2447">
        <v>4.17</v>
      </c>
      <c r="Y2447" t="s">
        <v>103</v>
      </c>
      <c r="Z2447">
        <v>0</v>
      </c>
      <c r="AA2447">
        <v>0</v>
      </c>
      <c r="AB2447">
        <v>49.4</v>
      </c>
      <c r="AC2447">
        <v>28</v>
      </c>
      <c r="AG2447">
        <f t="shared" si="386"/>
        <v>1</v>
      </c>
      <c r="AH2447">
        <f t="shared" si="387"/>
        <v>1</v>
      </c>
      <c r="AI2447">
        <f t="shared" si="388"/>
        <v>0</v>
      </c>
      <c r="AJ2447">
        <v>260.10000000000002</v>
      </c>
      <c r="AK2447">
        <v>1012.6</v>
      </c>
      <c r="AL2447">
        <v>57.9</v>
      </c>
      <c r="AM2447">
        <v>6.2</v>
      </c>
      <c r="AN2447">
        <v>111.8</v>
      </c>
      <c r="AO2447">
        <v>9.8000000000000007</v>
      </c>
      <c r="AP2447">
        <v>5</v>
      </c>
      <c r="AQ2447">
        <v>0</v>
      </c>
      <c r="AR2447" t="s">
        <v>8436</v>
      </c>
      <c r="AS2447" t="s">
        <v>8437</v>
      </c>
      <c r="AT2447">
        <v>0.87</v>
      </c>
      <c r="AU2447" t="s">
        <v>106</v>
      </c>
      <c r="AV2447" t="s">
        <v>438</v>
      </c>
      <c r="AW2447" t="s">
        <v>103</v>
      </c>
      <c r="AX2447" t="s">
        <v>5161</v>
      </c>
      <c r="AY2447" t="s">
        <v>8438</v>
      </c>
      <c r="AZ2447">
        <v>1631.000000004424</v>
      </c>
      <c r="BA2447">
        <v>1</v>
      </c>
      <c r="BB2447">
        <v>0</v>
      </c>
      <c r="BC2447">
        <v>1</v>
      </c>
      <c r="BD2447">
        <v>0</v>
      </c>
      <c r="BE2447">
        <f t="shared" si="389"/>
        <v>1</v>
      </c>
    </row>
    <row r="2448" spans="1:57" x14ac:dyDescent="0.25">
      <c r="A2448" t="s">
        <v>39</v>
      </c>
      <c r="B2448" t="s">
        <v>8192</v>
      </c>
      <c r="C2448">
        <v>62.6</v>
      </c>
      <c r="D2448">
        <v>55.4</v>
      </c>
      <c r="G2448">
        <f t="shared" si="380"/>
        <v>0</v>
      </c>
      <c r="H2448">
        <f t="shared" si="381"/>
        <v>0</v>
      </c>
      <c r="I2448">
        <f t="shared" si="382"/>
        <v>0</v>
      </c>
      <c r="J2448">
        <v>59</v>
      </c>
      <c r="K2448">
        <v>62.6</v>
      </c>
      <c r="L2448">
        <v>55.4</v>
      </c>
      <c r="M2448">
        <v>59</v>
      </c>
      <c r="N2448">
        <v>42.8</v>
      </c>
      <c r="O2448">
        <v>55.3</v>
      </c>
      <c r="S2448">
        <f t="shared" si="383"/>
        <v>1</v>
      </c>
      <c r="T2448">
        <f t="shared" si="384"/>
        <v>0</v>
      </c>
      <c r="U2448">
        <f t="shared" si="385"/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28.2</v>
      </c>
      <c r="AC2448">
        <v>27.5</v>
      </c>
      <c r="AG2448">
        <f t="shared" si="386"/>
        <v>1</v>
      </c>
      <c r="AH2448">
        <f t="shared" si="387"/>
        <v>1</v>
      </c>
      <c r="AI2448">
        <f t="shared" si="388"/>
        <v>0</v>
      </c>
      <c r="AJ2448">
        <v>275.3</v>
      </c>
      <c r="AK2448">
        <v>1017.6</v>
      </c>
      <c r="AL2448">
        <v>54.2</v>
      </c>
      <c r="AM2448">
        <v>6.2</v>
      </c>
      <c r="AN2448">
        <v>121.6</v>
      </c>
      <c r="AO2448">
        <v>10.5</v>
      </c>
      <c r="AP2448">
        <v>5</v>
      </c>
      <c r="AQ2448">
        <v>0</v>
      </c>
      <c r="AR2448" t="s">
        <v>8193</v>
      </c>
      <c r="AS2448" t="s">
        <v>8194</v>
      </c>
      <c r="AT2448">
        <v>0.9</v>
      </c>
      <c r="AU2448" t="s">
        <v>43</v>
      </c>
      <c r="AV2448" t="s">
        <v>80</v>
      </c>
      <c r="AW2448" t="s">
        <v>45</v>
      </c>
      <c r="AX2448" t="s">
        <v>7786</v>
      </c>
      <c r="AY2448" t="s">
        <v>8439</v>
      </c>
      <c r="AZ2448">
        <v>115.0000000081491</v>
      </c>
      <c r="BA2448">
        <v>0</v>
      </c>
      <c r="BB2448">
        <v>0</v>
      </c>
      <c r="BC2448">
        <v>0.1</v>
      </c>
      <c r="BD2448">
        <v>0</v>
      </c>
      <c r="BE2448">
        <f t="shared" si="389"/>
        <v>0</v>
      </c>
    </row>
    <row r="2449" spans="1:57" x14ac:dyDescent="0.25">
      <c r="A2449" t="s">
        <v>39</v>
      </c>
      <c r="B2449" t="s">
        <v>8260</v>
      </c>
      <c r="C2449">
        <v>73.3</v>
      </c>
      <c r="D2449">
        <v>49.4</v>
      </c>
      <c r="G2449">
        <f t="shared" si="380"/>
        <v>1</v>
      </c>
      <c r="H2449">
        <f t="shared" si="381"/>
        <v>1</v>
      </c>
      <c r="I2449">
        <f t="shared" si="382"/>
        <v>0</v>
      </c>
      <c r="J2449">
        <v>61.4</v>
      </c>
      <c r="K2449">
        <v>73.3</v>
      </c>
      <c r="L2449">
        <v>48</v>
      </c>
      <c r="M2449">
        <v>61.4</v>
      </c>
      <c r="N2449">
        <v>49.3</v>
      </c>
      <c r="O2449">
        <v>66</v>
      </c>
      <c r="S2449">
        <f t="shared" si="383"/>
        <v>1</v>
      </c>
      <c r="T2449">
        <f t="shared" si="384"/>
        <v>0</v>
      </c>
      <c r="U2449">
        <f t="shared" si="385"/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29.8</v>
      </c>
      <c r="AC2449">
        <v>18.3</v>
      </c>
      <c r="AG2449">
        <f t="shared" si="386"/>
        <v>1</v>
      </c>
      <c r="AH2449">
        <f t="shared" si="387"/>
        <v>0</v>
      </c>
      <c r="AI2449">
        <f t="shared" si="388"/>
        <v>1</v>
      </c>
      <c r="AJ2449">
        <v>186.7</v>
      </c>
      <c r="AK2449">
        <v>1015.6</v>
      </c>
      <c r="AL2449">
        <v>16.8</v>
      </c>
      <c r="AM2449">
        <v>6.2</v>
      </c>
      <c r="AN2449">
        <v>182</v>
      </c>
      <c r="AO2449">
        <v>15.6</v>
      </c>
      <c r="AP2449">
        <v>7</v>
      </c>
      <c r="AQ2449">
        <v>0</v>
      </c>
      <c r="AR2449" t="s">
        <v>8261</v>
      </c>
      <c r="AS2449" t="s">
        <v>8262</v>
      </c>
      <c r="AT2449">
        <v>0</v>
      </c>
      <c r="AU2449" t="s">
        <v>74</v>
      </c>
      <c r="AV2449" t="s">
        <v>2955</v>
      </c>
      <c r="AW2449" t="s">
        <v>75</v>
      </c>
      <c r="AX2449" t="s">
        <v>4381</v>
      </c>
      <c r="AY2449" t="s">
        <v>8440</v>
      </c>
      <c r="AZ2449">
        <v>425.99999999511061</v>
      </c>
      <c r="BA2449">
        <v>1</v>
      </c>
      <c r="BB2449">
        <v>0</v>
      </c>
      <c r="BC2449">
        <v>7</v>
      </c>
      <c r="BD2449">
        <v>0</v>
      </c>
      <c r="BE2449">
        <f t="shared" si="389"/>
        <v>1</v>
      </c>
    </row>
    <row r="2450" spans="1:57" x14ac:dyDescent="0.25">
      <c r="A2450" t="s">
        <v>39</v>
      </c>
      <c r="B2450" t="s">
        <v>8441</v>
      </c>
      <c r="C2450">
        <v>60.8</v>
      </c>
      <c r="D2450">
        <v>50</v>
      </c>
      <c r="G2450">
        <f t="shared" si="380"/>
        <v>0</v>
      </c>
      <c r="H2450">
        <f t="shared" si="381"/>
        <v>0</v>
      </c>
      <c r="I2450">
        <f t="shared" si="382"/>
        <v>0</v>
      </c>
      <c r="J2450">
        <v>54.8</v>
      </c>
      <c r="K2450">
        <v>60.8</v>
      </c>
      <c r="L2450">
        <v>50</v>
      </c>
      <c r="M2450">
        <v>54.8</v>
      </c>
      <c r="N2450">
        <v>42.7</v>
      </c>
      <c r="O2450">
        <v>64.5</v>
      </c>
      <c r="S2450">
        <f t="shared" si="383"/>
        <v>0</v>
      </c>
      <c r="T2450">
        <f t="shared" si="384"/>
        <v>0</v>
      </c>
      <c r="U2450">
        <f t="shared" si="385"/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27.1</v>
      </c>
      <c r="AC2450">
        <v>19.7</v>
      </c>
      <c r="AG2450">
        <f t="shared" si="386"/>
        <v>1</v>
      </c>
      <c r="AH2450">
        <f t="shared" si="387"/>
        <v>1</v>
      </c>
      <c r="AI2450">
        <f t="shared" si="388"/>
        <v>0</v>
      </c>
      <c r="AJ2450">
        <v>268.5</v>
      </c>
      <c r="AK2450">
        <v>1014.9</v>
      </c>
      <c r="AL2450">
        <v>37.5</v>
      </c>
      <c r="AM2450">
        <v>6.2</v>
      </c>
      <c r="AN2450">
        <v>223</v>
      </c>
      <c r="AO2450">
        <v>19.3</v>
      </c>
      <c r="AP2450">
        <v>8</v>
      </c>
      <c r="AQ2450">
        <v>0</v>
      </c>
      <c r="AR2450" t="s">
        <v>8442</v>
      </c>
      <c r="AS2450" t="s">
        <v>8443</v>
      </c>
      <c r="AT2450">
        <v>0.16</v>
      </c>
      <c r="AU2450" t="s">
        <v>43</v>
      </c>
      <c r="AV2450" t="s">
        <v>44</v>
      </c>
      <c r="AW2450" t="s">
        <v>45</v>
      </c>
      <c r="AX2450" t="s">
        <v>6122</v>
      </c>
      <c r="AY2450" t="s">
        <v>8444</v>
      </c>
      <c r="AZ2450">
        <v>281.00000000442378</v>
      </c>
      <c r="BA2450">
        <v>0</v>
      </c>
      <c r="BB2450">
        <v>0</v>
      </c>
      <c r="BC2450">
        <v>0.3</v>
      </c>
      <c r="BD2450">
        <v>0</v>
      </c>
      <c r="BE2450">
        <f t="shared" si="389"/>
        <v>0</v>
      </c>
    </row>
    <row r="2451" spans="1:57" x14ac:dyDescent="0.25">
      <c r="A2451" t="s">
        <v>39</v>
      </c>
      <c r="B2451" t="s">
        <v>8291</v>
      </c>
      <c r="C2451">
        <v>88.8</v>
      </c>
      <c r="D2451">
        <v>80.599999999999994</v>
      </c>
      <c r="G2451">
        <f t="shared" si="380"/>
        <v>1</v>
      </c>
      <c r="H2451">
        <f t="shared" si="381"/>
        <v>1</v>
      </c>
      <c r="I2451">
        <f t="shared" si="382"/>
        <v>0</v>
      </c>
      <c r="J2451">
        <v>84.4</v>
      </c>
      <c r="K2451">
        <v>94.9</v>
      </c>
      <c r="L2451">
        <v>84.5</v>
      </c>
      <c r="M2451">
        <v>89.1</v>
      </c>
      <c r="N2451">
        <v>70.7</v>
      </c>
      <c r="O2451">
        <v>64.099999999999994</v>
      </c>
      <c r="S2451">
        <f t="shared" si="383"/>
        <v>1</v>
      </c>
      <c r="T2451">
        <f t="shared" si="384"/>
        <v>1</v>
      </c>
      <c r="U2451">
        <f t="shared" si="385"/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34.700000000000003</v>
      </c>
      <c r="AC2451">
        <v>23</v>
      </c>
      <c r="AG2451">
        <f t="shared" si="386"/>
        <v>1</v>
      </c>
      <c r="AH2451">
        <f t="shared" si="387"/>
        <v>1</v>
      </c>
      <c r="AI2451">
        <f t="shared" si="388"/>
        <v>0</v>
      </c>
      <c r="AJ2451">
        <v>304.2</v>
      </c>
      <c r="AK2451">
        <v>1012.8</v>
      </c>
      <c r="AL2451">
        <v>0.4</v>
      </c>
      <c r="AM2451">
        <v>6.2</v>
      </c>
      <c r="AN2451">
        <v>339.6</v>
      </c>
      <c r="AO2451">
        <v>29.2</v>
      </c>
      <c r="AP2451">
        <v>10</v>
      </c>
      <c r="AQ2451">
        <v>0</v>
      </c>
      <c r="AR2451" t="s">
        <v>8292</v>
      </c>
      <c r="AS2451" t="s">
        <v>8293</v>
      </c>
      <c r="AT2451">
        <v>0.65</v>
      </c>
      <c r="AU2451" t="s">
        <v>74</v>
      </c>
      <c r="AV2451" t="s">
        <v>2955</v>
      </c>
      <c r="AW2451" t="s">
        <v>75</v>
      </c>
      <c r="AX2451" t="s">
        <v>2383</v>
      </c>
      <c r="AY2451" t="s">
        <v>8445</v>
      </c>
      <c r="AZ2451">
        <v>2263.0000000004661</v>
      </c>
      <c r="BA2451">
        <v>1</v>
      </c>
      <c r="BB2451">
        <v>0</v>
      </c>
      <c r="BC2451">
        <v>120</v>
      </c>
      <c r="BD2451">
        <v>0</v>
      </c>
      <c r="BE2451">
        <f t="shared" si="389"/>
        <v>1</v>
      </c>
    </row>
    <row r="2452" spans="1:57" x14ac:dyDescent="0.25">
      <c r="A2452" t="s">
        <v>39</v>
      </c>
      <c r="B2452" t="s">
        <v>8446</v>
      </c>
      <c r="C2452">
        <v>84.2</v>
      </c>
      <c r="D2452">
        <v>68</v>
      </c>
      <c r="G2452">
        <f t="shared" si="380"/>
        <v>0</v>
      </c>
      <c r="H2452">
        <f t="shared" si="381"/>
        <v>0</v>
      </c>
      <c r="I2452">
        <f t="shared" si="382"/>
        <v>0</v>
      </c>
      <c r="J2452">
        <v>77.099999999999994</v>
      </c>
      <c r="K2452">
        <v>96.1</v>
      </c>
      <c r="L2452">
        <v>68</v>
      </c>
      <c r="M2452">
        <v>80.599999999999994</v>
      </c>
      <c r="N2452">
        <v>72.599999999999994</v>
      </c>
      <c r="O2452">
        <v>86.4</v>
      </c>
      <c r="S2452">
        <f t="shared" si="383"/>
        <v>1</v>
      </c>
      <c r="T2452">
        <f t="shared" si="384"/>
        <v>1</v>
      </c>
      <c r="U2452">
        <f t="shared" si="385"/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20.8</v>
      </c>
      <c r="AC2452">
        <v>8.1999999999999993</v>
      </c>
      <c r="AG2452">
        <f t="shared" si="386"/>
        <v>1</v>
      </c>
      <c r="AH2452">
        <f t="shared" si="387"/>
        <v>0</v>
      </c>
      <c r="AI2452">
        <f t="shared" si="388"/>
        <v>1</v>
      </c>
      <c r="AJ2452">
        <v>336.9</v>
      </c>
      <c r="AK2452">
        <v>1011.3</v>
      </c>
      <c r="AL2452">
        <v>2</v>
      </c>
      <c r="AM2452">
        <v>6.2</v>
      </c>
      <c r="AN2452">
        <v>290.60000000000002</v>
      </c>
      <c r="AO2452">
        <v>25.3</v>
      </c>
      <c r="AP2452">
        <v>9</v>
      </c>
      <c r="AQ2452">
        <v>0</v>
      </c>
      <c r="AR2452" t="s">
        <v>8447</v>
      </c>
      <c r="AS2452" t="s">
        <v>8448</v>
      </c>
      <c r="AT2452">
        <v>0.59</v>
      </c>
      <c r="AU2452" t="s">
        <v>74</v>
      </c>
      <c r="AV2452" t="s">
        <v>2955</v>
      </c>
      <c r="AW2452" t="s">
        <v>75</v>
      </c>
      <c r="AX2452" t="s">
        <v>8449</v>
      </c>
      <c r="AY2452" t="s">
        <v>8450</v>
      </c>
      <c r="AZ2452">
        <v>1454.999999996508</v>
      </c>
      <c r="BA2452">
        <v>1</v>
      </c>
      <c r="BB2452">
        <v>0</v>
      </c>
      <c r="BC2452">
        <v>7.68</v>
      </c>
      <c r="BD2452">
        <v>0</v>
      </c>
      <c r="BE2452">
        <f t="shared" si="389"/>
        <v>0</v>
      </c>
    </row>
    <row r="2453" spans="1:57" x14ac:dyDescent="0.25">
      <c r="A2453" t="s">
        <v>39</v>
      </c>
      <c r="B2453" t="s">
        <v>8154</v>
      </c>
      <c r="C2453">
        <v>81.599999999999994</v>
      </c>
      <c r="D2453">
        <v>75.099999999999994</v>
      </c>
      <c r="G2453">
        <f t="shared" si="380"/>
        <v>1</v>
      </c>
      <c r="H2453">
        <f t="shared" si="381"/>
        <v>1</v>
      </c>
      <c r="I2453">
        <f t="shared" si="382"/>
        <v>0</v>
      </c>
      <c r="J2453">
        <v>77.900000000000006</v>
      </c>
      <c r="K2453">
        <v>86.4</v>
      </c>
      <c r="L2453">
        <v>75.099999999999994</v>
      </c>
      <c r="M2453">
        <v>79.7</v>
      </c>
      <c r="N2453">
        <v>71.5</v>
      </c>
      <c r="O2453">
        <v>80.599999999999994</v>
      </c>
      <c r="S2453">
        <f t="shared" si="383"/>
        <v>1</v>
      </c>
      <c r="T2453">
        <f t="shared" si="384"/>
        <v>1</v>
      </c>
      <c r="U2453">
        <f t="shared" si="385"/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29.5</v>
      </c>
      <c r="AC2453">
        <v>14</v>
      </c>
      <c r="AG2453">
        <f t="shared" si="386"/>
        <v>1</v>
      </c>
      <c r="AH2453">
        <f t="shared" si="387"/>
        <v>0</v>
      </c>
      <c r="AI2453">
        <f t="shared" si="388"/>
        <v>1</v>
      </c>
      <c r="AJ2453">
        <v>304.2</v>
      </c>
      <c r="AK2453">
        <v>1012.9</v>
      </c>
      <c r="AL2453">
        <v>21.2</v>
      </c>
      <c r="AM2453">
        <v>6.2</v>
      </c>
      <c r="AN2453">
        <v>267.39999999999998</v>
      </c>
      <c r="AO2453">
        <v>23.2</v>
      </c>
      <c r="AP2453">
        <v>9</v>
      </c>
      <c r="AQ2453">
        <v>0</v>
      </c>
      <c r="AR2453" t="s">
        <v>8155</v>
      </c>
      <c r="AS2453" t="s">
        <v>8156</v>
      </c>
      <c r="AT2453">
        <v>0.95</v>
      </c>
      <c r="AU2453" t="s">
        <v>43</v>
      </c>
      <c r="AV2453" t="s">
        <v>44</v>
      </c>
      <c r="AW2453" t="s">
        <v>45</v>
      </c>
      <c r="AX2453" t="s">
        <v>2504</v>
      </c>
      <c r="AY2453" t="s">
        <v>8451</v>
      </c>
      <c r="AZ2453">
        <v>2798.999999997905</v>
      </c>
      <c r="BA2453">
        <v>1</v>
      </c>
      <c r="BB2453">
        <v>0</v>
      </c>
      <c r="BC2453">
        <v>35</v>
      </c>
      <c r="BD2453">
        <v>0</v>
      </c>
      <c r="BE2453">
        <f t="shared" si="389"/>
        <v>1</v>
      </c>
    </row>
    <row r="2454" spans="1:57" x14ac:dyDescent="0.25">
      <c r="A2454" t="s">
        <v>39</v>
      </c>
      <c r="B2454" t="s">
        <v>8452</v>
      </c>
      <c r="C2454">
        <v>55.4</v>
      </c>
      <c r="D2454">
        <v>46.4</v>
      </c>
      <c r="G2454">
        <f t="shared" si="380"/>
        <v>1</v>
      </c>
      <c r="H2454">
        <f t="shared" si="381"/>
        <v>0</v>
      </c>
      <c r="I2454">
        <f t="shared" si="382"/>
        <v>1</v>
      </c>
      <c r="J2454">
        <v>52.6</v>
      </c>
      <c r="K2454">
        <v>55.4</v>
      </c>
      <c r="L2454">
        <v>44.2</v>
      </c>
      <c r="M2454">
        <v>52.3</v>
      </c>
      <c r="N2454">
        <v>40.799999999999997</v>
      </c>
      <c r="O2454">
        <v>64.900000000000006</v>
      </c>
      <c r="S2454">
        <f t="shared" si="383"/>
        <v>1</v>
      </c>
      <c r="T2454">
        <f t="shared" si="384"/>
        <v>0</v>
      </c>
      <c r="U2454">
        <f t="shared" si="385"/>
        <v>1</v>
      </c>
      <c r="V2454">
        <v>8.4000000000000005E-2</v>
      </c>
      <c r="W2454">
        <v>100</v>
      </c>
      <c r="X2454">
        <v>8.33</v>
      </c>
      <c r="Y2454" t="s">
        <v>103</v>
      </c>
      <c r="Z2454">
        <v>0</v>
      </c>
      <c r="AA2454">
        <v>0</v>
      </c>
      <c r="AB2454">
        <v>44.3</v>
      </c>
      <c r="AC2454">
        <v>28.9</v>
      </c>
      <c r="AG2454">
        <f t="shared" si="386"/>
        <v>1</v>
      </c>
      <c r="AH2454">
        <f t="shared" si="387"/>
        <v>1</v>
      </c>
      <c r="AI2454">
        <f t="shared" si="388"/>
        <v>0</v>
      </c>
      <c r="AJ2454">
        <v>317.5</v>
      </c>
      <c r="AK2454">
        <v>1017.5</v>
      </c>
      <c r="AL2454">
        <v>71.7</v>
      </c>
      <c r="AM2454">
        <v>6.2</v>
      </c>
      <c r="AN2454">
        <v>141.69999999999999</v>
      </c>
      <c r="AO2454">
        <v>12.2</v>
      </c>
      <c r="AP2454">
        <v>5</v>
      </c>
      <c r="AQ2454">
        <v>0</v>
      </c>
      <c r="AR2454" t="s">
        <v>8453</v>
      </c>
      <c r="AS2454" t="s">
        <v>8454</v>
      </c>
      <c r="AT2454">
        <v>0.81</v>
      </c>
      <c r="AU2454" t="s">
        <v>106</v>
      </c>
      <c r="AV2454" t="s">
        <v>1098</v>
      </c>
      <c r="AW2454" t="s">
        <v>103</v>
      </c>
      <c r="AX2454" t="s">
        <v>5758</v>
      </c>
      <c r="AY2454" t="s">
        <v>8455</v>
      </c>
      <c r="AZ2454">
        <v>155.99999999511061</v>
      </c>
      <c r="BA2454">
        <v>0</v>
      </c>
      <c r="BB2454">
        <v>0</v>
      </c>
      <c r="BC2454">
        <v>2</v>
      </c>
      <c r="BD2454">
        <v>0</v>
      </c>
      <c r="BE2454">
        <f t="shared" si="389"/>
        <v>1</v>
      </c>
    </row>
    <row r="2455" spans="1:57" x14ac:dyDescent="0.25">
      <c r="A2455" t="s">
        <v>39</v>
      </c>
      <c r="B2455" t="s">
        <v>8456</v>
      </c>
      <c r="C2455">
        <v>87.8</v>
      </c>
      <c r="D2455">
        <v>69.8</v>
      </c>
      <c r="G2455">
        <f t="shared" si="380"/>
        <v>1</v>
      </c>
      <c r="H2455">
        <f t="shared" si="381"/>
        <v>1</v>
      </c>
      <c r="I2455">
        <f t="shared" si="382"/>
        <v>0</v>
      </c>
      <c r="J2455">
        <v>79.3</v>
      </c>
      <c r="K2455">
        <v>90.3</v>
      </c>
      <c r="L2455">
        <v>69.8</v>
      </c>
      <c r="M2455">
        <v>80</v>
      </c>
      <c r="N2455">
        <v>63.3</v>
      </c>
      <c r="O2455">
        <v>59.2</v>
      </c>
      <c r="S2455">
        <f t="shared" si="383"/>
        <v>0</v>
      </c>
      <c r="T2455">
        <f t="shared" si="384"/>
        <v>0</v>
      </c>
      <c r="U2455">
        <f t="shared" si="385"/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29.8</v>
      </c>
      <c r="AC2455">
        <v>18.3</v>
      </c>
      <c r="AG2455">
        <f t="shared" si="386"/>
        <v>0</v>
      </c>
      <c r="AH2455">
        <f t="shared" si="387"/>
        <v>0</v>
      </c>
      <c r="AI2455">
        <f t="shared" si="388"/>
        <v>0</v>
      </c>
      <c r="AJ2455">
        <v>302.39999999999998</v>
      </c>
      <c r="AK2455">
        <v>1011.5</v>
      </c>
      <c r="AL2455">
        <v>13</v>
      </c>
      <c r="AM2455">
        <v>6.2</v>
      </c>
      <c r="AN2455">
        <v>334</v>
      </c>
      <c r="AO2455">
        <v>29</v>
      </c>
      <c r="AP2455">
        <v>10</v>
      </c>
      <c r="AQ2455">
        <v>0</v>
      </c>
      <c r="AR2455" t="s">
        <v>8457</v>
      </c>
      <c r="AS2455" t="s">
        <v>8458</v>
      </c>
      <c r="AT2455">
        <v>0.23</v>
      </c>
      <c r="AU2455" t="s">
        <v>74</v>
      </c>
      <c r="AV2455" t="s">
        <v>2955</v>
      </c>
      <c r="AW2455" t="s">
        <v>75</v>
      </c>
      <c r="AX2455" t="s">
        <v>7011</v>
      </c>
      <c r="AY2455" t="s">
        <v>8459</v>
      </c>
      <c r="AZ2455">
        <v>1059.9999999976719</v>
      </c>
      <c r="BA2455">
        <v>1</v>
      </c>
      <c r="BB2455">
        <v>0.1</v>
      </c>
      <c r="BC2455">
        <v>0</v>
      </c>
      <c r="BD2455">
        <v>0</v>
      </c>
      <c r="BE2455">
        <f t="shared" si="389"/>
        <v>0</v>
      </c>
    </row>
    <row r="2456" spans="1:57" x14ac:dyDescent="0.25">
      <c r="A2456" t="s">
        <v>39</v>
      </c>
      <c r="B2456" t="s">
        <v>8460</v>
      </c>
      <c r="C2456">
        <v>78.8</v>
      </c>
      <c r="D2456">
        <v>71.599999999999994</v>
      </c>
      <c r="G2456">
        <f t="shared" si="380"/>
        <v>0</v>
      </c>
      <c r="H2456">
        <f t="shared" si="381"/>
        <v>0</v>
      </c>
      <c r="I2456">
        <f t="shared" si="382"/>
        <v>0</v>
      </c>
      <c r="J2456">
        <v>75.599999999999994</v>
      </c>
      <c r="K2456">
        <v>78.8</v>
      </c>
      <c r="L2456">
        <v>71.599999999999994</v>
      </c>
      <c r="M2456">
        <v>75.599999999999994</v>
      </c>
      <c r="N2456">
        <v>66.099999999999994</v>
      </c>
      <c r="O2456">
        <v>72.599999999999994</v>
      </c>
      <c r="S2456">
        <f t="shared" si="383"/>
        <v>1</v>
      </c>
      <c r="T2456">
        <f t="shared" si="384"/>
        <v>1</v>
      </c>
      <c r="U2456">
        <f t="shared" si="385"/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26.6</v>
      </c>
      <c r="AC2456">
        <v>16.100000000000001</v>
      </c>
      <c r="AG2456">
        <f t="shared" si="386"/>
        <v>0</v>
      </c>
      <c r="AH2456">
        <f t="shared" si="387"/>
        <v>0</v>
      </c>
      <c r="AI2456">
        <f t="shared" si="388"/>
        <v>0</v>
      </c>
      <c r="AJ2456">
        <v>308.89999999999998</v>
      </c>
      <c r="AK2456">
        <v>1011.3</v>
      </c>
      <c r="AL2456">
        <v>25.6</v>
      </c>
      <c r="AM2456">
        <v>6.2</v>
      </c>
      <c r="AN2456">
        <v>327.8</v>
      </c>
      <c r="AO2456">
        <v>28.2</v>
      </c>
      <c r="AP2456">
        <v>9</v>
      </c>
      <c r="AQ2456">
        <v>0</v>
      </c>
      <c r="AR2456" t="s">
        <v>8461</v>
      </c>
      <c r="AS2456" t="s">
        <v>8462</v>
      </c>
      <c r="AT2456">
        <v>0.25</v>
      </c>
      <c r="AU2456" t="s">
        <v>43</v>
      </c>
      <c r="AV2456" t="s">
        <v>44</v>
      </c>
      <c r="AW2456" t="s">
        <v>45</v>
      </c>
      <c r="AX2456" t="s">
        <v>5964</v>
      </c>
      <c r="AY2456" t="s">
        <v>8463</v>
      </c>
      <c r="AZ2456">
        <v>351.00000000209548</v>
      </c>
      <c r="BA2456">
        <v>0</v>
      </c>
      <c r="BB2456">
        <v>0</v>
      </c>
      <c r="BC2456">
        <v>0.01</v>
      </c>
      <c r="BD2456">
        <v>0</v>
      </c>
      <c r="BE2456">
        <f t="shared" si="389"/>
        <v>0</v>
      </c>
    </row>
    <row r="2457" spans="1:57" x14ac:dyDescent="0.25">
      <c r="A2457" t="s">
        <v>39</v>
      </c>
      <c r="B2457" t="s">
        <v>8460</v>
      </c>
      <c r="C2457">
        <v>78.8</v>
      </c>
      <c r="D2457">
        <v>71.599999999999994</v>
      </c>
      <c r="G2457">
        <f t="shared" si="380"/>
        <v>0</v>
      </c>
      <c r="H2457">
        <f t="shared" si="381"/>
        <v>0</v>
      </c>
      <c r="I2457">
        <f t="shared" si="382"/>
        <v>0</v>
      </c>
      <c r="J2457">
        <v>75.599999999999994</v>
      </c>
      <c r="K2457">
        <v>78.8</v>
      </c>
      <c r="L2457">
        <v>71.599999999999994</v>
      </c>
      <c r="M2457">
        <v>75.599999999999994</v>
      </c>
      <c r="N2457">
        <v>66.099999999999994</v>
      </c>
      <c r="O2457">
        <v>72.599999999999994</v>
      </c>
      <c r="S2457">
        <f t="shared" si="383"/>
        <v>1</v>
      </c>
      <c r="T2457">
        <f t="shared" si="384"/>
        <v>1</v>
      </c>
      <c r="U2457">
        <f t="shared" si="385"/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26.6</v>
      </c>
      <c r="AC2457">
        <v>16.100000000000001</v>
      </c>
      <c r="AG2457">
        <f t="shared" si="386"/>
        <v>0</v>
      </c>
      <c r="AH2457">
        <f t="shared" si="387"/>
        <v>0</v>
      </c>
      <c r="AI2457">
        <f t="shared" si="388"/>
        <v>0</v>
      </c>
      <c r="AJ2457">
        <v>308.89999999999998</v>
      </c>
      <c r="AK2457">
        <v>1011.3</v>
      </c>
      <c r="AL2457">
        <v>25.6</v>
      </c>
      <c r="AM2457">
        <v>6.2</v>
      </c>
      <c r="AN2457">
        <v>327.8</v>
      </c>
      <c r="AO2457">
        <v>28.2</v>
      </c>
      <c r="AP2457">
        <v>9</v>
      </c>
      <c r="AQ2457">
        <v>0</v>
      </c>
      <c r="AR2457" t="s">
        <v>8461</v>
      </c>
      <c r="AS2457" t="s">
        <v>8462</v>
      </c>
      <c r="AT2457">
        <v>0.25</v>
      </c>
      <c r="AU2457" t="s">
        <v>43</v>
      </c>
      <c r="AV2457" t="s">
        <v>44</v>
      </c>
      <c r="AW2457" t="s">
        <v>45</v>
      </c>
      <c r="AX2457" t="s">
        <v>8179</v>
      </c>
      <c r="AY2457" t="s">
        <v>8464</v>
      </c>
      <c r="AZ2457">
        <v>227.00000000651929</v>
      </c>
      <c r="BA2457">
        <v>0</v>
      </c>
      <c r="BB2457">
        <v>0.01</v>
      </c>
      <c r="BC2457">
        <v>0</v>
      </c>
      <c r="BD2457">
        <v>0</v>
      </c>
      <c r="BE2457">
        <f t="shared" si="389"/>
        <v>0</v>
      </c>
    </row>
    <row r="2458" spans="1:57" x14ac:dyDescent="0.25">
      <c r="A2458" t="s">
        <v>39</v>
      </c>
      <c r="B2458" t="s">
        <v>8460</v>
      </c>
      <c r="C2458">
        <v>78.8</v>
      </c>
      <c r="D2458">
        <v>71.599999999999994</v>
      </c>
      <c r="G2458">
        <f t="shared" si="380"/>
        <v>0</v>
      </c>
      <c r="H2458">
        <f t="shared" si="381"/>
        <v>0</v>
      </c>
      <c r="I2458">
        <f t="shared" si="382"/>
        <v>0</v>
      </c>
      <c r="J2458">
        <v>75.599999999999994</v>
      </c>
      <c r="K2458">
        <v>78.8</v>
      </c>
      <c r="L2458">
        <v>71.599999999999994</v>
      </c>
      <c r="M2458">
        <v>75.599999999999994</v>
      </c>
      <c r="N2458">
        <v>66.099999999999994</v>
      </c>
      <c r="O2458">
        <v>72.599999999999994</v>
      </c>
      <c r="S2458">
        <f t="shared" si="383"/>
        <v>1</v>
      </c>
      <c r="T2458">
        <f t="shared" si="384"/>
        <v>1</v>
      </c>
      <c r="U2458">
        <f t="shared" si="385"/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26.6</v>
      </c>
      <c r="AC2458">
        <v>16.100000000000001</v>
      </c>
      <c r="AG2458">
        <f t="shared" si="386"/>
        <v>0</v>
      </c>
      <c r="AH2458">
        <f t="shared" si="387"/>
        <v>0</v>
      </c>
      <c r="AI2458">
        <f t="shared" si="388"/>
        <v>0</v>
      </c>
      <c r="AJ2458">
        <v>308.89999999999998</v>
      </c>
      <c r="AK2458">
        <v>1011.3</v>
      </c>
      <c r="AL2458">
        <v>25.6</v>
      </c>
      <c r="AM2458">
        <v>6.2</v>
      </c>
      <c r="AN2458">
        <v>327.8</v>
      </c>
      <c r="AO2458">
        <v>28.2</v>
      </c>
      <c r="AP2458">
        <v>9</v>
      </c>
      <c r="AQ2458">
        <v>0</v>
      </c>
      <c r="AR2458" t="s">
        <v>8461</v>
      </c>
      <c r="AS2458" t="s">
        <v>8462</v>
      </c>
      <c r="AT2458">
        <v>0.25</v>
      </c>
      <c r="AU2458" t="s">
        <v>43</v>
      </c>
      <c r="AV2458" t="s">
        <v>44</v>
      </c>
      <c r="AW2458" t="s">
        <v>45</v>
      </c>
      <c r="AX2458" t="s">
        <v>7092</v>
      </c>
      <c r="AY2458" t="s">
        <v>8465</v>
      </c>
      <c r="AZ2458">
        <v>449.00000000721769</v>
      </c>
      <c r="BA2458">
        <v>1</v>
      </c>
      <c r="BB2458">
        <v>0</v>
      </c>
      <c r="BC2458">
        <v>0.01</v>
      </c>
      <c r="BD2458">
        <v>0</v>
      </c>
      <c r="BE2458">
        <f t="shared" si="389"/>
        <v>0</v>
      </c>
    </row>
    <row r="2459" spans="1:57" x14ac:dyDescent="0.25">
      <c r="A2459" t="s">
        <v>39</v>
      </c>
      <c r="B2459" t="s">
        <v>8466</v>
      </c>
      <c r="C2459">
        <v>78.8</v>
      </c>
      <c r="D2459">
        <v>64.400000000000006</v>
      </c>
      <c r="G2459">
        <f t="shared" si="380"/>
        <v>0</v>
      </c>
      <c r="H2459">
        <f t="shared" si="381"/>
        <v>0</v>
      </c>
      <c r="I2459">
        <f t="shared" si="382"/>
        <v>0</v>
      </c>
      <c r="J2459">
        <v>73.2</v>
      </c>
      <c r="K2459">
        <v>78.8</v>
      </c>
      <c r="L2459">
        <v>64.400000000000006</v>
      </c>
      <c r="M2459">
        <v>73.2</v>
      </c>
      <c r="N2459">
        <v>60.7</v>
      </c>
      <c r="O2459">
        <v>65.3</v>
      </c>
      <c r="S2459">
        <f t="shared" si="383"/>
        <v>1</v>
      </c>
      <c r="T2459">
        <f t="shared" si="384"/>
        <v>1</v>
      </c>
      <c r="U2459">
        <f t="shared" si="385"/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18.3</v>
      </c>
      <c r="AC2459">
        <v>6.9</v>
      </c>
      <c r="AG2459">
        <f t="shared" si="386"/>
        <v>1</v>
      </c>
      <c r="AH2459">
        <f t="shared" si="387"/>
        <v>0</v>
      </c>
      <c r="AI2459">
        <f t="shared" si="388"/>
        <v>1</v>
      </c>
      <c r="AJ2459">
        <v>102</v>
      </c>
      <c r="AK2459">
        <v>1010.5</v>
      </c>
      <c r="AL2459">
        <v>19.7</v>
      </c>
      <c r="AM2459">
        <v>6.2</v>
      </c>
      <c r="AN2459">
        <v>328</v>
      </c>
      <c r="AO2459">
        <v>28.3</v>
      </c>
      <c r="AP2459">
        <v>10</v>
      </c>
      <c r="AQ2459">
        <v>0</v>
      </c>
      <c r="AR2459" t="s">
        <v>8467</v>
      </c>
      <c r="AS2459" t="s">
        <v>8468</v>
      </c>
      <c r="AT2459">
        <v>0.3</v>
      </c>
      <c r="AU2459" t="s">
        <v>74</v>
      </c>
      <c r="AV2459" t="s">
        <v>2955</v>
      </c>
      <c r="AW2459" t="s">
        <v>75</v>
      </c>
      <c r="AX2459" t="s">
        <v>4922</v>
      </c>
      <c r="AY2459" t="s">
        <v>8469</v>
      </c>
      <c r="AZ2459">
        <v>139.99999999534339</v>
      </c>
      <c r="BA2459">
        <v>0</v>
      </c>
      <c r="BB2459">
        <v>0</v>
      </c>
      <c r="BC2459">
        <v>0.01</v>
      </c>
      <c r="BD2459">
        <v>0</v>
      </c>
      <c r="BE2459">
        <f t="shared" si="389"/>
        <v>0</v>
      </c>
    </row>
    <row r="2460" spans="1:57" x14ac:dyDescent="0.25">
      <c r="A2460" t="s">
        <v>39</v>
      </c>
      <c r="B2460" t="s">
        <v>8470</v>
      </c>
      <c r="C2460">
        <v>80.599999999999994</v>
      </c>
      <c r="D2460">
        <v>69.8</v>
      </c>
      <c r="G2460">
        <f t="shared" si="380"/>
        <v>0</v>
      </c>
      <c r="H2460">
        <f t="shared" si="381"/>
        <v>0</v>
      </c>
      <c r="I2460">
        <f t="shared" si="382"/>
        <v>0</v>
      </c>
      <c r="J2460">
        <v>76.8</v>
      </c>
      <c r="K2460">
        <v>83.3</v>
      </c>
      <c r="L2460">
        <v>69.8</v>
      </c>
      <c r="M2460">
        <v>77.3</v>
      </c>
      <c r="N2460">
        <v>64.7</v>
      </c>
      <c r="O2460">
        <v>66.599999999999994</v>
      </c>
      <c r="S2460">
        <f t="shared" si="383"/>
        <v>1</v>
      </c>
      <c r="T2460">
        <f t="shared" si="384"/>
        <v>1</v>
      </c>
      <c r="U2460">
        <f t="shared" si="385"/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28.4</v>
      </c>
      <c r="AC2460">
        <v>16.100000000000001</v>
      </c>
      <c r="AG2460">
        <f t="shared" si="386"/>
        <v>0</v>
      </c>
      <c r="AH2460">
        <f t="shared" si="387"/>
        <v>0</v>
      </c>
      <c r="AI2460">
        <f t="shared" si="388"/>
        <v>0</v>
      </c>
      <c r="AJ2460">
        <v>301.39999999999998</v>
      </c>
      <c r="AK2460">
        <v>1014.3</v>
      </c>
      <c r="AL2460">
        <v>12.3</v>
      </c>
      <c r="AM2460">
        <v>6.2</v>
      </c>
      <c r="AN2460">
        <v>331.6</v>
      </c>
      <c r="AO2460">
        <v>28.5</v>
      </c>
      <c r="AP2460">
        <v>10</v>
      </c>
      <c r="AQ2460">
        <v>0</v>
      </c>
      <c r="AR2460" t="s">
        <v>8471</v>
      </c>
      <c r="AS2460" t="s">
        <v>8472</v>
      </c>
      <c r="AT2460">
        <v>0.53</v>
      </c>
      <c r="AU2460" t="s">
        <v>74</v>
      </c>
      <c r="AV2460" t="s">
        <v>2955</v>
      </c>
      <c r="AW2460" t="s">
        <v>75</v>
      </c>
      <c r="AX2460" t="s">
        <v>2461</v>
      </c>
      <c r="AY2460" t="s">
        <v>8473</v>
      </c>
      <c r="AZ2460">
        <v>140.99999999860299</v>
      </c>
      <c r="BA2460">
        <v>0</v>
      </c>
      <c r="BB2460">
        <v>0</v>
      </c>
      <c r="BC2460">
        <v>0.01</v>
      </c>
      <c r="BD2460">
        <v>0</v>
      </c>
      <c r="BE2460">
        <f t="shared" si="389"/>
        <v>0</v>
      </c>
    </row>
    <row r="2461" spans="1:57" x14ac:dyDescent="0.25">
      <c r="A2461" t="s">
        <v>39</v>
      </c>
      <c r="B2461" t="s">
        <v>8474</v>
      </c>
      <c r="C2461">
        <v>46.4</v>
      </c>
      <c r="D2461">
        <v>39.200000000000003</v>
      </c>
      <c r="G2461">
        <f t="shared" si="380"/>
        <v>1</v>
      </c>
      <c r="H2461">
        <f t="shared" si="381"/>
        <v>0</v>
      </c>
      <c r="I2461">
        <f t="shared" si="382"/>
        <v>1</v>
      </c>
      <c r="J2461">
        <v>43.8</v>
      </c>
      <c r="K2461">
        <v>39.799999999999997</v>
      </c>
      <c r="L2461">
        <v>30.5</v>
      </c>
      <c r="M2461">
        <v>35.700000000000003</v>
      </c>
      <c r="N2461">
        <v>34.1</v>
      </c>
      <c r="O2461">
        <v>70</v>
      </c>
      <c r="S2461">
        <f t="shared" si="383"/>
        <v>1</v>
      </c>
      <c r="T2461">
        <f t="shared" si="384"/>
        <v>1</v>
      </c>
      <c r="U2461">
        <f t="shared" si="385"/>
        <v>0</v>
      </c>
      <c r="V2461">
        <v>9.7000000000000003E-2</v>
      </c>
      <c r="W2461">
        <v>100</v>
      </c>
      <c r="X2461">
        <v>12.5</v>
      </c>
      <c r="Y2461" t="s">
        <v>103</v>
      </c>
      <c r="Z2461">
        <v>0</v>
      </c>
      <c r="AA2461">
        <v>0.5</v>
      </c>
      <c r="AB2461">
        <v>38</v>
      </c>
      <c r="AC2461">
        <v>25.3</v>
      </c>
      <c r="AG2461">
        <f t="shared" si="386"/>
        <v>1</v>
      </c>
      <c r="AH2461">
        <f t="shared" si="387"/>
        <v>1</v>
      </c>
      <c r="AI2461">
        <f t="shared" si="388"/>
        <v>0</v>
      </c>
      <c r="AJ2461">
        <v>333.8</v>
      </c>
      <c r="AK2461">
        <v>1020.4</v>
      </c>
      <c r="AL2461">
        <v>89.1</v>
      </c>
      <c r="AM2461">
        <v>6</v>
      </c>
      <c r="AN2461">
        <v>127.5</v>
      </c>
      <c r="AO2461">
        <v>11.1</v>
      </c>
      <c r="AP2461">
        <v>5</v>
      </c>
      <c r="AQ2461">
        <v>0</v>
      </c>
      <c r="AR2461" t="s">
        <v>8475</v>
      </c>
      <c r="AS2461" t="s">
        <v>8476</v>
      </c>
      <c r="AT2461">
        <v>0.8</v>
      </c>
      <c r="AU2461" t="s">
        <v>106</v>
      </c>
      <c r="AV2461" t="s">
        <v>1783</v>
      </c>
      <c r="AW2461" t="s">
        <v>103</v>
      </c>
      <c r="AX2461" t="s">
        <v>8477</v>
      </c>
      <c r="AY2461" t="s">
        <v>8478</v>
      </c>
      <c r="AZ2461">
        <v>165.99999999627471</v>
      </c>
      <c r="BA2461">
        <v>0</v>
      </c>
      <c r="BB2461">
        <v>0</v>
      </c>
      <c r="BC2461">
        <v>1.5</v>
      </c>
      <c r="BD2461">
        <v>0</v>
      </c>
      <c r="BE2461">
        <f t="shared" si="389"/>
        <v>1</v>
      </c>
    </row>
    <row r="2462" spans="1:57" x14ac:dyDescent="0.25">
      <c r="A2462" t="s">
        <v>39</v>
      </c>
      <c r="B2462" t="s">
        <v>8479</v>
      </c>
      <c r="C2462">
        <v>53.6</v>
      </c>
      <c r="D2462">
        <v>48.2</v>
      </c>
      <c r="G2462">
        <f t="shared" si="380"/>
        <v>1</v>
      </c>
      <c r="H2462">
        <f t="shared" si="381"/>
        <v>0</v>
      </c>
      <c r="I2462">
        <f t="shared" si="382"/>
        <v>1</v>
      </c>
      <c r="J2462">
        <v>51.1</v>
      </c>
      <c r="K2462">
        <v>53.6</v>
      </c>
      <c r="L2462">
        <v>41.3</v>
      </c>
      <c r="M2462">
        <v>50.1</v>
      </c>
      <c r="N2462">
        <v>34.1</v>
      </c>
      <c r="O2462">
        <v>52.2</v>
      </c>
      <c r="S2462">
        <f t="shared" si="383"/>
        <v>1</v>
      </c>
      <c r="T2462">
        <f t="shared" si="384"/>
        <v>0</v>
      </c>
      <c r="U2462">
        <f t="shared" si="385"/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34.4</v>
      </c>
      <c r="AC2462">
        <v>20.8</v>
      </c>
      <c r="AG2462">
        <f t="shared" si="386"/>
        <v>1</v>
      </c>
      <c r="AH2462">
        <f t="shared" si="387"/>
        <v>1</v>
      </c>
      <c r="AI2462">
        <f t="shared" si="388"/>
        <v>0</v>
      </c>
      <c r="AJ2462">
        <v>329.2</v>
      </c>
      <c r="AK2462">
        <v>1033</v>
      </c>
      <c r="AL2462">
        <v>87.4</v>
      </c>
      <c r="AM2462">
        <v>6.2</v>
      </c>
      <c r="AN2462">
        <v>182.5</v>
      </c>
      <c r="AO2462">
        <v>15.8</v>
      </c>
      <c r="AP2462">
        <v>7</v>
      </c>
      <c r="AQ2462">
        <v>0</v>
      </c>
      <c r="AR2462" t="s">
        <v>8480</v>
      </c>
      <c r="AS2462" t="s">
        <v>8481</v>
      </c>
      <c r="AT2462">
        <v>0.41</v>
      </c>
      <c r="AU2462" t="s">
        <v>43</v>
      </c>
      <c r="AV2462" t="s">
        <v>44</v>
      </c>
      <c r="AW2462" t="s">
        <v>45</v>
      </c>
      <c r="AX2462" t="s">
        <v>4801</v>
      </c>
      <c r="AY2462" t="s">
        <v>8482</v>
      </c>
      <c r="AZ2462">
        <v>90</v>
      </c>
      <c r="BA2462">
        <v>0</v>
      </c>
      <c r="BB2462">
        <v>0</v>
      </c>
      <c r="BC2462">
        <v>0.05</v>
      </c>
      <c r="BD2462">
        <v>0</v>
      </c>
      <c r="BE2462">
        <f t="shared" si="389"/>
        <v>1</v>
      </c>
    </row>
    <row r="2463" spans="1:57" x14ac:dyDescent="0.25">
      <c r="A2463" t="s">
        <v>39</v>
      </c>
      <c r="B2463" t="s">
        <v>8483</v>
      </c>
      <c r="C2463">
        <v>68</v>
      </c>
      <c r="D2463">
        <v>57.1</v>
      </c>
      <c r="G2463">
        <f t="shared" si="380"/>
        <v>0</v>
      </c>
      <c r="H2463">
        <f t="shared" si="381"/>
        <v>0</v>
      </c>
      <c r="I2463">
        <f t="shared" si="382"/>
        <v>0</v>
      </c>
      <c r="J2463">
        <v>62.1</v>
      </c>
      <c r="K2463">
        <v>68</v>
      </c>
      <c r="L2463">
        <v>57.1</v>
      </c>
      <c r="M2463">
        <v>62.1</v>
      </c>
      <c r="N2463">
        <v>50.6</v>
      </c>
      <c r="O2463">
        <v>67.099999999999994</v>
      </c>
      <c r="S2463">
        <f t="shared" si="383"/>
        <v>1</v>
      </c>
      <c r="T2463">
        <f t="shared" si="384"/>
        <v>1</v>
      </c>
      <c r="U2463">
        <f t="shared" si="385"/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23</v>
      </c>
      <c r="AC2463">
        <v>13.9</v>
      </c>
      <c r="AG2463">
        <f t="shared" si="386"/>
        <v>1</v>
      </c>
      <c r="AH2463">
        <f t="shared" si="387"/>
        <v>0</v>
      </c>
      <c r="AI2463">
        <f t="shared" si="388"/>
        <v>1</v>
      </c>
      <c r="AJ2463">
        <v>199.4</v>
      </c>
      <c r="AK2463">
        <v>1012.8</v>
      </c>
      <c r="AL2463">
        <v>3.6</v>
      </c>
      <c r="AM2463">
        <v>5.2</v>
      </c>
      <c r="AN2463">
        <v>277.60000000000002</v>
      </c>
      <c r="AO2463">
        <v>24.1</v>
      </c>
      <c r="AP2463">
        <v>9</v>
      </c>
      <c r="AQ2463">
        <v>0</v>
      </c>
      <c r="AR2463" t="s">
        <v>8484</v>
      </c>
      <c r="AS2463" t="s">
        <v>8485</v>
      </c>
      <c r="AT2463">
        <v>0.04</v>
      </c>
      <c r="AU2463" t="s">
        <v>74</v>
      </c>
      <c r="AV2463" t="s">
        <v>2955</v>
      </c>
      <c r="AW2463" t="s">
        <v>75</v>
      </c>
      <c r="AX2463" t="s">
        <v>4610</v>
      </c>
      <c r="AY2463" t="s">
        <v>8486</v>
      </c>
      <c r="AZ2463">
        <v>441.00000000209548</v>
      </c>
      <c r="BA2463">
        <v>1</v>
      </c>
      <c r="BB2463">
        <v>0</v>
      </c>
      <c r="BC2463">
        <v>5</v>
      </c>
      <c r="BD2463">
        <v>0</v>
      </c>
      <c r="BE2463">
        <f t="shared" si="389"/>
        <v>0</v>
      </c>
    </row>
    <row r="2464" spans="1:57" x14ac:dyDescent="0.25">
      <c r="A2464" t="s">
        <v>39</v>
      </c>
      <c r="B2464" t="s">
        <v>8487</v>
      </c>
      <c r="C2464">
        <v>68</v>
      </c>
      <c r="D2464">
        <v>53.6</v>
      </c>
      <c r="G2464">
        <f t="shared" si="380"/>
        <v>0</v>
      </c>
      <c r="H2464">
        <f t="shared" si="381"/>
        <v>0</v>
      </c>
      <c r="I2464">
        <f t="shared" si="382"/>
        <v>0</v>
      </c>
      <c r="J2464">
        <v>60.2</v>
      </c>
      <c r="K2464">
        <v>68</v>
      </c>
      <c r="L2464">
        <v>53.6</v>
      </c>
      <c r="M2464">
        <v>60.2</v>
      </c>
      <c r="N2464">
        <v>52.1</v>
      </c>
      <c r="O2464">
        <v>75.5</v>
      </c>
      <c r="S2464">
        <f t="shared" si="383"/>
        <v>1</v>
      </c>
      <c r="T2464">
        <f t="shared" si="384"/>
        <v>1</v>
      </c>
      <c r="U2464">
        <f t="shared" si="385"/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27.7</v>
      </c>
      <c r="AC2464">
        <v>13.9</v>
      </c>
      <c r="AG2464">
        <f t="shared" si="386"/>
        <v>1</v>
      </c>
      <c r="AH2464">
        <f t="shared" si="387"/>
        <v>0</v>
      </c>
      <c r="AI2464">
        <f t="shared" si="388"/>
        <v>1</v>
      </c>
      <c r="AJ2464">
        <v>156.69999999999999</v>
      </c>
      <c r="AK2464">
        <v>1012.4</v>
      </c>
      <c r="AL2464">
        <v>26.6</v>
      </c>
      <c r="AM2464">
        <v>6.2</v>
      </c>
      <c r="AN2464">
        <v>242.1</v>
      </c>
      <c r="AO2464">
        <v>20.9</v>
      </c>
      <c r="AP2464">
        <v>9</v>
      </c>
      <c r="AQ2464">
        <v>0</v>
      </c>
      <c r="AR2464" t="s">
        <v>8488</v>
      </c>
      <c r="AS2464" t="s">
        <v>8489</v>
      </c>
      <c r="AT2464">
        <v>0.25</v>
      </c>
      <c r="AU2464" t="s">
        <v>43</v>
      </c>
      <c r="AV2464" t="s">
        <v>44</v>
      </c>
      <c r="AW2464" t="s">
        <v>45</v>
      </c>
      <c r="AX2464" t="s">
        <v>2393</v>
      </c>
      <c r="AY2464" t="s">
        <v>8490</v>
      </c>
      <c r="AZ2464">
        <v>429.99999999767169</v>
      </c>
      <c r="BA2464">
        <v>1</v>
      </c>
      <c r="BB2464">
        <v>0</v>
      </c>
      <c r="BC2464">
        <v>3.5</v>
      </c>
      <c r="BD2464">
        <v>0</v>
      </c>
      <c r="BE2464">
        <f t="shared" si="389"/>
        <v>0</v>
      </c>
    </row>
    <row r="2465" spans="1:57" x14ac:dyDescent="0.25">
      <c r="A2465" t="s">
        <v>39</v>
      </c>
      <c r="B2465" t="s">
        <v>8491</v>
      </c>
      <c r="C2465">
        <v>78.8</v>
      </c>
      <c r="D2465">
        <v>73.400000000000006</v>
      </c>
      <c r="G2465">
        <f t="shared" si="380"/>
        <v>0</v>
      </c>
      <c r="H2465">
        <f t="shared" si="381"/>
        <v>0</v>
      </c>
      <c r="I2465">
        <f t="shared" si="382"/>
        <v>0</v>
      </c>
      <c r="J2465">
        <v>76.3</v>
      </c>
      <c r="K2465">
        <v>78.8</v>
      </c>
      <c r="L2465">
        <v>73.400000000000006</v>
      </c>
      <c r="M2465">
        <v>76.3</v>
      </c>
      <c r="N2465">
        <v>65.099999999999994</v>
      </c>
      <c r="O2465">
        <v>68.5</v>
      </c>
      <c r="S2465">
        <f t="shared" si="383"/>
        <v>1</v>
      </c>
      <c r="T2465">
        <f t="shared" si="384"/>
        <v>1</v>
      </c>
      <c r="U2465">
        <f t="shared" si="385"/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33.299999999999997</v>
      </c>
      <c r="AC2465">
        <v>20.8</v>
      </c>
      <c r="AG2465">
        <f t="shared" si="386"/>
        <v>1</v>
      </c>
      <c r="AH2465">
        <f t="shared" si="387"/>
        <v>1</v>
      </c>
      <c r="AI2465">
        <f t="shared" si="388"/>
        <v>0</v>
      </c>
      <c r="AJ2465">
        <v>295</v>
      </c>
      <c r="AK2465">
        <v>1012.6</v>
      </c>
      <c r="AL2465">
        <v>17.5</v>
      </c>
      <c r="AM2465">
        <v>6.2</v>
      </c>
      <c r="AN2465">
        <v>322.8</v>
      </c>
      <c r="AO2465">
        <v>27.9</v>
      </c>
      <c r="AP2465">
        <v>9</v>
      </c>
      <c r="AQ2465">
        <v>0</v>
      </c>
      <c r="AR2465" t="s">
        <v>8492</v>
      </c>
      <c r="AS2465" t="s">
        <v>8493</v>
      </c>
      <c r="AT2465">
        <v>0.16</v>
      </c>
      <c r="AU2465" t="s">
        <v>74</v>
      </c>
      <c r="AV2465" t="s">
        <v>2955</v>
      </c>
      <c r="AW2465" t="s">
        <v>75</v>
      </c>
      <c r="AX2465" t="s">
        <v>4085</v>
      </c>
      <c r="AY2465" t="s">
        <v>8494</v>
      </c>
      <c r="AZ2465">
        <v>1125</v>
      </c>
      <c r="BA2465">
        <v>1</v>
      </c>
      <c r="BB2465">
        <v>0</v>
      </c>
      <c r="BC2465">
        <v>0.5</v>
      </c>
      <c r="BD2465">
        <v>0</v>
      </c>
      <c r="BE2465">
        <f t="shared" si="389"/>
        <v>1</v>
      </c>
    </row>
    <row r="2466" spans="1:57" x14ac:dyDescent="0.25">
      <c r="A2466" t="s">
        <v>39</v>
      </c>
      <c r="B2466" t="s">
        <v>8495</v>
      </c>
      <c r="C2466">
        <v>80.599999999999994</v>
      </c>
      <c r="D2466">
        <v>68</v>
      </c>
      <c r="G2466">
        <f t="shared" si="380"/>
        <v>0</v>
      </c>
      <c r="H2466">
        <f t="shared" si="381"/>
        <v>0</v>
      </c>
      <c r="I2466">
        <f t="shared" si="382"/>
        <v>0</v>
      </c>
      <c r="J2466">
        <v>75.599999999999994</v>
      </c>
      <c r="K2466">
        <v>82.8</v>
      </c>
      <c r="L2466">
        <v>68</v>
      </c>
      <c r="M2466">
        <v>75.7</v>
      </c>
      <c r="N2466">
        <v>66.599999999999994</v>
      </c>
      <c r="O2466">
        <v>74.099999999999994</v>
      </c>
      <c r="S2466">
        <f t="shared" si="383"/>
        <v>1</v>
      </c>
      <c r="T2466">
        <f t="shared" si="384"/>
        <v>1</v>
      </c>
      <c r="U2466">
        <f t="shared" si="385"/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28</v>
      </c>
      <c r="AC2466">
        <v>17.2</v>
      </c>
      <c r="AG2466">
        <f t="shared" si="386"/>
        <v>0</v>
      </c>
      <c r="AH2466">
        <f t="shared" si="387"/>
        <v>0</v>
      </c>
      <c r="AI2466">
        <f t="shared" si="388"/>
        <v>0</v>
      </c>
      <c r="AJ2466">
        <v>302.89999999999998</v>
      </c>
      <c r="AK2466">
        <v>1014.8</v>
      </c>
      <c r="AL2466">
        <v>18.899999999999999</v>
      </c>
      <c r="AM2466">
        <v>6.2</v>
      </c>
      <c r="AN2466">
        <v>328.8</v>
      </c>
      <c r="AO2466">
        <v>28.2</v>
      </c>
      <c r="AP2466">
        <v>10</v>
      </c>
      <c r="AQ2466">
        <v>0</v>
      </c>
      <c r="AR2466" t="s">
        <v>8496</v>
      </c>
      <c r="AS2466" t="s">
        <v>8497</v>
      </c>
      <c r="AT2466">
        <v>0.56000000000000005</v>
      </c>
      <c r="AU2466" t="s">
        <v>74</v>
      </c>
      <c r="AV2466" t="s">
        <v>2955</v>
      </c>
      <c r="AW2466" t="s">
        <v>75</v>
      </c>
      <c r="AX2466" t="s">
        <v>2493</v>
      </c>
      <c r="AY2466" t="s">
        <v>8498</v>
      </c>
      <c r="AZ2466">
        <v>130.00000000465661</v>
      </c>
      <c r="BA2466">
        <v>0</v>
      </c>
      <c r="BB2466">
        <v>0.1</v>
      </c>
      <c r="BC2466">
        <v>0</v>
      </c>
      <c r="BD2466">
        <v>0</v>
      </c>
      <c r="BE2466">
        <f t="shared" si="389"/>
        <v>0</v>
      </c>
    </row>
    <row r="2467" spans="1:57" x14ac:dyDescent="0.25">
      <c r="A2467" t="s">
        <v>39</v>
      </c>
      <c r="B2467" t="s">
        <v>8499</v>
      </c>
      <c r="C2467">
        <v>84.2</v>
      </c>
      <c r="D2467">
        <v>78.8</v>
      </c>
      <c r="G2467">
        <f t="shared" si="380"/>
        <v>0</v>
      </c>
      <c r="H2467">
        <f t="shared" si="381"/>
        <v>0</v>
      </c>
      <c r="I2467">
        <f t="shared" si="382"/>
        <v>0</v>
      </c>
      <c r="J2467">
        <v>80.900000000000006</v>
      </c>
      <c r="K2467">
        <v>87.4</v>
      </c>
      <c r="L2467">
        <v>78.8</v>
      </c>
      <c r="M2467">
        <v>82.3</v>
      </c>
      <c r="N2467">
        <v>65.5</v>
      </c>
      <c r="O2467">
        <v>59.6</v>
      </c>
      <c r="S2467">
        <f t="shared" si="383"/>
        <v>0</v>
      </c>
      <c r="T2467">
        <f t="shared" si="384"/>
        <v>0</v>
      </c>
      <c r="U2467">
        <f t="shared" si="385"/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33.1</v>
      </c>
      <c r="AC2467">
        <v>20.8</v>
      </c>
      <c r="AG2467">
        <f t="shared" si="386"/>
        <v>1</v>
      </c>
      <c r="AH2467">
        <f t="shared" si="387"/>
        <v>1</v>
      </c>
      <c r="AI2467">
        <f t="shared" si="388"/>
        <v>0</v>
      </c>
      <c r="AJ2467">
        <v>297.10000000000002</v>
      </c>
      <c r="AK2467">
        <v>1009.5</v>
      </c>
      <c r="AL2467">
        <v>15.8</v>
      </c>
      <c r="AM2467">
        <v>6.2</v>
      </c>
      <c r="AN2467">
        <v>307.5</v>
      </c>
      <c r="AO2467">
        <v>26.5</v>
      </c>
      <c r="AP2467">
        <v>9</v>
      </c>
      <c r="AQ2467">
        <v>0</v>
      </c>
      <c r="AR2467" t="s">
        <v>8500</v>
      </c>
      <c r="AS2467" t="s">
        <v>8501</v>
      </c>
      <c r="AT2467">
        <v>0.2</v>
      </c>
      <c r="AU2467" t="s">
        <v>74</v>
      </c>
      <c r="AV2467" t="s">
        <v>2955</v>
      </c>
      <c r="AW2467" t="s">
        <v>75</v>
      </c>
      <c r="AX2467" t="s">
        <v>4788</v>
      </c>
      <c r="AY2467" t="s">
        <v>8502</v>
      </c>
      <c r="AZ2467">
        <v>1769.999999996508</v>
      </c>
      <c r="BA2467">
        <v>1</v>
      </c>
      <c r="BB2467">
        <v>0</v>
      </c>
      <c r="BC2467">
        <v>9</v>
      </c>
      <c r="BD2467">
        <v>0</v>
      </c>
      <c r="BE2467">
        <f t="shared" si="389"/>
        <v>0</v>
      </c>
    </row>
    <row r="2468" spans="1:57" x14ac:dyDescent="0.25">
      <c r="A2468" t="s">
        <v>39</v>
      </c>
      <c r="B2468" t="s">
        <v>8503</v>
      </c>
      <c r="C2468">
        <v>84.2</v>
      </c>
      <c r="D2468">
        <v>75.2</v>
      </c>
      <c r="G2468">
        <f t="shared" si="380"/>
        <v>0</v>
      </c>
      <c r="H2468">
        <f t="shared" si="381"/>
        <v>0</v>
      </c>
      <c r="I2468">
        <f t="shared" si="382"/>
        <v>0</v>
      </c>
      <c r="J2468">
        <v>80.5</v>
      </c>
      <c r="K2468">
        <v>88.5</v>
      </c>
      <c r="L2468">
        <v>75.2</v>
      </c>
      <c r="M2468">
        <v>82.1</v>
      </c>
      <c r="N2468">
        <v>66.2</v>
      </c>
      <c r="O2468">
        <v>61.9</v>
      </c>
      <c r="S2468">
        <f t="shared" si="383"/>
        <v>1</v>
      </c>
      <c r="T2468">
        <f t="shared" si="384"/>
        <v>1</v>
      </c>
      <c r="U2468">
        <f t="shared" si="385"/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34.4</v>
      </c>
      <c r="AC2468">
        <v>21.9</v>
      </c>
      <c r="AG2468">
        <f t="shared" si="386"/>
        <v>1</v>
      </c>
      <c r="AH2468">
        <f t="shared" si="387"/>
        <v>1</v>
      </c>
      <c r="AI2468">
        <f t="shared" si="388"/>
        <v>0</v>
      </c>
      <c r="AJ2468">
        <v>296.8</v>
      </c>
      <c r="AK2468">
        <v>1007.3</v>
      </c>
      <c r="AL2468">
        <v>16.2</v>
      </c>
      <c r="AM2468">
        <v>6.2</v>
      </c>
      <c r="AN2468">
        <v>306.3</v>
      </c>
      <c r="AO2468">
        <v>26.4</v>
      </c>
      <c r="AP2468">
        <v>9</v>
      </c>
      <c r="AQ2468">
        <v>0</v>
      </c>
      <c r="AR2468" t="s">
        <v>8504</v>
      </c>
      <c r="AS2468" t="s">
        <v>8505</v>
      </c>
      <c r="AT2468">
        <v>0.3</v>
      </c>
      <c r="AU2468" t="s">
        <v>74</v>
      </c>
      <c r="AV2468" t="s">
        <v>2955</v>
      </c>
      <c r="AW2468" t="s">
        <v>75</v>
      </c>
      <c r="AX2468" t="s">
        <v>4228</v>
      </c>
      <c r="AY2468" t="s">
        <v>8506</v>
      </c>
      <c r="AZ2468">
        <v>1805.999999998603</v>
      </c>
      <c r="BA2468">
        <v>1</v>
      </c>
      <c r="BB2468">
        <v>10</v>
      </c>
      <c r="BC2468">
        <v>0</v>
      </c>
      <c r="BD2468">
        <v>0</v>
      </c>
      <c r="BE2468">
        <f t="shared" si="389"/>
        <v>1</v>
      </c>
    </row>
    <row r="2469" spans="1:57" x14ac:dyDescent="0.25">
      <c r="A2469" t="s">
        <v>39</v>
      </c>
      <c r="B2469" t="s">
        <v>8507</v>
      </c>
      <c r="C2469">
        <v>80.599999999999994</v>
      </c>
      <c r="D2469">
        <v>73.400000000000006</v>
      </c>
      <c r="G2469">
        <f t="shared" si="380"/>
        <v>1</v>
      </c>
      <c r="H2469">
        <f t="shared" si="381"/>
        <v>0</v>
      </c>
      <c r="I2469">
        <f t="shared" si="382"/>
        <v>1</v>
      </c>
      <c r="J2469">
        <v>76.5</v>
      </c>
      <c r="K2469">
        <v>81.900000000000006</v>
      </c>
      <c r="L2469">
        <v>73.400000000000006</v>
      </c>
      <c r="M2469">
        <v>76.599999999999994</v>
      </c>
      <c r="N2469">
        <v>62.3</v>
      </c>
      <c r="O2469">
        <v>61.8</v>
      </c>
      <c r="S2469">
        <f t="shared" si="383"/>
        <v>1</v>
      </c>
      <c r="T2469">
        <f t="shared" si="384"/>
        <v>1</v>
      </c>
      <c r="U2469">
        <f t="shared" si="385"/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34.4</v>
      </c>
      <c r="AC2469">
        <v>23</v>
      </c>
      <c r="AG2469">
        <f t="shared" si="386"/>
        <v>1</v>
      </c>
      <c r="AH2469">
        <f t="shared" si="387"/>
        <v>1</v>
      </c>
      <c r="AI2469">
        <f t="shared" si="388"/>
        <v>0</v>
      </c>
      <c r="AJ2469">
        <v>299.39999999999998</v>
      </c>
      <c r="AK2469">
        <v>1014</v>
      </c>
      <c r="AL2469">
        <v>27.8</v>
      </c>
      <c r="AM2469">
        <v>6.2</v>
      </c>
      <c r="AN2469">
        <v>322.7</v>
      </c>
      <c r="AO2469">
        <v>27.9</v>
      </c>
      <c r="AP2469">
        <v>10</v>
      </c>
      <c r="AQ2469">
        <v>0</v>
      </c>
      <c r="AR2469" t="s">
        <v>8508</v>
      </c>
      <c r="AS2469" t="s">
        <v>8509</v>
      </c>
      <c r="AT2469">
        <v>0.69</v>
      </c>
      <c r="AU2469" t="s">
        <v>43</v>
      </c>
      <c r="AV2469" t="s">
        <v>44</v>
      </c>
      <c r="AW2469" t="s">
        <v>45</v>
      </c>
      <c r="AX2469" t="s">
        <v>8510</v>
      </c>
      <c r="AY2469" t="s">
        <v>8511</v>
      </c>
      <c r="AZ2469">
        <v>1833.000000002794</v>
      </c>
      <c r="BA2469">
        <v>1</v>
      </c>
      <c r="BB2469">
        <v>0</v>
      </c>
      <c r="BC2469">
        <v>60</v>
      </c>
      <c r="BD2469">
        <v>0</v>
      </c>
      <c r="BE2469">
        <f t="shared" si="389"/>
        <v>1</v>
      </c>
    </row>
    <row r="2470" spans="1:57" x14ac:dyDescent="0.25">
      <c r="A2470" t="s">
        <v>39</v>
      </c>
      <c r="B2470" t="s">
        <v>8512</v>
      </c>
      <c r="C2470">
        <v>82.4</v>
      </c>
      <c r="D2470">
        <v>77</v>
      </c>
      <c r="G2470">
        <f t="shared" si="380"/>
        <v>0</v>
      </c>
      <c r="H2470">
        <f t="shared" si="381"/>
        <v>0</v>
      </c>
      <c r="I2470">
        <f t="shared" si="382"/>
        <v>0</v>
      </c>
      <c r="J2470">
        <v>79.2</v>
      </c>
      <c r="K2470">
        <v>86.2</v>
      </c>
      <c r="L2470">
        <v>77</v>
      </c>
      <c r="M2470">
        <v>80.5</v>
      </c>
      <c r="N2470">
        <v>68.5</v>
      </c>
      <c r="O2470">
        <v>69.900000000000006</v>
      </c>
      <c r="S2470">
        <f t="shared" si="383"/>
        <v>1</v>
      </c>
      <c r="T2470">
        <f t="shared" si="384"/>
        <v>1</v>
      </c>
      <c r="U2470">
        <f t="shared" si="385"/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30.2</v>
      </c>
      <c r="AC2470">
        <v>19.7</v>
      </c>
      <c r="AG2470">
        <f t="shared" si="386"/>
        <v>1</v>
      </c>
      <c r="AH2470">
        <f t="shared" si="387"/>
        <v>1</v>
      </c>
      <c r="AI2470">
        <f t="shared" si="388"/>
        <v>0</v>
      </c>
      <c r="AJ2470">
        <v>299.8</v>
      </c>
      <c r="AK2470">
        <v>1009.5</v>
      </c>
      <c r="AL2470">
        <v>27.4</v>
      </c>
      <c r="AM2470">
        <v>6.2</v>
      </c>
      <c r="AN2470">
        <v>286.5</v>
      </c>
      <c r="AO2470">
        <v>25</v>
      </c>
      <c r="AP2470">
        <v>9</v>
      </c>
      <c r="AQ2470">
        <v>0</v>
      </c>
      <c r="AR2470" t="s">
        <v>8513</v>
      </c>
      <c r="AS2470" t="s">
        <v>8514</v>
      </c>
      <c r="AT2470">
        <v>0.48</v>
      </c>
      <c r="AU2470" t="s">
        <v>43</v>
      </c>
      <c r="AV2470" t="s">
        <v>44</v>
      </c>
      <c r="AW2470" t="s">
        <v>45</v>
      </c>
      <c r="AX2470" t="s">
        <v>8515</v>
      </c>
      <c r="AY2470" t="s">
        <v>8516</v>
      </c>
      <c r="AZ2470">
        <v>303.99999999557622</v>
      </c>
      <c r="BA2470">
        <v>0</v>
      </c>
      <c r="BB2470">
        <v>0</v>
      </c>
      <c r="BC2470">
        <v>0.01</v>
      </c>
      <c r="BD2470">
        <v>0</v>
      </c>
      <c r="BE2470">
        <f t="shared" si="389"/>
        <v>0</v>
      </c>
    </row>
    <row r="2471" spans="1:57" x14ac:dyDescent="0.25">
      <c r="A2471" t="s">
        <v>39</v>
      </c>
      <c r="B2471" t="s">
        <v>8517</v>
      </c>
      <c r="C2471">
        <v>75.2</v>
      </c>
      <c r="D2471">
        <v>60.8</v>
      </c>
      <c r="G2471">
        <f t="shared" si="380"/>
        <v>1</v>
      </c>
      <c r="H2471">
        <f t="shared" si="381"/>
        <v>1</v>
      </c>
      <c r="I2471">
        <f t="shared" si="382"/>
        <v>0</v>
      </c>
      <c r="J2471">
        <v>68.2</v>
      </c>
      <c r="K2471">
        <v>75.2</v>
      </c>
      <c r="L2471">
        <v>60.8</v>
      </c>
      <c r="M2471">
        <v>68.2</v>
      </c>
      <c r="N2471">
        <v>47.1</v>
      </c>
      <c r="O2471">
        <v>54.3</v>
      </c>
      <c r="S2471">
        <f t="shared" si="383"/>
        <v>1</v>
      </c>
      <c r="T2471">
        <f t="shared" si="384"/>
        <v>0</v>
      </c>
      <c r="U2471">
        <f t="shared" si="385"/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46.1</v>
      </c>
      <c r="AC2471">
        <v>26.3</v>
      </c>
      <c r="AG2471">
        <f t="shared" si="386"/>
        <v>1</v>
      </c>
      <c r="AH2471">
        <f t="shared" si="387"/>
        <v>1</v>
      </c>
      <c r="AI2471">
        <f t="shared" si="388"/>
        <v>0</v>
      </c>
      <c r="AJ2471">
        <v>207.6</v>
      </c>
      <c r="AK2471">
        <v>1008.5</v>
      </c>
      <c r="AL2471">
        <v>31.8</v>
      </c>
      <c r="AM2471">
        <v>5.6</v>
      </c>
      <c r="AN2471">
        <v>264.8</v>
      </c>
      <c r="AO2471">
        <v>22.9</v>
      </c>
      <c r="AP2471">
        <v>9</v>
      </c>
      <c r="AQ2471">
        <v>0</v>
      </c>
      <c r="AR2471" t="s">
        <v>8518</v>
      </c>
      <c r="AS2471" t="s">
        <v>8519</v>
      </c>
      <c r="AT2471">
        <v>0.13</v>
      </c>
      <c r="AU2471" t="s">
        <v>43</v>
      </c>
      <c r="AV2471" t="s">
        <v>80</v>
      </c>
      <c r="AW2471" t="s">
        <v>45</v>
      </c>
      <c r="AX2471" t="s">
        <v>4788</v>
      </c>
      <c r="AY2471" t="s">
        <v>8520</v>
      </c>
      <c r="AZ2471">
        <v>1225.0000000011639</v>
      </c>
      <c r="BA2471">
        <v>1</v>
      </c>
      <c r="BB2471">
        <v>0</v>
      </c>
      <c r="BC2471">
        <v>15</v>
      </c>
      <c r="BD2471">
        <v>0</v>
      </c>
      <c r="BE2471">
        <f t="shared" si="389"/>
        <v>1</v>
      </c>
    </row>
    <row r="2472" spans="1:57" x14ac:dyDescent="0.25">
      <c r="A2472" t="s">
        <v>39</v>
      </c>
      <c r="B2472" t="s">
        <v>8521</v>
      </c>
      <c r="C2472">
        <v>59</v>
      </c>
      <c r="D2472">
        <v>48.2</v>
      </c>
      <c r="G2472">
        <f t="shared" si="380"/>
        <v>0</v>
      </c>
      <c r="H2472">
        <f t="shared" si="381"/>
        <v>0</v>
      </c>
      <c r="I2472">
        <f t="shared" si="382"/>
        <v>0</v>
      </c>
      <c r="J2472">
        <v>54.1</v>
      </c>
      <c r="K2472">
        <v>59</v>
      </c>
      <c r="L2472">
        <v>45.6</v>
      </c>
      <c r="M2472">
        <v>53.7</v>
      </c>
      <c r="N2472">
        <v>44.3</v>
      </c>
      <c r="O2472">
        <v>70.3</v>
      </c>
      <c r="S2472">
        <f t="shared" si="383"/>
        <v>1</v>
      </c>
      <c r="T2472">
        <f t="shared" si="384"/>
        <v>1</v>
      </c>
      <c r="U2472">
        <f t="shared" si="385"/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22.6</v>
      </c>
      <c r="AC2472">
        <v>16.100000000000001</v>
      </c>
      <c r="AG2472">
        <f t="shared" si="386"/>
        <v>1</v>
      </c>
      <c r="AH2472">
        <f t="shared" si="387"/>
        <v>0</v>
      </c>
      <c r="AI2472">
        <f t="shared" si="388"/>
        <v>1</v>
      </c>
      <c r="AJ2472">
        <v>312.8</v>
      </c>
      <c r="AK2472">
        <v>1024.4000000000001</v>
      </c>
      <c r="AL2472">
        <v>43.8</v>
      </c>
      <c r="AM2472">
        <v>6.2</v>
      </c>
      <c r="AN2472">
        <v>180.7</v>
      </c>
      <c r="AO2472">
        <v>15.6</v>
      </c>
      <c r="AP2472">
        <v>7</v>
      </c>
      <c r="AQ2472">
        <v>0</v>
      </c>
      <c r="AR2472" t="s">
        <v>8522</v>
      </c>
      <c r="AS2472" t="s">
        <v>8523</v>
      </c>
      <c r="AT2472">
        <v>0.33</v>
      </c>
      <c r="AU2472" t="s">
        <v>43</v>
      </c>
      <c r="AV2472" t="s">
        <v>80</v>
      </c>
      <c r="AW2472" t="s">
        <v>45</v>
      </c>
      <c r="AX2472" t="s">
        <v>8524</v>
      </c>
      <c r="AY2472" t="s">
        <v>8525</v>
      </c>
      <c r="AZ2472">
        <v>113.0000000016298</v>
      </c>
      <c r="BA2472">
        <v>0</v>
      </c>
      <c r="BB2472">
        <v>0</v>
      </c>
      <c r="BC2472">
        <v>0.2</v>
      </c>
      <c r="BD2472">
        <v>0</v>
      </c>
      <c r="BE2472">
        <f t="shared" si="389"/>
        <v>0</v>
      </c>
    </row>
    <row r="2473" spans="1:57" x14ac:dyDescent="0.25">
      <c r="A2473" t="s">
        <v>39</v>
      </c>
      <c r="B2473" t="s">
        <v>8526</v>
      </c>
      <c r="C2473">
        <v>55.4</v>
      </c>
      <c r="D2473">
        <v>50</v>
      </c>
      <c r="G2473">
        <f t="shared" si="380"/>
        <v>1</v>
      </c>
      <c r="H2473">
        <f t="shared" si="381"/>
        <v>0</v>
      </c>
      <c r="I2473">
        <f t="shared" si="382"/>
        <v>1</v>
      </c>
      <c r="J2473">
        <v>53.5</v>
      </c>
      <c r="K2473">
        <v>55.4</v>
      </c>
      <c r="L2473">
        <v>50</v>
      </c>
      <c r="M2473">
        <v>53.5</v>
      </c>
      <c r="N2473">
        <v>47.8</v>
      </c>
      <c r="O2473">
        <v>81.3</v>
      </c>
      <c r="S2473">
        <f t="shared" si="383"/>
        <v>1</v>
      </c>
      <c r="T2473">
        <f t="shared" si="384"/>
        <v>1</v>
      </c>
      <c r="U2473">
        <f t="shared" si="385"/>
        <v>0</v>
      </c>
      <c r="V2473">
        <v>0.84699999999999998</v>
      </c>
      <c r="W2473">
        <v>100</v>
      </c>
      <c r="X2473">
        <v>16.670000000000002</v>
      </c>
      <c r="Y2473" t="s">
        <v>103</v>
      </c>
      <c r="Z2473">
        <v>0</v>
      </c>
      <c r="AA2473">
        <v>0</v>
      </c>
      <c r="AB2473">
        <v>40.299999999999997</v>
      </c>
      <c r="AC2473">
        <v>28.9</v>
      </c>
      <c r="AG2473">
        <f t="shared" si="386"/>
        <v>1</v>
      </c>
      <c r="AH2473">
        <f t="shared" si="387"/>
        <v>1</v>
      </c>
      <c r="AI2473">
        <f t="shared" si="388"/>
        <v>0</v>
      </c>
      <c r="AJ2473">
        <v>339.4</v>
      </c>
      <c r="AK2473">
        <v>1012.2</v>
      </c>
      <c r="AL2473">
        <v>89.1</v>
      </c>
      <c r="AM2473">
        <v>6.1</v>
      </c>
      <c r="AN2473">
        <v>103.8</v>
      </c>
      <c r="AO2473">
        <v>9</v>
      </c>
      <c r="AP2473">
        <v>4</v>
      </c>
      <c r="AQ2473">
        <v>0</v>
      </c>
      <c r="AR2473" t="s">
        <v>8527</v>
      </c>
      <c r="AS2473" t="s">
        <v>8528</v>
      </c>
      <c r="AT2473">
        <v>0.75</v>
      </c>
      <c r="AU2473" t="s">
        <v>106</v>
      </c>
      <c r="AV2473" t="s">
        <v>1783</v>
      </c>
      <c r="AW2473" t="s">
        <v>103</v>
      </c>
      <c r="AX2473" t="s">
        <v>4980</v>
      </c>
      <c r="AY2473" t="s">
        <v>8529</v>
      </c>
      <c r="AZ2473">
        <v>33.000000002793968</v>
      </c>
      <c r="BA2473">
        <v>0</v>
      </c>
      <c r="BB2473">
        <v>0</v>
      </c>
      <c r="BC2473">
        <v>0.2</v>
      </c>
      <c r="BD2473">
        <v>0</v>
      </c>
      <c r="BE2473">
        <f t="shared" si="389"/>
        <v>1</v>
      </c>
    </row>
    <row r="2474" spans="1:57" x14ac:dyDescent="0.25">
      <c r="A2474" t="s">
        <v>39</v>
      </c>
      <c r="B2474" t="s">
        <v>8526</v>
      </c>
      <c r="C2474">
        <v>55.4</v>
      </c>
      <c r="D2474">
        <v>50</v>
      </c>
      <c r="G2474">
        <f t="shared" si="380"/>
        <v>1</v>
      </c>
      <c r="H2474">
        <f t="shared" si="381"/>
        <v>0</v>
      </c>
      <c r="I2474">
        <f t="shared" si="382"/>
        <v>1</v>
      </c>
      <c r="J2474">
        <v>53.5</v>
      </c>
      <c r="K2474">
        <v>55.4</v>
      </c>
      <c r="L2474">
        <v>50</v>
      </c>
      <c r="M2474">
        <v>53.5</v>
      </c>
      <c r="N2474">
        <v>47.8</v>
      </c>
      <c r="O2474">
        <v>81.3</v>
      </c>
      <c r="S2474">
        <f t="shared" si="383"/>
        <v>1</v>
      </c>
      <c r="T2474">
        <f t="shared" si="384"/>
        <v>1</v>
      </c>
      <c r="U2474">
        <f t="shared" si="385"/>
        <v>0</v>
      </c>
      <c r="V2474">
        <v>0.84699999999999998</v>
      </c>
      <c r="W2474">
        <v>100</v>
      </c>
      <c r="X2474">
        <v>16.670000000000002</v>
      </c>
      <c r="Y2474" t="s">
        <v>103</v>
      </c>
      <c r="Z2474">
        <v>0</v>
      </c>
      <c r="AA2474">
        <v>0</v>
      </c>
      <c r="AB2474">
        <v>40.299999999999997</v>
      </c>
      <c r="AC2474">
        <v>28.9</v>
      </c>
      <c r="AG2474">
        <f t="shared" si="386"/>
        <v>1</v>
      </c>
      <c r="AH2474">
        <f t="shared" si="387"/>
        <v>1</v>
      </c>
      <c r="AI2474">
        <f t="shared" si="388"/>
        <v>0</v>
      </c>
      <c r="AJ2474">
        <v>339.4</v>
      </c>
      <c r="AK2474">
        <v>1012.2</v>
      </c>
      <c r="AL2474">
        <v>89.1</v>
      </c>
      <c r="AM2474">
        <v>6.1</v>
      </c>
      <c r="AN2474">
        <v>103.8</v>
      </c>
      <c r="AO2474">
        <v>9</v>
      </c>
      <c r="AP2474">
        <v>4</v>
      </c>
      <c r="AQ2474">
        <v>0</v>
      </c>
      <c r="AR2474" t="s">
        <v>8527</v>
      </c>
      <c r="AS2474" t="s">
        <v>8528</v>
      </c>
      <c r="AT2474">
        <v>0.75</v>
      </c>
      <c r="AU2474" t="s">
        <v>106</v>
      </c>
      <c r="AV2474" t="s">
        <v>1783</v>
      </c>
      <c r="AW2474" t="s">
        <v>103</v>
      </c>
      <c r="AX2474" t="s">
        <v>8530</v>
      </c>
      <c r="AY2474" t="s">
        <v>8531</v>
      </c>
      <c r="AZ2474">
        <v>47.999999999301508</v>
      </c>
      <c r="BA2474">
        <v>0</v>
      </c>
      <c r="BB2474">
        <v>0</v>
      </c>
      <c r="BC2474">
        <v>0.5</v>
      </c>
      <c r="BD2474">
        <v>0</v>
      </c>
      <c r="BE2474">
        <f t="shared" si="389"/>
        <v>1</v>
      </c>
    </row>
    <row r="2475" spans="1:57" x14ac:dyDescent="0.25">
      <c r="A2475" t="s">
        <v>39</v>
      </c>
      <c r="B2475" t="s">
        <v>8532</v>
      </c>
      <c r="C2475">
        <v>48.1</v>
      </c>
      <c r="D2475">
        <v>44.6</v>
      </c>
      <c r="G2475">
        <f t="shared" si="380"/>
        <v>1</v>
      </c>
      <c r="H2475">
        <f t="shared" si="381"/>
        <v>0</v>
      </c>
      <c r="I2475">
        <f t="shared" si="382"/>
        <v>1</v>
      </c>
      <c r="J2475">
        <v>46.1</v>
      </c>
      <c r="K2475">
        <v>41.1</v>
      </c>
      <c r="L2475">
        <v>35.299999999999997</v>
      </c>
      <c r="M2475">
        <v>38.6</v>
      </c>
      <c r="N2475">
        <v>26.8</v>
      </c>
      <c r="O2475">
        <v>47.7</v>
      </c>
      <c r="S2475">
        <f t="shared" si="383"/>
        <v>1</v>
      </c>
      <c r="T2475">
        <f t="shared" si="384"/>
        <v>0</v>
      </c>
      <c r="U2475">
        <f t="shared" si="385"/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42.3</v>
      </c>
      <c r="AC2475">
        <v>26.4</v>
      </c>
      <c r="AG2475">
        <f t="shared" si="386"/>
        <v>1</v>
      </c>
      <c r="AH2475">
        <f t="shared" si="387"/>
        <v>1</v>
      </c>
      <c r="AI2475">
        <f t="shared" si="388"/>
        <v>0</v>
      </c>
      <c r="AJ2475">
        <v>4</v>
      </c>
      <c r="AK2475">
        <v>1031.2</v>
      </c>
      <c r="AL2475">
        <v>89.1</v>
      </c>
      <c r="AM2475">
        <v>6.2</v>
      </c>
      <c r="AN2475">
        <v>215.6</v>
      </c>
      <c r="AO2475">
        <v>18.7</v>
      </c>
      <c r="AP2475">
        <v>8</v>
      </c>
      <c r="AQ2475">
        <v>0</v>
      </c>
      <c r="AR2475" t="s">
        <v>8533</v>
      </c>
      <c r="AS2475" t="s">
        <v>8534</v>
      </c>
      <c r="AT2475">
        <v>0.54</v>
      </c>
      <c r="AU2475" t="s">
        <v>43</v>
      </c>
      <c r="AV2475" t="s">
        <v>44</v>
      </c>
      <c r="AW2475" t="s">
        <v>45</v>
      </c>
      <c r="AX2475" t="s">
        <v>6405</v>
      </c>
      <c r="AY2475" t="s">
        <v>8535</v>
      </c>
      <c r="AZ2475">
        <v>249.00000000488939</v>
      </c>
      <c r="BA2475">
        <v>0</v>
      </c>
      <c r="BB2475">
        <v>0</v>
      </c>
      <c r="BC2475">
        <v>0.1</v>
      </c>
      <c r="BD2475">
        <v>0</v>
      </c>
      <c r="BE2475">
        <f t="shared" si="389"/>
        <v>1</v>
      </c>
    </row>
    <row r="2476" spans="1:57" x14ac:dyDescent="0.25">
      <c r="A2476" t="s">
        <v>39</v>
      </c>
      <c r="B2476" t="s">
        <v>8536</v>
      </c>
      <c r="C2476">
        <v>62.6</v>
      </c>
      <c r="D2476">
        <v>44.6</v>
      </c>
      <c r="G2476">
        <f t="shared" si="380"/>
        <v>1</v>
      </c>
      <c r="H2476">
        <f t="shared" si="381"/>
        <v>0</v>
      </c>
      <c r="I2476">
        <f t="shared" si="382"/>
        <v>1</v>
      </c>
      <c r="J2476">
        <v>54.7</v>
      </c>
      <c r="K2476">
        <v>62.6</v>
      </c>
      <c r="L2476">
        <v>41.5</v>
      </c>
      <c r="M2476">
        <v>54.3</v>
      </c>
      <c r="N2476">
        <v>43.4</v>
      </c>
      <c r="O2476">
        <v>66.7</v>
      </c>
      <c r="S2476">
        <f t="shared" si="383"/>
        <v>1</v>
      </c>
      <c r="T2476">
        <f t="shared" si="384"/>
        <v>1</v>
      </c>
      <c r="U2476">
        <f t="shared" si="385"/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26.4</v>
      </c>
      <c r="AC2476">
        <v>15</v>
      </c>
      <c r="AG2476">
        <f t="shared" si="386"/>
        <v>1</v>
      </c>
      <c r="AH2476">
        <f t="shared" si="387"/>
        <v>0</v>
      </c>
      <c r="AI2476">
        <f t="shared" si="388"/>
        <v>1</v>
      </c>
      <c r="AJ2476">
        <v>11.2</v>
      </c>
      <c r="AK2476">
        <v>1019.4</v>
      </c>
      <c r="AL2476">
        <v>29.5</v>
      </c>
      <c r="AM2476">
        <v>6.2</v>
      </c>
      <c r="AN2476">
        <v>290.7</v>
      </c>
      <c r="AO2476">
        <v>25.1</v>
      </c>
      <c r="AP2476">
        <v>9</v>
      </c>
      <c r="AQ2476">
        <v>0</v>
      </c>
      <c r="AR2476" t="s">
        <v>8537</v>
      </c>
      <c r="AS2476" t="s">
        <v>8538</v>
      </c>
      <c r="AT2476">
        <v>0.39</v>
      </c>
      <c r="AU2476" t="s">
        <v>43</v>
      </c>
      <c r="AV2476" t="s">
        <v>44</v>
      </c>
      <c r="AW2476" t="s">
        <v>45</v>
      </c>
      <c r="AX2476" t="s">
        <v>8539</v>
      </c>
      <c r="AY2476" t="s">
        <v>8540</v>
      </c>
      <c r="AZ2476">
        <v>534.99999999417923</v>
      </c>
      <c r="BA2476">
        <v>1</v>
      </c>
      <c r="BB2476">
        <v>10</v>
      </c>
      <c r="BC2476">
        <v>0</v>
      </c>
      <c r="BD2476">
        <v>0</v>
      </c>
      <c r="BE2476">
        <f t="shared" si="389"/>
        <v>1</v>
      </c>
    </row>
    <row r="2477" spans="1:57" x14ac:dyDescent="0.25">
      <c r="A2477" t="s">
        <v>39</v>
      </c>
      <c r="B2477" t="s">
        <v>8541</v>
      </c>
      <c r="C2477">
        <v>68</v>
      </c>
      <c r="D2477">
        <v>57.2</v>
      </c>
      <c r="G2477">
        <f t="shared" si="380"/>
        <v>0</v>
      </c>
      <c r="H2477">
        <f t="shared" si="381"/>
        <v>0</v>
      </c>
      <c r="I2477">
        <f t="shared" si="382"/>
        <v>0</v>
      </c>
      <c r="J2477">
        <v>62.8</v>
      </c>
      <c r="K2477">
        <v>68</v>
      </c>
      <c r="L2477">
        <v>57.2</v>
      </c>
      <c r="M2477">
        <v>62.8</v>
      </c>
      <c r="N2477">
        <v>56.7</v>
      </c>
      <c r="O2477">
        <v>80.8</v>
      </c>
      <c r="S2477">
        <f t="shared" si="383"/>
        <v>1</v>
      </c>
      <c r="T2477">
        <f t="shared" si="384"/>
        <v>1</v>
      </c>
      <c r="U2477">
        <f t="shared" si="385"/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22.4</v>
      </c>
      <c r="AC2477">
        <v>18.3</v>
      </c>
      <c r="AG2477">
        <f t="shared" si="386"/>
        <v>0</v>
      </c>
      <c r="AH2477">
        <f t="shared" si="387"/>
        <v>0</v>
      </c>
      <c r="AI2477">
        <f t="shared" si="388"/>
        <v>0</v>
      </c>
      <c r="AJ2477">
        <v>312.2</v>
      </c>
      <c r="AK2477">
        <v>1012.6</v>
      </c>
      <c r="AL2477">
        <v>54</v>
      </c>
      <c r="AM2477">
        <v>6.2</v>
      </c>
      <c r="AN2477">
        <v>203</v>
      </c>
      <c r="AO2477">
        <v>17.5</v>
      </c>
      <c r="AP2477">
        <v>6</v>
      </c>
      <c r="AQ2477">
        <v>0</v>
      </c>
      <c r="AR2477" t="s">
        <v>8542</v>
      </c>
      <c r="AS2477" t="s">
        <v>8543</v>
      </c>
      <c r="AT2477">
        <v>0.95</v>
      </c>
      <c r="AU2477" t="s">
        <v>43</v>
      </c>
      <c r="AV2477" t="s">
        <v>44</v>
      </c>
      <c r="AW2477" t="s">
        <v>45</v>
      </c>
      <c r="AX2477" t="s">
        <v>5835</v>
      </c>
      <c r="AY2477" t="s">
        <v>8544</v>
      </c>
      <c r="AZ2477">
        <v>1077.000000000698</v>
      </c>
      <c r="BA2477">
        <v>1</v>
      </c>
      <c r="BB2477">
        <v>10</v>
      </c>
      <c r="BC2477">
        <v>0</v>
      </c>
      <c r="BD2477">
        <v>0</v>
      </c>
      <c r="BE2477">
        <f t="shared" si="389"/>
        <v>0</v>
      </c>
    </row>
    <row r="2478" spans="1:57" x14ac:dyDescent="0.25">
      <c r="A2478" t="s">
        <v>39</v>
      </c>
      <c r="B2478" t="s">
        <v>8545</v>
      </c>
      <c r="C2478">
        <v>69.8</v>
      </c>
      <c r="D2478">
        <v>53.6</v>
      </c>
      <c r="G2478">
        <f t="shared" si="380"/>
        <v>1</v>
      </c>
      <c r="H2478">
        <f t="shared" si="381"/>
        <v>0</v>
      </c>
      <c r="I2478">
        <f t="shared" si="382"/>
        <v>1</v>
      </c>
      <c r="J2478">
        <v>62.8</v>
      </c>
      <c r="K2478">
        <v>69.8</v>
      </c>
      <c r="L2478">
        <v>53.6</v>
      </c>
      <c r="M2478">
        <v>62.8</v>
      </c>
      <c r="N2478">
        <v>52.2</v>
      </c>
      <c r="O2478">
        <v>68.900000000000006</v>
      </c>
      <c r="S2478">
        <f t="shared" si="383"/>
        <v>1</v>
      </c>
      <c r="T2478">
        <f t="shared" si="384"/>
        <v>1</v>
      </c>
      <c r="U2478">
        <f t="shared" si="385"/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29.8</v>
      </c>
      <c r="AC2478">
        <v>13.9</v>
      </c>
      <c r="AG2478">
        <f t="shared" si="386"/>
        <v>1</v>
      </c>
      <c r="AH2478">
        <f t="shared" si="387"/>
        <v>0</v>
      </c>
      <c r="AI2478">
        <f t="shared" si="388"/>
        <v>1</v>
      </c>
      <c r="AJ2478">
        <v>321.7</v>
      </c>
      <c r="AK2478">
        <v>1019.7</v>
      </c>
      <c r="AL2478">
        <v>35.799999999999997</v>
      </c>
      <c r="AM2478">
        <v>6.2</v>
      </c>
      <c r="AN2478">
        <v>300.3</v>
      </c>
      <c r="AO2478">
        <v>25.9</v>
      </c>
      <c r="AP2478">
        <v>9</v>
      </c>
      <c r="AQ2478">
        <v>0</v>
      </c>
      <c r="AR2478" t="s">
        <v>8546</v>
      </c>
      <c r="AS2478" t="s">
        <v>8547</v>
      </c>
      <c r="AT2478">
        <v>0.18</v>
      </c>
      <c r="AU2478" t="s">
        <v>43</v>
      </c>
      <c r="AV2478" t="s">
        <v>44</v>
      </c>
      <c r="AW2478" t="s">
        <v>45</v>
      </c>
      <c r="AX2478" t="s">
        <v>8477</v>
      </c>
      <c r="AY2478" t="s">
        <v>8548</v>
      </c>
      <c r="AZ2478">
        <v>230.99999999860299</v>
      </c>
      <c r="BA2478">
        <v>0</v>
      </c>
      <c r="BB2478">
        <v>0</v>
      </c>
      <c r="BC2478">
        <v>0.5</v>
      </c>
      <c r="BD2478">
        <v>0</v>
      </c>
      <c r="BE2478">
        <f t="shared" si="389"/>
        <v>0</v>
      </c>
    </row>
    <row r="2479" spans="1:57" x14ac:dyDescent="0.25">
      <c r="A2479" t="s">
        <v>39</v>
      </c>
      <c r="B2479" t="s">
        <v>8549</v>
      </c>
      <c r="C2479">
        <v>80.599999999999994</v>
      </c>
      <c r="D2479">
        <v>66.2</v>
      </c>
      <c r="G2479">
        <f t="shared" si="380"/>
        <v>0</v>
      </c>
      <c r="H2479">
        <f t="shared" si="381"/>
        <v>0</v>
      </c>
      <c r="I2479">
        <f t="shared" si="382"/>
        <v>0</v>
      </c>
      <c r="J2479">
        <v>75.400000000000006</v>
      </c>
      <c r="K2479">
        <v>81.5</v>
      </c>
      <c r="L2479">
        <v>66.2</v>
      </c>
      <c r="M2479">
        <v>75.599999999999994</v>
      </c>
      <c r="N2479">
        <v>60.1</v>
      </c>
      <c r="O2479">
        <v>59.7</v>
      </c>
      <c r="S2479">
        <f t="shared" si="383"/>
        <v>0</v>
      </c>
      <c r="T2479">
        <f t="shared" si="384"/>
        <v>0</v>
      </c>
      <c r="U2479">
        <f t="shared" si="385"/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32.9</v>
      </c>
      <c r="AC2479">
        <v>21.9</v>
      </c>
      <c r="AG2479">
        <f t="shared" si="386"/>
        <v>1</v>
      </c>
      <c r="AH2479">
        <f t="shared" si="387"/>
        <v>1</v>
      </c>
      <c r="AI2479">
        <f t="shared" si="388"/>
        <v>0</v>
      </c>
      <c r="AJ2479">
        <v>297.5</v>
      </c>
      <c r="AK2479">
        <v>1012.3</v>
      </c>
      <c r="AL2479">
        <v>17.600000000000001</v>
      </c>
      <c r="AM2479">
        <v>6.2</v>
      </c>
      <c r="AN2479">
        <v>346</v>
      </c>
      <c r="AO2479">
        <v>29.9</v>
      </c>
      <c r="AP2479">
        <v>10</v>
      </c>
      <c r="AQ2479">
        <v>0</v>
      </c>
      <c r="AR2479" t="s">
        <v>8550</v>
      </c>
      <c r="AS2479" t="s">
        <v>8551</v>
      </c>
      <c r="AT2479">
        <v>0.63</v>
      </c>
      <c r="AU2479" t="s">
        <v>74</v>
      </c>
      <c r="AV2479" t="s">
        <v>2955</v>
      </c>
      <c r="AW2479" t="s">
        <v>75</v>
      </c>
      <c r="AX2479" t="s">
        <v>2459</v>
      </c>
      <c r="AY2479" t="s">
        <v>8552</v>
      </c>
      <c r="AZ2479">
        <v>750.00000000349246</v>
      </c>
      <c r="BA2479">
        <v>1</v>
      </c>
      <c r="BB2479">
        <v>0</v>
      </c>
      <c r="BC2479">
        <v>5</v>
      </c>
      <c r="BD2479">
        <v>0</v>
      </c>
      <c r="BE2479">
        <f t="shared" si="389"/>
        <v>0</v>
      </c>
    </row>
    <row r="2480" spans="1:57" x14ac:dyDescent="0.25">
      <c r="A2480" t="s">
        <v>39</v>
      </c>
      <c r="B2480" t="s">
        <v>8553</v>
      </c>
      <c r="C2480">
        <v>87.8</v>
      </c>
      <c r="D2480">
        <v>78.8</v>
      </c>
      <c r="G2480">
        <f t="shared" si="380"/>
        <v>1</v>
      </c>
      <c r="H2480">
        <f t="shared" si="381"/>
        <v>1</v>
      </c>
      <c r="I2480">
        <f t="shared" si="382"/>
        <v>0</v>
      </c>
      <c r="J2480">
        <v>83</v>
      </c>
      <c r="K2480">
        <v>89.4</v>
      </c>
      <c r="L2480">
        <v>78.8</v>
      </c>
      <c r="M2480">
        <v>84.3</v>
      </c>
      <c r="N2480">
        <v>63.9</v>
      </c>
      <c r="O2480">
        <v>53</v>
      </c>
      <c r="S2480">
        <f t="shared" si="383"/>
        <v>1</v>
      </c>
      <c r="T2480">
        <f t="shared" si="384"/>
        <v>0</v>
      </c>
      <c r="U2480">
        <f t="shared" si="385"/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30</v>
      </c>
      <c r="AC2480">
        <v>18.3</v>
      </c>
      <c r="AG2480">
        <f t="shared" si="386"/>
        <v>0</v>
      </c>
      <c r="AH2480">
        <f t="shared" si="387"/>
        <v>0</v>
      </c>
      <c r="AI2480">
        <f t="shared" si="388"/>
        <v>0</v>
      </c>
      <c r="AJ2480">
        <v>301.2</v>
      </c>
      <c r="AK2480">
        <v>1011.1</v>
      </c>
      <c r="AL2480">
        <v>0</v>
      </c>
      <c r="AM2480">
        <v>6.2</v>
      </c>
      <c r="AN2480">
        <v>334.8</v>
      </c>
      <c r="AO2480">
        <v>28.7</v>
      </c>
      <c r="AP2480">
        <v>10</v>
      </c>
      <c r="AQ2480">
        <v>0</v>
      </c>
      <c r="AR2480" t="s">
        <v>8554</v>
      </c>
      <c r="AS2480" t="s">
        <v>8555</v>
      </c>
      <c r="AT2480">
        <v>0.85</v>
      </c>
      <c r="AU2480" t="s">
        <v>74</v>
      </c>
      <c r="AV2480" t="s">
        <v>2955</v>
      </c>
      <c r="AW2480" t="s">
        <v>75</v>
      </c>
      <c r="AX2480" t="s">
        <v>8556</v>
      </c>
      <c r="AY2480" t="s">
        <v>8557</v>
      </c>
      <c r="AZ2480">
        <v>139.00000000256111</v>
      </c>
      <c r="BA2480">
        <v>0</v>
      </c>
      <c r="BB2480">
        <v>0</v>
      </c>
      <c r="BC2480">
        <v>0.05</v>
      </c>
      <c r="BD2480">
        <v>0</v>
      </c>
      <c r="BE2480">
        <f t="shared" si="389"/>
        <v>0</v>
      </c>
    </row>
    <row r="2481" spans="1:57" x14ac:dyDescent="0.25">
      <c r="A2481" t="s">
        <v>39</v>
      </c>
      <c r="B2481" t="s">
        <v>8558</v>
      </c>
      <c r="C2481">
        <v>86</v>
      </c>
      <c r="D2481">
        <v>64.400000000000006</v>
      </c>
      <c r="G2481">
        <f t="shared" si="380"/>
        <v>1</v>
      </c>
      <c r="H2481">
        <f t="shared" si="381"/>
        <v>1</v>
      </c>
      <c r="I2481">
        <f t="shared" si="382"/>
        <v>0</v>
      </c>
      <c r="J2481">
        <v>75.7</v>
      </c>
      <c r="K2481">
        <v>87.5</v>
      </c>
      <c r="L2481">
        <v>64.400000000000006</v>
      </c>
      <c r="M2481">
        <v>76.400000000000006</v>
      </c>
      <c r="N2481">
        <v>60.3</v>
      </c>
      <c r="O2481">
        <v>60.3</v>
      </c>
      <c r="S2481">
        <f t="shared" si="383"/>
        <v>1</v>
      </c>
      <c r="T2481">
        <f t="shared" si="384"/>
        <v>0</v>
      </c>
      <c r="U2481">
        <f t="shared" si="385"/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27.7</v>
      </c>
      <c r="AC2481">
        <v>15</v>
      </c>
      <c r="AG2481">
        <f t="shared" si="386"/>
        <v>1</v>
      </c>
      <c r="AH2481">
        <f t="shared" si="387"/>
        <v>0</v>
      </c>
      <c r="AI2481">
        <f t="shared" si="388"/>
        <v>1</v>
      </c>
      <c r="AJ2481">
        <v>167.4</v>
      </c>
      <c r="AK2481">
        <v>1011.7</v>
      </c>
      <c r="AL2481">
        <v>32.299999999999997</v>
      </c>
      <c r="AM2481">
        <v>6.2</v>
      </c>
      <c r="AN2481">
        <v>222.2</v>
      </c>
      <c r="AO2481">
        <v>19.3</v>
      </c>
      <c r="AP2481">
        <v>8</v>
      </c>
      <c r="AQ2481">
        <v>0</v>
      </c>
      <c r="AR2481" t="s">
        <v>8559</v>
      </c>
      <c r="AS2481" t="s">
        <v>8560</v>
      </c>
      <c r="AT2481">
        <v>0.05</v>
      </c>
      <c r="AU2481" t="s">
        <v>43</v>
      </c>
      <c r="AV2481" t="s">
        <v>80</v>
      </c>
      <c r="AW2481" t="s">
        <v>45</v>
      </c>
      <c r="AX2481" t="s">
        <v>4054</v>
      </c>
      <c r="AY2481" t="s">
        <v>8561</v>
      </c>
      <c r="AZ2481">
        <v>313.99999999674043</v>
      </c>
      <c r="BA2481">
        <v>0</v>
      </c>
      <c r="BB2481">
        <v>0</v>
      </c>
      <c r="BC2481">
        <v>0.3</v>
      </c>
      <c r="BD2481">
        <v>0</v>
      </c>
      <c r="BE2481">
        <f t="shared" si="389"/>
        <v>1</v>
      </c>
    </row>
    <row r="2482" spans="1:57" x14ac:dyDescent="0.25">
      <c r="A2482" t="s">
        <v>39</v>
      </c>
      <c r="B2482" t="s">
        <v>8562</v>
      </c>
      <c r="C2482">
        <v>75.2</v>
      </c>
      <c r="D2482">
        <v>59</v>
      </c>
      <c r="G2482">
        <f t="shared" si="380"/>
        <v>0</v>
      </c>
      <c r="H2482">
        <f t="shared" si="381"/>
        <v>0</v>
      </c>
      <c r="I2482">
        <f t="shared" si="382"/>
        <v>0</v>
      </c>
      <c r="J2482">
        <v>67.7</v>
      </c>
      <c r="K2482">
        <v>75.2</v>
      </c>
      <c r="L2482">
        <v>59</v>
      </c>
      <c r="M2482">
        <v>67.7</v>
      </c>
      <c r="N2482">
        <v>59.1</v>
      </c>
      <c r="O2482">
        <v>74.7</v>
      </c>
      <c r="S2482">
        <f t="shared" si="383"/>
        <v>1</v>
      </c>
      <c r="T2482">
        <f t="shared" si="384"/>
        <v>1</v>
      </c>
      <c r="U2482">
        <f t="shared" si="385"/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21.9</v>
      </c>
      <c r="AC2482">
        <v>11.4</v>
      </c>
      <c r="AG2482">
        <f t="shared" si="386"/>
        <v>1</v>
      </c>
      <c r="AH2482">
        <f t="shared" si="387"/>
        <v>0</v>
      </c>
      <c r="AI2482">
        <f t="shared" si="388"/>
        <v>1</v>
      </c>
      <c r="AJ2482">
        <v>295.3</v>
      </c>
      <c r="AK2482">
        <v>1020.8</v>
      </c>
      <c r="AL2482">
        <v>30.5</v>
      </c>
      <c r="AM2482">
        <v>6.2</v>
      </c>
      <c r="AN2482">
        <v>204.2</v>
      </c>
      <c r="AO2482">
        <v>17.8</v>
      </c>
      <c r="AP2482">
        <v>7</v>
      </c>
      <c r="AQ2482">
        <v>0</v>
      </c>
      <c r="AR2482" t="s">
        <v>8563</v>
      </c>
      <c r="AS2482" t="s">
        <v>8564</v>
      </c>
      <c r="AT2482">
        <v>0.52</v>
      </c>
      <c r="AU2482" t="s">
        <v>43</v>
      </c>
      <c r="AV2482" t="s">
        <v>44</v>
      </c>
      <c r="AW2482" t="s">
        <v>45</v>
      </c>
      <c r="AX2482" t="s">
        <v>8565</v>
      </c>
      <c r="AY2482" t="s">
        <v>8566</v>
      </c>
      <c r="AZ2482">
        <v>152.99999999580899</v>
      </c>
      <c r="BA2482">
        <v>0</v>
      </c>
      <c r="BB2482">
        <v>0</v>
      </c>
      <c r="BC2482">
        <v>0.5</v>
      </c>
      <c r="BD2482">
        <v>0</v>
      </c>
      <c r="BE2482">
        <f t="shared" si="389"/>
        <v>0</v>
      </c>
    </row>
    <row r="2483" spans="1:57" x14ac:dyDescent="0.25">
      <c r="A2483" t="s">
        <v>39</v>
      </c>
      <c r="B2483" t="s">
        <v>8567</v>
      </c>
      <c r="C2483">
        <v>75.2</v>
      </c>
      <c r="D2483">
        <v>62.6</v>
      </c>
      <c r="G2483">
        <f t="shared" si="380"/>
        <v>1</v>
      </c>
      <c r="H2483">
        <f t="shared" si="381"/>
        <v>1</v>
      </c>
      <c r="I2483">
        <f t="shared" si="382"/>
        <v>0</v>
      </c>
      <c r="J2483">
        <v>68.2</v>
      </c>
      <c r="K2483">
        <v>75.2</v>
      </c>
      <c r="L2483">
        <v>62.6</v>
      </c>
      <c r="M2483">
        <v>68.2</v>
      </c>
      <c r="N2483">
        <v>58.5</v>
      </c>
      <c r="O2483">
        <v>72</v>
      </c>
      <c r="S2483">
        <f t="shared" si="383"/>
        <v>1</v>
      </c>
      <c r="T2483">
        <f t="shared" si="384"/>
        <v>1</v>
      </c>
      <c r="U2483">
        <f t="shared" si="385"/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38</v>
      </c>
      <c r="AC2483">
        <v>23</v>
      </c>
      <c r="AG2483">
        <f t="shared" si="386"/>
        <v>1</v>
      </c>
      <c r="AH2483">
        <f t="shared" si="387"/>
        <v>1</v>
      </c>
      <c r="AI2483">
        <f t="shared" si="388"/>
        <v>0</v>
      </c>
      <c r="AJ2483">
        <v>186</v>
      </c>
      <c r="AK2483">
        <v>1010.8</v>
      </c>
      <c r="AL2483">
        <v>41.9</v>
      </c>
      <c r="AM2483">
        <v>6.2</v>
      </c>
      <c r="AN2483">
        <v>104.2</v>
      </c>
      <c r="AO2483">
        <v>9.1</v>
      </c>
      <c r="AP2483">
        <v>4</v>
      </c>
      <c r="AQ2483">
        <v>0</v>
      </c>
      <c r="AR2483" t="s">
        <v>8568</v>
      </c>
      <c r="AS2483" t="s">
        <v>8569</v>
      </c>
      <c r="AT2483">
        <v>0.43</v>
      </c>
      <c r="AU2483" t="s">
        <v>43</v>
      </c>
      <c r="AV2483" t="s">
        <v>44</v>
      </c>
      <c r="AW2483" t="s">
        <v>45</v>
      </c>
      <c r="AX2483" t="s">
        <v>8570</v>
      </c>
      <c r="AY2483" t="s">
        <v>8571</v>
      </c>
      <c r="AZ2483">
        <v>161.9999999937136</v>
      </c>
      <c r="BA2483">
        <v>0</v>
      </c>
      <c r="BB2483">
        <v>0</v>
      </c>
      <c r="BC2483">
        <v>0.1</v>
      </c>
      <c r="BD2483">
        <v>0</v>
      </c>
      <c r="BE2483">
        <f t="shared" si="389"/>
        <v>1</v>
      </c>
    </row>
    <row r="2484" spans="1:57" x14ac:dyDescent="0.25">
      <c r="A2484" t="s">
        <v>39</v>
      </c>
      <c r="B2484" t="s">
        <v>8541</v>
      </c>
      <c r="C2484">
        <v>68</v>
      </c>
      <c r="D2484">
        <v>57.2</v>
      </c>
      <c r="G2484">
        <f t="shared" si="380"/>
        <v>0</v>
      </c>
      <c r="H2484">
        <f t="shared" si="381"/>
        <v>0</v>
      </c>
      <c r="I2484">
        <f t="shared" si="382"/>
        <v>0</v>
      </c>
      <c r="J2484">
        <v>62.8</v>
      </c>
      <c r="K2484">
        <v>68</v>
      </c>
      <c r="L2484">
        <v>57.2</v>
      </c>
      <c r="M2484">
        <v>62.8</v>
      </c>
      <c r="N2484">
        <v>56.7</v>
      </c>
      <c r="O2484">
        <v>80.8</v>
      </c>
      <c r="S2484">
        <f t="shared" si="383"/>
        <v>1</v>
      </c>
      <c r="T2484">
        <f t="shared" si="384"/>
        <v>1</v>
      </c>
      <c r="U2484">
        <f t="shared" si="385"/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22.4</v>
      </c>
      <c r="AC2484">
        <v>18.3</v>
      </c>
      <c r="AG2484">
        <f t="shared" si="386"/>
        <v>0</v>
      </c>
      <c r="AH2484">
        <f t="shared" si="387"/>
        <v>0</v>
      </c>
      <c r="AI2484">
        <f t="shared" si="388"/>
        <v>0</v>
      </c>
      <c r="AJ2484">
        <v>312.2</v>
      </c>
      <c r="AK2484">
        <v>1012.6</v>
      </c>
      <c r="AL2484">
        <v>54</v>
      </c>
      <c r="AM2484">
        <v>6.2</v>
      </c>
      <c r="AN2484">
        <v>203</v>
      </c>
      <c r="AO2484">
        <v>17.5</v>
      </c>
      <c r="AP2484">
        <v>6</v>
      </c>
      <c r="AQ2484">
        <v>0</v>
      </c>
      <c r="AR2484" t="s">
        <v>8542</v>
      </c>
      <c r="AS2484" t="s">
        <v>8543</v>
      </c>
      <c r="AT2484">
        <v>0.95</v>
      </c>
      <c r="AU2484" t="s">
        <v>43</v>
      </c>
      <c r="AV2484" t="s">
        <v>44</v>
      </c>
      <c r="AW2484" t="s">
        <v>45</v>
      </c>
      <c r="AX2484" t="s">
        <v>8572</v>
      </c>
      <c r="AY2484" t="s">
        <v>8573</v>
      </c>
      <c r="AZ2484">
        <v>317.99999999930151</v>
      </c>
      <c r="BA2484">
        <v>0</v>
      </c>
      <c r="BB2484">
        <v>0.5</v>
      </c>
      <c r="BC2484">
        <v>0</v>
      </c>
      <c r="BD2484">
        <v>0</v>
      </c>
      <c r="BE2484">
        <f t="shared" si="389"/>
        <v>0</v>
      </c>
    </row>
    <row r="2485" spans="1:57" x14ac:dyDescent="0.25">
      <c r="A2485" t="s">
        <v>39</v>
      </c>
      <c r="B2485" t="s">
        <v>8456</v>
      </c>
      <c r="C2485">
        <v>87.8</v>
      </c>
      <c r="D2485">
        <v>69.8</v>
      </c>
      <c r="G2485">
        <f t="shared" si="380"/>
        <v>1</v>
      </c>
      <c r="H2485">
        <f t="shared" si="381"/>
        <v>1</v>
      </c>
      <c r="I2485">
        <f t="shared" si="382"/>
        <v>0</v>
      </c>
      <c r="J2485">
        <v>79.3</v>
      </c>
      <c r="K2485">
        <v>90.3</v>
      </c>
      <c r="L2485">
        <v>69.8</v>
      </c>
      <c r="M2485">
        <v>80</v>
      </c>
      <c r="N2485">
        <v>63.3</v>
      </c>
      <c r="O2485">
        <v>59.2</v>
      </c>
      <c r="S2485">
        <f t="shared" si="383"/>
        <v>0</v>
      </c>
      <c r="T2485">
        <f t="shared" si="384"/>
        <v>0</v>
      </c>
      <c r="U2485">
        <f t="shared" si="385"/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29.8</v>
      </c>
      <c r="AC2485">
        <v>18.3</v>
      </c>
      <c r="AG2485">
        <f t="shared" si="386"/>
        <v>0</v>
      </c>
      <c r="AH2485">
        <f t="shared" si="387"/>
        <v>0</v>
      </c>
      <c r="AI2485">
        <f t="shared" si="388"/>
        <v>0</v>
      </c>
      <c r="AJ2485">
        <v>302.39999999999998</v>
      </c>
      <c r="AK2485">
        <v>1011.5</v>
      </c>
      <c r="AL2485">
        <v>13</v>
      </c>
      <c r="AM2485">
        <v>6.2</v>
      </c>
      <c r="AN2485">
        <v>334</v>
      </c>
      <c r="AO2485">
        <v>29</v>
      </c>
      <c r="AP2485">
        <v>10</v>
      </c>
      <c r="AQ2485">
        <v>0</v>
      </c>
      <c r="AR2485" t="s">
        <v>8457</v>
      </c>
      <c r="AS2485" t="s">
        <v>8458</v>
      </c>
      <c r="AT2485">
        <v>0.23</v>
      </c>
      <c r="AU2485" t="s">
        <v>74</v>
      </c>
      <c r="AV2485" t="s">
        <v>2955</v>
      </c>
      <c r="AW2485" t="s">
        <v>75</v>
      </c>
      <c r="AX2485" t="s">
        <v>8574</v>
      </c>
      <c r="AY2485" t="s">
        <v>8575</v>
      </c>
      <c r="AZ2485">
        <v>235.00000000116421</v>
      </c>
      <c r="BA2485">
        <v>0</v>
      </c>
      <c r="BB2485">
        <v>0</v>
      </c>
      <c r="BC2485">
        <v>0.1</v>
      </c>
      <c r="BD2485">
        <v>0</v>
      </c>
      <c r="BE2485">
        <f t="shared" si="389"/>
        <v>0</v>
      </c>
    </row>
    <row r="2486" spans="1:57" x14ac:dyDescent="0.25">
      <c r="A2486" t="s">
        <v>39</v>
      </c>
      <c r="B2486" t="s">
        <v>8576</v>
      </c>
      <c r="C2486">
        <v>78.8</v>
      </c>
      <c r="D2486">
        <v>73.400000000000006</v>
      </c>
      <c r="G2486">
        <f t="shared" si="380"/>
        <v>0</v>
      </c>
      <c r="H2486">
        <f t="shared" si="381"/>
        <v>0</v>
      </c>
      <c r="I2486">
        <f t="shared" si="382"/>
        <v>0</v>
      </c>
      <c r="J2486">
        <v>75.7</v>
      </c>
      <c r="K2486">
        <v>78.8</v>
      </c>
      <c r="L2486">
        <v>73.400000000000006</v>
      </c>
      <c r="M2486">
        <v>75.7</v>
      </c>
      <c r="N2486">
        <v>64</v>
      </c>
      <c r="O2486">
        <v>67.2</v>
      </c>
      <c r="S2486">
        <f t="shared" si="383"/>
        <v>0</v>
      </c>
      <c r="T2486">
        <f t="shared" si="384"/>
        <v>0</v>
      </c>
      <c r="U2486">
        <f t="shared" si="385"/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26.4</v>
      </c>
      <c r="AC2486">
        <v>17.2</v>
      </c>
      <c r="AG2486">
        <f t="shared" si="386"/>
        <v>0</v>
      </c>
      <c r="AH2486">
        <f t="shared" si="387"/>
        <v>0</v>
      </c>
      <c r="AI2486">
        <f t="shared" si="388"/>
        <v>0</v>
      </c>
      <c r="AJ2486">
        <v>309.3</v>
      </c>
      <c r="AK2486">
        <v>1015.3</v>
      </c>
      <c r="AL2486">
        <v>32.4</v>
      </c>
      <c r="AM2486">
        <v>6.2</v>
      </c>
      <c r="AN2486">
        <v>257.60000000000002</v>
      </c>
      <c r="AO2486">
        <v>22.3</v>
      </c>
      <c r="AP2486">
        <v>8</v>
      </c>
      <c r="AQ2486">
        <v>0</v>
      </c>
      <c r="AR2486" t="s">
        <v>8577</v>
      </c>
      <c r="AS2486" t="s">
        <v>8578</v>
      </c>
      <c r="AT2486">
        <v>0.43</v>
      </c>
      <c r="AU2486" t="s">
        <v>43</v>
      </c>
      <c r="AV2486" t="s">
        <v>44</v>
      </c>
      <c r="AW2486" t="s">
        <v>45</v>
      </c>
      <c r="AX2486" t="s">
        <v>2720</v>
      </c>
      <c r="AY2486" t="s">
        <v>8579</v>
      </c>
      <c r="AZ2486">
        <v>65.000000002328306</v>
      </c>
      <c r="BA2486">
        <v>0</v>
      </c>
      <c r="BB2486">
        <v>0</v>
      </c>
      <c r="BC2486">
        <v>100</v>
      </c>
      <c r="BD2486">
        <v>0</v>
      </c>
      <c r="BE2486">
        <f t="shared" si="389"/>
        <v>0</v>
      </c>
    </row>
    <row r="2487" spans="1:57" x14ac:dyDescent="0.25">
      <c r="A2487" t="s">
        <v>39</v>
      </c>
      <c r="B2487" t="s">
        <v>8580</v>
      </c>
      <c r="C2487">
        <v>57.2</v>
      </c>
      <c r="D2487">
        <v>41</v>
      </c>
      <c r="G2487">
        <f t="shared" si="380"/>
        <v>0</v>
      </c>
      <c r="H2487">
        <f t="shared" si="381"/>
        <v>0</v>
      </c>
      <c r="I2487">
        <f t="shared" si="382"/>
        <v>0</v>
      </c>
      <c r="J2487">
        <v>52</v>
      </c>
      <c r="K2487">
        <v>57.2</v>
      </c>
      <c r="L2487">
        <v>37.9</v>
      </c>
      <c r="M2487">
        <v>50.6</v>
      </c>
      <c r="N2487">
        <v>42.5</v>
      </c>
      <c r="O2487">
        <v>70.7</v>
      </c>
      <c r="S2487">
        <f t="shared" si="383"/>
        <v>1</v>
      </c>
      <c r="T2487">
        <f t="shared" si="384"/>
        <v>1</v>
      </c>
      <c r="U2487">
        <f t="shared" si="385"/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25.3</v>
      </c>
      <c r="AC2487">
        <v>20.7</v>
      </c>
      <c r="AG2487">
        <f t="shared" si="386"/>
        <v>1</v>
      </c>
      <c r="AH2487">
        <f t="shared" si="387"/>
        <v>1</v>
      </c>
      <c r="AI2487">
        <f t="shared" si="388"/>
        <v>0</v>
      </c>
      <c r="AJ2487">
        <v>312</v>
      </c>
      <c r="AK2487">
        <v>1016.3</v>
      </c>
      <c r="AL2487">
        <v>57.7</v>
      </c>
      <c r="AM2487">
        <v>6.2</v>
      </c>
      <c r="AN2487">
        <v>137.1</v>
      </c>
      <c r="AO2487">
        <v>11.8</v>
      </c>
      <c r="AP2487">
        <v>6</v>
      </c>
      <c r="AQ2487">
        <v>0</v>
      </c>
      <c r="AR2487" t="s">
        <v>8581</v>
      </c>
      <c r="AS2487" t="s">
        <v>8582</v>
      </c>
      <c r="AT2487">
        <v>0.42</v>
      </c>
      <c r="AU2487" t="s">
        <v>43</v>
      </c>
      <c r="AV2487" t="s">
        <v>44</v>
      </c>
      <c r="AW2487" t="s">
        <v>45</v>
      </c>
      <c r="AX2487" t="s">
        <v>4624</v>
      </c>
      <c r="AY2487" t="s">
        <v>8583</v>
      </c>
      <c r="AZ2487">
        <v>156.00000000558791</v>
      </c>
      <c r="BA2487">
        <v>0</v>
      </c>
      <c r="BB2487">
        <v>0</v>
      </c>
      <c r="BC2487">
        <v>5</v>
      </c>
      <c r="BD2487">
        <v>0</v>
      </c>
      <c r="BE2487">
        <f t="shared" si="389"/>
        <v>0</v>
      </c>
    </row>
    <row r="2488" spans="1:57" x14ac:dyDescent="0.25">
      <c r="A2488" t="s">
        <v>39</v>
      </c>
      <c r="B2488" t="s">
        <v>8584</v>
      </c>
      <c r="C2488">
        <v>55.4</v>
      </c>
      <c r="D2488">
        <v>40.9</v>
      </c>
      <c r="G2488">
        <f t="shared" si="380"/>
        <v>1</v>
      </c>
      <c r="H2488">
        <f t="shared" si="381"/>
        <v>0</v>
      </c>
      <c r="I2488">
        <f t="shared" si="382"/>
        <v>1</v>
      </c>
      <c r="J2488">
        <v>46.3</v>
      </c>
      <c r="K2488">
        <v>55.4</v>
      </c>
      <c r="L2488">
        <v>34.299999999999997</v>
      </c>
      <c r="M2488">
        <v>42.7</v>
      </c>
      <c r="N2488">
        <v>38.700000000000003</v>
      </c>
      <c r="O2488">
        <v>75.599999999999994</v>
      </c>
      <c r="S2488">
        <f t="shared" si="383"/>
        <v>1</v>
      </c>
      <c r="T2488">
        <f t="shared" si="384"/>
        <v>1</v>
      </c>
      <c r="U2488">
        <f t="shared" si="385"/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0.2</v>
      </c>
      <c r="AB2488">
        <v>17.7</v>
      </c>
      <c r="AC2488">
        <v>11.4</v>
      </c>
      <c r="AG2488">
        <f t="shared" si="386"/>
        <v>1</v>
      </c>
      <c r="AH2488">
        <f t="shared" si="387"/>
        <v>0</v>
      </c>
      <c r="AI2488">
        <f t="shared" si="388"/>
        <v>1</v>
      </c>
      <c r="AJ2488">
        <v>179</v>
      </c>
      <c r="AK2488">
        <v>1021.8</v>
      </c>
      <c r="AL2488">
        <v>57.1</v>
      </c>
      <c r="AM2488">
        <v>6.2</v>
      </c>
      <c r="AN2488">
        <v>135.30000000000001</v>
      </c>
      <c r="AO2488">
        <v>11.9</v>
      </c>
      <c r="AP2488">
        <v>5</v>
      </c>
      <c r="AQ2488">
        <v>0</v>
      </c>
      <c r="AR2488" t="s">
        <v>8585</v>
      </c>
      <c r="AS2488" t="s">
        <v>8586</v>
      </c>
      <c r="AT2488">
        <v>0.87</v>
      </c>
      <c r="AU2488" t="s">
        <v>43</v>
      </c>
      <c r="AV2488" t="s">
        <v>44</v>
      </c>
      <c r="AW2488" t="s">
        <v>45</v>
      </c>
      <c r="AX2488" t="s">
        <v>7593</v>
      </c>
      <c r="AY2488" t="s">
        <v>8587</v>
      </c>
      <c r="AZ2488">
        <v>145.00000000116421</v>
      </c>
      <c r="BA2488">
        <v>0</v>
      </c>
      <c r="BB2488">
        <v>0</v>
      </c>
      <c r="BC2488">
        <v>25</v>
      </c>
      <c r="BD2488">
        <v>0</v>
      </c>
      <c r="BE2488">
        <f t="shared" si="389"/>
        <v>0</v>
      </c>
    </row>
    <row r="2489" spans="1:57" x14ac:dyDescent="0.25">
      <c r="A2489" t="s">
        <v>39</v>
      </c>
      <c r="B2489" t="s">
        <v>8588</v>
      </c>
      <c r="C2489">
        <v>62.6</v>
      </c>
      <c r="D2489">
        <v>50</v>
      </c>
      <c r="G2489">
        <f t="shared" si="380"/>
        <v>1</v>
      </c>
      <c r="H2489">
        <f t="shared" si="381"/>
        <v>1</v>
      </c>
      <c r="I2489">
        <f t="shared" si="382"/>
        <v>0</v>
      </c>
      <c r="J2489">
        <v>55.8</v>
      </c>
      <c r="K2489">
        <v>62.6</v>
      </c>
      <c r="L2489">
        <v>45.2</v>
      </c>
      <c r="M2489">
        <v>55.6</v>
      </c>
      <c r="N2489">
        <v>50.2</v>
      </c>
      <c r="O2489">
        <v>81.8</v>
      </c>
      <c r="S2489">
        <f t="shared" si="383"/>
        <v>1</v>
      </c>
      <c r="T2489">
        <f t="shared" si="384"/>
        <v>1</v>
      </c>
      <c r="U2489">
        <f t="shared" si="385"/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18.3</v>
      </c>
      <c r="AC2489">
        <v>12.7</v>
      </c>
      <c r="AG2489">
        <f t="shared" si="386"/>
        <v>1</v>
      </c>
      <c r="AH2489">
        <f t="shared" si="387"/>
        <v>0</v>
      </c>
      <c r="AI2489">
        <f t="shared" si="388"/>
        <v>1</v>
      </c>
      <c r="AJ2489">
        <v>142.9</v>
      </c>
      <c r="AK2489">
        <v>1021.7</v>
      </c>
      <c r="AL2489">
        <v>35.5</v>
      </c>
      <c r="AM2489">
        <v>6.2</v>
      </c>
      <c r="AN2489">
        <v>143.1</v>
      </c>
      <c r="AO2489">
        <v>12.2</v>
      </c>
      <c r="AP2489">
        <v>6</v>
      </c>
      <c r="AQ2489">
        <v>0</v>
      </c>
      <c r="AR2489" t="s">
        <v>8589</v>
      </c>
      <c r="AS2489" t="s">
        <v>8590</v>
      </c>
      <c r="AT2489">
        <v>0.17</v>
      </c>
      <c r="AU2489" t="s">
        <v>43</v>
      </c>
      <c r="AV2489" t="s">
        <v>44</v>
      </c>
      <c r="AW2489" t="s">
        <v>45</v>
      </c>
      <c r="AX2489" t="s">
        <v>4409</v>
      </c>
      <c r="AY2489" t="s">
        <v>8591</v>
      </c>
      <c r="AZ2489">
        <v>113.0000000016298</v>
      </c>
      <c r="BA2489">
        <v>0</v>
      </c>
      <c r="BB2489">
        <v>0</v>
      </c>
      <c r="BC2489">
        <v>0.02</v>
      </c>
      <c r="BD2489">
        <v>0</v>
      </c>
      <c r="BE2489">
        <f t="shared" si="389"/>
        <v>1</v>
      </c>
    </row>
    <row r="2490" spans="1:57" x14ac:dyDescent="0.25">
      <c r="A2490" t="s">
        <v>39</v>
      </c>
      <c r="B2490" t="s">
        <v>8592</v>
      </c>
      <c r="C2490">
        <v>64.400000000000006</v>
      </c>
      <c r="D2490">
        <v>48.1</v>
      </c>
      <c r="G2490">
        <f t="shared" si="380"/>
        <v>1</v>
      </c>
      <c r="H2490">
        <f t="shared" si="381"/>
        <v>1</v>
      </c>
      <c r="I2490">
        <f t="shared" si="382"/>
        <v>0</v>
      </c>
      <c r="J2490">
        <v>55.5</v>
      </c>
      <c r="K2490">
        <v>64.400000000000006</v>
      </c>
      <c r="L2490">
        <v>48.1</v>
      </c>
      <c r="M2490">
        <v>55.5</v>
      </c>
      <c r="N2490">
        <v>45.6</v>
      </c>
      <c r="O2490">
        <v>70.2</v>
      </c>
      <c r="S2490">
        <f t="shared" si="383"/>
        <v>1</v>
      </c>
      <c r="T2490">
        <f t="shared" si="384"/>
        <v>1</v>
      </c>
      <c r="U2490">
        <f t="shared" si="385"/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21.9</v>
      </c>
      <c r="AC2490">
        <v>11.4</v>
      </c>
      <c r="AG2490">
        <f t="shared" si="386"/>
        <v>1</v>
      </c>
      <c r="AH2490">
        <f t="shared" si="387"/>
        <v>0</v>
      </c>
      <c r="AI2490">
        <f t="shared" si="388"/>
        <v>1</v>
      </c>
      <c r="AJ2490">
        <v>312.8</v>
      </c>
      <c r="AK2490">
        <v>1026</v>
      </c>
      <c r="AL2490">
        <v>22</v>
      </c>
      <c r="AM2490">
        <v>6.2</v>
      </c>
      <c r="AN2490">
        <v>264.5</v>
      </c>
      <c r="AO2490">
        <v>23</v>
      </c>
      <c r="AP2490">
        <v>9</v>
      </c>
      <c r="AQ2490">
        <v>0</v>
      </c>
      <c r="AR2490" t="s">
        <v>8593</v>
      </c>
      <c r="AS2490" t="s">
        <v>8594</v>
      </c>
      <c r="AT2490">
        <v>0.79</v>
      </c>
      <c r="AU2490" t="s">
        <v>43</v>
      </c>
      <c r="AV2490" t="s">
        <v>44</v>
      </c>
      <c r="AW2490" t="s">
        <v>45</v>
      </c>
      <c r="AX2490" t="s">
        <v>8595</v>
      </c>
      <c r="AY2490" t="s">
        <v>8596</v>
      </c>
      <c r="AZ2490">
        <v>27.999999996973202</v>
      </c>
      <c r="BA2490">
        <v>0</v>
      </c>
      <c r="BB2490">
        <v>0</v>
      </c>
      <c r="BC2490">
        <v>0.5</v>
      </c>
      <c r="BD2490">
        <v>0</v>
      </c>
      <c r="BE2490">
        <f t="shared" si="389"/>
        <v>1</v>
      </c>
    </row>
    <row r="2491" spans="1:57" x14ac:dyDescent="0.25">
      <c r="A2491" t="s">
        <v>39</v>
      </c>
      <c r="B2491" t="s">
        <v>8597</v>
      </c>
      <c r="C2491">
        <v>69.8</v>
      </c>
      <c r="D2491">
        <v>53.6</v>
      </c>
      <c r="G2491">
        <f t="shared" si="380"/>
        <v>1</v>
      </c>
      <c r="H2491">
        <f t="shared" si="381"/>
        <v>1</v>
      </c>
      <c r="I2491">
        <f t="shared" si="382"/>
        <v>0</v>
      </c>
      <c r="J2491">
        <v>61.4</v>
      </c>
      <c r="K2491">
        <v>69.8</v>
      </c>
      <c r="L2491">
        <v>53.6</v>
      </c>
      <c r="M2491">
        <v>61.4</v>
      </c>
      <c r="N2491">
        <v>54.9</v>
      </c>
      <c r="O2491">
        <v>80</v>
      </c>
      <c r="S2491">
        <f t="shared" si="383"/>
        <v>1</v>
      </c>
      <c r="T2491">
        <f t="shared" si="384"/>
        <v>1</v>
      </c>
      <c r="U2491">
        <f t="shared" si="385"/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23</v>
      </c>
      <c r="AC2491">
        <v>9.1999999999999993</v>
      </c>
      <c r="AG2491">
        <f t="shared" si="386"/>
        <v>1</v>
      </c>
      <c r="AH2491">
        <f t="shared" si="387"/>
        <v>0</v>
      </c>
      <c r="AI2491">
        <f t="shared" si="388"/>
        <v>1</v>
      </c>
      <c r="AJ2491">
        <v>176.9</v>
      </c>
      <c r="AK2491">
        <v>1010.8</v>
      </c>
      <c r="AL2491">
        <v>16.3</v>
      </c>
      <c r="AM2491">
        <v>6.2</v>
      </c>
      <c r="AN2491">
        <v>309</v>
      </c>
      <c r="AO2491">
        <v>26.7</v>
      </c>
      <c r="AP2491">
        <v>10</v>
      </c>
      <c r="AQ2491">
        <v>0</v>
      </c>
      <c r="AR2491" t="s">
        <v>8598</v>
      </c>
      <c r="AS2491" t="s">
        <v>8599</v>
      </c>
      <c r="AT2491">
        <v>0.77</v>
      </c>
      <c r="AU2491" t="s">
        <v>74</v>
      </c>
      <c r="AV2491" t="s">
        <v>2955</v>
      </c>
      <c r="AW2491" t="s">
        <v>75</v>
      </c>
      <c r="AX2491" t="s">
        <v>2626</v>
      </c>
      <c r="AY2491" t="s">
        <v>8600</v>
      </c>
      <c r="AZ2491">
        <v>65.999999995110556</v>
      </c>
      <c r="BA2491">
        <v>0</v>
      </c>
      <c r="BB2491">
        <v>0</v>
      </c>
      <c r="BC2491">
        <v>0.06</v>
      </c>
      <c r="BD2491">
        <v>0</v>
      </c>
      <c r="BE2491">
        <f t="shared" si="389"/>
        <v>1</v>
      </c>
    </row>
    <row r="2492" spans="1:57" x14ac:dyDescent="0.25">
      <c r="A2492" t="s">
        <v>39</v>
      </c>
      <c r="B2492" t="s">
        <v>8601</v>
      </c>
      <c r="C2492">
        <v>68</v>
      </c>
      <c r="D2492">
        <v>57.2</v>
      </c>
      <c r="G2492">
        <f t="shared" si="380"/>
        <v>1</v>
      </c>
      <c r="H2492">
        <f t="shared" si="381"/>
        <v>0</v>
      </c>
      <c r="I2492">
        <f t="shared" si="382"/>
        <v>1</v>
      </c>
      <c r="J2492">
        <v>63.7</v>
      </c>
      <c r="K2492">
        <v>68</v>
      </c>
      <c r="L2492">
        <v>57.2</v>
      </c>
      <c r="M2492">
        <v>63.7</v>
      </c>
      <c r="N2492">
        <v>58.4</v>
      </c>
      <c r="O2492">
        <v>83.3</v>
      </c>
      <c r="S2492">
        <f t="shared" si="383"/>
        <v>1</v>
      </c>
      <c r="T2492">
        <f t="shared" si="384"/>
        <v>1</v>
      </c>
      <c r="U2492">
        <f t="shared" si="385"/>
        <v>0</v>
      </c>
      <c r="V2492">
        <v>3.1E-2</v>
      </c>
      <c r="W2492">
        <v>100</v>
      </c>
      <c r="X2492">
        <v>4.17</v>
      </c>
      <c r="Y2492" t="s">
        <v>103</v>
      </c>
      <c r="Z2492">
        <v>0</v>
      </c>
      <c r="AA2492">
        <v>0</v>
      </c>
      <c r="AB2492">
        <v>37.6</v>
      </c>
      <c r="AC2492">
        <v>13.9</v>
      </c>
      <c r="AG2492">
        <f t="shared" si="386"/>
        <v>1</v>
      </c>
      <c r="AH2492">
        <f t="shared" si="387"/>
        <v>0</v>
      </c>
      <c r="AI2492">
        <f t="shared" si="388"/>
        <v>1</v>
      </c>
      <c r="AJ2492">
        <v>358.8</v>
      </c>
      <c r="AK2492">
        <v>1009.5</v>
      </c>
      <c r="AL2492">
        <v>84.2</v>
      </c>
      <c r="AM2492">
        <v>6.1</v>
      </c>
      <c r="AN2492">
        <v>288.60000000000002</v>
      </c>
      <c r="AO2492">
        <v>24.9</v>
      </c>
      <c r="AP2492">
        <v>9</v>
      </c>
      <c r="AQ2492">
        <v>0</v>
      </c>
      <c r="AR2492" t="s">
        <v>8602</v>
      </c>
      <c r="AS2492" t="s">
        <v>8603</v>
      </c>
      <c r="AT2492">
        <v>0.05</v>
      </c>
      <c r="AU2492" t="s">
        <v>106</v>
      </c>
      <c r="AV2492" t="s">
        <v>296</v>
      </c>
      <c r="AW2492" t="s">
        <v>103</v>
      </c>
      <c r="AX2492" t="s">
        <v>8604</v>
      </c>
      <c r="AY2492" t="s">
        <v>8605</v>
      </c>
      <c r="AZ2492">
        <v>23.999999994412061</v>
      </c>
      <c r="BA2492">
        <v>0</v>
      </c>
      <c r="BB2492">
        <v>0</v>
      </c>
      <c r="BC2492">
        <v>0.01</v>
      </c>
      <c r="BD2492">
        <v>0</v>
      </c>
      <c r="BE2492">
        <f t="shared" si="389"/>
        <v>0</v>
      </c>
    </row>
    <row r="2493" spans="1:57" x14ac:dyDescent="0.25">
      <c r="A2493" t="s">
        <v>39</v>
      </c>
      <c r="B2493" t="s">
        <v>8507</v>
      </c>
      <c r="C2493">
        <v>80.599999999999994</v>
      </c>
      <c r="D2493">
        <v>73.400000000000006</v>
      </c>
      <c r="G2493">
        <f t="shared" si="380"/>
        <v>1</v>
      </c>
      <c r="H2493">
        <f t="shared" si="381"/>
        <v>0</v>
      </c>
      <c r="I2493">
        <f t="shared" si="382"/>
        <v>1</v>
      </c>
      <c r="J2493">
        <v>76.5</v>
      </c>
      <c r="K2493">
        <v>81.900000000000006</v>
      </c>
      <c r="L2493">
        <v>73.400000000000006</v>
      </c>
      <c r="M2493">
        <v>76.599999999999994</v>
      </c>
      <c r="N2493">
        <v>62.3</v>
      </c>
      <c r="O2493">
        <v>61.8</v>
      </c>
      <c r="S2493">
        <f t="shared" si="383"/>
        <v>1</v>
      </c>
      <c r="T2493">
        <f t="shared" si="384"/>
        <v>1</v>
      </c>
      <c r="U2493">
        <f t="shared" si="385"/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34.4</v>
      </c>
      <c r="AC2493">
        <v>23</v>
      </c>
      <c r="AG2493">
        <f t="shared" si="386"/>
        <v>1</v>
      </c>
      <c r="AH2493">
        <f t="shared" si="387"/>
        <v>1</v>
      </c>
      <c r="AI2493">
        <f t="shared" si="388"/>
        <v>0</v>
      </c>
      <c r="AJ2493">
        <v>299.39999999999998</v>
      </c>
      <c r="AK2493">
        <v>1014</v>
      </c>
      <c r="AL2493">
        <v>27.8</v>
      </c>
      <c r="AM2493">
        <v>6.2</v>
      </c>
      <c r="AN2493">
        <v>322.7</v>
      </c>
      <c r="AO2493">
        <v>27.9</v>
      </c>
      <c r="AP2493">
        <v>10</v>
      </c>
      <c r="AQ2493">
        <v>0</v>
      </c>
      <c r="AR2493" t="s">
        <v>8508</v>
      </c>
      <c r="AS2493" t="s">
        <v>8509</v>
      </c>
      <c r="AT2493">
        <v>0.69</v>
      </c>
      <c r="AU2493" t="s">
        <v>43</v>
      </c>
      <c r="AV2493" t="s">
        <v>44</v>
      </c>
      <c r="AW2493" t="s">
        <v>45</v>
      </c>
      <c r="AX2493" t="s">
        <v>7598</v>
      </c>
      <c r="AY2493" t="s">
        <v>8606</v>
      </c>
      <c r="AZ2493">
        <v>4787.0000000030268</v>
      </c>
      <c r="BA2493">
        <v>1</v>
      </c>
      <c r="BB2493">
        <v>0</v>
      </c>
      <c r="BC2493">
        <v>400</v>
      </c>
      <c r="BD2493">
        <v>0</v>
      </c>
      <c r="BE2493">
        <f t="shared" si="389"/>
        <v>1</v>
      </c>
    </row>
    <row r="2494" spans="1:57" x14ac:dyDescent="0.25">
      <c r="A2494" t="s">
        <v>39</v>
      </c>
      <c r="B2494" t="s">
        <v>8607</v>
      </c>
      <c r="C2494">
        <v>86</v>
      </c>
      <c r="D2494">
        <v>71.599999999999994</v>
      </c>
      <c r="G2494">
        <f t="shared" si="380"/>
        <v>1</v>
      </c>
      <c r="H2494">
        <f t="shared" si="381"/>
        <v>1</v>
      </c>
      <c r="I2494">
        <f t="shared" si="382"/>
        <v>0</v>
      </c>
      <c r="J2494">
        <v>79.5</v>
      </c>
      <c r="K2494">
        <v>95.2</v>
      </c>
      <c r="L2494">
        <v>71.599999999999994</v>
      </c>
      <c r="M2494">
        <v>82.9</v>
      </c>
      <c r="N2494">
        <v>67.8</v>
      </c>
      <c r="O2494">
        <v>68.099999999999994</v>
      </c>
      <c r="S2494">
        <f t="shared" si="383"/>
        <v>1</v>
      </c>
      <c r="T2494">
        <f t="shared" si="384"/>
        <v>1</v>
      </c>
      <c r="U2494">
        <f t="shared" si="385"/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24.6</v>
      </c>
      <c r="AC2494">
        <v>19.7</v>
      </c>
      <c r="AG2494">
        <f t="shared" si="386"/>
        <v>1</v>
      </c>
      <c r="AH2494">
        <f t="shared" si="387"/>
        <v>1</v>
      </c>
      <c r="AI2494">
        <f t="shared" si="388"/>
        <v>0</v>
      </c>
      <c r="AJ2494">
        <v>294.2</v>
      </c>
      <c r="AK2494">
        <v>1009.9</v>
      </c>
      <c r="AL2494">
        <v>3.5</v>
      </c>
      <c r="AM2494">
        <v>6.2</v>
      </c>
      <c r="AN2494">
        <v>299.8</v>
      </c>
      <c r="AO2494">
        <v>25.9</v>
      </c>
      <c r="AP2494">
        <v>9</v>
      </c>
      <c r="AQ2494">
        <v>0</v>
      </c>
      <c r="AR2494" t="s">
        <v>8608</v>
      </c>
      <c r="AS2494" t="s">
        <v>8609</v>
      </c>
      <c r="AT2494">
        <v>0.67</v>
      </c>
      <c r="AU2494" t="s">
        <v>74</v>
      </c>
      <c r="AV2494" t="s">
        <v>2955</v>
      </c>
      <c r="AW2494" t="s">
        <v>75</v>
      </c>
      <c r="AX2494" t="s">
        <v>8610</v>
      </c>
      <c r="AY2494" t="s">
        <v>8611</v>
      </c>
      <c r="AZ2494">
        <v>3210.9999999997672</v>
      </c>
      <c r="BA2494">
        <v>1</v>
      </c>
      <c r="BB2494">
        <v>0</v>
      </c>
      <c r="BC2494">
        <v>600</v>
      </c>
      <c r="BD2494">
        <v>0</v>
      </c>
      <c r="BE2494">
        <f t="shared" si="389"/>
        <v>1</v>
      </c>
    </row>
    <row r="2495" spans="1:57" x14ac:dyDescent="0.25">
      <c r="A2495" t="s">
        <v>39</v>
      </c>
      <c r="B2495" t="s">
        <v>8612</v>
      </c>
      <c r="C2495">
        <v>82.4</v>
      </c>
      <c r="D2495">
        <v>64.400000000000006</v>
      </c>
      <c r="G2495">
        <f t="shared" si="380"/>
        <v>1</v>
      </c>
      <c r="H2495">
        <f t="shared" si="381"/>
        <v>1</v>
      </c>
      <c r="I2495">
        <f t="shared" si="382"/>
        <v>0</v>
      </c>
      <c r="J2495">
        <v>74.5</v>
      </c>
      <c r="K2495">
        <v>84</v>
      </c>
      <c r="L2495">
        <v>64.400000000000006</v>
      </c>
      <c r="M2495">
        <v>74.900000000000006</v>
      </c>
      <c r="N2495">
        <v>62.5</v>
      </c>
      <c r="O2495">
        <v>67.099999999999994</v>
      </c>
      <c r="S2495">
        <f t="shared" si="383"/>
        <v>0</v>
      </c>
      <c r="T2495">
        <f t="shared" si="384"/>
        <v>0</v>
      </c>
      <c r="U2495">
        <f t="shared" si="385"/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21</v>
      </c>
      <c r="AC2495">
        <v>15</v>
      </c>
      <c r="AG2495">
        <f t="shared" si="386"/>
        <v>1</v>
      </c>
      <c r="AH2495">
        <f t="shared" si="387"/>
        <v>0</v>
      </c>
      <c r="AI2495">
        <f t="shared" si="388"/>
        <v>1</v>
      </c>
      <c r="AJ2495">
        <v>297.89999999999998</v>
      </c>
      <c r="AK2495">
        <v>1016.4</v>
      </c>
      <c r="AL2495">
        <v>14.3</v>
      </c>
      <c r="AM2495">
        <v>6.2</v>
      </c>
      <c r="AN2495">
        <v>268.8</v>
      </c>
      <c r="AO2495">
        <v>23.3</v>
      </c>
      <c r="AP2495">
        <v>9</v>
      </c>
      <c r="AQ2495">
        <v>0</v>
      </c>
      <c r="AR2495" t="s">
        <v>8613</v>
      </c>
      <c r="AS2495" t="s">
        <v>8614</v>
      </c>
      <c r="AT2495">
        <v>0.46</v>
      </c>
      <c r="AU2495" t="s">
        <v>74</v>
      </c>
      <c r="AV2495" t="s">
        <v>2955</v>
      </c>
      <c r="AW2495" t="s">
        <v>75</v>
      </c>
      <c r="AX2495" t="s">
        <v>2466</v>
      </c>
      <c r="AY2495" t="s">
        <v>8615</v>
      </c>
      <c r="AZ2495">
        <v>1746.000000002095</v>
      </c>
      <c r="BA2495">
        <v>1</v>
      </c>
      <c r="BB2495">
        <v>0</v>
      </c>
      <c r="BC2495">
        <v>200</v>
      </c>
      <c r="BD2495">
        <v>0</v>
      </c>
      <c r="BE2495">
        <f t="shared" si="389"/>
        <v>1</v>
      </c>
    </row>
    <row r="2496" spans="1:57" x14ac:dyDescent="0.25">
      <c r="A2496" t="s">
        <v>39</v>
      </c>
      <c r="B2496" t="s">
        <v>8616</v>
      </c>
      <c r="C2496">
        <v>86</v>
      </c>
      <c r="D2496">
        <v>71.599999999999994</v>
      </c>
      <c r="G2496">
        <f t="shared" si="380"/>
        <v>1</v>
      </c>
      <c r="H2496">
        <f t="shared" si="381"/>
        <v>1</v>
      </c>
      <c r="I2496">
        <f t="shared" si="382"/>
        <v>0</v>
      </c>
      <c r="J2496">
        <v>78.599999999999994</v>
      </c>
      <c r="K2496">
        <v>92</v>
      </c>
      <c r="L2496">
        <v>71.599999999999994</v>
      </c>
      <c r="M2496">
        <v>81.099999999999994</v>
      </c>
      <c r="N2496">
        <v>69.599999999999994</v>
      </c>
      <c r="O2496">
        <v>74.7</v>
      </c>
      <c r="S2496">
        <f t="shared" si="383"/>
        <v>1</v>
      </c>
      <c r="T2496">
        <f t="shared" si="384"/>
        <v>1</v>
      </c>
      <c r="U2496">
        <f t="shared" si="385"/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23.7</v>
      </c>
      <c r="AC2496">
        <v>18.3</v>
      </c>
      <c r="AG2496">
        <f t="shared" si="386"/>
        <v>1</v>
      </c>
      <c r="AH2496">
        <f t="shared" si="387"/>
        <v>1</v>
      </c>
      <c r="AI2496">
        <f t="shared" si="388"/>
        <v>0</v>
      </c>
      <c r="AJ2496">
        <v>285.8</v>
      </c>
      <c r="AK2496">
        <v>1009.2</v>
      </c>
      <c r="AL2496">
        <v>13.9</v>
      </c>
      <c r="AM2496">
        <v>6.2</v>
      </c>
      <c r="AN2496">
        <v>241.4</v>
      </c>
      <c r="AO2496">
        <v>20.7</v>
      </c>
      <c r="AP2496">
        <v>8</v>
      </c>
      <c r="AQ2496">
        <v>0</v>
      </c>
      <c r="AR2496" t="s">
        <v>8617</v>
      </c>
      <c r="AS2496" t="s">
        <v>8618</v>
      </c>
      <c r="AT2496">
        <v>0.75</v>
      </c>
      <c r="AU2496" t="s">
        <v>74</v>
      </c>
      <c r="AV2496" t="s">
        <v>2955</v>
      </c>
      <c r="AW2496" t="s">
        <v>75</v>
      </c>
      <c r="AX2496" t="s">
        <v>8619</v>
      </c>
      <c r="AY2496" t="s">
        <v>8620</v>
      </c>
      <c r="AZ2496">
        <v>4222.9999999981374</v>
      </c>
      <c r="BA2496">
        <v>1</v>
      </c>
      <c r="BB2496">
        <v>0</v>
      </c>
      <c r="BC2496">
        <v>800</v>
      </c>
      <c r="BD2496">
        <v>0</v>
      </c>
      <c r="BE2496">
        <f t="shared" si="389"/>
        <v>1</v>
      </c>
    </row>
    <row r="2497" spans="1:57" x14ac:dyDescent="0.25">
      <c r="A2497" t="s">
        <v>39</v>
      </c>
      <c r="B2497" t="s">
        <v>8621</v>
      </c>
      <c r="C2497">
        <v>71.599999999999994</v>
      </c>
      <c r="D2497">
        <v>60.8</v>
      </c>
      <c r="G2497">
        <f t="shared" si="380"/>
        <v>1</v>
      </c>
      <c r="H2497">
        <f t="shared" si="381"/>
        <v>0</v>
      </c>
      <c r="I2497">
        <f t="shared" si="382"/>
        <v>1</v>
      </c>
      <c r="J2497">
        <v>67.099999999999994</v>
      </c>
      <c r="K2497">
        <v>71.599999999999994</v>
      </c>
      <c r="L2497">
        <v>60.8</v>
      </c>
      <c r="M2497">
        <v>67.099999999999994</v>
      </c>
      <c r="N2497">
        <v>55.4</v>
      </c>
      <c r="O2497">
        <v>67</v>
      </c>
      <c r="S2497">
        <f t="shared" si="383"/>
        <v>0</v>
      </c>
      <c r="T2497">
        <f t="shared" si="384"/>
        <v>0</v>
      </c>
      <c r="U2497">
        <f t="shared" si="385"/>
        <v>0</v>
      </c>
      <c r="V2497">
        <v>2E-3</v>
      </c>
      <c r="W2497">
        <v>100</v>
      </c>
      <c r="X2497">
        <v>4.17</v>
      </c>
      <c r="Y2497" t="s">
        <v>103</v>
      </c>
      <c r="Z2497">
        <v>0</v>
      </c>
      <c r="AA2497">
        <v>0</v>
      </c>
      <c r="AB2497">
        <v>23</v>
      </c>
      <c r="AC2497">
        <v>10.3</v>
      </c>
      <c r="AG2497">
        <f t="shared" si="386"/>
        <v>1</v>
      </c>
      <c r="AH2497">
        <f t="shared" si="387"/>
        <v>0</v>
      </c>
      <c r="AI2497">
        <f t="shared" si="388"/>
        <v>1</v>
      </c>
      <c r="AJ2497">
        <v>75.8</v>
      </c>
      <c r="AK2497">
        <v>1015.2</v>
      </c>
      <c r="AL2497">
        <v>74.2</v>
      </c>
      <c r="AM2497">
        <v>6.2</v>
      </c>
      <c r="AN2497">
        <v>158</v>
      </c>
      <c r="AO2497">
        <v>13.7</v>
      </c>
      <c r="AP2497">
        <v>7</v>
      </c>
      <c r="AQ2497">
        <v>0</v>
      </c>
      <c r="AR2497" t="s">
        <v>8622</v>
      </c>
      <c r="AS2497" t="s">
        <v>8623</v>
      </c>
      <c r="AT2497">
        <v>0.92</v>
      </c>
      <c r="AU2497" t="s">
        <v>106</v>
      </c>
      <c r="AV2497" t="s">
        <v>438</v>
      </c>
      <c r="AW2497" t="s">
        <v>103</v>
      </c>
      <c r="AX2497" t="s">
        <v>7153</v>
      </c>
      <c r="AY2497" t="s">
        <v>8624</v>
      </c>
      <c r="AZ2497">
        <v>1296.999999994878</v>
      </c>
      <c r="BA2497">
        <v>1</v>
      </c>
      <c r="BB2497">
        <v>100</v>
      </c>
      <c r="BC2497">
        <v>0</v>
      </c>
      <c r="BD2497">
        <v>0</v>
      </c>
      <c r="BE2497">
        <f t="shared" si="389"/>
        <v>0</v>
      </c>
    </row>
    <row r="2498" spans="1:57" x14ac:dyDescent="0.25">
      <c r="A2498" t="s">
        <v>39</v>
      </c>
      <c r="B2498" t="s">
        <v>8625</v>
      </c>
      <c r="C2498">
        <v>77</v>
      </c>
      <c r="D2498">
        <v>59</v>
      </c>
      <c r="G2498">
        <f t="shared" si="380"/>
        <v>1</v>
      </c>
      <c r="H2498">
        <f t="shared" si="381"/>
        <v>0</v>
      </c>
      <c r="I2498">
        <f t="shared" si="382"/>
        <v>1</v>
      </c>
      <c r="J2498">
        <v>67.7</v>
      </c>
      <c r="K2498">
        <v>77</v>
      </c>
      <c r="L2498">
        <v>59</v>
      </c>
      <c r="M2498">
        <v>67.7</v>
      </c>
      <c r="N2498">
        <v>58</v>
      </c>
      <c r="O2498">
        <v>71.8</v>
      </c>
      <c r="S2498">
        <f t="shared" si="383"/>
        <v>1</v>
      </c>
      <c r="T2498">
        <f t="shared" si="384"/>
        <v>1</v>
      </c>
      <c r="U2498">
        <f t="shared" si="385"/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20.8</v>
      </c>
      <c r="AC2498">
        <v>10.3</v>
      </c>
      <c r="AG2498">
        <f t="shared" si="386"/>
        <v>1</v>
      </c>
      <c r="AH2498">
        <f t="shared" si="387"/>
        <v>0</v>
      </c>
      <c r="AI2498">
        <f t="shared" si="388"/>
        <v>1</v>
      </c>
      <c r="AJ2498">
        <v>132.1</v>
      </c>
      <c r="AK2498">
        <v>1016.5</v>
      </c>
      <c r="AL2498">
        <v>34.1</v>
      </c>
      <c r="AM2498">
        <v>6.2</v>
      </c>
      <c r="AN2498">
        <v>239.8</v>
      </c>
      <c r="AO2498">
        <v>20.8</v>
      </c>
      <c r="AP2498">
        <v>8</v>
      </c>
      <c r="AQ2498">
        <v>0</v>
      </c>
      <c r="AR2498" t="s">
        <v>8626</v>
      </c>
      <c r="AS2498" t="s">
        <v>8627</v>
      </c>
      <c r="AT2498">
        <v>0</v>
      </c>
      <c r="AU2498" t="s">
        <v>43</v>
      </c>
      <c r="AV2498" t="s">
        <v>44</v>
      </c>
      <c r="AW2498" t="s">
        <v>45</v>
      </c>
      <c r="AX2498" t="s">
        <v>8628</v>
      </c>
      <c r="AY2498" t="s">
        <v>8629</v>
      </c>
      <c r="AZ2498">
        <v>635.99999999860302</v>
      </c>
      <c r="BA2498">
        <v>1</v>
      </c>
      <c r="BB2498">
        <v>0</v>
      </c>
      <c r="BC2498">
        <v>130</v>
      </c>
      <c r="BD2498">
        <v>0</v>
      </c>
      <c r="BE2498">
        <f t="shared" si="389"/>
        <v>1</v>
      </c>
    </row>
    <row r="2499" spans="1:57" x14ac:dyDescent="0.25">
      <c r="A2499" t="s">
        <v>39</v>
      </c>
      <c r="B2499" t="s">
        <v>8630</v>
      </c>
      <c r="C2499">
        <v>80.7</v>
      </c>
      <c r="D2499">
        <v>69.8</v>
      </c>
      <c r="G2499">
        <f t="shared" ref="G2499:G2562" si="390">IF(ABS(C2499-INDEX($F$2:$F$13,MONTH(B2499)))&gt;1.8,1,0)</f>
        <v>1</v>
      </c>
      <c r="H2499">
        <f t="shared" ref="H2499:H2562" si="391">IF(C2499&gt;=INDEX($F$2:$F$13,MONTH(B2499))+1.8,1,0)</f>
        <v>1</v>
      </c>
      <c r="I2499">
        <f t="shared" ref="I2499:I2562" si="392">IF(C2499&lt;=INDEX($F$2:$F$13,MONTH(B2499))-1.8,1,0)</f>
        <v>0</v>
      </c>
      <c r="J2499">
        <v>75.3</v>
      </c>
      <c r="K2499">
        <v>86.3</v>
      </c>
      <c r="L2499">
        <v>69.8</v>
      </c>
      <c r="M2499">
        <v>76.2</v>
      </c>
      <c r="N2499">
        <v>69.7</v>
      </c>
      <c r="O2499">
        <v>82.9</v>
      </c>
      <c r="S2499">
        <f t="shared" ref="S2499:S2562" si="393">IF(OR(O2499&lt;INDEX($Q$2:$Q$13,MONTH(B2499)),O2499&gt;INDEX($R$2:$R$13,MONTH(B2499))),1,0)</f>
        <v>1</v>
      </c>
      <c r="T2499">
        <f t="shared" ref="T2499:T2562" si="394">IF(O2499&gt;INDEX($R$2:$R$13,MONTH(B2499)),1,0)</f>
        <v>1</v>
      </c>
      <c r="U2499">
        <f t="shared" ref="U2499:U2562" si="395">IF(O2499&lt;INDEX($Q$2:$Q$13,MONTH(B2499)),1,0)</f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16.100000000000001</v>
      </c>
      <c r="AC2499">
        <v>9.1999999999999993</v>
      </c>
      <c r="AG2499">
        <f t="shared" ref="AG2499:AG2562" si="396">IF(OR(AC2499&lt;INDEX($AE$2:$AE$13,MONTH(B2499)),AC2499&gt;INDEX($AF$2:$AF$13,MONTH(B2499))),1,0)</f>
        <v>1</v>
      </c>
      <c r="AH2499">
        <f t="shared" ref="AH2499:AH2562" si="397">IF(AC2499&gt;INDEX($AF$2:$AF$13,MONTH(B2499)),1,0)</f>
        <v>0</v>
      </c>
      <c r="AI2499">
        <f t="shared" ref="AI2499:AI2562" si="398">IF(AC2499&lt;INDEX($AE$2:$AE$13,MONTH(B2499)),1,0)</f>
        <v>1</v>
      </c>
      <c r="AJ2499">
        <v>131.30000000000001</v>
      </c>
      <c r="AK2499">
        <v>1019.3</v>
      </c>
      <c r="AL2499">
        <v>25.9</v>
      </c>
      <c r="AM2499">
        <v>5.8</v>
      </c>
      <c r="AN2499">
        <v>220.5</v>
      </c>
      <c r="AO2499">
        <v>18.899999999999999</v>
      </c>
      <c r="AP2499">
        <v>8</v>
      </c>
      <c r="AQ2499">
        <v>0</v>
      </c>
      <c r="AR2499" t="s">
        <v>8631</v>
      </c>
      <c r="AS2499" t="s">
        <v>8632</v>
      </c>
      <c r="AT2499">
        <v>0.2</v>
      </c>
      <c r="AU2499" t="s">
        <v>43</v>
      </c>
      <c r="AV2499" t="s">
        <v>2026</v>
      </c>
      <c r="AW2499" t="s">
        <v>45</v>
      </c>
      <c r="AX2499" t="s">
        <v>8633</v>
      </c>
      <c r="AY2499" t="s">
        <v>8634</v>
      </c>
      <c r="AZ2499">
        <v>1497.000000007683</v>
      </c>
      <c r="BA2499">
        <v>1</v>
      </c>
      <c r="BB2499">
        <v>0</v>
      </c>
      <c r="BC2499">
        <v>10</v>
      </c>
      <c r="BD2499">
        <v>0</v>
      </c>
      <c r="BE2499">
        <f t="shared" ref="BE2499:BE2562" si="399">IF((3*AH2499+3*H2499+2*U2499+2*BA2499-(2*(1-T2499)+2*(1-I2499)+2*(1-AI2499)))&gt;=1,1,0)</f>
        <v>1</v>
      </c>
    </row>
    <row r="2500" spans="1:57" x14ac:dyDescent="0.25">
      <c r="A2500" t="s">
        <v>39</v>
      </c>
      <c r="B2500" t="s">
        <v>8635</v>
      </c>
      <c r="C2500">
        <v>75.2</v>
      </c>
      <c r="D2500">
        <v>60.8</v>
      </c>
      <c r="G2500">
        <f t="shared" si="390"/>
        <v>0</v>
      </c>
      <c r="H2500">
        <f t="shared" si="391"/>
        <v>0</v>
      </c>
      <c r="I2500">
        <f t="shared" si="392"/>
        <v>0</v>
      </c>
      <c r="J2500">
        <v>67.599999999999994</v>
      </c>
      <c r="K2500">
        <v>75.2</v>
      </c>
      <c r="L2500">
        <v>60.8</v>
      </c>
      <c r="M2500">
        <v>67.599999999999994</v>
      </c>
      <c r="N2500">
        <v>59.8</v>
      </c>
      <c r="O2500">
        <v>77.099999999999994</v>
      </c>
      <c r="S2500">
        <f t="shared" si="393"/>
        <v>1</v>
      </c>
      <c r="T2500">
        <f t="shared" si="394"/>
        <v>1</v>
      </c>
      <c r="U2500">
        <f t="shared" si="395"/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18.3</v>
      </c>
      <c r="AC2500">
        <v>9.1999999999999993</v>
      </c>
      <c r="AG2500">
        <f t="shared" si="396"/>
        <v>1</v>
      </c>
      <c r="AH2500">
        <f t="shared" si="397"/>
        <v>0</v>
      </c>
      <c r="AI2500">
        <f t="shared" si="398"/>
        <v>1</v>
      </c>
      <c r="AJ2500">
        <v>228.1</v>
      </c>
      <c r="AK2500">
        <v>1020</v>
      </c>
      <c r="AL2500">
        <v>29.8</v>
      </c>
      <c r="AM2500">
        <v>6.2</v>
      </c>
      <c r="AN2500">
        <v>200.5</v>
      </c>
      <c r="AO2500">
        <v>17.3</v>
      </c>
      <c r="AP2500">
        <v>7</v>
      </c>
      <c r="AQ2500">
        <v>0</v>
      </c>
      <c r="AR2500" t="s">
        <v>8636</v>
      </c>
      <c r="AS2500" t="s">
        <v>8637</v>
      </c>
      <c r="AT2500">
        <v>0.55000000000000004</v>
      </c>
      <c r="AU2500" t="s">
        <v>43</v>
      </c>
      <c r="AV2500" t="s">
        <v>44</v>
      </c>
      <c r="AW2500" t="s">
        <v>45</v>
      </c>
      <c r="AX2500" t="s">
        <v>7511</v>
      </c>
      <c r="AY2500" t="s">
        <v>8638</v>
      </c>
      <c r="AZ2500">
        <v>859.99999999534339</v>
      </c>
      <c r="BA2500">
        <v>1</v>
      </c>
      <c r="BB2500">
        <v>0</v>
      </c>
      <c r="BC2500">
        <v>15</v>
      </c>
      <c r="BD2500">
        <v>0</v>
      </c>
      <c r="BE2500">
        <f t="shared" si="399"/>
        <v>0</v>
      </c>
    </row>
    <row r="2501" spans="1:57" x14ac:dyDescent="0.25">
      <c r="A2501" t="s">
        <v>39</v>
      </c>
      <c r="B2501" t="s">
        <v>8639</v>
      </c>
      <c r="C2501">
        <v>77</v>
      </c>
      <c r="D2501">
        <v>55.4</v>
      </c>
      <c r="G2501">
        <f t="shared" si="390"/>
        <v>1</v>
      </c>
      <c r="H2501">
        <f t="shared" si="391"/>
        <v>1</v>
      </c>
      <c r="I2501">
        <f t="shared" si="392"/>
        <v>0</v>
      </c>
      <c r="J2501">
        <v>66.099999999999994</v>
      </c>
      <c r="K2501">
        <v>77</v>
      </c>
      <c r="L2501">
        <v>55.4</v>
      </c>
      <c r="M2501">
        <v>66.099999999999994</v>
      </c>
      <c r="N2501">
        <v>54.1</v>
      </c>
      <c r="O2501">
        <v>66.400000000000006</v>
      </c>
      <c r="S2501">
        <f t="shared" si="393"/>
        <v>0</v>
      </c>
      <c r="T2501">
        <f t="shared" si="394"/>
        <v>0</v>
      </c>
      <c r="U2501">
        <f t="shared" si="395"/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24</v>
      </c>
      <c r="AC2501">
        <v>20.8</v>
      </c>
      <c r="AG2501">
        <f t="shared" si="396"/>
        <v>1</v>
      </c>
      <c r="AH2501">
        <f t="shared" si="397"/>
        <v>1</v>
      </c>
      <c r="AI2501">
        <f t="shared" si="398"/>
        <v>0</v>
      </c>
      <c r="AJ2501">
        <v>177.1</v>
      </c>
      <c r="AK2501">
        <v>1014.7</v>
      </c>
      <c r="AL2501">
        <v>28.2</v>
      </c>
      <c r="AM2501">
        <v>6.2</v>
      </c>
      <c r="AN2501">
        <v>160.69999999999999</v>
      </c>
      <c r="AO2501">
        <v>14</v>
      </c>
      <c r="AP2501">
        <v>6</v>
      </c>
      <c r="AQ2501">
        <v>0</v>
      </c>
      <c r="AR2501" t="s">
        <v>8640</v>
      </c>
      <c r="AS2501" t="s">
        <v>8641</v>
      </c>
      <c r="AT2501">
        <v>0.39</v>
      </c>
      <c r="AU2501" t="s">
        <v>43</v>
      </c>
      <c r="AV2501" t="s">
        <v>44</v>
      </c>
      <c r="AW2501" t="s">
        <v>45</v>
      </c>
      <c r="AX2501" t="s">
        <v>8477</v>
      </c>
      <c r="AY2501" t="s">
        <v>8642</v>
      </c>
      <c r="AZ2501">
        <v>587.99999999930151</v>
      </c>
      <c r="BA2501">
        <v>1</v>
      </c>
      <c r="BB2501">
        <v>0</v>
      </c>
      <c r="BC2501">
        <v>200</v>
      </c>
      <c r="BD2501">
        <v>0</v>
      </c>
      <c r="BE2501">
        <f t="shared" si="399"/>
        <v>1</v>
      </c>
    </row>
    <row r="2502" spans="1:57" x14ac:dyDescent="0.25">
      <c r="A2502" t="s">
        <v>39</v>
      </c>
      <c r="B2502" t="s">
        <v>8643</v>
      </c>
      <c r="C2502">
        <v>68</v>
      </c>
      <c r="D2502">
        <v>57.2</v>
      </c>
      <c r="G2502">
        <f t="shared" si="390"/>
        <v>0</v>
      </c>
      <c r="H2502">
        <f t="shared" si="391"/>
        <v>0</v>
      </c>
      <c r="I2502">
        <f t="shared" si="392"/>
        <v>0</v>
      </c>
      <c r="J2502">
        <v>62.8</v>
      </c>
      <c r="K2502">
        <v>68</v>
      </c>
      <c r="L2502">
        <v>57.2</v>
      </c>
      <c r="M2502">
        <v>62.8</v>
      </c>
      <c r="N2502">
        <v>54.4</v>
      </c>
      <c r="O2502">
        <v>74.7</v>
      </c>
      <c r="S2502">
        <f t="shared" si="393"/>
        <v>1</v>
      </c>
      <c r="T2502">
        <f t="shared" si="394"/>
        <v>1</v>
      </c>
      <c r="U2502">
        <f t="shared" si="395"/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23.5</v>
      </c>
      <c r="AC2502">
        <v>13.9</v>
      </c>
      <c r="AG2502">
        <f t="shared" si="396"/>
        <v>1</v>
      </c>
      <c r="AH2502">
        <f t="shared" si="397"/>
        <v>0</v>
      </c>
      <c r="AI2502">
        <f t="shared" si="398"/>
        <v>1</v>
      </c>
      <c r="AJ2502">
        <v>306.60000000000002</v>
      </c>
      <c r="AK2502">
        <v>1024.0999999999999</v>
      </c>
      <c r="AL2502">
        <v>50</v>
      </c>
      <c r="AM2502">
        <v>6.2</v>
      </c>
      <c r="AN2502">
        <v>149.6</v>
      </c>
      <c r="AO2502">
        <v>12.9</v>
      </c>
      <c r="AP2502">
        <v>6</v>
      </c>
      <c r="AQ2502">
        <v>0</v>
      </c>
      <c r="AR2502" t="s">
        <v>8644</v>
      </c>
      <c r="AS2502" t="s">
        <v>8645</v>
      </c>
      <c r="AT2502">
        <v>0.6</v>
      </c>
      <c r="AU2502" t="s">
        <v>43</v>
      </c>
      <c r="AV2502" t="s">
        <v>44</v>
      </c>
      <c r="AW2502" t="s">
        <v>45</v>
      </c>
      <c r="AX2502" t="s">
        <v>6756</v>
      </c>
      <c r="AY2502" t="s">
        <v>8646</v>
      </c>
      <c r="AZ2502">
        <v>124.0000000060536</v>
      </c>
      <c r="BA2502">
        <v>0</v>
      </c>
      <c r="BB2502">
        <v>0</v>
      </c>
      <c r="BC2502">
        <v>0.1</v>
      </c>
      <c r="BD2502">
        <v>0</v>
      </c>
      <c r="BE2502">
        <f t="shared" si="399"/>
        <v>0</v>
      </c>
    </row>
    <row r="2503" spans="1:57" x14ac:dyDescent="0.25">
      <c r="A2503" t="s">
        <v>39</v>
      </c>
      <c r="B2503" t="s">
        <v>8647</v>
      </c>
      <c r="C2503">
        <v>75.2</v>
      </c>
      <c r="D2503">
        <v>59</v>
      </c>
      <c r="G2503">
        <f t="shared" si="390"/>
        <v>1</v>
      </c>
      <c r="H2503">
        <f t="shared" si="391"/>
        <v>1</v>
      </c>
      <c r="I2503">
        <f t="shared" si="392"/>
        <v>0</v>
      </c>
      <c r="J2503">
        <v>66.5</v>
      </c>
      <c r="K2503">
        <v>75.2</v>
      </c>
      <c r="L2503">
        <v>59</v>
      </c>
      <c r="M2503">
        <v>66.5</v>
      </c>
      <c r="N2503">
        <v>54.9</v>
      </c>
      <c r="O2503">
        <v>67.7</v>
      </c>
      <c r="S2503">
        <f t="shared" si="393"/>
        <v>0</v>
      </c>
      <c r="T2503">
        <f t="shared" si="394"/>
        <v>0</v>
      </c>
      <c r="U2503">
        <f t="shared" si="395"/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23</v>
      </c>
      <c r="AC2503">
        <v>21.9</v>
      </c>
      <c r="AG2503">
        <f t="shared" si="396"/>
        <v>1</v>
      </c>
      <c r="AH2503">
        <f t="shared" si="397"/>
        <v>1</v>
      </c>
      <c r="AI2503">
        <f t="shared" si="398"/>
        <v>0</v>
      </c>
      <c r="AJ2503">
        <v>173.1</v>
      </c>
      <c r="AK2503">
        <v>1011.8</v>
      </c>
      <c r="AL2503">
        <v>27.8</v>
      </c>
      <c r="AM2503">
        <v>6.2</v>
      </c>
      <c r="AN2503">
        <v>137.6</v>
      </c>
      <c r="AO2503">
        <v>11.9</v>
      </c>
      <c r="AP2503">
        <v>5</v>
      </c>
      <c r="AQ2503">
        <v>0</v>
      </c>
      <c r="AR2503" t="s">
        <v>8648</v>
      </c>
      <c r="AS2503" t="s">
        <v>8649</v>
      </c>
      <c r="AT2503">
        <v>0.79</v>
      </c>
      <c r="AU2503" t="s">
        <v>43</v>
      </c>
      <c r="AV2503" t="s">
        <v>44</v>
      </c>
      <c r="AW2503" t="s">
        <v>45</v>
      </c>
      <c r="AX2503" t="s">
        <v>4127</v>
      </c>
      <c r="AY2503" t="s">
        <v>8650</v>
      </c>
      <c r="AZ2503">
        <v>191.00000000442381</v>
      </c>
      <c r="BA2503">
        <v>0</v>
      </c>
      <c r="BB2503">
        <v>0</v>
      </c>
      <c r="BC2503">
        <v>10</v>
      </c>
      <c r="BD2503">
        <v>0</v>
      </c>
      <c r="BE2503">
        <f t="shared" si="399"/>
        <v>0</v>
      </c>
    </row>
    <row r="2504" spans="1:57" x14ac:dyDescent="0.25">
      <c r="A2504" t="s">
        <v>39</v>
      </c>
      <c r="B2504" t="s">
        <v>8651</v>
      </c>
      <c r="C2504">
        <v>75.2</v>
      </c>
      <c r="D2504">
        <v>59</v>
      </c>
      <c r="G2504">
        <f t="shared" si="390"/>
        <v>1</v>
      </c>
      <c r="H2504">
        <f t="shared" si="391"/>
        <v>1</v>
      </c>
      <c r="I2504">
        <f t="shared" si="392"/>
        <v>0</v>
      </c>
      <c r="J2504">
        <v>68.5</v>
      </c>
      <c r="K2504">
        <v>75.2</v>
      </c>
      <c r="L2504">
        <v>59</v>
      </c>
      <c r="M2504">
        <v>68.5</v>
      </c>
      <c r="N2504">
        <v>57</v>
      </c>
      <c r="O2504">
        <v>67.8</v>
      </c>
      <c r="S2504">
        <f t="shared" si="393"/>
        <v>0</v>
      </c>
      <c r="T2504">
        <f t="shared" si="394"/>
        <v>0</v>
      </c>
      <c r="U2504">
        <f t="shared" si="395"/>
        <v>0</v>
      </c>
      <c r="V2504">
        <v>4.0000000000000001E-3</v>
      </c>
      <c r="W2504">
        <v>100</v>
      </c>
      <c r="X2504">
        <v>4.17</v>
      </c>
      <c r="Y2504" t="s">
        <v>103</v>
      </c>
      <c r="Z2504">
        <v>0</v>
      </c>
      <c r="AA2504">
        <v>0</v>
      </c>
      <c r="AB2504">
        <v>42.5</v>
      </c>
      <c r="AC2504">
        <v>19.5</v>
      </c>
      <c r="AG2504">
        <f t="shared" si="396"/>
        <v>1</v>
      </c>
      <c r="AH2504">
        <f t="shared" si="397"/>
        <v>1</v>
      </c>
      <c r="AI2504">
        <f t="shared" si="398"/>
        <v>0</v>
      </c>
      <c r="AJ2504">
        <v>184.3</v>
      </c>
      <c r="AK2504">
        <v>1014.2</v>
      </c>
      <c r="AL2504">
        <v>51</v>
      </c>
      <c r="AM2504">
        <v>6.2</v>
      </c>
      <c r="AN2504">
        <v>126.8</v>
      </c>
      <c r="AO2504">
        <v>11.1</v>
      </c>
      <c r="AP2504">
        <v>5</v>
      </c>
      <c r="AQ2504">
        <v>0</v>
      </c>
      <c r="AR2504" t="s">
        <v>8652</v>
      </c>
      <c r="AS2504" t="s">
        <v>8653</v>
      </c>
      <c r="AT2504">
        <v>0.92</v>
      </c>
      <c r="AU2504" t="s">
        <v>106</v>
      </c>
      <c r="AV2504" t="s">
        <v>438</v>
      </c>
      <c r="AW2504" t="s">
        <v>103</v>
      </c>
      <c r="AX2504" t="s">
        <v>6001</v>
      </c>
      <c r="AY2504" t="s">
        <v>8654</v>
      </c>
      <c r="AZ2504">
        <v>86.000000007916242</v>
      </c>
      <c r="BA2504">
        <v>0</v>
      </c>
      <c r="BB2504">
        <v>0</v>
      </c>
      <c r="BC2504">
        <v>20</v>
      </c>
      <c r="BD2504">
        <v>0</v>
      </c>
      <c r="BE2504">
        <f t="shared" si="399"/>
        <v>0</v>
      </c>
    </row>
    <row r="2505" spans="1:57" x14ac:dyDescent="0.25">
      <c r="A2505" t="s">
        <v>39</v>
      </c>
      <c r="B2505" t="s">
        <v>8655</v>
      </c>
      <c r="C2505">
        <v>64.400000000000006</v>
      </c>
      <c r="D2505">
        <v>55.4</v>
      </c>
      <c r="G2505">
        <f t="shared" si="390"/>
        <v>1</v>
      </c>
      <c r="H2505">
        <f t="shared" si="391"/>
        <v>0</v>
      </c>
      <c r="I2505">
        <f t="shared" si="392"/>
        <v>1</v>
      </c>
      <c r="J2505">
        <v>59.6</v>
      </c>
      <c r="K2505">
        <v>64.400000000000006</v>
      </c>
      <c r="L2505">
        <v>55.4</v>
      </c>
      <c r="M2505">
        <v>59.6</v>
      </c>
      <c r="N2505">
        <v>55.1</v>
      </c>
      <c r="O2505">
        <v>85.3</v>
      </c>
      <c r="S2505">
        <f t="shared" si="393"/>
        <v>1</v>
      </c>
      <c r="T2505">
        <f t="shared" si="394"/>
        <v>1</v>
      </c>
      <c r="U2505">
        <f t="shared" si="395"/>
        <v>0</v>
      </c>
      <c r="V2505">
        <v>1.4279999999999999</v>
      </c>
      <c r="W2505">
        <v>100</v>
      </c>
      <c r="X2505">
        <v>12.5</v>
      </c>
      <c r="Y2505" t="s">
        <v>103</v>
      </c>
      <c r="Z2505">
        <v>0</v>
      </c>
      <c r="AA2505">
        <v>0</v>
      </c>
      <c r="AB2505">
        <v>16.3</v>
      </c>
      <c r="AC2505">
        <v>15</v>
      </c>
      <c r="AG2505">
        <f t="shared" si="396"/>
        <v>1</v>
      </c>
      <c r="AH2505">
        <f t="shared" si="397"/>
        <v>0</v>
      </c>
      <c r="AI2505">
        <f t="shared" si="398"/>
        <v>1</v>
      </c>
      <c r="AJ2505">
        <v>321.60000000000002</v>
      </c>
      <c r="AK2505">
        <v>1012</v>
      </c>
      <c r="AL2505">
        <v>71.2</v>
      </c>
      <c r="AM2505">
        <v>6</v>
      </c>
      <c r="AN2505">
        <v>114.7</v>
      </c>
      <c r="AO2505">
        <v>9.8000000000000007</v>
      </c>
      <c r="AP2505">
        <v>5</v>
      </c>
      <c r="AQ2505">
        <v>0</v>
      </c>
      <c r="AR2505" t="s">
        <v>8656</v>
      </c>
      <c r="AS2505" t="s">
        <v>8657</v>
      </c>
      <c r="AT2505">
        <v>0.19</v>
      </c>
      <c r="AU2505" t="s">
        <v>106</v>
      </c>
      <c r="AV2505" t="s">
        <v>1783</v>
      </c>
      <c r="AW2505" t="s">
        <v>103</v>
      </c>
      <c r="AX2505" t="s">
        <v>8658</v>
      </c>
      <c r="AY2505" t="s">
        <v>8659</v>
      </c>
      <c r="AZ2505">
        <v>59.00000000372529</v>
      </c>
      <c r="BA2505">
        <v>0</v>
      </c>
      <c r="BB2505">
        <v>0</v>
      </c>
      <c r="BC2505">
        <v>5</v>
      </c>
      <c r="BD2505">
        <v>0</v>
      </c>
      <c r="BE2505">
        <f t="shared" si="399"/>
        <v>0</v>
      </c>
    </row>
    <row r="2506" spans="1:57" x14ac:dyDescent="0.25">
      <c r="A2506" t="s">
        <v>39</v>
      </c>
      <c r="B2506" t="s">
        <v>8660</v>
      </c>
      <c r="C2506">
        <v>62.6</v>
      </c>
      <c r="D2506">
        <v>50</v>
      </c>
      <c r="G2506">
        <f t="shared" si="390"/>
        <v>0</v>
      </c>
      <c r="H2506">
        <f t="shared" si="391"/>
        <v>0</v>
      </c>
      <c r="I2506">
        <f t="shared" si="392"/>
        <v>0</v>
      </c>
      <c r="J2506">
        <v>58.7</v>
      </c>
      <c r="K2506">
        <v>62.6</v>
      </c>
      <c r="L2506">
        <v>47.8</v>
      </c>
      <c r="M2506">
        <v>58.6</v>
      </c>
      <c r="N2506">
        <v>49.2</v>
      </c>
      <c r="O2506">
        <v>71.099999999999994</v>
      </c>
      <c r="S2506">
        <f t="shared" si="393"/>
        <v>1</v>
      </c>
      <c r="T2506">
        <f t="shared" si="394"/>
        <v>1</v>
      </c>
      <c r="U2506">
        <f t="shared" si="395"/>
        <v>0</v>
      </c>
      <c r="V2506">
        <v>3.5000000000000003E-2</v>
      </c>
      <c r="W2506">
        <v>100</v>
      </c>
      <c r="X2506">
        <v>4.17</v>
      </c>
      <c r="Y2506" t="s">
        <v>103</v>
      </c>
      <c r="Z2506">
        <v>0</v>
      </c>
      <c r="AA2506">
        <v>0</v>
      </c>
      <c r="AB2506">
        <v>30</v>
      </c>
      <c r="AC2506">
        <v>18.3</v>
      </c>
      <c r="AG2506">
        <f t="shared" si="396"/>
        <v>1</v>
      </c>
      <c r="AH2506">
        <f t="shared" si="397"/>
        <v>0</v>
      </c>
      <c r="AI2506">
        <f t="shared" si="398"/>
        <v>1</v>
      </c>
      <c r="AJ2506">
        <v>326.2</v>
      </c>
      <c r="AK2506">
        <v>1026.9000000000001</v>
      </c>
      <c r="AL2506">
        <v>25.7</v>
      </c>
      <c r="AM2506">
        <v>6.2</v>
      </c>
      <c r="AN2506">
        <v>125.8</v>
      </c>
      <c r="AO2506">
        <v>10.8</v>
      </c>
      <c r="AP2506">
        <v>5</v>
      </c>
      <c r="AQ2506">
        <v>0</v>
      </c>
      <c r="AR2506" t="s">
        <v>8661</v>
      </c>
      <c r="AS2506" t="s">
        <v>8662</v>
      </c>
      <c r="AT2506">
        <v>0.1</v>
      </c>
      <c r="AU2506" t="s">
        <v>106</v>
      </c>
      <c r="AV2506" t="s">
        <v>296</v>
      </c>
      <c r="AW2506" t="s">
        <v>103</v>
      </c>
      <c r="AX2506" t="s">
        <v>8663</v>
      </c>
      <c r="AY2506" t="s">
        <v>8664</v>
      </c>
      <c r="AZ2506">
        <v>44.00000000721775</v>
      </c>
      <c r="BA2506">
        <v>0</v>
      </c>
      <c r="BB2506">
        <v>0</v>
      </c>
      <c r="BC2506">
        <v>3</v>
      </c>
      <c r="BD2506">
        <v>0</v>
      </c>
      <c r="BE2506">
        <f t="shared" si="399"/>
        <v>0</v>
      </c>
    </row>
    <row r="2507" spans="1:57" x14ac:dyDescent="0.25">
      <c r="A2507" t="s">
        <v>39</v>
      </c>
      <c r="B2507" t="s">
        <v>8665</v>
      </c>
      <c r="C2507">
        <v>78.8</v>
      </c>
      <c r="D2507">
        <v>73.400000000000006</v>
      </c>
      <c r="G2507">
        <f t="shared" si="390"/>
        <v>0</v>
      </c>
      <c r="H2507">
        <f t="shared" si="391"/>
        <v>0</v>
      </c>
      <c r="I2507">
        <f t="shared" si="392"/>
        <v>0</v>
      </c>
      <c r="J2507">
        <v>75.400000000000006</v>
      </c>
      <c r="K2507">
        <v>78.8</v>
      </c>
      <c r="L2507">
        <v>73.400000000000006</v>
      </c>
      <c r="M2507">
        <v>75.400000000000006</v>
      </c>
      <c r="N2507">
        <v>64.900000000000006</v>
      </c>
      <c r="O2507">
        <v>70.2</v>
      </c>
      <c r="S2507">
        <f t="shared" si="393"/>
        <v>1</v>
      </c>
      <c r="T2507">
        <f t="shared" si="394"/>
        <v>1</v>
      </c>
      <c r="U2507">
        <f t="shared" si="395"/>
        <v>0</v>
      </c>
      <c r="V2507">
        <v>1.6E-2</v>
      </c>
      <c r="W2507">
        <v>100</v>
      </c>
      <c r="X2507">
        <v>4.17</v>
      </c>
      <c r="Y2507" t="s">
        <v>103</v>
      </c>
      <c r="Z2507">
        <v>0</v>
      </c>
      <c r="AA2507">
        <v>0</v>
      </c>
      <c r="AB2507">
        <v>36.200000000000003</v>
      </c>
      <c r="AC2507">
        <v>20.8</v>
      </c>
      <c r="AG2507">
        <f t="shared" si="396"/>
        <v>1</v>
      </c>
      <c r="AH2507">
        <f t="shared" si="397"/>
        <v>1</v>
      </c>
      <c r="AI2507">
        <f t="shared" si="398"/>
        <v>0</v>
      </c>
      <c r="AJ2507">
        <v>298</v>
      </c>
      <c r="AK2507">
        <v>1009.3</v>
      </c>
      <c r="AL2507">
        <v>59.7</v>
      </c>
      <c r="AM2507">
        <v>6.2</v>
      </c>
      <c r="AN2507">
        <v>269.89999999999998</v>
      </c>
      <c r="AO2507">
        <v>23.2</v>
      </c>
      <c r="AP2507">
        <v>8</v>
      </c>
      <c r="AQ2507">
        <v>0</v>
      </c>
      <c r="AR2507" t="s">
        <v>8666</v>
      </c>
      <c r="AS2507" t="s">
        <v>8667</v>
      </c>
      <c r="AT2507">
        <v>0.46</v>
      </c>
      <c r="AU2507" t="s">
        <v>106</v>
      </c>
      <c r="AV2507" t="s">
        <v>1180</v>
      </c>
      <c r="AW2507" t="s">
        <v>103</v>
      </c>
      <c r="AX2507" t="s">
        <v>5269</v>
      </c>
      <c r="AY2507" t="s">
        <v>8668</v>
      </c>
      <c r="AZ2507">
        <v>1583.999999997905</v>
      </c>
      <c r="BA2507">
        <v>1</v>
      </c>
      <c r="BB2507">
        <v>0</v>
      </c>
      <c r="BC2507">
        <v>0.5</v>
      </c>
      <c r="BD2507">
        <v>0</v>
      </c>
      <c r="BE2507">
        <f t="shared" si="399"/>
        <v>1</v>
      </c>
    </row>
    <row r="2508" spans="1:57" x14ac:dyDescent="0.25">
      <c r="A2508" t="s">
        <v>39</v>
      </c>
      <c r="B2508" t="s">
        <v>8553</v>
      </c>
      <c r="C2508">
        <v>87.8</v>
      </c>
      <c r="D2508">
        <v>78.8</v>
      </c>
      <c r="G2508">
        <f t="shared" si="390"/>
        <v>1</v>
      </c>
      <c r="H2508">
        <f t="shared" si="391"/>
        <v>1</v>
      </c>
      <c r="I2508">
        <f t="shared" si="392"/>
        <v>0</v>
      </c>
      <c r="J2508">
        <v>83</v>
      </c>
      <c r="K2508">
        <v>89.4</v>
      </c>
      <c r="L2508">
        <v>78.8</v>
      </c>
      <c r="M2508">
        <v>84.3</v>
      </c>
      <c r="N2508">
        <v>63.9</v>
      </c>
      <c r="O2508">
        <v>53</v>
      </c>
      <c r="S2508">
        <f t="shared" si="393"/>
        <v>1</v>
      </c>
      <c r="T2508">
        <f t="shared" si="394"/>
        <v>0</v>
      </c>
      <c r="U2508">
        <f t="shared" si="395"/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30</v>
      </c>
      <c r="AC2508">
        <v>18.3</v>
      </c>
      <c r="AG2508">
        <f t="shared" si="396"/>
        <v>0</v>
      </c>
      <c r="AH2508">
        <f t="shared" si="397"/>
        <v>0</v>
      </c>
      <c r="AI2508">
        <f t="shared" si="398"/>
        <v>0</v>
      </c>
      <c r="AJ2508">
        <v>301.2</v>
      </c>
      <c r="AK2508">
        <v>1011.1</v>
      </c>
      <c r="AL2508">
        <v>0</v>
      </c>
      <c r="AM2508">
        <v>6.2</v>
      </c>
      <c r="AN2508">
        <v>334.8</v>
      </c>
      <c r="AO2508">
        <v>28.7</v>
      </c>
      <c r="AP2508">
        <v>10</v>
      </c>
      <c r="AQ2508">
        <v>0</v>
      </c>
      <c r="AR2508" t="s">
        <v>8554</v>
      </c>
      <c r="AS2508" t="s">
        <v>8555</v>
      </c>
      <c r="AT2508">
        <v>0.85</v>
      </c>
      <c r="AU2508" t="s">
        <v>74</v>
      </c>
      <c r="AV2508" t="s">
        <v>2955</v>
      </c>
      <c r="AW2508" t="s">
        <v>75</v>
      </c>
      <c r="AX2508" t="s">
        <v>8669</v>
      </c>
      <c r="AY2508" t="s">
        <v>8670</v>
      </c>
      <c r="AZ2508">
        <v>5514.0000000048894</v>
      </c>
      <c r="BA2508">
        <v>1</v>
      </c>
      <c r="BB2508">
        <v>0</v>
      </c>
      <c r="BC2508">
        <v>5</v>
      </c>
      <c r="BD2508">
        <v>0</v>
      </c>
      <c r="BE2508">
        <f t="shared" si="399"/>
        <v>1</v>
      </c>
    </row>
    <row r="2509" spans="1:57" x14ac:dyDescent="0.25">
      <c r="A2509" t="s">
        <v>39</v>
      </c>
      <c r="B2509" t="s">
        <v>8671</v>
      </c>
      <c r="C2509">
        <v>57.2</v>
      </c>
      <c r="D2509">
        <v>42.8</v>
      </c>
      <c r="G2509">
        <f t="shared" si="390"/>
        <v>0</v>
      </c>
      <c r="H2509">
        <f t="shared" si="391"/>
        <v>0</v>
      </c>
      <c r="I2509">
        <f t="shared" si="392"/>
        <v>0</v>
      </c>
      <c r="J2509">
        <v>52</v>
      </c>
      <c r="K2509">
        <v>57.2</v>
      </c>
      <c r="L2509">
        <v>39.200000000000003</v>
      </c>
      <c r="M2509">
        <v>51.1</v>
      </c>
      <c r="N2509">
        <v>40.299999999999997</v>
      </c>
      <c r="O2509">
        <v>64.8</v>
      </c>
      <c r="S2509">
        <f t="shared" si="393"/>
        <v>1</v>
      </c>
      <c r="T2509">
        <f t="shared" si="394"/>
        <v>0</v>
      </c>
      <c r="U2509">
        <f t="shared" si="395"/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17.7</v>
      </c>
      <c r="AC2509">
        <v>12.8</v>
      </c>
      <c r="AG2509">
        <f t="shared" si="396"/>
        <v>1</v>
      </c>
      <c r="AH2509">
        <f t="shared" si="397"/>
        <v>0</v>
      </c>
      <c r="AI2509">
        <f t="shared" si="398"/>
        <v>1</v>
      </c>
      <c r="AJ2509">
        <v>15.3</v>
      </c>
      <c r="AK2509">
        <v>1023.5</v>
      </c>
      <c r="AL2509">
        <v>64.7</v>
      </c>
      <c r="AM2509">
        <v>6.2</v>
      </c>
      <c r="AN2509">
        <v>144.6</v>
      </c>
      <c r="AO2509">
        <v>12.3</v>
      </c>
      <c r="AP2509">
        <v>6</v>
      </c>
      <c r="AQ2509">
        <v>0</v>
      </c>
      <c r="AR2509" t="s">
        <v>8672</v>
      </c>
      <c r="AS2509" t="s">
        <v>8673</v>
      </c>
      <c r="AT2509">
        <v>0.48</v>
      </c>
      <c r="AU2509" t="s">
        <v>43</v>
      </c>
      <c r="AV2509" t="s">
        <v>44</v>
      </c>
      <c r="AW2509" t="s">
        <v>45</v>
      </c>
      <c r="AX2509" t="s">
        <v>2763</v>
      </c>
      <c r="AY2509" t="s">
        <v>8674</v>
      </c>
      <c r="AZ2509">
        <v>169.99999999883579</v>
      </c>
      <c r="BA2509">
        <v>0</v>
      </c>
      <c r="BB2509">
        <v>0</v>
      </c>
      <c r="BC2509">
        <v>0.5</v>
      </c>
      <c r="BD2509">
        <v>0</v>
      </c>
      <c r="BE2509">
        <f t="shared" si="399"/>
        <v>0</v>
      </c>
    </row>
    <row r="2510" spans="1:57" x14ac:dyDescent="0.25">
      <c r="A2510" t="s">
        <v>39</v>
      </c>
      <c r="B2510" t="s">
        <v>8675</v>
      </c>
      <c r="C2510">
        <v>86</v>
      </c>
      <c r="D2510">
        <v>66.2</v>
      </c>
      <c r="G2510">
        <f t="shared" si="390"/>
        <v>1</v>
      </c>
      <c r="H2510">
        <f t="shared" si="391"/>
        <v>1</v>
      </c>
      <c r="I2510">
        <f t="shared" si="392"/>
        <v>0</v>
      </c>
      <c r="J2510">
        <v>76.900000000000006</v>
      </c>
      <c r="K2510">
        <v>92</v>
      </c>
      <c r="L2510">
        <v>66.2</v>
      </c>
      <c r="M2510">
        <v>78.5</v>
      </c>
      <c r="N2510">
        <v>63.8</v>
      </c>
      <c r="O2510">
        <v>65.099999999999994</v>
      </c>
      <c r="S2510">
        <f t="shared" si="393"/>
        <v>0</v>
      </c>
      <c r="T2510">
        <f t="shared" si="394"/>
        <v>0</v>
      </c>
      <c r="U2510">
        <f t="shared" si="395"/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18.100000000000001</v>
      </c>
      <c r="AC2510">
        <v>10.3</v>
      </c>
      <c r="AG2510">
        <f t="shared" si="396"/>
        <v>1</v>
      </c>
      <c r="AH2510">
        <f t="shared" si="397"/>
        <v>0</v>
      </c>
      <c r="AI2510">
        <f t="shared" si="398"/>
        <v>1</v>
      </c>
      <c r="AJ2510">
        <v>175.3</v>
      </c>
      <c r="AK2510">
        <v>1014.4</v>
      </c>
      <c r="AL2510">
        <v>0.1</v>
      </c>
      <c r="AM2510">
        <v>6.2</v>
      </c>
      <c r="AN2510">
        <v>263.60000000000002</v>
      </c>
      <c r="AO2510">
        <v>22.6</v>
      </c>
      <c r="AP2510">
        <v>9</v>
      </c>
      <c r="AQ2510">
        <v>0</v>
      </c>
      <c r="AR2510" t="s">
        <v>8676</v>
      </c>
      <c r="AS2510" t="s">
        <v>8677</v>
      </c>
      <c r="AT2510">
        <v>0.5</v>
      </c>
      <c r="AU2510" t="s">
        <v>74</v>
      </c>
      <c r="AV2510" t="s">
        <v>2955</v>
      </c>
      <c r="AW2510" t="s">
        <v>75</v>
      </c>
      <c r="AX2510" t="s">
        <v>8179</v>
      </c>
      <c r="AY2510" t="s">
        <v>8678</v>
      </c>
      <c r="AZ2510">
        <v>141.0000000090804</v>
      </c>
      <c r="BA2510">
        <v>0</v>
      </c>
      <c r="BB2510">
        <v>0</v>
      </c>
      <c r="BC2510">
        <v>0.1</v>
      </c>
      <c r="BD2510">
        <v>0</v>
      </c>
      <c r="BE2510">
        <f t="shared" si="399"/>
        <v>0</v>
      </c>
    </row>
    <row r="2511" spans="1:57" x14ac:dyDescent="0.25">
      <c r="A2511" t="s">
        <v>39</v>
      </c>
      <c r="B2511" t="s">
        <v>8679</v>
      </c>
      <c r="C2511">
        <v>73.400000000000006</v>
      </c>
      <c r="D2511">
        <v>68</v>
      </c>
      <c r="G2511">
        <f t="shared" si="390"/>
        <v>0</v>
      </c>
      <c r="H2511">
        <f t="shared" si="391"/>
        <v>0</v>
      </c>
      <c r="I2511">
        <f t="shared" si="392"/>
        <v>0</v>
      </c>
      <c r="J2511">
        <v>70.400000000000006</v>
      </c>
      <c r="K2511">
        <v>73.400000000000006</v>
      </c>
      <c r="L2511">
        <v>68</v>
      </c>
      <c r="M2511">
        <v>70.400000000000006</v>
      </c>
      <c r="N2511">
        <v>53.8</v>
      </c>
      <c r="O2511">
        <v>56</v>
      </c>
      <c r="S2511">
        <f t="shared" si="393"/>
        <v>1</v>
      </c>
      <c r="T2511">
        <f t="shared" si="394"/>
        <v>0</v>
      </c>
      <c r="U2511">
        <f t="shared" si="395"/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34.4</v>
      </c>
      <c r="AC2511">
        <v>18.399999999999999</v>
      </c>
      <c r="AG2511">
        <f t="shared" si="396"/>
        <v>1</v>
      </c>
      <c r="AH2511">
        <f t="shared" si="397"/>
        <v>1</v>
      </c>
      <c r="AI2511">
        <f t="shared" si="398"/>
        <v>0</v>
      </c>
      <c r="AJ2511">
        <v>328.3</v>
      </c>
      <c r="AK2511">
        <v>1021.4</v>
      </c>
      <c r="AL2511">
        <v>39.799999999999997</v>
      </c>
      <c r="AM2511">
        <v>6.2</v>
      </c>
      <c r="AN2511">
        <v>213.7</v>
      </c>
      <c r="AO2511">
        <v>18.5</v>
      </c>
      <c r="AP2511">
        <v>7</v>
      </c>
      <c r="AQ2511">
        <v>0</v>
      </c>
      <c r="AR2511" t="s">
        <v>8680</v>
      </c>
      <c r="AS2511" t="s">
        <v>8681</v>
      </c>
      <c r="AT2511">
        <v>0.34</v>
      </c>
      <c r="AU2511" t="s">
        <v>43</v>
      </c>
      <c r="AV2511" t="s">
        <v>44</v>
      </c>
      <c r="AW2511" t="s">
        <v>45</v>
      </c>
      <c r="AX2511" t="s">
        <v>5857</v>
      </c>
      <c r="AY2511" t="s">
        <v>8682</v>
      </c>
      <c r="AZ2511">
        <v>2077.9999999946449</v>
      </c>
      <c r="BA2511">
        <v>1</v>
      </c>
      <c r="BB2511">
        <v>0</v>
      </c>
      <c r="BC2511">
        <v>2</v>
      </c>
      <c r="BD2511">
        <v>0</v>
      </c>
      <c r="BE2511">
        <f t="shared" si="399"/>
        <v>1</v>
      </c>
    </row>
    <row r="2512" spans="1:57" x14ac:dyDescent="0.25">
      <c r="A2512" t="s">
        <v>39</v>
      </c>
      <c r="B2512" t="s">
        <v>8683</v>
      </c>
      <c r="C2512">
        <v>73.400000000000006</v>
      </c>
      <c r="D2512">
        <v>68</v>
      </c>
      <c r="G2512">
        <f t="shared" si="390"/>
        <v>0</v>
      </c>
      <c r="H2512">
        <f t="shared" si="391"/>
        <v>0</v>
      </c>
      <c r="I2512">
        <f t="shared" si="392"/>
        <v>0</v>
      </c>
      <c r="J2512">
        <v>70.3</v>
      </c>
      <c r="K2512">
        <v>73.400000000000006</v>
      </c>
      <c r="L2512">
        <v>68</v>
      </c>
      <c r="M2512">
        <v>70.3</v>
      </c>
      <c r="N2512">
        <v>58.9</v>
      </c>
      <c r="O2512">
        <v>67.099999999999994</v>
      </c>
      <c r="S2512">
        <f t="shared" si="393"/>
        <v>0</v>
      </c>
      <c r="T2512">
        <f t="shared" si="394"/>
        <v>0</v>
      </c>
      <c r="U2512">
        <f t="shared" si="395"/>
        <v>0</v>
      </c>
      <c r="V2512">
        <v>4.0000000000000001E-3</v>
      </c>
      <c r="W2512">
        <v>100</v>
      </c>
      <c r="X2512">
        <v>4.17</v>
      </c>
      <c r="Y2512" t="s">
        <v>103</v>
      </c>
      <c r="Z2512">
        <v>0</v>
      </c>
      <c r="AA2512">
        <v>0</v>
      </c>
      <c r="AB2512">
        <v>31.8</v>
      </c>
      <c r="AC2512">
        <v>19.600000000000001</v>
      </c>
      <c r="AG2512">
        <f t="shared" si="396"/>
        <v>1</v>
      </c>
      <c r="AH2512">
        <f t="shared" si="397"/>
        <v>1</v>
      </c>
      <c r="AI2512">
        <f t="shared" si="398"/>
        <v>0</v>
      </c>
      <c r="AJ2512">
        <v>326</v>
      </c>
      <c r="AK2512">
        <v>1017.3</v>
      </c>
      <c r="AL2512">
        <v>82.6</v>
      </c>
      <c r="AM2512">
        <v>6.2</v>
      </c>
      <c r="AN2512">
        <v>161.6</v>
      </c>
      <c r="AO2512">
        <v>14</v>
      </c>
      <c r="AP2512">
        <v>6</v>
      </c>
      <c r="AQ2512">
        <v>0</v>
      </c>
      <c r="AR2512" t="s">
        <v>8684</v>
      </c>
      <c r="AS2512" t="s">
        <v>8685</v>
      </c>
      <c r="AT2512">
        <v>0.45</v>
      </c>
      <c r="AU2512" t="s">
        <v>106</v>
      </c>
      <c r="AV2512" t="s">
        <v>296</v>
      </c>
      <c r="AW2512" t="s">
        <v>103</v>
      </c>
      <c r="AX2512" t="s">
        <v>5288</v>
      </c>
      <c r="AY2512" t="s">
        <v>8686</v>
      </c>
      <c r="AZ2512">
        <v>829.99999999185093</v>
      </c>
      <c r="BA2512">
        <v>1</v>
      </c>
      <c r="BB2512">
        <v>1</v>
      </c>
      <c r="BC2512">
        <v>0</v>
      </c>
      <c r="BD2512">
        <v>0</v>
      </c>
      <c r="BE2512">
        <f t="shared" si="399"/>
        <v>0</v>
      </c>
    </row>
    <row r="2513" spans="1:57" x14ac:dyDescent="0.25">
      <c r="A2513" t="s">
        <v>39</v>
      </c>
      <c r="B2513" t="s">
        <v>8567</v>
      </c>
      <c r="C2513">
        <v>75.2</v>
      </c>
      <c r="D2513">
        <v>62.6</v>
      </c>
      <c r="G2513">
        <f t="shared" si="390"/>
        <v>1</v>
      </c>
      <c r="H2513">
        <f t="shared" si="391"/>
        <v>1</v>
      </c>
      <c r="I2513">
        <f t="shared" si="392"/>
        <v>0</v>
      </c>
      <c r="J2513">
        <v>68.2</v>
      </c>
      <c r="K2513">
        <v>75.2</v>
      </c>
      <c r="L2513">
        <v>62.6</v>
      </c>
      <c r="M2513">
        <v>68.2</v>
      </c>
      <c r="N2513">
        <v>58.5</v>
      </c>
      <c r="O2513">
        <v>72</v>
      </c>
      <c r="S2513">
        <f t="shared" si="393"/>
        <v>1</v>
      </c>
      <c r="T2513">
        <f t="shared" si="394"/>
        <v>1</v>
      </c>
      <c r="U2513">
        <f t="shared" si="395"/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38</v>
      </c>
      <c r="AC2513">
        <v>23</v>
      </c>
      <c r="AG2513">
        <f t="shared" si="396"/>
        <v>1</v>
      </c>
      <c r="AH2513">
        <f t="shared" si="397"/>
        <v>1</v>
      </c>
      <c r="AI2513">
        <f t="shared" si="398"/>
        <v>0</v>
      </c>
      <c r="AJ2513">
        <v>186</v>
      </c>
      <c r="AK2513">
        <v>1010.8</v>
      </c>
      <c r="AL2513">
        <v>41.9</v>
      </c>
      <c r="AM2513">
        <v>6.2</v>
      </c>
      <c r="AN2513">
        <v>104.2</v>
      </c>
      <c r="AO2513">
        <v>9.1</v>
      </c>
      <c r="AP2513">
        <v>4</v>
      </c>
      <c r="AQ2513">
        <v>0</v>
      </c>
      <c r="AR2513" t="s">
        <v>8568</v>
      </c>
      <c r="AS2513" t="s">
        <v>8569</v>
      </c>
      <c r="AT2513">
        <v>0.43</v>
      </c>
      <c r="AU2513" t="s">
        <v>43</v>
      </c>
      <c r="AV2513" t="s">
        <v>44</v>
      </c>
      <c r="AW2513" t="s">
        <v>45</v>
      </c>
      <c r="AX2513" t="s">
        <v>2413</v>
      </c>
      <c r="AY2513" t="s">
        <v>8687</v>
      </c>
      <c r="AZ2513">
        <v>296.00000000093132</v>
      </c>
      <c r="BA2513">
        <v>0</v>
      </c>
      <c r="BB2513">
        <v>1</v>
      </c>
      <c r="BC2513">
        <v>0</v>
      </c>
      <c r="BD2513">
        <v>0</v>
      </c>
      <c r="BE2513">
        <f t="shared" si="399"/>
        <v>1</v>
      </c>
    </row>
    <row r="2514" spans="1:57" x14ac:dyDescent="0.25">
      <c r="A2514" t="s">
        <v>39</v>
      </c>
      <c r="B2514" t="s">
        <v>8688</v>
      </c>
      <c r="C2514">
        <v>84.2</v>
      </c>
      <c r="D2514">
        <v>69.8</v>
      </c>
      <c r="G2514">
        <f t="shared" si="390"/>
        <v>0</v>
      </c>
      <c r="H2514">
        <f t="shared" si="391"/>
        <v>0</v>
      </c>
      <c r="I2514">
        <f t="shared" si="392"/>
        <v>0</v>
      </c>
      <c r="J2514">
        <v>78.400000000000006</v>
      </c>
      <c r="K2514">
        <v>87.4</v>
      </c>
      <c r="L2514">
        <v>69.8</v>
      </c>
      <c r="M2514">
        <v>80</v>
      </c>
      <c r="N2514">
        <v>67.3</v>
      </c>
      <c r="O2514">
        <v>69.400000000000006</v>
      </c>
      <c r="S2514">
        <f t="shared" si="393"/>
        <v>1</v>
      </c>
      <c r="T2514">
        <f t="shared" si="394"/>
        <v>1</v>
      </c>
      <c r="U2514">
        <f t="shared" si="395"/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26.4</v>
      </c>
      <c r="AC2514">
        <v>16.100000000000001</v>
      </c>
      <c r="AG2514">
        <f t="shared" si="396"/>
        <v>0</v>
      </c>
      <c r="AH2514">
        <f t="shared" si="397"/>
        <v>0</v>
      </c>
      <c r="AI2514">
        <f t="shared" si="398"/>
        <v>0</v>
      </c>
      <c r="AJ2514">
        <v>310.8</v>
      </c>
      <c r="AK2514">
        <v>1009.4</v>
      </c>
      <c r="AL2514">
        <v>22</v>
      </c>
      <c r="AM2514">
        <v>6.2</v>
      </c>
      <c r="AN2514">
        <v>296.2</v>
      </c>
      <c r="AO2514">
        <v>25.6</v>
      </c>
      <c r="AP2514">
        <v>9</v>
      </c>
      <c r="AQ2514">
        <v>0</v>
      </c>
      <c r="AR2514" t="s">
        <v>8689</v>
      </c>
      <c r="AS2514" t="s">
        <v>8690</v>
      </c>
      <c r="AT2514">
        <v>0.54</v>
      </c>
      <c r="AU2514" t="s">
        <v>43</v>
      </c>
      <c r="AV2514" t="s">
        <v>44</v>
      </c>
      <c r="AW2514" t="s">
        <v>45</v>
      </c>
      <c r="AX2514" t="s">
        <v>4990</v>
      </c>
      <c r="AY2514" t="s">
        <v>8691</v>
      </c>
      <c r="AZ2514">
        <v>8311.9999999995343</v>
      </c>
      <c r="BA2514">
        <v>1</v>
      </c>
      <c r="BB2514">
        <v>0</v>
      </c>
      <c r="BC2514">
        <v>30</v>
      </c>
      <c r="BD2514">
        <v>0</v>
      </c>
      <c r="BE2514">
        <f t="shared" si="399"/>
        <v>0</v>
      </c>
    </row>
    <row r="2515" spans="1:57" x14ac:dyDescent="0.25">
      <c r="A2515" t="s">
        <v>39</v>
      </c>
      <c r="B2515" t="s">
        <v>8692</v>
      </c>
      <c r="C2515">
        <v>62.6</v>
      </c>
      <c r="D2515">
        <v>46.4</v>
      </c>
      <c r="G2515">
        <f t="shared" si="390"/>
        <v>0</v>
      </c>
      <c r="H2515">
        <f t="shared" si="391"/>
        <v>0</v>
      </c>
      <c r="I2515">
        <f t="shared" si="392"/>
        <v>0</v>
      </c>
      <c r="J2515">
        <v>54.7</v>
      </c>
      <c r="K2515">
        <v>62.6</v>
      </c>
      <c r="L2515">
        <v>44.2</v>
      </c>
      <c r="M2515">
        <v>54.6</v>
      </c>
      <c r="N2515">
        <v>40.9</v>
      </c>
      <c r="O2515">
        <v>60.9</v>
      </c>
      <c r="S2515">
        <f t="shared" si="393"/>
        <v>1</v>
      </c>
      <c r="T2515">
        <f t="shared" si="394"/>
        <v>0</v>
      </c>
      <c r="U2515">
        <f t="shared" si="395"/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12.8</v>
      </c>
      <c r="AC2515">
        <v>5.8</v>
      </c>
      <c r="AG2515">
        <f t="shared" si="396"/>
        <v>1</v>
      </c>
      <c r="AH2515">
        <f t="shared" si="397"/>
        <v>0</v>
      </c>
      <c r="AI2515">
        <f t="shared" si="398"/>
        <v>1</v>
      </c>
      <c r="AJ2515">
        <v>354</v>
      </c>
      <c r="AK2515">
        <v>1028.5999999999999</v>
      </c>
      <c r="AL2515">
        <v>14.6</v>
      </c>
      <c r="AM2515">
        <v>6.2</v>
      </c>
      <c r="AN2515">
        <v>280.10000000000002</v>
      </c>
      <c r="AO2515">
        <v>23.2</v>
      </c>
      <c r="AP2515">
        <v>9</v>
      </c>
      <c r="AQ2515">
        <v>0</v>
      </c>
      <c r="AR2515" t="s">
        <v>8693</v>
      </c>
      <c r="AS2515" t="s">
        <v>8694</v>
      </c>
      <c r="AT2515">
        <v>0.83</v>
      </c>
      <c r="AU2515" t="s">
        <v>74</v>
      </c>
      <c r="AV2515" t="s">
        <v>2955</v>
      </c>
      <c r="AW2515" t="s">
        <v>75</v>
      </c>
      <c r="AX2515" t="s">
        <v>4902</v>
      </c>
      <c r="AY2515" t="s">
        <v>8695</v>
      </c>
      <c r="AZ2515">
        <v>281.00000000442378</v>
      </c>
      <c r="BA2515">
        <v>0</v>
      </c>
      <c r="BB2515">
        <v>1</v>
      </c>
      <c r="BC2515">
        <v>0</v>
      </c>
      <c r="BD2515">
        <v>0</v>
      </c>
      <c r="BE2515">
        <f t="shared" si="399"/>
        <v>0</v>
      </c>
    </row>
    <row r="2516" spans="1:57" x14ac:dyDescent="0.25">
      <c r="A2516" t="s">
        <v>39</v>
      </c>
      <c r="B2516" t="s">
        <v>8696</v>
      </c>
      <c r="C2516">
        <v>82.4</v>
      </c>
      <c r="D2516">
        <v>60.8</v>
      </c>
      <c r="G2516">
        <f t="shared" si="390"/>
        <v>1</v>
      </c>
      <c r="H2516">
        <f t="shared" si="391"/>
        <v>1</v>
      </c>
      <c r="I2516">
        <f t="shared" si="392"/>
        <v>0</v>
      </c>
      <c r="J2516">
        <v>73.2</v>
      </c>
      <c r="K2516">
        <v>80.5</v>
      </c>
      <c r="L2516">
        <v>60.8</v>
      </c>
      <c r="M2516">
        <v>73</v>
      </c>
      <c r="N2516">
        <v>44</v>
      </c>
      <c r="O2516">
        <v>39.9</v>
      </c>
      <c r="S2516">
        <f t="shared" si="393"/>
        <v>1</v>
      </c>
      <c r="T2516">
        <f t="shared" si="394"/>
        <v>0</v>
      </c>
      <c r="U2516">
        <f t="shared" si="395"/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45</v>
      </c>
      <c r="AC2516">
        <v>20.8</v>
      </c>
      <c r="AG2516">
        <f t="shared" si="396"/>
        <v>1</v>
      </c>
      <c r="AH2516">
        <f t="shared" si="397"/>
        <v>1</v>
      </c>
      <c r="AI2516">
        <f t="shared" si="398"/>
        <v>0</v>
      </c>
      <c r="AJ2516">
        <v>176.4</v>
      </c>
      <c r="AK2516">
        <v>1000.5</v>
      </c>
      <c r="AL2516">
        <v>81.7</v>
      </c>
      <c r="AM2516">
        <v>6</v>
      </c>
      <c r="AN2516">
        <v>158.9</v>
      </c>
      <c r="AO2516">
        <v>13.6</v>
      </c>
      <c r="AP2516">
        <v>6</v>
      </c>
      <c r="AQ2516">
        <v>0</v>
      </c>
      <c r="AR2516" t="s">
        <v>8697</v>
      </c>
      <c r="AS2516" t="s">
        <v>8698</v>
      </c>
      <c r="AT2516">
        <v>0.52</v>
      </c>
      <c r="AU2516" t="s">
        <v>43</v>
      </c>
      <c r="AV2516" t="s">
        <v>44</v>
      </c>
      <c r="AW2516" t="s">
        <v>45</v>
      </c>
      <c r="AX2516" t="s">
        <v>8699</v>
      </c>
      <c r="AY2516" t="s">
        <v>8700</v>
      </c>
      <c r="AZ2516">
        <v>127.0000000053551</v>
      </c>
      <c r="BA2516">
        <v>0</v>
      </c>
      <c r="BB2516">
        <v>0.5</v>
      </c>
      <c r="BC2516">
        <v>0</v>
      </c>
      <c r="BD2516">
        <v>0</v>
      </c>
      <c r="BE2516">
        <f t="shared" si="399"/>
        <v>1</v>
      </c>
    </row>
    <row r="2517" spans="1:57" x14ac:dyDescent="0.25">
      <c r="A2517" t="s">
        <v>39</v>
      </c>
      <c r="B2517" t="s">
        <v>8696</v>
      </c>
      <c r="C2517">
        <v>82.4</v>
      </c>
      <c r="D2517">
        <v>60.8</v>
      </c>
      <c r="G2517">
        <f t="shared" si="390"/>
        <v>1</v>
      </c>
      <c r="H2517">
        <f t="shared" si="391"/>
        <v>1</v>
      </c>
      <c r="I2517">
        <f t="shared" si="392"/>
        <v>0</v>
      </c>
      <c r="J2517">
        <v>73.2</v>
      </c>
      <c r="K2517">
        <v>80.5</v>
      </c>
      <c r="L2517">
        <v>60.8</v>
      </c>
      <c r="M2517">
        <v>73</v>
      </c>
      <c r="N2517">
        <v>44</v>
      </c>
      <c r="O2517">
        <v>39.9</v>
      </c>
      <c r="S2517">
        <f t="shared" si="393"/>
        <v>1</v>
      </c>
      <c r="T2517">
        <f t="shared" si="394"/>
        <v>0</v>
      </c>
      <c r="U2517">
        <f t="shared" si="395"/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45</v>
      </c>
      <c r="AC2517">
        <v>20.8</v>
      </c>
      <c r="AG2517">
        <f t="shared" si="396"/>
        <v>1</v>
      </c>
      <c r="AH2517">
        <f t="shared" si="397"/>
        <v>1</v>
      </c>
      <c r="AI2517">
        <f t="shared" si="398"/>
        <v>0</v>
      </c>
      <c r="AJ2517">
        <v>176.4</v>
      </c>
      <c r="AK2517">
        <v>1000.5</v>
      </c>
      <c r="AL2517">
        <v>81.7</v>
      </c>
      <c r="AM2517">
        <v>6</v>
      </c>
      <c r="AN2517">
        <v>158.9</v>
      </c>
      <c r="AO2517">
        <v>13.6</v>
      </c>
      <c r="AP2517">
        <v>6</v>
      </c>
      <c r="AQ2517">
        <v>0</v>
      </c>
      <c r="AR2517" t="s">
        <v>8697</v>
      </c>
      <c r="AS2517" t="s">
        <v>8698</v>
      </c>
      <c r="AT2517">
        <v>0.52</v>
      </c>
      <c r="AU2517" t="s">
        <v>43</v>
      </c>
      <c r="AV2517" t="s">
        <v>44</v>
      </c>
      <c r="AW2517" t="s">
        <v>45</v>
      </c>
      <c r="AX2517" t="s">
        <v>4401</v>
      </c>
      <c r="AY2517" t="s">
        <v>8701</v>
      </c>
      <c r="AZ2517">
        <v>135</v>
      </c>
      <c r="BA2517">
        <v>0</v>
      </c>
      <c r="BB2517">
        <v>1</v>
      </c>
      <c r="BC2517">
        <v>0</v>
      </c>
      <c r="BD2517">
        <v>0</v>
      </c>
      <c r="BE2517">
        <f t="shared" si="399"/>
        <v>1</v>
      </c>
    </row>
    <row r="2518" spans="1:57" x14ac:dyDescent="0.25">
      <c r="A2518" t="s">
        <v>39</v>
      </c>
      <c r="B2518" t="s">
        <v>8702</v>
      </c>
      <c r="C2518">
        <v>69.8</v>
      </c>
      <c r="D2518">
        <v>51.8</v>
      </c>
      <c r="G2518">
        <f t="shared" si="390"/>
        <v>1</v>
      </c>
      <c r="H2518">
        <f t="shared" si="391"/>
        <v>0</v>
      </c>
      <c r="I2518">
        <f t="shared" si="392"/>
        <v>1</v>
      </c>
      <c r="J2518">
        <v>62</v>
      </c>
      <c r="K2518">
        <v>69.8</v>
      </c>
      <c r="L2518">
        <v>51.8</v>
      </c>
      <c r="M2518">
        <v>62</v>
      </c>
      <c r="N2518">
        <v>50.9</v>
      </c>
      <c r="O2518">
        <v>68.3</v>
      </c>
      <c r="S2518">
        <f t="shared" si="393"/>
        <v>1</v>
      </c>
      <c r="T2518">
        <f t="shared" si="394"/>
        <v>1</v>
      </c>
      <c r="U2518">
        <f t="shared" si="395"/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24.8</v>
      </c>
      <c r="AC2518">
        <v>17.2</v>
      </c>
      <c r="AG2518">
        <f t="shared" si="396"/>
        <v>0</v>
      </c>
      <c r="AH2518">
        <f t="shared" si="397"/>
        <v>0</v>
      </c>
      <c r="AI2518">
        <f t="shared" si="398"/>
        <v>0</v>
      </c>
      <c r="AJ2518">
        <v>300.8</v>
      </c>
      <c r="AK2518">
        <v>1018.2</v>
      </c>
      <c r="AL2518">
        <v>27.9</v>
      </c>
      <c r="AM2518">
        <v>6.2</v>
      </c>
      <c r="AN2518">
        <v>325.39999999999998</v>
      </c>
      <c r="AO2518">
        <v>28</v>
      </c>
      <c r="AP2518">
        <v>10</v>
      </c>
      <c r="AQ2518">
        <v>0</v>
      </c>
      <c r="AR2518" t="s">
        <v>8703</v>
      </c>
      <c r="AS2518" t="s">
        <v>8704</v>
      </c>
      <c r="AT2518">
        <v>0.34</v>
      </c>
      <c r="AU2518" t="s">
        <v>43</v>
      </c>
      <c r="AV2518" t="s">
        <v>44</v>
      </c>
      <c r="AW2518" t="s">
        <v>45</v>
      </c>
      <c r="AX2518" t="s">
        <v>7728</v>
      </c>
      <c r="AY2518" t="s">
        <v>8705</v>
      </c>
      <c r="AZ2518">
        <v>177.00000000069849</v>
      </c>
      <c r="BA2518">
        <v>0</v>
      </c>
      <c r="BB2518">
        <v>0.01</v>
      </c>
      <c r="BC2518">
        <v>0</v>
      </c>
      <c r="BD2518">
        <v>0</v>
      </c>
      <c r="BE2518">
        <f t="shared" si="399"/>
        <v>0</v>
      </c>
    </row>
    <row r="2519" spans="1:57" x14ac:dyDescent="0.25">
      <c r="A2519" t="s">
        <v>39</v>
      </c>
      <c r="B2519" t="s">
        <v>8706</v>
      </c>
      <c r="C2519">
        <v>96.8</v>
      </c>
      <c r="D2519">
        <v>69.8</v>
      </c>
      <c r="G2519">
        <f t="shared" si="390"/>
        <v>1</v>
      </c>
      <c r="H2519">
        <f t="shared" si="391"/>
        <v>1</v>
      </c>
      <c r="I2519">
        <f t="shared" si="392"/>
        <v>0</v>
      </c>
      <c r="J2519">
        <v>82.5</v>
      </c>
      <c r="K2519">
        <v>96.9</v>
      </c>
      <c r="L2519">
        <v>69.8</v>
      </c>
      <c r="M2519">
        <v>81.5</v>
      </c>
      <c r="N2519">
        <v>54.1</v>
      </c>
      <c r="O2519">
        <v>45.7</v>
      </c>
      <c r="S2519">
        <f t="shared" si="393"/>
        <v>1</v>
      </c>
      <c r="T2519">
        <f t="shared" si="394"/>
        <v>0</v>
      </c>
      <c r="U2519">
        <f t="shared" si="395"/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39.1</v>
      </c>
      <c r="AC2519">
        <v>21.9</v>
      </c>
      <c r="AG2519">
        <f t="shared" si="396"/>
        <v>1</v>
      </c>
      <c r="AH2519">
        <f t="shared" si="397"/>
        <v>1</v>
      </c>
      <c r="AI2519">
        <f t="shared" si="398"/>
        <v>0</v>
      </c>
      <c r="AJ2519">
        <v>169.8</v>
      </c>
      <c r="AK2519">
        <v>1007.8</v>
      </c>
      <c r="AL2519">
        <v>30</v>
      </c>
      <c r="AM2519">
        <v>6.2</v>
      </c>
      <c r="AN2519">
        <v>336</v>
      </c>
      <c r="AO2519">
        <v>29.1</v>
      </c>
      <c r="AP2519">
        <v>10</v>
      </c>
      <c r="AQ2519">
        <v>0</v>
      </c>
      <c r="AR2519" t="s">
        <v>8707</v>
      </c>
      <c r="AS2519" t="s">
        <v>8708</v>
      </c>
      <c r="AT2519">
        <v>0.96</v>
      </c>
      <c r="AU2519" t="s">
        <v>43</v>
      </c>
      <c r="AV2519" t="s">
        <v>44</v>
      </c>
      <c r="AW2519" t="s">
        <v>45</v>
      </c>
      <c r="AX2519" t="s">
        <v>6127</v>
      </c>
      <c r="AY2519" t="s">
        <v>8709</v>
      </c>
      <c r="AZ2519">
        <v>1193.00000000163</v>
      </c>
      <c r="BA2519">
        <v>1</v>
      </c>
      <c r="BB2519">
        <v>4</v>
      </c>
      <c r="BC2519">
        <v>0</v>
      </c>
      <c r="BD2519">
        <v>0</v>
      </c>
      <c r="BE2519">
        <f t="shared" si="399"/>
        <v>1</v>
      </c>
    </row>
    <row r="2520" spans="1:57" x14ac:dyDescent="0.25">
      <c r="A2520" t="s">
        <v>39</v>
      </c>
      <c r="B2520" t="s">
        <v>8710</v>
      </c>
      <c r="C2520">
        <v>82.4</v>
      </c>
      <c r="D2520">
        <v>75.2</v>
      </c>
      <c r="G2520">
        <f t="shared" si="390"/>
        <v>1</v>
      </c>
      <c r="H2520">
        <f t="shared" si="391"/>
        <v>1</v>
      </c>
      <c r="I2520">
        <f t="shared" si="392"/>
        <v>0</v>
      </c>
      <c r="J2520">
        <v>79</v>
      </c>
      <c r="K2520">
        <v>85.4</v>
      </c>
      <c r="L2520">
        <v>75.2</v>
      </c>
      <c r="M2520">
        <v>80</v>
      </c>
      <c r="N2520">
        <v>66.400000000000006</v>
      </c>
      <c r="O2520">
        <v>65.599999999999994</v>
      </c>
      <c r="S2520">
        <f t="shared" si="393"/>
        <v>1</v>
      </c>
      <c r="T2520">
        <f t="shared" si="394"/>
        <v>1</v>
      </c>
      <c r="U2520">
        <f t="shared" si="395"/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37.4</v>
      </c>
      <c r="AC2520">
        <v>21.9</v>
      </c>
      <c r="AG2520">
        <f t="shared" si="396"/>
        <v>1</v>
      </c>
      <c r="AH2520">
        <f t="shared" si="397"/>
        <v>1</v>
      </c>
      <c r="AI2520">
        <f t="shared" si="398"/>
        <v>0</v>
      </c>
      <c r="AJ2520">
        <v>307.7</v>
      </c>
      <c r="AK2520">
        <v>1013</v>
      </c>
      <c r="AL2520">
        <v>20.9</v>
      </c>
      <c r="AM2520">
        <v>6.2</v>
      </c>
      <c r="AN2520">
        <v>333.3</v>
      </c>
      <c r="AO2520">
        <v>28.7</v>
      </c>
      <c r="AP2520">
        <v>10</v>
      </c>
      <c r="AQ2520">
        <v>0</v>
      </c>
      <c r="AR2520" t="s">
        <v>8711</v>
      </c>
      <c r="AS2520" t="s">
        <v>8712</v>
      </c>
      <c r="AT2520">
        <v>0.97</v>
      </c>
      <c r="AU2520" t="s">
        <v>43</v>
      </c>
      <c r="AV2520" t="s">
        <v>44</v>
      </c>
      <c r="AW2520" t="s">
        <v>45</v>
      </c>
      <c r="AX2520" t="s">
        <v>7769</v>
      </c>
      <c r="AY2520" t="s">
        <v>8713</v>
      </c>
      <c r="AZ2520">
        <v>3016.0000000032601</v>
      </c>
      <c r="BA2520">
        <v>1</v>
      </c>
      <c r="BB2520">
        <v>7</v>
      </c>
      <c r="BC2520">
        <v>0</v>
      </c>
      <c r="BD2520">
        <v>0</v>
      </c>
      <c r="BE2520">
        <f t="shared" si="399"/>
        <v>1</v>
      </c>
    </row>
    <row r="2521" spans="1:57" x14ac:dyDescent="0.25">
      <c r="A2521" t="s">
        <v>39</v>
      </c>
      <c r="B2521" t="s">
        <v>8714</v>
      </c>
      <c r="C2521">
        <v>69.8</v>
      </c>
      <c r="D2521">
        <v>64.400000000000006</v>
      </c>
      <c r="G2521">
        <f t="shared" si="390"/>
        <v>1</v>
      </c>
      <c r="H2521">
        <f t="shared" si="391"/>
        <v>0</v>
      </c>
      <c r="I2521">
        <f t="shared" si="392"/>
        <v>1</v>
      </c>
      <c r="J2521">
        <v>67.099999999999994</v>
      </c>
      <c r="K2521">
        <v>69.8</v>
      </c>
      <c r="L2521">
        <v>64.400000000000006</v>
      </c>
      <c r="M2521">
        <v>67.099999999999994</v>
      </c>
      <c r="N2521">
        <v>54.6</v>
      </c>
      <c r="O2521">
        <v>64.7</v>
      </c>
      <c r="S2521">
        <f t="shared" si="393"/>
        <v>0</v>
      </c>
      <c r="T2521">
        <f t="shared" si="394"/>
        <v>0</v>
      </c>
      <c r="U2521">
        <f t="shared" si="395"/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34</v>
      </c>
      <c r="AC2521">
        <v>19.7</v>
      </c>
      <c r="AG2521">
        <f t="shared" si="396"/>
        <v>1</v>
      </c>
      <c r="AH2521">
        <f t="shared" si="397"/>
        <v>1</v>
      </c>
      <c r="AI2521">
        <f t="shared" si="398"/>
        <v>0</v>
      </c>
      <c r="AJ2521">
        <v>315</v>
      </c>
      <c r="AK2521">
        <v>1020</v>
      </c>
      <c r="AL2521">
        <v>42.6</v>
      </c>
      <c r="AM2521">
        <v>6.2</v>
      </c>
      <c r="AN2521">
        <v>172.8</v>
      </c>
      <c r="AO2521">
        <v>14.9</v>
      </c>
      <c r="AP2521">
        <v>7</v>
      </c>
      <c r="AQ2521">
        <v>0</v>
      </c>
      <c r="AR2521" t="s">
        <v>8715</v>
      </c>
      <c r="AS2521" t="s">
        <v>8716</v>
      </c>
      <c r="AT2521">
        <v>0.87</v>
      </c>
      <c r="AU2521" t="s">
        <v>43</v>
      </c>
      <c r="AV2521" t="s">
        <v>44</v>
      </c>
      <c r="AW2521" t="s">
        <v>45</v>
      </c>
      <c r="AX2521" t="s">
        <v>8717</v>
      </c>
      <c r="AY2521" t="s">
        <v>8718</v>
      </c>
      <c r="AZ2521">
        <v>773.99999999790452</v>
      </c>
      <c r="BA2521">
        <v>1</v>
      </c>
      <c r="BB2521">
        <v>0</v>
      </c>
      <c r="BC2521">
        <v>1</v>
      </c>
      <c r="BD2521">
        <v>0</v>
      </c>
      <c r="BE2521">
        <f t="shared" si="399"/>
        <v>1</v>
      </c>
    </row>
    <row r="2522" spans="1:57" x14ac:dyDescent="0.25">
      <c r="A2522" t="s">
        <v>39</v>
      </c>
      <c r="B2522" t="s">
        <v>8719</v>
      </c>
      <c r="C2522">
        <v>77</v>
      </c>
      <c r="D2522">
        <v>59</v>
      </c>
      <c r="G2522">
        <f t="shared" si="390"/>
        <v>1</v>
      </c>
      <c r="H2522">
        <f t="shared" si="391"/>
        <v>1</v>
      </c>
      <c r="I2522">
        <f t="shared" si="392"/>
        <v>0</v>
      </c>
      <c r="J2522">
        <v>66.8</v>
      </c>
      <c r="K2522">
        <v>77</v>
      </c>
      <c r="L2522">
        <v>59</v>
      </c>
      <c r="M2522">
        <v>66.8</v>
      </c>
      <c r="N2522">
        <v>55.3</v>
      </c>
      <c r="O2522">
        <v>68</v>
      </c>
      <c r="S2522">
        <f t="shared" si="393"/>
        <v>0</v>
      </c>
      <c r="T2522">
        <f t="shared" si="394"/>
        <v>0</v>
      </c>
      <c r="U2522">
        <f t="shared" si="395"/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17.7</v>
      </c>
      <c r="AC2522">
        <v>5.8</v>
      </c>
      <c r="AG2522">
        <f t="shared" si="396"/>
        <v>1</v>
      </c>
      <c r="AH2522">
        <f t="shared" si="397"/>
        <v>0</v>
      </c>
      <c r="AI2522">
        <f t="shared" si="398"/>
        <v>1</v>
      </c>
      <c r="AJ2522">
        <v>193.5</v>
      </c>
      <c r="AK2522">
        <v>1018.4</v>
      </c>
      <c r="AL2522">
        <v>12.7</v>
      </c>
      <c r="AM2522">
        <v>6.2</v>
      </c>
      <c r="AN2522">
        <v>180.1</v>
      </c>
      <c r="AO2522">
        <v>15.6</v>
      </c>
      <c r="AP2522">
        <v>7</v>
      </c>
      <c r="AQ2522">
        <v>0</v>
      </c>
      <c r="AR2522" t="s">
        <v>8720</v>
      </c>
      <c r="AS2522" t="s">
        <v>8721</v>
      </c>
      <c r="AT2522">
        <v>0</v>
      </c>
      <c r="AU2522" t="s">
        <v>74</v>
      </c>
      <c r="AV2522" t="s">
        <v>2955</v>
      </c>
      <c r="AW2522" t="s">
        <v>75</v>
      </c>
      <c r="AX2522" t="s">
        <v>6392</v>
      </c>
      <c r="AY2522" t="s">
        <v>8722</v>
      </c>
      <c r="AZ2522">
        <v>103.0000000004657</v>
      </c>
      <c r="BA2522">
        <v>0</v>
      </c>
      <c r="BB2522">
        <v>0</v>
      </c>
      <c r="BC2522">
        <v>0.1</v>
      </c>
      <c r="BD2522">
        <v>0</v>
      </c>
      <c r="BE2522">
        <f t="shared" si="399"/>
        <v>0</v>
      </c>
    </row>
    <row r="2523" spans="1:57" x14ac:dyDescent="0.25">
      <c r="A2523" t="s">
        <v>39</v>
      </c>
      <c r="B2523" t="s">
        <v>8723</v>
      </c>
      <c r="C2523">
        <v>69.8</v>
      </c>
      <c r="D2523">
        <v>64.400000000000006</v>
      </c>
      <c r="G2523">
        <f t="shared" si="390"/>
        <v>1</v>
      </c>
      <c r="H2523">
        <f t="shared" si="391"/>
        <v>0</v>
      </c>
      <c r="I2523">
        <f t="shared" si="392"/>
        <v>1</v>
      </c>
      <c r="J2523">
        <v>66.7</v>
      </c>
      <c r="K2523">
        <v>69.8</v>
      </c>
      <c r="L2523">
        <v>64.400000000000006</v>
      </c>
      <c r="M2523">
        <v>66.7</v>
      </c>
      <c r="N2523">
        <v>57.8</v>
      </c>
      <c r="O2523">
        <v>73.3</v>
      </c>
      <c r="S2523">
        <f t="shared" si="393"/>
        <v>1</v>
      </c>
      <c r="T2523">
        <f t="shared" si="394"/>
        <v>1</v>
      </c>
      <c r="U2523">
        <f t="shared" si="395"/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25.9</v>
      </c>
      <c r="AC2523">
        <v>17.2</v>
      </c>
      <c r="AG2523">
        <f t="shared" si="396"/>
        <v>0</v>
      </c>
      <c r="AH2523">
        <f t="shared" si="397"/>
        <v>0</v>
      </c>
      <c r="AI2523">
        <f t="shared" si="398"/>
        <v>0</v>
      </c>
      <c r="AJ2523">
        <v>310.89999999999998</v>
      </c>
      <c r="AK2523">
        <v>1019.6</v>
      </c>
      <c r="AL2523">
        <v>51.6</v>
      </c>
      <c r="AM2523">
        <v>6.2</v>
      </c>
      <c r="AN2523">
        <v>139</v>
      </c>
      <c r="AO2523">
        <v>11.9</v>
      </c>
      <c r="AP2523">
        <v>5</v>
      </c>
      <c r="AQ2523">
        <v>0</v>
      </c>
      <c r="AR2523" t="s">
        <v>8724</v>
      </c>
      <c r="AS2523" t="s">
        <v>8725</v>
      </c>
      <c r="AT2523">
        <v>0.14000000000000001</v>
      </c>
      <c r="AU2523" t="s">
        <v>43</v>
      </c>
      <c r="AV2523" t="s">
        <v>44</v>
      </c>
      <c r="AW2523" t="s">
        <v>45</v>
      </c>
      <c r="AX2523" t="s">
        <v>6127</v>
      </c>
      <c r="AY2523" t="s">
        <v>8726</v>
      </c>
      <c r="AZ2523">
        <v>162.00000000419101</v>
      </c>
      <c r="BA2523">
        <v>0</v>
      </c>
      <c r="BB2523">
        <v>0.5</v>
      </c>
      <c r="BC2523">
        <v>0</v>
      </c>
      <c r="BD2523">
        <v>0</v>
      </c>
      <c r="BE2523">
        <f t="shared" si="399"/>
        <v>0</v>
      </c>
    </row>
    <row r="2524" spans="1:57" x14ac:dyDescent="0.25">
      <c r="A2524" t="s">
        <v>39</v>
      </c>
      <c r="B2524" t="s">
        <v>8727</v>
      </c>
      <c r="C2524">
        <v>68</v>
      </c>
      <c r="D2524">
        <v>60.8</v>
      </c>
      <c r="G2524">
        <f t="shared" si="390"/>
        <v>1</v>
      </c>
      <c r="H2524">
        <f t="shared" si="391"/>
        <v>0</v>
      </c>
      <c r="I2524">
        <f t="shared" si="392"/>
        <v>1</v>
      </c>
      <c r="J2524">
        <v>65.3</v>
      </c>
      <c r="K2524">
        <v>68</v>
      </c>
      <c r="L2524">
        <v>60.8</v>
      </c>
      <c r="M2524">
        <v>65.3</v>
      </c>
      <c r="N2524">
        <v>56.4</v>
      </c>
      <c r="O2524">
        <v>73.2</v>
      </c>
      <c r="S2524">
        <f t="shared" si="393"/>
        <v>1</v>
      </c>
      <c r="T2524">
        <f t="shared" si="394"/>
        <v>1</v>
      </c>
      <c r="U2524">
        <f t="shared" si="395"/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23</v>
      </c>
      <c r="AC2524">
        <v>13.9</v>
      </c>
      <c r="AG2524">
        <f t="shared" si="396"/>
        <v>1</v>
      </c>
      <c r="AH2524">
        <f t="shared" si="397"/>
        <v>0</v>
      </c>
      <c r="AI2524">
        <f t="shared" si="398"/>
        <v>1</v>
      </c>
      <c r="AJ2524">
        <v>309.60000000000002</v>
      </c>
      <c r="AK2524">
        <v>1018.1</v>
      </c>
      <c r="AL2524">
        <v>39.4</v>
      </c>
      <c r="AM2524">
        <v>6.2</v>
      </c>
      <c r="AN2524">
        <v>149.6</v>
      </c>
      <c r="AO2524">
        <v>13.5</v>
      </c>
      <c r="AP2524">
        <v>6</v>
      </c>
      <c r="AQ2524">
        <v>0</v>
      </c>
      <c r="AR2524" t="s">
        <v>8728</v>
      </c>
      <c r="AS2524" t="s">
        <v>8729</v>
      </c>
      <c r="AT2524">
        <v>0.18</v>
      </c>
      <c r="AU2524" t="s">
        <v>43</v>
      </c>
      <c r="AV2524" t="s">
        <v>44</v>
      </c>
      <c r="AW2524" t="s">
        <v>45</v>
      </c>
      <c r="AX2524" t="s">
        <v>8730</v>
      </c>
      <c r="AY2524" t="s">
        <v>8731</v>
      </c>
      <c r="AZ2524">
        <v>182.00000000651929</v>
      </c>
      <c r="BA2524">
        <v>0</v>
      </c>
      <c r="BB2524">
        <v>0</v>
      </c>
      <c r="BC2524">
        <v>4</v>
      </c>
      <c r="BD2524">
        <v>0</v>
      </c>
      <c r="BE2524">
        <f t="shared" si="399"/>
        <v>0</v>
      </c>
    </row>
    <row r="2525" spans="1:57" x14ac:dyDescent="0.25">
      <c r="A2525" t="s">
        <v>39</v>
      </c>
      <c r="B2525" t="s">
        <v>8732</v>
      </c>
      <c r="C2525">
        <v>73.400000000000006</v>
      </c>
      <c r="D2525">
        <v>55.4</v>
      </c>
      <c r="G2525">
        <f t="shared" si="390"/>
        <v>1</v>
      </c>
      <c r="H2525">
        <f t="shared" si="391"/>
        <v>1</v>
      </c>
      <c r="I2525">
        <f t="shared" si="392"/>
        <v>0</v>
      </c>
      <c r="J2525">
        <v>63.2</v>
      </c>
      <c r="K2525">
        <v>73.400000000000006</v>
      </c>
      <c r="L2525">
        <v>55.4</v>
      </c>
      <c r="M2525">
        <v>63.2</v>
      </c>
      <c r="N2525">
        <v>53.3</v>
      </c>
      <c r="O2525">
        <v>70.7</v>
      </c>
      <c r="S2525">
        <f t="shared" si="393"/>
        <v>1</v>
      </c>
      <c r="T2525">
        <f t="shared" si="394"/>
        <v>1</v>
      </c>
      <c r="U2525">
        <f t="shared" si="395"/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10.3</v>
      </c>
      <c r="AC2525">
        <v>10.3</v>
      </c>
      <c r="AG2525">
        <f t="shared" si="396"/>
        <v>1</v>
      </c>
      <c r="AH2525">
        <f t="shared" si="397"/>
        <v>0</v>
      </c>
      <c r="AI2525">
        <f t="shared" si="398"/>
        <v>1</v>
      </c>
      <c r="AJ2525">
        <v>160.69999999999999</v>
      </c>
      <c r="AK2525">
        <v>1016.8</v>
      </c>
      <c r="AL2525">
        <v>12.8</v>
      </c>
      <c r="AM2525">
        <v>6.2</v>
      </c>
      <c r="AN2525">
        <v>165.6</v>
      </c>
      <c r="AO2525">
        <v>14.3</v>
      </c>
      <c r="AP2525">
        <v>6</v>
      </c>
      <c r="AQ2525">
        <v>0</v>
      </c>
      <c r="AR2525" t="s">
        <v>8733</v>
      </c>
      <c r="AS2525" t="s">
        <v>8734</v>
      </c>
      <c r="AT2525">
        <v>0.36</v>
      </c>
      <c r="AU2525" t="s">
        <v>74</v>
      </c>
      <c r="AV2525" t="s">
        <v>2955</v>
      </c>
      <c r="AW2525" t="s">
        <v>75</v>
      </c>
      <c r="AX2525" t="s">
        <v>8735</v>
      </c>
      <c r="AY2525" t="s">
        <v>8736</v>
      </c>
      <c r="AZ2525">
        <v>740.00000000232831</v>
      </c>
      <c r="BA2525">
        <v>1</v>
      </c>
      <c r="BB2525">
        <v>0.15</v>
      </c>
      <c r="BC2525">
        <v>0</v>
      </c>
      <c r="BD2525">
        <v>0</v>
      </c>
      <c r="BE2525">
        <f t="shared" si="399"/>
        <v>1</v>
      </c>
    </row>
    <row r="2526" spans="1:57" x14ac:dyDescent="0.25">
      <c r="A2526" t="s">
        <v>39</v>
      </c>
      <c r="B2526" t="s">
        <v>8639</v>
      </c>
      <c r="C2526">
        <v>77</v>
      </c>
      <c r="D2526">
        <v>55.4</v>
      </c>
      <c r="G2526">
        <f t="shared" si="390"/>
        <v>1</v>
      </c>
      <c r="H2526">
        <f t="shared" si="391"/>
        <v>1</v>
      </c>
      <c r="I2526">
        <f t="shared" si="392"/>
        <v>0</v>
      </c>
      <c r="J2526">
        <v>66.099999999999994</v>
      </c>
      <c r="K2526">
        <v>77</v>
      </c>
      <c r="L2526">
        <v>55.4</v>
      </c>
      <c r="M2526">
        <v>66.099999999999994</v>
      </c>
      <c r="N2526">
        <v>54.1</v>
      </c>
      <c r="O2526">
        <v>66.400000000000006</v>
      </c>
      <c r="S2526">
        <f t="shared" si="393"/>
        <v>0</v>
      </c>
      <c r="T2526">
        <f t="shared" si="394"/>
        <v>0</v>
      </c>
      <c r="U2526">
        <f t="shared" si="395"/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24</v>
      </c>
      <c r="AC2526">
        <v>20.8</v>
      </c>
      <c r="AG2526">
        <f t="shared" si="396"/>
        <v>1</v>
      </c>
      <c r="AH2526">
        <f t="shared" si="397"/>
        <v>1</v>
      </c>
      <c r="AI2526">
        <f t="shared" si="398"/>
        <v>0</v>
      </c>
      <c r="AJ2526">
        <v>177.1</v>
      </c>
      <c r="AK2526">
        <v>1014.7</v>
      </c>
      <c r="AL2526">
        <v>28.2</v>
      </c>
      <c r="AM2526">
        <v>6.2</v>
      </c>
      <c r="AN2526">
        <v>160.69999999999999</v>
      </c>
      <c r="AO2526">
        <v>14</v>
      </c>
      <c r="AP2526">
        <v>6</v>
      </c>
      <c r="AQ2526">
        <v>0</v>
      </c>
      <c r="AR2526" t="s">
        <v>8640</v>
      </c>
      <c r="AS2526" t="s">
        <v>8641</v>
      </c>
      <c r="AT2526">
        <v>0.39</v>
      </c>
      <c r="AU2526" t="s">
        <v>43</v>
      </c>
      <c r="AV2526" t="s">
        <v>44</v>
      </c>
      <c r="AW2526" t="s">
        <v>45</v>
      </c>
      <c r="AX2526" t="s">
        <v>8574</v>
      </c>
      <c r="AY2526" t="s">
        <v>8737</v>
      </c>
      <c r="AZ2526">
        <v>133.9999999967404</v>
      </c>
      <c r="BA2526">
        <v>0</v>
      </c>
      <c r="BB2526">
        <v>0</v>
      </c>
      <c r="BC2526">
        <v>3</v>
      </c>
      <c r="BD2526">
        <v>0</v>
      </c>
      <c r="BE2526">
        <f t="shared" si="399"/>
        <v>0</v>
      </c>
    </row>
    <row r="2527" spans="1:57" x14ac:dyDescent="0.25">
      <c r="A2527" t="s">
        <v>39</v>
      </c>
      <c r="B2527" t="s">
        <v>8647</v>
      </c>
      <c r="C2527">
        <v>75.2</v>
      </c>
      <c r="D2527">
        <v>59</v>
      </c>
      <c r="G2527">
        <f t="shared" si="390"/>
        <v>1</v>
      </c>
      <c r="H2527">
        <f t="shared" si="391"/>
        <v>1</v>
      </c>
      <c r="I2527">
        <f t="shared" si="392"/>
        <v>0</v>
      </c>
      <c r="J2527">
        <v>66.5</v>
      </c>
      <c r="K2527">
        <v>75.2</v>
      </c>
      <c r="L2527">
        <v>59</v>
      </c>
      <c r="M2527">
        <v>66.5</v>
      </c>
      <c r="N2527">
        <v>54.9</v>
      </c>
      <c r="O2527">
        <v>67.7</v>
      </c>
      <c r="S2527">
        <f t="shared" si="393"/>
        <v>0</v>
      </c>
      <c r="T2527">
        <f t="shared" si="394"/>
        <v>0</v>
      </c>
      <c r="U2527">
        <f t="shared" si="395"/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23</v>
      </c>
      <c r="AC2527">
        <v>21.9</v>
      </c>
      <c r="AG2527">
        <f t="shared" si="396"/>
        <v>1</v>
      </c>
      <c r="AH2527">
        <f t="shared" si="397"/>
        <v>1</v>
      </c>
      <c r="AI2527">
        <f t="shared" si="398"/>
        <v>0</v>
      </c>
      <c r="AJ2527">
        <v>173.1</v>
      </c>
      <c r="AK2527">
        <v>1011.8</v>
      </c>
      <c r="AL2527">
        <v>27.8</v>
      </c>
      <c r="AM2527">
        <v>6.2</v>
      </c>
      <c r="AN2527">
        <v>137.6</v>
      </c>
      <c r="AO2527">
        <v>11.9</v>
      </c>
      <c r="AP2527">
        <v>5</v>
      </c>
      <c r="AQ2527">
        <v>0</v>
      </c>
      <c r="AR2527" t="s">
        <v>8648</v>
      </c>
      <c r="AS2527" t="s">
        <v>8649</v>
      </c>
      <c r="AT2527">
        <v>0.79</v>
      </c>
      <c r="AU2527" t="s">
        <v>43</v>
      </c>
      <c r="AV2527" t="s">
        <v>44</v>
      </c>
      <c r="AW2527" t="s">
        <v>45</v>
      </c>
      <c r="AX2527" t="s">
        <v>2486</v>
      </c>
      <c r="AY2527" t="s">
        <v>8738</v>
      </c>
      <c r="AZ2527">
        <v>180</v>
      </c>
      <c r="BA2527">
        <v>0</v>
      </c>
      <c r="BB2527">
        <v>0</v>
      </c>
      <c r="BC2527">
        <v>0.5</v>
      </c>
      <c r="BD2527">
        <v>0</v>
      </c>
      <c r="BE2527">
        <f t="shared" si="399"/>
        <v>0</v>
      </c>
    </row>
    <row r="2528" spans="1:57" x14ac:dyDescent="0.25">
      <c r="A2528" t="s">
        <v>39</v>
      </c>
      <c r="B2528" t="s">
        <v>8739</v>
      </c>
      <c r="C2528">
        <v>59</v>
      </c>
      <c r="D2528">
        <v>50</v>
      </c>
      <c r="G2528">
        <f t="shared" si="390"/>
        <v>1</v>
      </c>
      <c r="H2528">
        <f t="shared" si="391"/>
        <v>0</v>
      </c>
      <c r="I2528">
        <f t="shared" si="392"/>
        <v>1</v>
      </c>
      <c r="J2528">
        <v>55.2</v>
      </c>
      <c r="K2528">
        <v>59</v>
      </c>
      <c r="L2528">
        <v>47.8</v>
      </c>
      <c r="M2528">
        <v>55.1</v>
      </c>
      <c r="N2528">
        <v>47.5</v>
      </c>
      <c r="O2528">
        <v>75.5</v>
      </c>
      <c r="S2528">
        <f t="shared" si="393"/>
        <v>1</v>
      </c>
      <c r="T2528">
        <f t="shared" si="394"/>
        <v>1</v>
      </c>
      <c r="U2528">
        <f t="shared" si="395"/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16.100000000000001</v>
      </c>
      <c r="AC2528">
        <v>6.9</v>
      </c>
      <c r="AG2528">
        <f t="shared" si="396"/>
        <v>1</v>
      </c>
      <c r="AH2528">
        <f t="shared" si="397"/>
        <v>0</v>
      </c>
      <c r="AI2528">
        <f t="shared" si="398"/>
        <v>1</v>
      </c>
      <c r="AJ2528">
        <v>207</v>
      </c>
      <c r="AK2528">
        <v>1018</v>
      </c>
      <c r="AL2528">
        <v>84.6</v>
      </c>
      <c r="AM2528">
        <v>6.2</v>
      </c>
      <c r="AN2528">
        <v>81.8</v>
      </c>
      <c r="AO2528">
        <v>6.9</v>
      </c>
      <c r="AP2528">
        <v>3</v>
      </c>
      <c r="AQ2528">
        <v>0</v>
      </c>
      <c r="AR2528" t="s">
        <v>8740</v>
      </c>
      <c r="AS2528" t="s">
        <v>8741</v>
      </c>
      <c r="AT2528">
        <v>0.97</v>
      </c>
      <c r="AU2528" t="s">
        <v>43</v>
      </c>
      <c r="AV2528" t="s">
        <v>44</v>
      </c>
      <c r="AW2528" t="s">
        <v>45</v>
      </c>
      <c r="AX2528" t="s">
        <v>7671</v>
      </c>
      <c r="AY2528" t="s">
        <v>8742</v>
      </c>
      <c r="AZ2528">
        <v>130.99999999743889</v>
      </c>
      <c r="BA2528">
        <v>0</v>
      </c>
      <c r="BB2528">
        <v>0.1</v>
      </c>
      <c r="BC2528">
        <v>0</v>
      </c>
      <c r="BD2528">
        <v>0</v>
      </c>
      <c r="BE2528">
        <f t="shared" si="399"/>
        <v>0</v>
      </c>
    </row>
    <row r="2529" spans="1:57" x14ac:dyDescent="0.25">
      <c r="A2529" t="s">
        <v>39</v>
      </c>
      <c r="B2529" t="s">
        <v>8743</v>
      </c>
      <c r="C2529">
        <v>62.6</v>
      </c>
      <c r="D2529">
        <v>51.8</v>
      </c>
      <c r="G2529">
        <f t="shared" si="390"/>
        <v>1</v>
      </c>
      <c r="H2529">
        <f t="shared" si="391"/>
        <v>1</v>
      </c>
      <c r="I2529">
        <f t="shared" si="392"/>
        <v>0</v>
      </c>
      <c r="J2529">
        <v>57.1</v>
      </c>
      <c r="K2529">
        <v>62.6</v>
      </c>
      <c r="L2529">
        <v>51.8</v>
      </c>
      <c r="M2529">
        <v>57.1</v>
      </c>
      <c r="N2529">
        <v>51.3</v>
      </c>
      <c r="O2529">
        <v>80.900000000000006</v>
      </c>
      <c r="S2529">
        <f t="shared" si="393"/>
        <v>1</v>
      </c>
      <c r="T2529">
        <f t="shared" si="394"/>
        <v>1</v>
      </c>
      <c r="U2529">
        <f t="shared" si="395"/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23</v>
      </c>
      <c r="AC2529">
        <v>9.1999999999999993</v>
      </c>
      <c r="AG2529">
        <f t="shared" si="396"/>
        <v>1</v>
      </c>
      <c r="AH2529">
        <f t="shared" si="397"/>
        <v>0</v>
      </c>
      <c r="AI2529">
        <f t="shared" si="398"/>
        <v>1</v>
      </c>
      <c r="AJ2529">
        <v>175.5</v>
      </c>
      <c r="AK2529">
        <v>1017.3</v>
      </c>
      <c r="AL2529">
        <v>53</v>
      </c>
      <c r="AM2529">
        <v>6.2</v>
      </c>
      <c r="AN2529">
        <v>84.7</v>
      </c>
      <c r="AO2529">
        <v>7.2</v>
      </c>
      <c r="AP2529">
        <v>3</v>
      </c>
      <c r="AQ2529">
        <v>0</v>
      </c>
      <c r="AR2529" t="s">
        <v>8744</v>
      </c>
      <c r="AS2529" t="s">
        <v>8745</v>
      </c>
      <c r="AT2529">
        <v>0.05</v>
      </c>
      <c r="AU2529" t="s">
        <v>43</v>
      </c>
      <c r="AV2529" t="s">
        <v>44</v>
      </c>
      <c r="AW2529" t="s">
        <v>45</v>
      </c>
      <c r="AX2529" t="s">
        <v>4290</v>
      </c>
      <c r="AY2529" t="s">
        <v>8746</v>
      </c>
      <c r="AZ2529">
        <v>206.00000000093129</v>
      </c>
      <c r="BA2529">
        <v>0</v>
      </c>
      <c r="BB2529">
        <v>0</v>
      </c>
      <c r="BC2529">
        <v>1</v>
      </c>
      <c r="BD2529">
        <v>0</v>
      </c>
      <c r="BE2529">
        <f t="shared" si="399"/>
        <v>1</v>
      </c>
    </row>
    <row r="2530" spans="1:57" x14ac:dyDescent="0.25">
      <c r="A2530" t="s">
        <v>39</v>
      </c>
      <c r="B2530" t="s">
        <v>8747</v>
      </c>
      <c r="C2530">
        <v>60.8</v>
      </c>
      <c r="D2530">
        <v>48.2</v>
      </c>
      <c r="G2530">
        <f t="shared" si="390"/>
        <v>1</v>
      </c>
      <c r="H2530">
        <f t="shared" si="391"/>
        <v>1</v>
      </c>
      <c r="I2530">
        <f t="shared" si="392"/>
        <v>0</v>
      </c>
      <c r="J2530">
        <v>54.9</v>
      </c>
      <c r="K2530">
        <v>60.8</v>
      </c>
      <c r="L2530">
        <v>44.6</v>
      </c>
      <c r="M2530">
        <v>54.7</v>
      </c>
      <c r="N2530">
        <v>46</v>
      </c>
      <c r="O2530">
        <v>72.5</v>
      </c>
      <c r="S2530">
        <f t="shared" si="393"/>
        <v>1</v>
      </c>
      <c r="T2530">
        <f t="shared" si="394"/>
        <v>1</v>
      </c>
      <c r="U2530">
        <f t="shared" si="395"/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26.4</v>
      </c>
      <c r="AC2530">
        <v>15</v>
      </c>
      <c r="AG2530">
        <f t="shared" si="396"/>
        <v>1</v>
      </c>
      <c r="AH2530">
        <f t="shared" si="397"/>
        <v>0</v>
      </c>
      <c r="AI2530">
        <f t="shared" si="398"/>
        <v>1</v>
      </c>
      <c r="AJ2530">
        <v>237.3</v>
      </c>
      <c r="AK2530">
        <v>1017.9</v>
      </c>
      <c r="AL2530">
        <v>67</v>
      </c>
      <c r="AM2530">
        <v>6.2</v>
      </c>
      <c r="AN2530">
        <v>131.4</v>
      </c>
      <c r="AO2530">
        <v>11.4</v>
      </c>
      <c r="AP2530">
        <v>6</v>
      </c>
      <c r="AQ2530">
        <v>0</v>
      </c>
      <c r="AR2530" t="s">
        <v>8748</v>
      </c>
      <c r="AS2530" t="s">
        <v>8749</v>
      </c>
      <c r="AT2530">
        <v>0.92</v>
      </c>
      <c r="AU2530" t="s">
        <v>43</v>
      </c>
      <c r="AV2530" t="s">
        <v>44</v>
      </c>
      <c r="AW2530" t="s">
        <v>45</v>
      </c>
      <c r="AX2530" t="s">
        <v>2587</v>
      </c>
      <c r="AY2530" t="s">
        <v>8750</v>
      </c>
      <c r="AZ2530">
        <v>287.0000000030268</v>
      </c>
      <c r="BA2530">
        <v>0</v>
      </c>
      <c r="BB2530">
        <v>15</v>
      </c>
      <c r="BC2530">
        <v>0</v>
      </c>
      <c r="BD2530">
        <v>0</v>
      </c>
      <c r="BE2530">
        <f t="shared" si="399"/>
        <v>1</v>
      </c>
    </row>
    <row r="2531" spans="1:57" x14ac:dyDescent="0.25">
      <c r="A2531" t="s">
        <v>39</v>
      </c>
      <c r="B2531" t="s">
        <v>8751</v>
      </c>
      <c r="C2531">
        <v>80.599999999999994</v>
      </c>
      <c r="D2531">
        <v>59</v>
      </c>
      <c r="G2531">
        <f t="shared" si="390"/>
        <v>1</v>
      </c>
      <c r="H2531">
        <f t="shared" si="391"/>
        <v>1</v>
      </c>
      <c r="I2531">
        <f t="shared" si="392"/>
        <v>0</v>
      </c>
      <c r="J2531">
        <v>67.8</v>
      </c>
      <c r="K2531">
        <v>79.400000000000006</v>
      </c>
      <c r="L2531">
        <v>59</v>
      </c>
      <c r="M2531">
        <v>67.7</v>
      </c>
      <c r="N2531">
        <v>49.8</v>
      </c>
      <c r="O2531">
        <v>59.8</v>
      </c>
      <c r="S2531">
        <f t="shared" si="393"/>
        <v>1</v>
      </c>
      <c r="T2531">
        <f t="shared" si="394"/>
        <v>0</v>
      </c>
      <c r="U2531">
        <f t="shared" si="395"/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45</v>
      </c>
      <c r="AC2531">
        <v>32.200000000000003</v>
      </c>
      <c r="AG2531">
        <f t="shared" si="396"/>
        <v>1</v>
      </c>
      <c r="AH2531">
        <f t="shared" si="397"/>
        <v>1</v>
      </c>
      <c r="AI2531">
        <f t="shared" si="398"/>
        <v>0</v>
      </c>
      <c r="AJ2531">
        <v>175.4</v>
      </c>
      <c r="AK2531">
        <v>1007</v>
      </c>
      <c r="AL2531">
        <v>45.9</v>
      </c>
      <c r="AM2531">
        <v>5.5</v>
      </c>
      <c r="AN2531">
        <v>221.1</v>
      </c>
      <c r="AO2531">
        <v>19.100000000000001</v>
      </c>
      <c r="AP2531">
        <v>8</v>
      </c>
      <c r="AQ2531">
        <v>0</v>
      </c>
      <c r="AR2531" t="s">
        <v>8752</v>
      </c>
      <c r="AS2531" t="s">
        <v>8753</v>
      </c>
      <c r="AT2531">
        <v>0.2</v>
      </c>
      <c r="AU2531" t="s">
        <v>43</v>
      </c>
      <c r="AV2531" t="s">
        <v>44</v>
      </c>
      <c r="AW2531" t="s">
        <v>419</v>
      </c>
      <c r="AX2531" t="s">
        <v>8754</v>
      </c>
      <c r="AY2531" t="s">
        <v>8755</v>
      </c>
      <c r="AZ2531">
        <v>270</v>
      </c>
      <c r="BA2531">
        <v>0</v>
      </c>
      <c r="BB2531">
        <v>0</v>
      </c>
      <c r="BC2531">
        <v>1</v>
      </c>
      <c r="BD2531">
        <v>0</v>
      </c>
      <c r="BE2531">
        <f t="shared" si="399"/>
        <v>1</v>
      </c>
    </row>
    <row r="2532" spans="1:57" x14ac:dyDescent="0.25">
      <c r="A2532" t="s">
        <v>39</v>
      </c>
      <c r="B2532" t="s">
        <v>8756</v>
      </c>
      <c r="C2532">
        <v>64.400000000000006</v>
      </c>
      <c r="D2532">
        <v>46.4</v>
      </c>
      <c r="G2532">
        <f t="shared" si="390"/>
        <v>1</v>
      </c>
      <c r="H2532">
        <f t="shared" si="391"/>
        <v>0</v>
      </c>
      <c r="I2532">
        <f t="shared" si="392"/>
        <v>1</v>
      </c>
      <c r="J2532">
        <v>57.4</v>
      </c>
      <c r="K2532">
        <v>64.400000000000006</v>
      </c>
      <c r="L2532">
        <v>42.9</v>
      </c>
      <c r="M2532">
        <v>57.1</v>
      </c>
      <c r="N2532">
        <v>46.6</v>
      </c>
      <c r="O2532">
        <v>68.8</v>
      </c>
      <c r="S2532">
        <f t="shared" si="393"/>
        <v>1</v>
      </c>
      <c r="T2532">
        <f t="shared" si="394"/>
        <v>1</v>
      </c>
      <c r="U2532">
        <f t="shared" si="395"/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20.8</v>
      </c>
      <c r="AC2532">
        <v>17.2</v>
      </c>
      <c r="AG2532">
        <f t="shared" si="396"/>
        <v>0</v>
      </c>
      <c r="AH2532">
        <f t="shared" si="397"/>
        <v>0</v>
      </c>
      <c r="AI2532">
        <f t="shared" si="398"/>
        <v>0</v>
      </c>
      <c r="AJ2532">
        <v>300.89999999999998</v>
      </c>
      <c r="AK2532">
        <v>1017.4</v>
      </c>
      <c r="AL2532">
        <v>34.299999999999997</v>
      </c>
      <c r="AM2532">
        <v>6.2</v>
      </c>
      <c r="AN2532">
        <v>297.5</v>
      </c>
      <c r="AO2532">
        <v>25.7</v>
      </c>
      <c r="AP2532">
        <v>9</v>
      </c>
      <c r="AQ2532">
        <v>0</v>
      </c>
      <c r="AR2532" t="s">
        <v>8757</v>
      </c>
      <c r="AS2532" t="s">
        <v>8758</v>
      </c>
      <c r="AT2532">
        <v>0.63</v>
      </c>
      <c r="AU2532" t="s">
        <v>43</v>
      </c>
      <c r="AV2532" t="s">
        <v>44</v>
      </c>
      <c r="AW2532" t="s">
        <v>45</v>
      </c>
      <c r="AX2532" t="s">
        <v>5380</v>
      </c>
      <c r="AY2532" t="s">
        <v>8759</v>
      </c>
      <c r="AZ2532">
        <v>393.99999999557622</v>
      </c>
      <c r="BA2532">
        <v>1</v>
      </c>
      <c r="BB2532">
        <v>0</v>
      </c>
      <c r="BC2532">
        <v>1</v>
      </c>
      <c r="BD2532">
        <v>0</v>
      </c>
      <c r="BE2532">
        <f t="shared" si="399"/>
        <v>0</v>
      </c>
    </row>
    <row r="2533" spans="1:57" x14ac:dyDescent="0.25">
      <c r="A2533" t="s">
        <v>39</v>
      </c>
      <c r="B2533" t="s">
        <v>8760</v>
      </c>
      <c r="C2533">
        <v>84.2</v>
      </c>
      <c r="D2533">
        <v>77</v>
      </c>
      <c r="G2533">
        <f t="shared" si="390"/>
        <v>0</v>
      </c>
      <c r="H2533">
        <f t="shared" si="391"/>
        <v>0</v>
      </c>
      <c r="I2533">
        <f t="shared" si="392"/>
        <v>0</v>
      </c>
      <c r="J2533">
        <v>80.7</v>
      </c>
      <c r="K2533">
        <v>85.7</v>
      </c>
      <c r="L2533">
        <v>77</v>
      </c>
      <c r="M2533">
        <v>81.400000000000006</v>
      </c>
      <c r="N2533">
        <v>64.599999999999994</v>
      </c>
      <c r="O2533">
        <v>58.4</v>
      </c>
      <c r="S2533">
        <f t="shared" si="393"/>
        <v>1</v>
      </c>
      <c r="T2533">
        <f t="shared" si="394"/>
        <v>0</v>
      </c>
      <c r="U2533">
        <f t="shared" si="395"/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41.2</v>
      </c>
      <c r="AC2533">
        <v>21.9</v>
      </c>
      <c r="AG2533">
        <f t="shared" si="396"/>
        <v>1</v>
      </c>
      <c r="AH2533">
        <f t="shared" si="397"/>
        <v>1</v>
      </c>
      <c r="AI2533">
        <f t="shared" si="398"/>
        <v>0</v>
      </c>
      <c r="AJ2533">
        <v>297.60000000000002</v>
      </c>
      <c r="AK2533">
        <v>1013.5</v>
      </c>
      <c r="AL2533">
        <v>9.5</v>
      </c>
      <c r="AM2533">
        <v>6.2</v>
      </c>
      <c r="AN2533">
        <v>334.4</v>
      </c>
      <c r="AO2533">
        <v>28.9</v>
      </c>
      <c r="AP2533">
        <v>10</v>
      </c>
      <c r="AQ2533">
        <v>0</v>
      </c>
      <c r="AR2533" t="s">
        <v>8761</v>
      </c>
      <c r="AS2533" t="s">
        <v>8762</v>
      </c>
      <c r="AT2533">
        <v>0.65</v>
      </c>
      <c r="AU2533" t="s">
        <v>74</v>
      </c>
      <c r="AV2533" t="s">
        <v>2955</v>
      </c>
      <c r="AW2533" t="s">
        <v>75</v>
      </c>
      <c r="AX2533" t="s">
        <v>2761</v>
      </c>
      <c r="AY2533" t="s">
        <v>8763</v>
      </c>
      <c r="AZ2533">
        <v>3909.9999999941788</v>
      </c>
      <c r="BA2533">
        <v>1</v>
      </c>
      <c r="BB2533">
        <v>0</v>
      </c>
      <c r="BC2533">
        <v>35</v>
      </c>
      <c r="BD2533">
        <v>0</v>
      </c>
      <c r="BE2533">
        <f t="shared" si="399"/>
        <v>1</v>
      </c>
    </row>
    <row r="2534" spans="1:57" x14ac:dyDescent="0.25">
      <c r="A2534" t="s">
        <v>39</v>
      </c>
      <c r="B2534" t="s">
        <v>8764</v>
      </c>
      <c r="C2534">
        <v>86</v>
      </c>
      <c r="D2534">
        <v>77</v>
      </c>
      <c r="G2534">
        <f t="shared" si="390"/>
        <v>1</v>
      </c>
      <c r="H2534">
        <f t="shared" si="391"/>
        <v>1</v>
      </c>
      <c r="I2534">
        <f t="shared" si="392"/>
        <v>0</v>
      </c>
      <c r="J2534">
        <v>81.7</v>
      </c>
      <c r="K2534">
        <v>88.4</v>
      </c>
      <c r="L2534">
        <v>77</v>
      </c>
      <c r="M2534">
        <v>82.9</v>
      </c>
      <c r="N2534">
        <v>66.400000000000006</v>
      </c>
      <c r="O2534">
        <v>60.5</v>
      </c>
      <c r="S2534">
        <f t="shared" si="393"/>
        <v>0</v>
      </c>
      <c r="T2534">
        <f t="shared" si="394"/>
        <v>0</v>
      </c>
      <c r="U2534">
        <f t="shared" si="395"/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33.6</v>
      </c>
      <c r="AC2534">
        <v>19.7</v>
      </c>
      <c r="AG2534">
        <f t="shared" si="396"/>
        <v>1</v>
      </c>
      <c r="AH2534">
        <f t="shared" si="397"/>
        <v>1</v>
      </c>
      <c r="AI2534">
        <f t="shared" si="398"/>
        <v>0</v>
      </c>
      <c r="AJ2534">
        <v>300.89999999999998</v>
      </c>
      <c r="AK2534">
        <v>1009.1</v>
      </c>
      <c r="AL2534">
        <v>0.1</v>
      </c>
      <c r="AM2534">
        <v>6.2</v>
      </c>
      <c r="AN2534">
        <v>318.7</v>
      </c>
      <c r="AO2534">
        <v>27.5</v>
      </c>
      <c r="AP2534">
        <v>10</v>
      </c>
      <c r="AQ2534">
        <v>0</v>
      </c>
      <c r="AR2534" t="s">
        <v>8765</v>
      </c>
      <c r="AS2534" t="s">
        <v>8766</v>
      </c>
      <c r="AT2534">
        <v>0.16</v>
      </c>
      <c r="AU2534" t="s">
        <v>74</v>
      </c>
      <c r="AV2534" t="s">
        <v>2955</v>
      </c>
      <c r="AW2534" t="s">
        <v>75</v>
      </c>
      <c r="AX2534" t="s">
        <v>2631</v>
      </c>
      <c r="AY2534" t="s">
        <v>8767</v>
      </c>
      <c r="AZ2534">
        <v>1332.000000004191</v>
      </c>
      <c r="BA2534">
        <v>1</v>
      </c>
      <c r="BB2534">
        <v>0</v>
      </c>
      <c r="BC2534">
        <v>1</v>
      </c>
      <c r="BD2534">
        <v>0</v>
      </c>
      <c r="BE2534">
        <f t="shared" si="399"/>
        <v>1</v>
      </c>
    </row>
    <row r="2535" spans="1:57" x14ac:dyDescent="0.25">
      <c r="A2535" t="s">
        <v>39</v>
      </c>
      <c r="B2535" t="s">
        <v>8679</v>
      </c>
      <c r="C2535">
        <v>73.400000000000006</v>
      </c>
      <c r="D2535">
        <v>68</v>
      </c>
      <c r="G2535">
        <f t="shared" si="390"/>
        <v>0</v>
      </c>
      <c r="H2535">
        <f t="shared" si="391"/>
        <v>0</v>
      </c>
      <c r="I2535">
        <f t="shared" si="392"/>
        <v>0</v>
      </c>
      <c r="J2535">
        <v>70.400000000000006</v>
      </c>
      <c r="K2535">
        <v>73.400000000000006</v>
      </c>
      <c r="L2535">
        <v>68</v>
      </c>
      <c r="M2535">
        <v>70.400000000000006</v>
      </c>
      <c r="N2535">
        <v>53.8</v>
      </c>
      <c r="O2535">
        <v>56</v>
      </c>
      <c r="S2535">
        <f t="shared" si="393"/>
        <v>1</v>
      </c>
      <c r="T2535">
        <f t="shared" si="394"/>
        <v>0</v>
      </c>
      <c r="U2535">
        <f t="shared" si="395"/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34.4</v>
      </c>
      <c r="AC2535">
        <v>18.399999999999999</v>
      </c>
      <c r="AG2535">
        <f t="shared" si="396"/>
        <v>1</v>
      </c>
      <c r="AH2535">
        <f t="shared" si="397"/>
        <v>1</v>
      </c>
      <c r="AI2535">
        <f t="shared" si="398"/>
        <v>0</v>
      </c>
      <c r="AJ2535">
        <v>328.3</v>
      </c>
      <c r="AK2535">
        <v>1021.4</v>
      </c>
      <c r="AL2535">
        <v>39.799999999999997</v>
      </c>
      <c r="AM2535">
        <v>6.2</v>
      </c>
      <c r="AN2535">
        <v>213.7</v>
      </c>
      <c r="AO2535">
        <v>18.5</v>
      </c>
      <c r="AP2535">
        <v>7</v>
      </c>
      <c r="AQ2535">
        <v>0</v>
      </c>
      <c r="AR2535" t="s">
        <v>8680</v>
      </c>
      <c r="AS2535" t="s">
        <v>8681</v>
      </c>
      <c r="AT2535">
        <v>0.34</v>
      </c>
      <c r="AU2535" t="s">
        <v>43</v>
      </c>
      <c r="AV2535" t="s">
        <v>44</v>
      </c>
      <c r="AW2535" t="s">
        <v>45</v>
      </c>
      <c r="AX2535" t="s">
        <v>2565</v>
      </c>
      <c r="AY2535" t="s">
        <v>8768</v>
      </c>
      <c r="AZ2535">
        <v>230.99999999860299</v>
      </c>
      <c r="BA2535">
        <v>0</v>
      </c>
      <c r="BB2535">
        <v>0</v>
      </c>
      <c r="BC2535">
        <v>20</v>
      </c>
      <c r="BD2535">
        <v>0</v>
      </c>
      <c r="BE2535">
        <f t="shared" si="399"/>
        <v>0</v>
      </c>
    </row>
    <row r="2536" spans="1:57" x14ac:dyDescent="0.25">
      <c r="A2536" t="s">
        <v>39</v>
      </c>
      <c r="B2536" t="s">
        <v>8635</v>
      </c>
      <c r="C2536">
        <v>75.2</v>
      </c>
      <c r="D2536">
        <v>60.8</v>
      </c>
      <c r="G2536">
        <f t="shared" si="390"/>
        <v>0</v>
      </c>
      <c r="H2536">
        <f t="shared" si="391"/>
        <v>0</v>
      </c>
      <c r="I2536">
        <f t="shared" si="392"/>
        <v>0</v>
      </c>
      <c r="J2536">
        <v>67.599999999999994</v>
      </c>
      <c r="K2536">
        <v>75.2</v>
      </c>
      <c r="L2536">
        <v>60.8</v>
      </c>
      <c r="M2536">
        <v>67.599999999999994</v>
      </c>
      <c r="N2536">
        <v>59.8</v>
      </c>
      <c r="O2536">
        <v>77.099999999999994</v>
      </c>
      <c r="S2536">
        <f t="shared" si="393"/>
        <v>1</v>
      </c>
      <c r="T2536">
        <f t="shared" si="394"/>
        <v>1</v>
      </c>
      <c r="U2536">
        <f t="shared" si="395"/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18.3</v>
      </c>
      <c r="AC2536">
        <v>9.1999999999999993</v>
      </c>
      <c r="AG2536">
        <f t="shared" si="396"/>
        <v>1</v>
      </c>
      <c r="AH2536">
        <f t="shared" si="397"/>
        <v>0</v>
      </c>
      <c r="AI2536">
        <f t="shared" si="398"/>
        <v>1</v>
      </c>
      <c r="AJ2536">
        <v>228.1</v>
      </c>
      <c r="AK2536">
        <v>1020</v>
      </c>
      <c r="AL2536">
        <v>29.8</v>
      </c>
      <c r="AM2536">
        <v>6.2</v>
      </c>
      <c r="AN2536">
        <v>200.5</v>
      </c>
      <c r="AO2536">
        <v>17.3</v>
      </c>
      <c r="AP2536">
        <v>7</v>
      </c>
      <c r="AQ2536">
        <v>0</v>
      </c>
      <c r="AR2536" t="s">
        <v>8636</v>
      </c>
      <c r="AS2536" t="s">
        <v>8637</v>
      </c>
      <c r="AT2536">
        <v>0.55000000000000004</v>
      </c>
      <c r="AU2536" t="s">
        <v>43</v>
      </c>
      <c r="AV2536" t="s">
        <v>44</v>
      </c>
      <c r="AW2536" t="s">
        <v>45</v>
      </c>
      <c r="AX2536" t="s">
        <v>4801</v>
      </c>
      <c r="AY2536" t="s">
        <v>8769</v>
      </c>
      <c r="AZ2536">
        <v>243.0000000062864</v>
      </c>
      <c r="BA2536">
        <v>0</v>
      </c>
      <c r="BB2536">
        <v>0</v>
      </c>
      <c r="BC2536">
        <v>1</v>
      </c>
      <c r="BD2536">
        <v>0</v>
      </c>
      <c r="BE2536">
        <f t="shared" si="399"/>
        <v>0</v>
      </c>
    </row>
    <row r="2537" spans="1:57" x14ac:dyDescent="0.25">
      <c r="A2537" t="s">
        <v>39</v>
      </c>
      <c r="B2537" t="s">
        <v>8770</v>
      </c>
      <c r="C2537">
        <v>66.2</v>
      </c>
      <c r="D2537">
        <v>48.2</v>
      </c>
      <c r="G2537">
        <f t="shared" si="390"/>
        <v>1</v>
      </c>
      <c r="H2537">
        <f t="shared" si="391"/>
        <v>1</v>
      </c>
      <c r="I2537">
        <f t="shared" si="392"/>
        <v>0</v>
      </c>
      <c r="J2537">
        <v>56.4</v>
      </c>
      <c r="K2537">
        <v>66.2</v>
      </c>
      <c r="L2537">
        <v>43.7</v>
      </c>
      <c r="M2537">
        <v>55.8</v>
      </c>
      <c r="N2537">
        <v>50.7</v>
      </c>
      <c r="O2537">
        <v>81.400000000000006</v>
      </c>
      <c r="S2537">
        <f t="shared" si="393"/>
        <v>1</v>
      </c>
      <c r="T2537">
        <f t="shared" si="394"/>
        <v>1</v>
      </c>
      <c r="U2537">
        <f t="shared" si="395"/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15</v>
      </c>
      <c r="AC2537">
        <v>13.9</v>
      </c>
      <c r="AG2537">
        <f t="shared" si="396"/>
        <v>1</v>
      </c>
      <c r="AH2537">
        <f t="shared" si="397"/>
        <v>0</v>
      </c>
      <c r="AI2537">
        <f t="shared" si="398"/>
        <v>1</v>
      </c>
      <c r="AJ2537">
        <v>202.6</v>
      </c>
      <c r="AK2537">
        <v>1026</v>
      </c>
      <c r="AL2537">
        <v>28.7</v>
      </c>
      <c r="AM2537">
        <v>6.2</v>
      </c>
      <c r="AN2537">
        <v>122</v>
      </c>
      <c r="AO2537">
        <v>10.4</v>
      </c>
      <c r="AP2537">
        <v>5</v>
      </c>
      <c r="AQ2537">
        <v>0</v>
      </c>
      <c r="AR2537" t="s">
        <v>8771</v>
      </c>
      <c r="AS2537" t="s">
        <v>8772</v>
      </c>
      <c r="AT2537">
        <v>0.14000000000000001</v>
      </c>
      <c r="AU2537" t="s">
        <v>43</v>
      </c>
      <c r="AV2537" t="s">
        <v>44</v>
      </c>
      <c r="AW2537" t="s">
        <v>45</v>
      </c>
      <c r="AX2537" t="s">
        <v>8773</v>
      </c>
      <c r="AY2537" t="s">
        <v>8774</v>
      </c>
      <c r="AZ2537">
        <v>72.999999996973202</v>
      </c>
      <c r="BA2537">
        <v>0</v>
      </c>
      <c r="BB2537">
        <v>0</v>
      </c>
      <c r="BC2537">
        <v>2</v>
      </c>
      <c r="BD2537">
        <v>0</v>
      </c>
      <c r="BE2537">
        <f t="shared" si="399"/>
        <v>1</v>
      </c>
    </row>
    <row r="2538" spans="1:57" x14ac:dyDescent="0.25">
      <c r="A2538" t="s">
        <v>39</v>
      </c>
      <c r="B2538" t="s">
        <v>8775</v>
      </c>
      <c r="C2538">
        <v>59</v>
      </c>
      <c r="D2538">
        <v>46.4</v>
      </c>
      <c r="G2538">
        <f t="shared" si="390"/>
        <v>0</v>
      </c>
      <c r="H2538">
        <f t="shared" si="391"/>
        <v>0</v>
      </c>
      <c r="I2538">
        <f t="shared" si="392"/>
        <v>0</v>
      </c>
      <c r="J2538">
        <v>52.2</v>
      </c>
      <c r="K2538">
        <v>59</v>
      </c>
      <c r="L2538">
        <v>44.2</v>
      </c>
      <c r="M2538">
        <v>51.2</v>
      </c>
      <c r="N2538">
        <v>44.8</v>
      </c>
      <c r="O2538">
        <v>76.5</v>
      </c>
      <c r="S2538">
        <f t="shared" si="393"/>
        <v>1</v>
      </c>
      <c r="T2538">
        <f t="shared" si="394"/>
        <v>1</v>
      </c>
      <c r="U2538">
        <f t="shared" si="395"/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21.9</v>
      </c>
      <c r="AC2538">
        <v>9.1999999999999993</v>
      </c>
      <c r="AG2538">
        <f t="shared" si="396"/>
        <v>1</v>
      </c>
      <c r="AH2538">
        <f t="shared" si="397"/>
        <v>0</v>
      </c>
      <c r="AI2538">
        <f t="shared" si="398"/>
        <v>1</v>
      </c>
      <c r="AJ2538">
        <v>231</v>
      </c>
      <c r="AK2538">
        <v>1024.0999999999999</v>
      </c>
      <c r="AL2538">
        <v>38.9</v>
      </c>
      <c r="AM2538">
        <v>6.2</v>
      </c>
      <c r="AN2538">
        <v>154.5</v>
      </c>
      <c r="AO2538">
        <v>13.4</v>
      </c>
      <c r="AP2538">
        <v>6</v>
      </c>
      <c r="AQ2538">
        <v>0</v>
      </c>
      <c r="AR2538" t="s">
        <v>8776</v>
      </c>
      <c r="AS2538" t="s">
        <v>8777</v>
      </c>
      <c r="AT2538">
        <v>0.46</v>
      </c>
      <c r="AU2538" t="s">
        <v>43</v>
      </c>
      <c r="AV2538" t="s">
        <v>44</v>
      </c>
      <c r="AW2538" t="s">
        <v>45</v>
      </c>
      <c r="AX2538" t="s">
        <v>4712</v>
      </c>
      <c r="AY2538" t="s">
        <v>8778</v>
      </c>
      <c r="AZ2538">
        <v>100.0000000011642</v>
      </c>
      <c r="BA2538">
        <v>0</v>
      </c>
      <c r="BB2538">
        <v>0</v>
      </c>
      <c r="BC2538">
        <v>1</v>
      </c>
      <c r="BD2538">
        <v>0</v>
      </c>
      <c r="BE2538">
        <f t="shared" si="399"/>
        <v>0</v>
      </c>
    </row>
    <row r="2539" spans="1:57" x14ac:dyDescent="0.25">
      <c r="A2539" t="s">
        <v>39</v>
      </c>
      <c r="B2539" t="s">
        <v>8483</v>
      </c>
      <c r="C2539">
        <v>68</v>
      </c>
      <c r="D2539">
        <v>57.1</v>
      </c>
      <c r="G2539">
        <f t="shared" si="390"/>
        <v>0</v>
      </c>
      <c r="H2539">
        <f t="shared" si="391"/>
        <v>0</v>
      </c>
      <c r="I2539">
        <f t="shared" si="392"/>
        <v>0</v>
      </c>
      <c r="J2539">
        <v>62.1</v>
      </c>
      <c r="K2539">
        <v>68</v>
      </c>
      <c r="L2539">
        <v>57.1</v>
      </c>
      <c r="M2539">
        <v>62.1</v>
      </c>
      <c r="N2539">
        <v>50.6</v>
      </c>
      <c r="O2539">
        <v>67.099999999999994</v>
      </c>
      <c r="S2539">
        <f t="shared" si="393"/>
        <v>1</v>
      </c>
      <c r="T2539">
        <f t="shared" si="394"/>
        <v>1</v>
      </c>
      <c r="U2539">
        <f t="shared" si="395"/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23</v>
      </c>
      <c r="AC2539">
        <v>13.9</v>
      </c>
      <c r="AG2539">
        <f t="shared" si="396"/>
        <v>1</v>
      </c>
      <c r="AH2539">
        <f t="shared" si="397"/>
        <v>0</v>
      </c>
      <c r="AI2539">
        <f t="shared" si="398"/>
        <v>1</v>
      </c>
      <c r="AJ2539">
        <v>199.4</v>
      </c>
      <c r="AK2539">
        <v>1012.8</v>
      </c>
      <c r="AL2539">
        <v>3.6</v>
      </c>
      <c r="AM2539">
        <v>5.2</v>
      </c>
      <c r="AN2539">
        <v>277.60000000000002</v>
      </c>
      <c r="AO2539">
        <v>24.1</v>
      </c>
      <c r="AP2539">
        <v>9</v>
      </c>
      <c r="AQ2539">
        <v>0</v>
      </c>
      <c r="AR2539" t="s">
        <v>8484</v>
      </c>
      <c r="AS2539" t="s">
        <v>8485</v>
      </c>
      <c r="AT2539">
        <v>0.04</v>
      </c>
      <c r="AU2539" t="s">
        <v>74</v>
      </c>
      <c r="AV2539" t="s">
        <v>2955</v>
      </c>
      <c r="AW2539" t="s">
        <v>75</v>
      </c>
      <c r="AX2539" t="s">
        <v>8779</v>
      </c>
      <c r="AY2539" t="s">
        <v>8780</v>
      </c>
      <c r="AZ2539">
        <v>121.9999999995343</v>
      </c>
      <c r="BA2539">
        <v>0</v>
      </c>
      <c r="BB2539">
        <v>0.03</v>
      </c>
      <c r="BC2539">
        <v>0</v>
      </c>
      <c r="BD2539">
        <v>0</v>
      </c>
      <c r="BE2539">
        <f t="shared" si="399"/>
        <v>0</v>
      </c>
    </row>
    <row r="2540" spans="1:57" x14ac:dyDescent="0.25">
      <c r="A2540" t="s">
        <v>39</v>
      </c>
      <c r="B2540" t="s">
        <v>8781</v>
      </c>
      <c r="C2540">
        <v>62.6</v>
      </c>
      <c r="D2540">
        <v>48.2</v>
      </c>
      <c r="G2540">
        <f t="shared" si="390"/>
        <v>1</v>
      </c>
      <c r="H2540">
        <f t="shared" si="391"/>
        <v>0</v>
      </c>
      <c r="I2540">
        <f t="shared" si="392"/>
        <v>1</v>
      </c>
      <c r="J2540">
        <v>56.5</v>
      </c>
      <c r="K2540">
        <v>62.6</v>
      </c>
      <c r="L2540">
        <v>48.2</v>
      </c>
      <c r="M2540">
        <v>56.5</v>
      </c>
      <c r="N2540">
        <v>41.9</v>
      </c>
      <c r="O2540">
        <v>59.4</v>
      </c>
      <c r="S2540">
        <f t="shared" si="393"/>
        <v>1</v>
      </c>
      <c r="T2540">
        <f t="shared" si="394"/>
        <v>0</v>
      </c>
      <c r="U2540">
        <f t="shared" si="395"/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22.6</v>
      </c>
      <c r="AC2540">
        <v>13.9</v>
      </c>
      <c r="AG2540">
        <f t="shared" si="396"/>
        <v>1</v>
      </c>
      <c r="AH2540">
        <f t="shared" si="397"/>
        <v>0</v>
      </c>
      <c r="AI2540">
        <f t="shared" si="398"/>
        <v>1</v>
      </c>
      <c r="AJ2540">
        <v>357</v>
      </c>
      <c r="AK2540">
        <v>1021.1</v>
      </c>
      <c r="AL2540">
        <v>26</v>
      </c>
      <c r="AM2540">
        <v>6.2</v>
      </c>
      <c r="AN2540">
        <v>290</v>
      </c>
      <c r="AO2540">
        <v>25</v>
      </c>
      <c r="AP2540">
        <v>9</v>
      </c>
      <c r="AQ2540">
        <v>0</v>
      </c>
      <c r="AR2540" t="s">
        <v>8782</v>
      </c>
      <c r="AS2540" t="s">
        <v>8783</v>
      </c>
      <c r="AT2540">
        <v>0.36</v>
      </c>
      <c r="AU2540" t="s">
        <v>43</v>
      </c>
      <c r="AV2540" t="s">
        <v>44</v>
      </c>
      <c r="AW2540" t="s">
        <v>45</v>
      </c>
      <c r="AX2540" t="s">
        <v>8784</v>
      </c>
      <c r="AY2540" t="s">
        <v>8785</v>
      </c>
      <c r="AZ2540">
        <v>229.99999999534339</v>
      </c>
      <c r="BA2540">
        <v>0</v>
      </c>
      <c r="BB2540">
        <v>0</v>
      </c>
      <c r="BC2540">
        <v>1</v>
      </c>
      <c r="BD2540">
        <v>0</v>
      </c>
      <c r="BE2540">
        <f t="shared" si="399"/>
        <v>0</v>
      </c>
    </row>
    <row r="2541" spans="1:57" x14ac:dyDescent="0.25">
      <c r="A2541" t="s">
        <v>39</v>
      </c>
      <c r="B2541" t="s">
        <v>8786</v>
      </c>
      <c r="C2541">
        <v>73.3</v>
      </c>
      <c r="D2541">
        <v>50</v>
      </c>
      <c r="G2541">
        <f t="shared" si="390"/>
        <v>1</v>
      </c>
      <c r="H2541">
        <f t="shared" si="391"/>
        <v>1</v>
      </c>
      <c r="I2541">
        <f t="shared" si="392"/>
        <v>0</v>
      </c>
      <c r="J2541">
        <v>60.9</v>
      </c>
      <c r="K2541">
        <v>73.3</v>
      </c>
      <c r="L2541">
        <v>50</v>
      </c>
      <c r="M2541">
        <v>60.9</v>
      </c>
      <c r="N2541">
        <v>45.4</v>
      </c>
      <c r="O2541">
        <v>63.8</v>
      </c>
      <c r="S2541">
        <f t="shared" si="393"/>
        <v>0</v>
      </c>
      <c r="T2541">
        <f t="shared" si="394"/>
        <v>0</v>
      </c>
      <c r="U2541">
        <f t="shared" si="395"/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25.5</v>
      </c>
      <c r="AC2541">
        <v>9.1999999999999993</v>
      </c>
      <c r="AG2541">
        <f t="shared" si="396"/>
        <v>1</v>
      </c>
      <c r="AH2541">
        <f t="shared" si="397"/>
        <v>0</v>
      </c>
      <c r="AI2541">
        <f t="shared" si="398"/>
        <v>1</v>
      </c>
      <c r="AJ2541">
        <v>125</v>
      </c>
      <c r="AK2541">
        <v>1011.8</v>
      </c>
      <c r="AL2541">
        <v>62.1</v>
      </c>
      <c r="AM2541">
        <v>6.2</v>
      </c>
      <c r="AN2541">
        <v>269.2</v>
      </c>
      <c r="AO2541">
        <v>23.3</v>
      </c>
      <c r="AP2541">
        <v>9</v>
      </c>
      <c r="AQ2541">
        <v>0</v>
      </c>
      <c r="AR2541" t="s">
        <v>8787</v>
      </c>
      <c r="AS2541" t="s">
        <v>8788</v>
      </c>
      <c r="AT2541">
        <v>0.5</v>
      </c>
      <c r="AU2541" t="s">
        <v>43</v>
      </c>
      <c r="AV2541" t="s">
        <v>44</v>
      </c>
      <c r="AW2541" t="s">
        <v>45</v>
      </c>
      <c r="AX2541" t="s">
        <v>8789</v>
      </c>
      <c r="AY2541" t="s">
        <v>8790</v>
      </c>
      <c r="AZ2541">
        <v>1011.99999999837</v>
      </c>
      <c r="BA2541">
        <v>1</v>
      </c>
      <c r="BB2541">
        <v>0</v>
      </c>
      <c r="BC2541">
        <v>2</v>
      </c>
      <c r="BD2541">
        <v>0</v>
      </c>
      <c r="BE2541">
        <f t="shared" si="399"/>
        <v>1</v>
      </c>
    </row>
    <row r="2542" spans="1:57" x14ac:dyDescent="0.25">
      <c r="A2542" t="s">
        <v>39</v>
      </c>
      <c r="B2542" t="s">
        <v>8696</v>
      </c>
      <c r="C2542">
        <v>82.4</v>
      </c>
      <c r="D2542">
        <v>60.8</v>
      </c>
      <c r="G2542">
        <f t="shared" si="390"/>
        <v>1</v>
      </c>
      <c r="H2542">
        <f t="shared" si="391"/>
        <v>1</v>
      </c>
      <c r="I2542">
        <f t="shared" si="392"/>
        <v>0</v>
      </c>
      <c r="J2542">
        <v>73.2</v>
      </c>
      <c r="K2542">
        <v>80.5</v>
      </c>
      <c r="L2542">
        <v>60.8</v>
      </c>
      <c r="M2542">
        <v>73</v>
      </c>
      <c r="N2542">
        <v>44</v>
      </c>
      <c r="O2542">
        <v>39.9</v>
      </c>
      <c r="S2542">
        <f t="shared" si="393"/>
        <v>1</v>
      </c>
      <c r="T2542">
        <f t="shared" si="394"/>
        <v>0</v>
      </c>
      <c r="U2542">
        <f t="shared" si="395"/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45</v>
      </c>
      <c r="AC2542">
        <v>20.8</v>
      </c>
      <c r="AG2542">
        <f t="shared" si="396"/>
        <v>1</v>
      </c>
      <c r="AH2542">
        <f t="shared" si="397"/>
        <v>1</v>
      </c>
      <c r="AI2542">
        <f t="shared" si="398"/>
        <v>0</v>
      </c>
      <c r="AJ2542">
        <v>176.4</v>
      </c>
      <c r="AK2542">
        <v>1000.5</v>
      </c>
      <c r="AL2542">
        <v>81.7</v>
      </c>
      <c r="AM2542">
        <v>6</v>
      </c>
      <c r="AN2542">
        <v>158.9</v>
      </c>
      <c r="AO2542">
        <v>13.6</v>
      </c>
      <c r="AP2542">
        <v>6</v>
      </c>
      <c r="AQ2542">
        <v>0</v>
      </c>
      <c r="AR2542" t="s">
        <v>8697</v>
      </c>
      <c r="AS2542" t="s">
        <v>8698</v>
      </c>
      <c r="AT2542">
        <v>0.52</v>
      </c>
      <c r="AU2542" t="s">
        <v>43</v>
      </c>
      <c r="AV2542" t="s">
        <v>44</v>
      </c>
      <c r="AW2542" t="s">
        <v>45</v>
      </c>
      <c r="AX2542" t="s">
        <v>2403</v>
      </c>
      <c r="AY2542" t="s">
        <v>8791</v>
      </c>
      <c r="AZ2542">
        <v>274.00000000256108</v>
      </c>
      <c r="BA2542">
        <v>0</v>
      </c>
      <c r="BB2542">
        <v>0</v>
      </c>
      <c r="BC2542">
        <v>1</v>
      </c>
      <c r="BD2542">
        <v>0</v>
      </c>
      <c r="BE2542">
        <f t="shared" si="399"/>
        <v>1</v>
      </c>
    </row>
    <row r="2543" spans="1:57" x14ac:dyDescent="0.25">
      <c r="A2543" t="s">
        <v>39</v>
      </c>
      <c r="B2543" t="s">
        <v>8792</v>
      </c>
      <c r="C2543">
        <v>66.2</v>
      </c>
      <c r="D2543">
        <v>48.2</v>
      </c>
      <c r="G2543">
        <f t="shared" si="390"/>
        <v>0</v>
      </c>
      <c r="H2543">
        <f t="shared" si="391"/>
        <v>0</v>
      </c>
      <c r="I2543">
        <f t="shared" si="392"/>
        <v>0</v>
      </c>
      <c r="J2543">
        <v>57.9</v>
      </c>
      <c r="K2543">
        <v>66.2</v>
      </c>
      <c r="L2543">
        <v>45.6</v>
      </c>
      <c r="M2543">
        <v>57.7</v>
      </c>
      <c r="N2543">
        <v>50.9</v>
      </c>
      <c r="O2543">
        <v>78.400000000000006</v>
      </c>
      <c r="S2543">
        <f t="shared" si="393"/>
        <v>1</v>
      </c>
      <c r="T2543">
        <f t="shared" si="394"/>
        <v>1</v>
      </c>
      <c r="U2543">
        <f t="shared" si="395"/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19.7</v>
      </c>
      <c r="AC2543">
        <v>9.1999999999999993</v>
      </c>
      <c r="AG2543">
        <f t="shared" si="396"/>
        <v>1</v>
      </c>
      <c r="AH2543">
        <f t="shared" si="397"/>
        <v>0</v>
      </c>
      <c r="AI2543">
        <f t="shared" si="398"/>
        <v>1</v>
      </c>
      <c r="AJ2543">
        <v>121.9</v>
      </c>
      <c r="AK2543">
        <v>1016.9</v>
      </c>
      <c r="AL2543">
        <v>41.1</v>
      </c>
      <c r="AM2543">
        <v>6.2</v>
      </c>
      <c r="AN2543">
        <v>296.3</v>
      </c>
      <c r="AO2543">
        <v>25.4</v>
      </c>
      <c r="AP2543">
        <v>9</v>
      </c>
      <c r="AQ2543">
        <v>0</v>
      </c>
      <c r="AR2543" t="s">
        <v>8793</v>
      </c>
      <c r="AS2543" t="s">
        <v>8794</v>
      </c>
      <c r="AT2543">
        <v>0.66</v>
      </c>
      <c r="AU2543" t="s">
        <v>43</v>
      </c>
      <c r="AV2543" t="s">
        <v>2026</v>
      </c>
      <c r="AW2543" t="s">
        <v>45</v>
      </c>
      <c r="AX2543" t="s">
        <v>2761</v>
      </c>
      <c r="AY2543" t="s">
        <v>8795</v>
      </c>
      <c r="AZ2543">
        <v>469.99999999185093</v>
      </c>
      <c r="BA2543">
        <v>1</v>
      </c>
      <c r="BB2543">
        <v>0</v>
      </c>
      <c r="BC2543">
        <v>7</v>
      </c>
      <c r="BD2543">
        <v>0</v>
      </c>
      <c r="BE2543">
        <f t="shared" si="399"/>
        <v>0</v>
      </c>
    </row>
    <row r="2544" spans="1:57" x14ac:dyDescent="0.25">
      <c r="A2544" t="s">
        <v>39</v>
      </c>
      <c r="B2544" t="s">
        <v>8796</v>
      </c>
      <c r="C2544">
        <v>73.400000000000006</v>
      </c>
      <c r="D2544">
        <v>51.8</v>
      </c>
      <c r="G2544">
        <f t="shared" si="390"/>
        <v>1</v>
      </c>
      <c r="H2544">
        <f t="shared" si="391"/>
        <v>1</v>
      </c>
      <c r="I2544">
        <f t="shared" si="392"/>
        <v>0</v>
      </c>
      <c r="J2544">
        <v>63.1</v>
      </c>
      <c r="K2544">
        <v>73.400000000000006</v>
      </c>
      <c r="L2544">
        <v>51.8</v>
      </c>
      <c r="M2544">
        <v>63.1</v>
      </c>
      <c r="N2544">
        <v>50.9</v>
      </c>
      <c r="O2544">
        <v>65.2</v>
      </c>
      <c r="S2544">
        <f t="shared" si="393"/>
        <v>0</v>
      </c>
      <c r="T2544">
        <f t="shared" si="394"/>
        <v>0</v>
      </c>
      <c r="U2544">
        <f t="shared" si="395"/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17.2</v>
      </c>
      <c r="AC2544">
        <v>9.1</v>
      </c>
      <c r="AG2544">
        <f t="shared" si="396"/>
        <v>1</v>
      </c>
      <c r="AH2544">
        <f t="shared" si="397"/>
        <v>0</v>
      </c>
      <c r="AI2544">
        <f t="shared" si="398"/>
        <v>1</v>
      </c>
      <c r="AJ2544">
        <v>202</v>
      </c>
      <c r="AK2544">
        <v>1012.8</v>
      </c>
      <c r="AL2544">
        <v>11.7</v>
      </c>
      <c r="AM2544">
        <v>6.2</v>
      </c>
      <c r="AN2544">
        <v>315.3</v>
      </c>
      <c r="AO2544">
        <v>27.1</v>
      </c>
      <c r="AP2544">
        <v>10</v>
      </c>
      <c r="AQ2544">
        <v>0</v>
      </c>
      <c r="AR2544" t="s">
        <v>8797</v>
      </c>
      <c r="AS2544" t="s">
        <v>8798</v>
      </c>
      <c r="AT2544">
        <v>0.88</v>
      </c>
      <c r="AU2544" t="s">
        <v>74</v>
      </c>
      <c r="AV2544" t="s">
        <v>2955</v>
      </c>
      <c r="AW2544" t="s">
        <v>75</v>
      </c>
      <c r="AX2544" t="s">
        <v>2378</v>
      </c>
      <c r="AY2544" t="s">
        <v>8799</v>
      </c>
      <c r="AZ2544">
        <v>180</v>
      </c>
      <c r="BA2544">
        <v>0</v>
      </c>
      <c r="BB2544">
        <v>0</v>
      </c>
      <c r="BC2544">
        <v>1</v>
      </c>
      <c r="BD2544">
        <v>0</v>
      </c>
      <c r="BE2544">
        <f t="shared" si="399"/>
        <v>0</v>
      </c>
    </row>
    <row r="2545" spans="1:57" x14ac:dyDescent="0.25">
      <c r="A2545" t="s">
        <v>39</v>
      </c>
      <c r="B2545" t="s">
        <v>8800</v>
      </c>
      <c r="C2545">
        <v>71.599999999999994</v>
      </c>
      <c r="D2545">
        <v>55.4</v>
      </c>
      <c r="G2545">
        <f t="shared" si="390"/>
        <v>1</v>
      </c>
      <c r="H2545">
        <f t="shared" si="391"/>
        <v>1</v>
      </c>
      <c r="I2545">
        <f t="shared" si="392"/>
        <v>0</v>
      </c>
      <c r="J2545">
        <v>64.2</v>
      </c>
      <c r="K2545">
        <v>71.599999999999994</v>
      </c>
      <c r="L2545">
        <v>55.4</v>
      </c>
      <c r="M2545">
        <v>64.2</v>
      </c>
      <c r="N2545">
        <v>52.5</v>
      </c>
      <c r="O2545">
        <v>66.5</v>
      </c>
      <c r="S2545">
        <f t="shared" si="393"/>
        <v>1</v>
      </c>
      <c r="T2545">
        <f t="shared" si="394"/>
        <v>1</v>
      </c>
      <c r="U2545">
        <f t="shared" si="395"/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20.6</v>
      </c>
      <c r="AC2545">
        <v>8.1</v>
      </c>
      <c r="AG2545">
        <f t="shared" si="396"/>
        <v>1</v>
      </c>
      <c r="AH2545">
        <f t="shared" si="397"/>
        <v>0</v>
      </c>
      <c r="AI2545">
        <f t="shared" si="398"/>
        <v>1</v>
      </c>
      <c r="AJ2545">
        <v>314.2</v>
      </c>
      <c r="AK2545">
        <v>1012.5</v>
      </c>
      <c r="AL2545">
        <v>5.5</v>
      </c>
      <c r="AM2545">
        <v>6.2</v>
      </c>
      <c r="AN2545">
        <v>310.89999999999998</v>
      </c>
      <c r="AO2545">
        <v>26.8</v>
      </c>
      <c r="AP2545">
        <v>10</v>
      </c>
      <c r="AQ2545">
        <v>0</v>
      </c>
      <c r="AR2545" t="s">
        <v>8801</v>
      </c>
      <c r="AS2545" t="s">
        <v>8802</v>
      </c>
      <c r="AT2545">
        <v>0.91</v>
      </c>
      <c r="AU2545" t="s">
        <v>74</v>
      </c>
      <c r="AV2545" t="s">
        <v>2955</v>
      </c>
      <c r="AW2545" t="s">
        <v>75</v>
      </c>
      <c r="AX2545" t="s">
        <v>8803</v>
      </c>
      <c r="AY2545" t="s">
        <v>8804</v>
      </c>
      <c r="AZ2545">
        <v>111.9999999983702</v>
      </c>
      <c r="BA2545">
        <v>0</v>
      </c>
      <c r="BB2545">
        <v>0</v>
      </c>
      <c r="BC2545">
        <v>0.02</v>
      </c>
      <c r="BD2545">
        <v>0</v>
      </c>
      <c r="BE2545">
        <f t="shared" si="399"/>
        <v>1</v>
      </c>
    </row>
    <row r="2546" spans="1:57" x14ac:dyDescent="0.25">
      <c r="A2546" t="s">
        <v>39</v>
      </c>
      <c r="B2546" t="s">
        <v>8805</v>
      </c>
      <c r="C2546">
        <v>86</v>
      </c>
      <c r="D2546">
        <v>78.8</v>
      </c>
      <c r="G2546">
        <f t="shared" si="390"/>
        <v>1</v>
      </c>
      <c r="H2546">
        <f t="shared" si="391"/>
        <v>1</v>
      </c>
      <c r="I2546">
        <f t="shared" si="392"/>
        <v>0</v>
      </c>
      <c r="J2546">
        <v>81.5</v>
      </c>
      <c r="K2546">
        <v>88.4</v>
      </c>
      <c r="L2546">
        <v>78.8</v>
      </c>
      <c r="M2546">
        <v>82.8</v>
      </c>
      <c r="N2546">
        <v>65.599999999999994</v>
      </c>
      <c r="O2546">
        <v>58.9</v>
      </c>
      <c r="S2546">
        <f t="shared" si="393"/>
        <v>0</v>
      </c>
      <c r="T2546">
        <f t="shared" si="394"/>
        <v>0</v>
      </c>
      <c r="U2546">
        <f t="shared" si="395"/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34.9</v>
      </c>
      <c r="AC2546">
        <v>23</v>
      </c>
      <c r="AG2546">
        <f t="shared" si="396"/>
        <v>1</v>
      </c>
      <c r="AH2546">
        <f t="shared" si="397"/>
        <v>1</v>
      </c>
      <c r="AI2546">
        <f t="shared" si="398"/>
        <v>0</v>
      </c>
      <c r="AJ2546">
        <v>296.8</v>
      </c>
      <c r="AK2546">
        <v>1011.5</v>
      </c>
      <c r="AL2546">
        <v>17.600000000000001</v>
      </c>
      <c r="AM2546">
        <v>6.2</v>
      </c>
      <c r="AN2546">
        <v>334.4</v>
      </c>
      <c r="AO2546">
        <v>28.9</v>
      </c>
      <c r="AP2546">
        <v>10</v>
      </c>
      <c r="AQ2546">
        <v>0</v>
      </c>
      <c r="AR2546" t="s">
        <v>8806</v>
      </c>
      <c r="AS2546" t="s">
        <v>8807</v>
      </c>
      <c r="AT2546">
        <v>0.11</v>
      </c>
      <c r="AU2546" t="s">
        <v>74</v>
      </c>
      <c r="AV2546" t="s">
        <v>2955</v>
      </c>
      <c r="AW2546" t="s">
        <v>75</v>
      </c>
      <c r="AX2546" t="s">
        <v>2378</v>
      </c>
      <c r="AY2546" t="s">
        <v>8808</v>
      </c>
      <c r="AZ2546">
        <v>4343.0000000016298</v>
      </c>
      <c r="BA2546">
        <v>1</v>
      </c>
      <c r="BB2546">
        <v>0</v>
      </c>
      <c r="BC2546">
        <v>10</v>
      </c>
      <c r="BD2546">
        <v>0</v>
      </c>
      <c r="BE2546">
        <f t="shared" si="399"/>
        <v>1</v>
      </c>
    </row>
    <row r="2547" spans="1:57" x14ac:dyDescent="0.25">
      <c r="A2547" t="s">
        <v>39</v>
      </c>
      <c r="B2547" t="s">
        <v>8809</v>
      </c>
      <c r="C2547">
        <v>82.4</v>
      </c>
      <c r="D2547">
        <v>75.2</v>
      </c>
      <c r="G2547">
        <f t="shared" si="390"/>
        <v>0</v>
      </c>
      <c r="H2547">
        <f t="shared" si="391"/>
        <v>0</v>
      </c>
      <c r="I2547">
        <f t="shared" si="392"/>
        <v>0</v>
      </c>
      <c r="J2547">
        <v>79</v>
      </c>
      <c r="K2547">
        <v>84</v>
      </c>
      <c r="L2547">
        <v>75.2</v>
      </c>
      <c r="M2547">
        <v>79.599999999999994</v>
      </c>
      <c r="N2547">
        <v>63.3</v>
      </c>
      <c r="O2547">
        <v>59</v>
      </c>
      <c r="S2547">
        <f t="shared" si="393"/>
        <v>0</v>
      </c>
      <c r="T2547">
        <f t="shared" si="394"/>
        <v>0</v>
      </c>
      <c r="U2547">
        <f t="shared" si="395"/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30</v>
      </c>
      <c r="AC2547">
        <v>26.4</v>
      </c>
      <c r="AG2547">
        <f t="shared" si="396"/>
        <v>1</v>
      </c>
      <c r="AH2547">
        <f t="shared" si="397"/>
        <v>1</v>
      </c>
      <c r="AI2547">
        <f t="shared" si="398"/>
        <v>0</v>
      </c>
      <c r="AJ2547">
        <v>293.7</v>
      </c>
      <c r="AK2547">
        <v>1009.6</v>
      </c>
      <c r="AL2547">
        <v>17.899999999999999</v>
      </c>
      <c r="AM2547">
        <v>6.2</v>
      </c>
      <c r="AN2547">
        <v>325.60000000000002</v>
      </c>
      <c r="AO2547">
        <v>28.1</v>
      </c>
      <c r="AP2547">
        <v>9</v>
      </c>
      <c r="AQ2547">
        <v>0</v>
      </c>
      <c r="AR2547" t="s">
        <v>8810</v>
      </c>
      <c r="AS2547" t="s">
        <v>8811</v>
      </c>
      <c r="AT2547">
        <v>0.55000000000000004</v>
      </c>
      <c r="AU2547" t="s">
        <v>74</v>
      </c>
      <c r="AV2547" t="s">
        <v>2955</v>
      </c>
      <c r="AW2547" t="s">
        <v>75</v>
      </c>
      <c r="AX2547" t="s">
        <v>8812</v>
      </c>
      <c r="AY2547" t="s">
        <v>8813</v>
      </c>
      <c r="AZ2547">
        <v>20046.000000005592</v>
      </c>
      <c r="BA2547">
        <v>1</v>
      </c>
      <c r="BB2547">
        <v>0</v>
      </c>
      <c r="BC2547">
        <v>3364</v>
      </c>
      <c r="BD2547">
        <v>0</v>
      </c>
      <c r="BE2547">
        <f t="shared" si="399"/>
        <v>0</v>
      </c>
    </row>
    <row r="2548" spans="1:57" x14ac:dyDescent="0.25">
      <c r="A2548" t="s">
        <v>39</v>
      </c>
      <c r="B2548" t="s">
        <v>8809</v>
      </c>
      <c r="C2548">
        <v>82.4</v>
      </c>
      <c r="D2548">
        <v>75.2</v>
      </c>
      <c r="G2548">
        <f t="shared" si="390"/>
        <v>0</v>
      </c>
      <c r="H2548">
        <f t="shared" si="391"/>
        <v>0</v>
      </c>
      <c r="I2548">
        <f t="shared" si="392"/>
        <v>0</v>
      </c>
      <c r="J2548">
        <v>79</v>
      </c>
      <c r="K2548">
        <v>84</v>
      </c>
      <c r="L2548">
        <v>75.2</v>
      </c>
      <c r="M2548">
        <v>79.599999999999994</v>
      </c>
      <c r="N2548">
        <v>63.3</v>
      </c>
      <c r="O2548">
        <v>59</v>
      </c>
      <c r="S2548">
        <f t="shared" si="393"/>
        <v>0</v>
      </c>
      <c r="T2548">
        <f t="shared" si="394"/>
        <v>0</v>
      </c>
      <c r="U2548">
        <f t="shared" si="395"/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30</v>
      </c>
      <c r="AC2548">
        <v>26.4</v>
      </c>
      <c r="AG2548">
        <f t="shared" si="396"/>
        <v>1</v>
      </c>
      <c r="AH2548">
        <f t="shared" si="397"/>
        <v>1</v>
      </c>
      <c r="AI2548">
        <f t="shared" si="398"/>
        <v>0</v>
      </c>
      <c r="AJ2548">
        <v>293.7</v>
      </c>
      <c r="AK2548">
        <v>1009.6</v>
      </c>
      <c r="AL2548">
        <v>17.899999999999999</v>
      </c>
      <c r="AM2548">
        <v>6.2</v>
      </c>
      <c r="AN2548">
        <v>325.60000000000002</v>
      </c>
      <c r="AO2548">
        <v>28.1</v>
      </c>
      <c r="AP2548">
        <v>9</v>
      </c>
      <c r="AQ2548">
        <v>0</v>
      </c>
      <c r="AR2548" t="s">
        <v>8810</v>
      </c>
      <c r="AS2548" t="s">
        <v>8811</v>
      </c>
      <c r="AT2548">
        <v>0.55000000000000004</v>
      </c>
      <c r="AU2548" t="s">
        <v>74</v>
      </c>
      <c r="AV2548" t="s">
        <v>2955</v>
      </c>
      <c r="AW2548" t="s">
        <v>75</v>
      </c>
      <c r="AX2548" t="s">
        <v>2683</v>
      </c>
      <c r="AY2548" t="s">
        <v>8814</v>
      </c>
      <c r="AZ2548">
        <v>8327.9999999993015</v>
      </c>
      <c r="BA2548">
        <v>1</v>
      </c>
      <c r="BB2548">
        <v>0</v>
      </c>
      <c r="BC2548">
        <v>60</v>
      </c>
      <c r="BD2548">
        <v>0</v>
      </c>
      <c r="BE2548">
        <f t="shared" si="399"/>
        <v>0</v>
      </c>
    </row>
    <row r="2549" spans="1:57" x14ac:dyDescent="0.25">
      <c r="A2549" t="s">
        <v>39</v>
      </c>
      <c r="B2549" t="s">
        <v>8815</v>
      </c>
      <c r="C2549">
        <v>87.8</v>
      </c>
      <c r="D2549">
        <v>77</v>
      </c>
      <c r="G2549">
        <f t="shared" si="390"/>
        <v>1</v>
      </c>
      <c r="H2549">
        <f t="shared" si="391"/>
        <v>1</v>
      </c>
      <c r="I2549">
        <f t="shared" si="392"/>
        <v>0</v>
      </c>
      <c r="J2549">
        <v>83.5</v>
      </c>
      <c r="K2549">
        <v>91.5</v>
      </c>
      <c r="L2549">
        <v>77</v>
      </c>
      <c r="M2549">
        <v>85.8</v>
      </c>
      <c r="N2549">
        <v>66.2</v>
      </c>
      <c r="O2549">
        <v>56.2</v>
      </c>
      <c r="S2549">
        <f t="shared" si="393"/>
        <v>1</v>
      </c>
      <c r="T2549">
        <f t="shared" si="394"/>
        <v>0</v>
      </c>
      <c r="U2549">
        <f t="shared" si="395"/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32.200000000000003</v>
      </c>
      <c r="AC2549">
        <v>13.9</v>
      </c>
      <c r="AG2549">
        <f t="shared" si="396"/>
        <v>1</v>
      </c>
      <c r="AH2549">
        <f t="shared" si="397"/>
        <v>0</v>
      </c>
      <c r="AI2549">
        <f t="shared" si="398"/>
        <v>1</v>
      </c>
      <c r="AJ2549">
        <v>305.8</v>
      </c>
      <c r="AK2549">
        <v>1009.1</v>
      </c>
      <c r="AL2549">
        <v>0</v>
      </c>
      <c r="AM2549">
        <v>6.2</v>
      </c>
      <c r="AN2549">
        <v>329.2</v>
      </c>
      <c r="AO2549">
        <v>28.5</v>
      </c>
      <c r="AP2549">
        <v>10</v>
      </c>
      <c r="AQ2549">
        <v>0</v>
      </c>
      <c r="AR2549" t="s">
        <v>8816</v>
      </c>
      <c r="AS2549" t="s">
        <v>8817</v>
      </c>
      <c r="AT2549">
        <v>0.89</v>
      </c>
      <c r="AU2549" t="s">
        <v>74</v>
      </c>
      <c r="AV2549" t="s">
        <v>2955</v>
      </c>
      <c r="AW2549" t="s">
        <v>75</v>
      </c>
      <c r="AX2549" t="s">
        <v>8818</v>
      </c>
      <c r="AY2549" t="s">
        <v>8819</v>
      </c>
      <c r="AZ2549">
        <v>3120.9999999997672</v>
      </c>
      <c r="BA2549">
        <v>1</v>
      </c>
      <c r="BB2549">
        <v>1</v>
      </c>
      <c r="BC2549">
        <v>0</v>
      </c>
      <c r="BD2549">
        <v>0</v>
      </c>
      <c r="BE2549">
        <f t="shared" si="399"/>
        <v>1</v>
      </c>
    </row>
    <row r="2550" spans="1:57" x14ac:dyDescent="0.25">
      <c r="A2550" t="s">
        <v>39</v>
      </c>
      <c r="B2550" t="s">
        <v>8820</v>
      </c>
      <c r="C2550">
        <v>73.400000000000006</v>
      </c>
      <c r="D2550">
        <v>64.400000000000006</v>
      </c>
      <c r="G2550">
        <f t="shared" si="390"/>
        <v>0</v>
      </c>
      <c r="H2550">
        <f t="shared" si="391"/>
        <v>0</v>
      </c>
      <c r="I2550">
        <f t="shared" si="392"/>
        <v>0</v>
      </c>
      <c r="J2550">
        <v>70</v>
      </c>
      <c r="K2550">
        <v>73.400000000000006</v>
      </c>
      <c r="L2550">
        <v>64.400000000000006</v>
      </c>
      <c r="M2550">
        <v>70</v>
      </c>
      <c r="N2550">
        <v>58.6</v>
      </c>
      <c r="O2550">
        <v>67.3</v>
      </c>
      <c r="S2550">
        <f t="shared" si="393"/>
        <v>0</v>
      </c>
      <c r="T2550">
        <f t="shared" si="394"/>
        <v>0</v>
      </c>
      <c r="U2550">
        <f t="shared" si="395"/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25.3</v>
      </c>
      <c r="AC2550">
        <v>12.8</v>
      </c>
      <c r="AG2550">
        <f t="shared" si="396"/>
        <v>1</v>
      </c>
      <c r="AH2550">
        <f t="shared" si="397"/>
        <v>0</v>
      </c>
      <c r="AI2550">
        <f t="shared" si="398"/>
        <v>1</v>
      </c>
      <c r="AJ2550">
        <v>318.2</v>
      </c>
      <c r="AK2550">
        <v>1018.6</v>
      </c>
      <c r="AL2550">
        <v>37.1</v>
      </c>
      <c r="AM2550">
        <v>6.2</v>
      </c>
      <c r="AN2550">
        <v>194.8</v>
      </c>
      <c r="AO2550">
        <v>17.100000000000001</v>
      </c>
      <c r="AP2550">
        <v>7</v>
      </c>
      <c r="AQ2550">
        <v>0</v>
      </c>
      <c r="AR2550" t="s">
        <v>8821</v>
      </c>
      <c r="AS2550" t="s">
        <v>8822</v>
      </c>
      <c r="AT2550">
        <v>0.5</v>
      </c>
      <c r="AU2550" t="s">
        <v>43</v>
      </c>
      <c r="AV2550" t="s">
        <v>44</v>
      </c>
      <c r="AW2550" t="s">
        <v>45</v>
      </c>
      <c r="AX2550" t="s">
        <v>8823</v>
      </c>
      <c r="AY2550" t="s">
        <v>8824</v>
      </c>
      <c r="AZ2550">
        <v>487.0000000053551</v>
      </c>
      <c r="BA2550">
        <v>1</v>
      </c>
      <c r="BB2550">
        <v>0</v>
      </c>
      <c r="BC2550">
        <v>5</v>
      </c>
      <c r="BD2550">
        <v>0</v>
      </c>
      <c r="BE2550">
        <f t="shared" si="399"/>
        <v>0</v>
      </c>
    </row>
    <row r="2551" spans="1:57" x14ac:dyDescent="0.25">
      <c r="A2551" t="s">
        <v>39</v>
      </c>
      <c r="B2551" t="s">
        <v>8639</v>
      </c>
      <c r="C2551">
        <v>77</v>
      </c>
      <c r="D2551">
        <v>55.4</v>
      </c>
      <c r="G2551">
        <f t="shared" si="390"/>
        <v>1</v>
      </c>
      <c r="H2551">
        <f t="shared" si="391"/>
        <v>1</v>
      </c>
      <c r="I2551">
        <f t="shared" si="392"/>
        <v>0</v>
      </c>
      <c r="J2551">
        <v>66.099999999999994</v>
      </c>
      <c r="K2551">
        <v>77</v>
      </c>
      <c r="L2551">
        <v>55.4</v>
      </c>
      <c r="M2551">
        <v>66.099999999999994</v>
      </c>
      <c r="N2551">
        <v>54.1</v>
      </c>
      <c r="O2551">
        <v>66.400000000000006</v>
      </c>
      <c r="S2551">
        <f t="shared" si="393"/>
        <v>0</v>
      </c>
      <c r="T2551">
        <f t="shared" si="394"/>
        <v>0</v>
      </c>
      <c r="U2551">
        <f t="shared" si="395"/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24</v>
      </c>
      <c r="AC2551">
        <v>20.8</v>
      </c>
      <c r="AG2551">
        <f t="shared" si="396"/>
        <v>1</v>
      </c>
      <c r="AH2551">
        <f t="shared" si="397"/>
        <v>1</v>
      </c>
      <c r="AI2551">
        <f t="shared" si="398"/>
        <v>0</v>
      </c>
      <c r="AJ2551">
        <v>177.1</v>
      </c>
      <c r="AK2551">
        <v>1014.7</v>
      </c>
      <c r="AL2551">
        <v>28.2</v>
      </c>
      <c r="AM2551">
        <v>6.2</v>
      </c>
      <c r="AN2551">
        <v>160.69999999999999</v>
      </c>
      <c r="AO2551">
        <v>14</v>
      </c>
      <c r="AP2551">
        <v>6</v>
      </c>
      <c r="AQ2551">
        <v>0</v>
      </c>
      <c r="AR2551" t="s">
        <v>8640</v>
      </c>
      <c r="AS2551" t="s">
        <v>8641</v>
      </c>
      <c r="AT2551">
        <v>0.39</v>
      </c>
      <c r="AU2551" t="s">
        <v>43</v>
      </c>
      <c r="AV2551" t="s">
        <v>44</v>
      </c>
      <c r="AW2551" t="s">
        <v>45</v>
      </c>
      <c r="AX2551" t="s">
        <v>2665</v>
      </c>
      <c r="AY2551" t="s">
        <v>8825</v>
      </c>
      <c r="AZ2551">
        <v>300.00000000349252</v>
      </c>
      <c r="BA2551">
        <v>0</v>
      </c>
      <c r="BB2551">
        <v>0</v>
      </c>
      <c r="BC2551">
        <v>3</v>
      </c>
      <c r="BD2551">
        <v>0</v>
      </c>
      <c r="BE2551">
        <f t="shared" si="399"/>
        <v>0</v>
      </c>
    </row>
    <row r="2552" spans="1:57" x14ac:dyDescent="0.25">
      <c r="A2552" t="s">
        <v>39</v>
      </c>
      <c r="B2552" t="s">
        <v>8826</v>
      </c>
      <c r="C2552">
        <v>64.400000000000006</v>
      </c>
      <c r="D2552">
        <v>53.6</v>
      </c>
      <c r="G2552">
        <f t="shared" si="390"/>
        <v>1</v>
      </c>
      <c r="H2552">
        <f t="shared" si="391"/>
        <v>0</v>
      </c>
      <c r="I2552">
        <f t="shared" si="392"/>
        <v>1</v>
      </c>
      <c r="J2552">
        <v>61.6</v>
      </c>
      <c r="K2552">
        <v>64.400000000000006</v>
      </c>
      <c r="L2552">
        <v>53.6</v>
      </c>
      <c r="M2552">
        <v>61.6</v>
      </c>
      <c r="N2552">
        <v>52</v>
      </c>
      <c r="O2552">
        <v>71</v>
      </c>
      <c r="S2552">
        <f t="shared" si="393"/>
        <v>1</v>
      </c>
      <c r="T2552">
        <f t="shared" si="394"/>
        <v>1</v>
      </c>
      <c r="U2552">
        <f t="shared" si="395"/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25.7</v>
      </c>
      <c r="AC2552">
        <v>16.100000000000001</v>
      </c>
      <c r="AG2552">
        <f t="shared" si="396"/>
        <v>0</v>
      </c>
      <c r="AH2552">
        <f t="shared" si="397"/>
        <v>0</v>
      </c>
      <c r="AI2552">
        <f t="shared" si="398"/>
        <v>0</v>
      </c>
      <c r="AJ2552">
        <v>315.7</v>
      </c>
      <c r="AK2552">
        <v>1019</v>
      </c>
      <c r="AL2552">
        <v>50.5</v>
      </c>
      <c r="AM2552">
        <v>6.2</v>
      </c>
      <c r="AN2552">
        <v>118.1</v>
      </c>
      <c r="AO2552">
        <v>10.4</v>
      </c>
      <c r="AP2552">
        <v>5</v>
      </c>
      <c r="AQ2552">
        <v>0</v>
      </c>
      <c r="AR2552" t="s">
        <v>8827</v>
      </c>
      <c r="AS2552" t="s">
        <v>8828</v>
      </c>
      <c r="AT2552">
        <v>0.72</v>
      </c>
      <c r="AU2552" t="s">
        <v>43</v>
      </c>
      <c r="AV2552" t="s">
        <v>44</v>
      </c>
      <c r="AW2552" t="s">
        <v>45</v>
      </c>
      <c r="AX2552" t="s">
        <v>7546</v>
      </c>
      <c r="AY2552" t="s">
        <v>8829</v>
      </c>
      <c r="AZ2552">
        <v>129.99999999417921</v>
      </c>
      <c r="BA2552">
        <v>0</v>
      </c>
      <c r="BB2552">
        <v>0</v>
      </c>
      <c r="BC2552">
        <v>0.5</v>
      </c>
      <c r="BD2552">
        <v>0</v>
      </c>
      <c r="BE2552">
        <f t="shared" si="399"/>
        <v>0</v>
      </c>
    </row>
    <row r="2553" spans="1:57" x14ac:dyDescent="0.25">
      <c r="A2553" t="s">
        <v>39</v>
      </c>
      <c r="B2553" t="s">
        <v>8830</v>
      </c>
      <c r="C2553">
        <v>77</v>
      </c>
      <c r="D2553">
        <v>66.2</v>
      </c>
      <c r="G2553">
        <f t="shared" si="390"/>
        <v>1</v>
      </c>
      <c r="H2553">
        <f t="shared" si="391"/>
        <v>1</v>
      </c>
      <c r="I2553">
        <f t="shared" si="392"/>
        <v>0</v>
      </c>
      <c r="J2553">
        <v>70.2</v>
      </c>
      <c r="K2553">
        <v>77</v>
      </c>
      <c r="L2553">
        <v>66.2</v>
      </c>
      <c r="M2553">
        <v>70.2</v>
      </c>
      <c r="N2553">
        <v>40.299999999999997</v>
      </c>
      <c r="O2553">
        <v>34.6</v>
      </c>
      <c r="S2553">
        <f t="shared" si="393"/>
        <v>1</v>
      </c>
      <c r="T2553">
        <f t="shared" si="394"/>
        <v>0</v>
      </c>
      <c r="U2553">
        <f t="shared" si="395"/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51.9</v>
      </c>
      <c r="AC2553">
        <v>34.4</v>
      </c>
      <c r="AG2553">
        <f t="shared" si="396"/>
        <v>1</v>
      </c>
      <c r="AH2553">
        <f t="shared" si="397"/>
        <v>1</v>
      </c>
      <c r="AI2553">
        <f t="shared" si="398"/>
        <v>0</v>
      </c>
      <c r="AJ2553">
        <v>173</v>
      </c>
      <c r="AK2553">
        <v>1008.3</v>
      </c>
      <c r="AL2553">
        <v>55.9</v>
      </c>
      <c r="AM2553">
        <v>6.2</v>
      </c>
      <c r="AN2553">
        <v>252.8</v>
      </c>
      <c r="AO2553">
        <v>21.8</v>
      </c>
      <c r="AP2553">
        <v>8</v>
      </c>
      <c r="AQ2553">
        <v>0</v>
      </c>
      <c r="AR2553" t="s">
        <v>8831</v>
      </c>
      <c r="AS2553" t="s">
        <v>8832</v>
      </c>
      <c r="AT2553">
        <v>0</v>
      </c>
      <c r="AU2553" t="s">
        <v>43</v>
      </c>
      <c r="AV2553" t="s">
        <v>44</v>
      </c>
      <c r="AW2553" t="s">
        <v>419</v>
      </c>
      <c r="AX2553" t="s">
        <v>4712</v>
      </c>
      <c r="AY2553" t="s">
        <v>8833</v>
      </c>
      <c r="AZ2553">
        <v>123.000000002794</v>
      </c>
      <c r="BA2553">
        <v>0</v>
      </c>
      <c r="BB2553">
        <v>0</v>
      </c>
      <c r="BC2553">
        <v>1</v>
      </c>
      <c r="BD2553">
        <v>0</v>
      </c>
      <c r="BE2553">
        <f t="shared" si="399"/>
        <v>1</v>
      </c>
    </row>
    <row r="2554" spans="1:57" x14ac:dyDescent="0.25">
      <c r="A2554" t="s">
        <v>39</v>
      </c>
      <c r="B2554" t="s">
        <v>8800</v>
      </c>
      <c r="C2554">
        <v>71.599999999999994</v>
      </c>
      <c r="D2554">
        <v>55.4</v>
      </c>
      <c r="G2554">
        <f t="shared" si="390"/>
        <v>1</v>
      </c>
      <c r="H2554">
        <f t="shared" si="391"/>
        <v>1</v>
      </c>
      <c r="I2554">
        <f t="shared" si="392"/>
        <v>0</v>
      </c>
      <c r="J2554">
        <v>64.2</v>
      </c>
      <c r="K2554">
        <v>71.599999999999994</v>
      </c>
      <c r="L2554">
        <v>55.4</v>
      </c>
      <c r="M2554">
        <v>64.2</v>
      </c>
      <c r="N2554">
        <v>52.5</v>
      </c>
      <c r="O2554">
        <v>66.5</v>
      </c>
      <c r="S2554">
        <f t="shared" si="393"/>
        <v>1</v>
      </c>
      <c r="T2554">
        <f t="shared" si="394"/>
        <v>1</v>
      </c>
      <c r="U2554">
        <f t="shared" si="395"/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20.6</v>
      </c>
      <c r="AC2554">
        <v>8.1</v>
      </c>
      <c r="AG2554">
        <f t="shared" si="396"/>
        <v>1</v>
      </c>
      <c r="AH2554">
        <f t="shared" si="397"/>
        <v>0</v>
      </c>
      <c r="AI2554">
        <f t="shared" si="398"/>
        <v>1</v>
      </c>
      <c r="AJ2554">
        <v>314.2</v>
      </c>
      <c r="AK2554">
        <v>1012.5</v>
      </c>
      <c r="AL2554">
        <v>5.5</v>
      </c>
      <c r="AM2554">
        <v>6.2</v>
      </c>
      <c r="AN2554">
        <v>310.89999999999998</v>
      </c>
      <c r="AO2554">
        <v>26.8</v>
      </c>
      <c r="AP2554">
        <v>10</v>
      </c>
      <c r="AQ2554">
        <v>0</v>
      </c>
      <c r="AR2554" t="s">
        <v>8801</v>
      </c>
      <c r="AS2554" t="s">
        <v>8802</v>
      </c>
      <c r="AT2554">
        <v>0.91</v>
      </c>
      <c r="AU2554" t="s">
        <v>74</v>
      </c>
      <c r="AV2554" t="s">
        <v>2955</v>
      </c>
      <c r="AW2554" t="s">
        <v>75</v>
      </c>
      <c r="AX2554" t="s">
        <v>6154</v>
      </c>
      <c r="AY2554" t="s">
        <v>8834</v>
      </c>
      <c r="AZ2554">
        <v>294.99999999767169</v>
      </c>
      <c r="BA2554">
        <v>0</v>
      </c>
      <c r="BB2554">
        <v>0</v>
      </c>
      <c r="BC2554">
        <v>4</v>
      </c>
      <c r="BD2554">
        <v>0</v>
      </c>
      <c r="BE2554">
        <f t="shared" si="399"/>
        <v>1</v>
      </c>
    </row>
    <row r="2555" spans="1:57" x14ac:dyDescent="0.25">
      <c r="A2555" t="s">
        <v>39</v>
      </c>
      <c r="B2555" t="s">
        <v>8835</v>
      </c>
      <c r="C2555">
        <v>86</v>
      </c>
      <c r="D2555">
        <v>68</v>
      </c>
      <c r="G2555">
        <f t="shared" si="390"/>
        <v>1</v>
      </c>
      <c r="H2555">
        <f t="shared" si="391"/>
        <v>1</v>
      </c>
      <c r="I2555">
        <f t="shared" si="392"/>
        <v>0</v>
      </c>
      <c r="J2555">
        <v>78.099999999999994</v>
      </c>
      <c r="K2555">
        <v>89.6</v>
      </c>
      <c r="L2555">
        <v>68</v>
      </c>
      <c r="M2555">
        <v>79.599999999999994</v>
      </c>
      <c r="N2555">
        <v>66.2</v>
      </c>
      <c r="O2555">
        <v>68.599999999999994</v>
      </c>
      <c r="S2555">
        <f t="shared" si="393"/>
        <v>1</v>
      </c>
      <c r="T2555">
        <f t="shared" si="394"/>
        <v>1</v>
      </c>
      <c r="U2555">
        <f t="shared" si="395"/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27.7</v>
      </c>
      <c r="AC2555">
        <v>9.1999999999999993</v>
      </c>
      <c r="AG2555">
        <f t="shared" si="396"/>
        <v>1</v>
      </c>
      <c r="AH2555">
        <f t="shared" si="397"/>
        <v>0</v>
      </c>
      <c r="AI2555">
        <f t="shared" si="398"/>
        <v>1</v>
      </c>
      <c r="AJ2555">
        <v>163.19999999999999</v>
      </c>
      <c r="AK2555">
        <v>1010.5</v>
      </c>
      <c r="AL2555">
        <v>1.2</v>
      </c>
      <c r="AM2555">
        <v>6.2</v>
      </c>
      <c r="AN2555">
        <v>342.1</v>
      </c>
      <c r="AO2555">
        <v>29.6</v>
      </c>
      <c r="AP2555">
        <v>10</v>
      </c>
      <c r="AQ2555">
        <v>0</v>
      </c>
      <c r="AR2555" t="s">
        <v>8836</v>
      </c>
      <c r="AS2555" t="s">
        <v>8837</v>
      </c>
      <c r="AT2555">
        <v>0.77</v>
      </c>
      <c r="AU2555" t="s">
        <v>74</v>
      </c>
      <c r="AV2555" t="s">
        <v>2955</v>
      </c>
      <c r="AW2555" t="s">
        <v>75</v>
      </c>
      <c r="AX2555" t="s">
        <v>4080</v>
      </c>
      <c r="AY2555" t="s">
        <v>8838</v>
      </c>
      <c r="AZ2555">
        <v>1440</v>
      </c>
      <c r="BA2555">
        <v>1</v>
      </c>
      <c r="BB2555">
        <v>0</v>
      </c>
      <c r="BC2555">
        <v>4</v>
      </c>
      <c r="BD2555">
        <v>0</v>
      </c>
      <c r="BE2555">
        <f t="shared" si="399"/>
        <v>1</v>
      </c>
    </row>
    <row r="2556" spans="1:57" x14ac:dyDescent="0.25">
      <c r="A2556" t="s">
        <v>39</v>
      </c>
      <c r="B2556" t="s">
        <v>8839</v>
      </c>
      <c r="C2556">
        <v>84.2</v>
      </c>
      <c r="D2556">
        <v>71.599999999999994</v>
      </c>
      <c r="G2556">
        <f t="shared" si="390"/>
        <v>1</v>
      </c>
      <c r="H2556">
        <f t="shared" si="391"/>
        <v>1</v>
      </c>
      <c r="I2556">
        <f t="shared" si="392"/>
        <v>0</v>
      </c>
      <c r="J2556">
        <v>78.400000000000006</v>
      </c>
      <c r="K2556">
        <v>89.6</v>
      </c>
      <c r="L2556">
        <v>71.599999999999994</v>
      </c>
      <c r="M2556">
        <v>80.099999999999994</v>
      </c>
      <c r="N2556">
        <v>66.900000000000006</v>
      </c>
      <c r="O2556">
        <v>68.5</v>
      </c>
      <c r="S2556">
        <f t="shared" si="393"/>
        <v>0</v>
      </c>
      <c r="T2556">
        <f t="shared" si="394"/>
        <v>0</v>
      </c>
      <c r="U2556">
        <f t="shared" si="395"/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29.3</v>
      </c>
      <c r="AC2556">
        <v>21.9</v>
      </c>
      <c r="AG2556">
        <f t="shared" si="396"/>
        <v>1</v>
      </c>
      <c r="AH2556">
        <f t="shared" si="397"/>
        <v>1</v>
      </c>
      <c r="AI2556">
        <f t="shared" si="398"/>
        <v>0</v>
      </c>
      <c r="AJ2556">
        <v>295.39999999999998</v>
      </c>
      <c r="AK2556">
        <v>1008.2</v>
      </c>
      <c r="AL2556">
        <v>14.9</v>
      </c>
      <c r="AM2556">
        <v>6.2</v>
      </c>
      <c r="AN2556">
        <v>255.5</v>
      </c>
      <c r="AO2556">
        <v>21.9</v>
      </c>
      <c r="AP2556">
        <v>8</v>
      </c>
      <c r="AQ2556">
        <v>0</v>
      </c>
      <c r="AR2556" t="s">
        <v>8840</v>
      </c>
      <c r="AS2556" t="s">
        <v>8841</v>
      </c>
      <c r="AT2556">
        <v>0.56000000000000005</v>
      </c>
      <c r="AU2556" t="s">
        <v>74</v>
      </c>
      <c r="AV2556" t="s">
        <v>2955</v>
      </c>
      <c r="AW2556" t="s">
        <v>75</v>
      </c>
      <c r="AX2556" t="s">
        <v>5380</v>
      </c>
      <c r="AY2556" t="s">
        <v>8842</v>
      </c>
      <c r="AZ2556">
        <v>524.00000000023283</v>
      </c>
      <c r="BA2556">
        <v>1</v>
      </c>
      <c r="BB2556">
        <v>0</v>
      </c>
      <c r="BC2556">
        <v>0.5</v>
      </c>
      <c r="BD2556">
        <v>0</v>
      </c>
      <c r="BE2556">
        <f t="shared" si="399"/>
        <v>1</v>
      </c>
    </row>
    <row r="2557" spans="1:57" x14ac:dyDescent="0.25">
      <c r="A2557" t="s">
        <v>39</v>
      </c>
      <c r="B2557" t="s">
        <v>8843</v>
      </c>
      <c r="C2557">
        <v>82.4</v>
      </c>
      <c r="D2557">
        <v>75.2</v>
      </c>
      <c r="G2557">
        <f t="shared" si="390"/>
        <v>1</v>
      </c>
      <c r="H2557">
        <f t="shared" si="391"/>
        <v>1</v>
      </c>
      <c r="I2557">
        <f t="shared" si="392"/>
        <v>0</v>
      </c>
      <c r="J2557">
        <v>79.8</v>
      </c>
      <c r="K2557">
        <v>87.2</v>
      </c>
      <c r="L2557">
        <v>75.2</v>
      </c>
      <c r="M2557">
        <v>81.3</v>
      </c>
      <c r="N2557">
        <v>65</v>
      </c>
      <c r="O2557">
        <v>62.4</v>
      </c>
      <c r="S2557">
        <f t="shared" si="393"/>
        <v>1</v>
      </c>
      <c r="T2557">
        <f t="shared" si="394"/>
        <v>0</v>
      </c>
      <c r="U2557">
        <f t="shared" si="395"/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25.3</v>
      </c>
      <c r="AC2557">
        <v>13.9</v>
      </c>
      <c r="AG2557">
        <f t="shared" si="396"/>
        <v>1</v>
      </c>
      <c r="AH2557">
        <f t="shared" si="397"/>
        <v>0</v>
      </c>
      <c r="AI2557">
        <f t="shared" si="398"/>
        <v>1</v>
      </c>
      <c r="AJ2557">
        <v>147.69999999999999</v>
      </c>
      <c r="AK2557">
        <v>1010.5</v>
      </c>
      <c r="AL2557">
        <v>30</v>
      </c>
      <c r="AM2557">
        <v>6.2</v>
      </c>
      <c r="AN2557">
        <v>214</v>
      </c>
      <c r="AO2557">
        <v>18.5</v>
      </c>
      <c r="AP2557">
        <v>8</v>
      </c>
      <c r="AQ2557">
        <v>0</v>
      </c>
      <c r="AR2557" t="s">
        <v>8844</v>
      </c>
      <c r="AS2557" t="s">
        <v>8845</v>
      </c>
      <c r="AT2557">
        <v>0.09</v>
      </c>
      <c r="AU2557" t="s">
        <v>43</v>
      </c>
      <c r="AV2557" t="s">
        <v>2026</v>
      </c>
      <c r="AW2557" t="s">
        <v>45</v>
      </c>
      <c r="AX2557" t="s">
        <v>7598</v>
      </c>
      <c r="AY2557" t="s">
        <v>8846</v>
      </c>
      <c r="AZ2557">
        <v>190.00000000116421</v>
      </c>
      <c r="BA2557">
        <v>0</v>
      </c>
      <c r="BB2557">
        <v>0</v>
      </c>
      <c r="BC2557">
        <v>0.5</v>
      </c>
      <c r="BD2557">
        <v>0</v>
      </c>
      <c r="BE2557">
        <f t="shared" si="399"/>
        <v>1</v>
      </c>
    </row>
    <row r="2558" spans="1:57" x14ac:dyDescent="0.25">
      <c r="A2558" t="s">
        <v>39</v>
      </c>
      <c r="B2558" t="s">
        <v>8830</v>
      </c>
      <c r="C2558">
        <v>77</v>
      </c>
      <c r="D2558">
        <v>66.2</v>
      </c>
      <c r="G2558">
        <f t="shared" si="390"/>
        <v>1</v>
      </c>
      <c r="H2558">
        <f t="shared" si="391"/>
        <v>1</v>
      </c>
      <c r="I2558">
        <f t="shared" si="392"/>
        <v>0</v>
      </c>
      <c r="J2558">
        <v>70.2</v>
      </c>
      <c r="K2558">
        <v>77</v>
      </c>
      <c r="L2558">
        <v>66.2</v>
      </c>
      <c r="M2558">
        <v>70.2</v>
      </c>
      <c r="N2558">
        <v>40.299999999999997</v>
      </c>
      <c r="O2558">
        <v>34.6</v>
      </c>
      <c r="S2558">
        <f t="shared" si="393"/>
        <v>1</v>
      </c>
      <c r="T2558">
        <f t="shared" si="394"/>
        <v>0</v>
      </c>
      <c r="U2558">
        <f t="shared" si="395"/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51.9</v>
      </c>
      <c r="AC2558">
        <v>34.4</v>
      </c>
      <c r="AG2558">
        <f t="shared" si="396"/>
        <v>1</v>
      </c>
      <c r="AH2558">
        <f t="shared" si="397"/>
        <v>1</v>
      </c>
      <c r="AI2558">
        <f t="shared" si="398"/>
        <v>0</v>
      </c>
      <c r="AJ2558">
        <v>173</v>
      </c>
      <c r="AK2558">
        <v>1008.3</v>
      </c>
      <c r="AL2558">
        <v>55.9</v>
      </c>
      <c r="AM2558">
        <v>6.2</v>
      </c>
      <c r="AN2558">
        <v>252.8</v>
      </c>
      <c r="AO2558">
        <v>21.8</v>
      </c>
      <c r="AP2558">
        <v>8</v>
      </c>
      <c r="AQ2558">
        <v>0</v>
      </c>
      <c r="AR2558" t="s">
        <v>8831</v>
      </c>
      <c r="AS2558" t="s">
        <v>8832</v>
      </c>
      <c r="AT2558">
        <v>0</v>
      </c>
      <c r="AU2558" t="s">
        <v>43</v>
      </c>
      <c r="AV2558" t="s">
        <v>44</v>
      </c>
      <c r="AW2558" t="s">
        <v>419</v>
      </c>
      <c r="AX2558" t="s">
        <v>2413</v>
      </c>
      <c r="AY2558" t="s">
        <v>8847</v>
      </c>
      <c r="AZ2558">
        <v>1620</v>
      </c>
      <c r="BA2558">
        <v>1</v>
      </c>
      <c r="BB2558">
        <v>0</v>
      </c>
      <c r="BC2558">
        <v>10</v>
      </c>
      <c r="BD2558">
        <v>0</v>
      </c>
      <c r="BE2558">
        <f t="shared" si="399"/>
        <v>1</v>
      </c>
    </row>
    <row r="2559" spans="1:57" x14ac:dyDescent="0.25">
      <c r="A2559" t="s">
        <v>39</v>
      </c>
      <c r="B2559" t="s">
        <v>8848</v>
      </c>
      <c r="C2559">
        <v>82.4</v>
      </c>
      <c r="D2559">
        <v>68</v>
      </c>
      <c r="G2559">
        <f t="shared" si="390"/>
        <v>1</v>
      </c>
      <c r="H2559">
        <f t="shared" si="391"/>
        <v>1</v>
      </c>
      <c r="I2559">
        <f t="shared" si="392"/>
        <v>0</v>
      </c>
      <c r="J2559">
        <v>76.3</v>
      </c>
      <c r="K2559">
        <v>84</v>
      </c>
      <c r="L2559">
        <v>68</v>
      </c>
      <c r="M2559">
        <v>76.7</v>
      </c>
      <c r="N2559">
        <v>63</v>
      </c>
      <c r="O2559">
        <v>63.9</v>
      </c>
      <c r="S2559">
        <f t="shared" si="393"/>
        <v>1</v>
      </c>
      <c r="T2559">
        <f t="shared" si="394"/>
        <v>0</v>
      </c>
      <c r="U2559">
        <f t="shared" si="395"/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23.5</v>
      </c>
      <c r="AC2559">
        <v>11.4</v>
      </c>
      <c r="AG2559">
        <f t="shared" si="396"/>
        <v>1</v>
      </c>
      <c r="AH2559">
        <f t="shared" si="397"/>
        <v>0</v>
      </c>
      <c r="AI2559">
        <f t="shared" si="398"/>
        <v>1</v>
      </c>
      <c r="AJ2559">
        <v>307.39999999999998</v>
      </c>
      <c r="AK2559">
        <v>1012</v>
      </c>
      <c r="AL2559">
        <v>35.6</v>
      </c>
      <c r="AM2559">
        <v>6.2</v>
      </c>
      <c r="AN2559">
        <v>229.2</v>
      </c>
      <c r="AO2559">
        <v>19.8</v>
      </c>
      <c r="AP2559">
        <v>8</v>
      </c>
      <c r="AQ2559">
        <v>0</v>
      </c>
      <c r="AR2559" t="s">
        <v>8849</v>
      </c>
      <c r="AS2559" t="s">
        <v>8850</v>
      </c>
      <c r="AT2559">
        <v>0.79</v>
      </c>
      <c r="AU2559" t="s">
        <v>43</v>
      </c>
      <c r="AV2559" t="s">
        <v>44</v>
      </c>
      <c r="AW2559" t="s">
        <v>45</v>
      </c>
      <c r="AX2559" t="s">
        <v>6735</v>
      </c>
      <c r="AY2559" t="s">
        <v>8851</v>
      </c>
      <c r="AZ2559">
        <v>70.000000008149073</v>
      </c>
      <c r="BA2559">
        <v>0</v>
      </c>
      <c r="BB2559">
        <v>0</v>
      </c>
      <c r="BC2559">
        <v>0.01</v>
      </c>
      <c r="BD2559">
        <v>0</v>
      </c>
      <c r="BE2559">
        <f t="shared" si="399"/>
        <v>1</v>
      </c>
    </row>
    <row r="2560" spans="1:57" x14ac:dyDescent="0.25">
      <c r="A2560" t="s">
        <v>39</v>
      </c>
      <c r="B2560" t="s">
        <v>8852</v>
      </c>
      <c r="C2560">
        <v>75.2</v>
      </c>
      <c r="D2560">
        <v>68</v>
      </c>
      <c r="G2560">
        <f t="shared" si="390"/>
        <v>1</v>
      </c>
      <c r="H2560">
        <f t="shared" si="391"/>
        <v>1</v>
      </c>
      <c r="I2560">
        <f t="shared" si="392"/>
        <v>0</v>
      </c>
      <c r="J2560">
        <v>71.5</v>
      </c>
      <c r="K2560">
        <v>75.2</v>
      </c>
      <c r="L2560">
        <v>68</v>
      </c>
      <c r="M2560">
        <v>71.5</v>
      </c>
      <c r="N2560">
        <v>53.8</v>
      </c>
      <c r="O2560">
        <v>54.9</v>
      </c>
      <c r="S2560">
        <f t="shared" si="393"/>
        <v>1</v>
      </c>
      <c r="T2560">
        <f t="shared" si="394"/>
        <v>0</v>
      </c>
      <c r="U2560">
        <f t="shared" si="395"/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35.799999999999997</v>
      </c>
      <c r="AC2560">
        <v>25.3</v>
      </c>
      <c r="AG2560">
        <f t="shared" si="396"/>
        <v>1</v>
      </c>
      <c r="AH2560">
        <f t="shared" si="397"/>
        <v>1</v>
      </c>
      <c r="AI2560">
        <f t="shared" si="398"/>
        <v>0</v>
      </c>
      <c r="AJ2560">
        <v>176.6</v>
      </c>
      <c r="AK2560">
        <v>1017.6</v>
      </c>
      <c r="AL2560">
        <v>39.9</v>
      </c>
      <c r="AM2560">
        <v>6.2</v>
      </c>
      <c r="AN2560">
        <v>110.2</v>
      </c>
      <c r="AO2560">
        <v>9.5</v>
      </c>
      <c r="AP2560">
        <v>5</v>
      </c>
      <c r="AQ2560">
        <v>0</v>
      </c>
      <c r="AR2560" t="s">
        <v>8853</v>
      </c>
      <c r="AS2560" t="s">
        <v>8854</v>
      </c>
      <c r="AT2560">
        <v>0.89</v>
      </c>
      <c r="AU2560" t="s">
        <v>43</v>
      </c>
      <c r="AV2560" t="s">
        <v>44</v>
      </c>
      <c r="AW2560" t="s">
        <v>45</v>
      </c>
      <c r="AX2560" t="s">
        <v>6001</v>
      </c>
      <c r="AY2560" t="s">
        <v>8855</v>
      </c>
      <c r="AZ2560">
        <v>1127.000000006519</v>
      </c>
      <c r="BA2560">
        <v>1</v>
      </c>
      <c r="BB2560">
        <v>0</v>
      </c>
      <c r="BC2560">
        <v>0.5</v>
      </c>
      <c r="BD2560">
        <v>0</v>
      </c>
      <c r="BE2560">
        <f t="shared" si="399"/>
        <v>1</v>
      </c>
    </row>
    <row r="2561" spans="1:57" x14ac:dyDescent="0.25">
      <c r="A2561" t="s">
        <v>39</v>
      </c>
      <c r="B2561" t="s">
        <v>8856</v>
      </c>
      <c r="C2561">
        <v>69.8</v>
      </c>
      <c r="D2561">
        <v>57.2</v>
      </c>
      <c r="G2561">
        <f t="shared" si="390"/>
        <v>1</v>
      </c>
      <c r="H2561">
        <f t="shared" si="391"/>
        <v>1</v>
      </c>
      <c r="I2561">
        <f t="shared" si="392"/>
        <v>0</v>
      </c>
      <c r="J2561">
        <v>65.7</v>
      </c>
      <c r="K2561">
        <v>69.8</v>
      </c>
      <c r="L2561">
        <v>57.2</v>
      </c>
      <c r="M2561">
        <v>65.7</v>
      </c>
      <c r="N2561">
        <v>44.2</v>
      </c>
      <c r="O2561">
        <v>54.3</v>
      </c>
      <c r="S2561">
        <f t="shared" si="393"/>
        <v>1</v>
      </c>
      <c r="T2561">
        <f t="shared" si="394"/>
        <v>0</v>
      </c>
      <c r="U2561">
        <f t="shared" si="395"/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24.2</v>
      </c>
      <c r="AC2561">
        <v>17.2</v>
      </c>
      <c r="AG2561">
        <f t="shared" si="396"/>
        <v>0</v>
      </c>
      <c r="AH2561">
        <f t="shared" si="397"/>
        <v>0</v>
      </c>
      <c r="AI2561">
        <f t="shared" si="398"/>
        <v>0</v>
      </c>
      <c r="AJ2561">
        <v>276.5</v>
      </c>
      <c r="AK2561">
        <v>1009.5</v>
      </c>
      <c r="AL2561">
        <v>23.4</v>
      </c>
      <c r="AM2561">
        <v>6.2</v>
      </c>
      <c r="AN2561">
        <v>305.39999999999998</v>
      </c>
      <c r="AO2561">
        <v>26.3</v>
      </c>
      <c r="AP2561">
        <v>9</v>
      </c>
      <c r="AQ2561">
        <v>0</v>
      </c>
      <c r="AR2561" t="s">
        <v>8857</v>
      </c>
      <c r="AS2561" t="s">
        <v>8858</v>
      </c>
      <c r="AT2561">
        <v>0.75</v>
      </c>
      <c r="AU2561" t="s">
        <v>43</v>
      </c>
      <c r="AV2561" t="s">
        <v>44</v>
      </c>
      <c r="AW2561" t="s">
        <v>45</v>
      </c>
      <c r="AX2561" t="s">
        <v>2631</v>
      </c>
      <c r="AY2561" t="s">
        <v>8859</v>
      </c>
      <c r="AZ2561">
        <v>169.99999999883579</v>
      </c>
      <c r="BA2561">
        <v>0</v>
      </c>
      <c r="BB2561">
        <v>0</v>
      </c>
      <c r="BC2561">
        <v>2</v>
      </c>
      <c r="BD2561">
        <v>0</v>
      </c>
      <c r="BE2561">
        <f t="shared" si="399"/>
        <v>0</v>
      </c>
    </row>
    <row r="2562" spans="1:57" x14ac:dyDescent="0.25">
      <c r="A2562" t="s">
        <v>39</v>
      </c>
      <c r="B2562" t="s">
        <v>8860</v>
      </c>
      <c r="C2562">
        <v>68</v>
      </c>
      <c r="D2562">
        <v>62.6</v>
      </c>
      <c r="G2562">
        <f t="shared" si="390"/>
        <v>0</v>
      </c>
      <c r="H2562">
        <f t="shared" si="391"/>
        <v>0</v>
      </c>
      <c r="I2562">
        <f t="shared" si="392"/>
        <v>0</v>
      </c>
      <c r="J2562">
        <v>65.099999999999994</v>
      </c>
      <c r="K2562">
        <v>68</v>
      </c>
      <c r="L2562">
        <v>62.6</v>
      </c>
      <c r="M2562">
        <v>65.099999999999994</v>
      </c>
      <c r="N2562">
        <v>55</v>
      </c>
      <c r="O2562">
        <v>70.099999999999994</v>
      </c>
      <c r="S2562">
        <f t="shared" si="393"/>
        <v>1</v>
      </c>
      <c r="T2562">
        <f t="shared" si="394"/>
        <v>1</v>
      </c>
      <c r="U2562">
        <f t="shared" si="395"/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29.8</v>
      </c>
      <c r="AC2562">
        <v>24.2</v>
      </c>
      <c r="AG2562">
        <f t="shared" si="396"/>
        <v>1</v>
      </c>
      <c r="AH2562">
        <f t="shared" si="397"/>
        <v>1</v>
      </c>
      <c r="AI2562">
        <f t="shared" si="398"/>
        <v>0</v>
      </c>
      <c r="AJ2562">
        <v>305</v>
      </c>
      <c r="AK2562">
        <v>1014.4</v>
      </c>
      <c r="AL2562">
        <v>42</v>
      </c>
      <c r="AM2562">
        <v>6.2</v>
      </c>
      <c r="AN2562">
        <v>273.3</v>
      </c>
      <c r="AO2562">
        <v>23.8</v>
      </c>
      <c r="AP2562">
        <v>9</v>
      </c>
      <c r="AQ2562">
        <v>0</v>
      </c>
      <c r="AR2562" t="s">
        <v>8861</v>
      </c>
      <c r="AS2562" t="s">
        <v>8862</v>
      </c>
      <c r="AT2562">
        <v>0</v>
      </c>
      <c r="AU2562" t="s">
        <v>43</v>
      </c>
      <c r="AV2562" t="s">
        <v>44</v>
      </c>
      <c r="AW2562" t="s">
        <v>45</v>
      </c>
      <c r="AX2562" t="s">
        <v>8863</v>
      </c>
      <c r="AY2562" t="s">
        <v>8864</v>
      </c>
      <c r="AZ2562">
        <v>127.9999999981374</v>
      </c>
      <c r="BA2562">
        <v>0</v>
      </c>
      <c r="BB2562">
        <v>0</v>
      </c>
      <c r="BC2562">
        <v>0.3</v>
      </c>
      <c r="BD2562">
        <v>0</v>
      </c>
      <c r="BE2562">
        <f t="shared" si="399"/>
        <v>0</v>
      </c>
    </row>
    <row r="2563" spans="1:57" x14ac:dyDescent="0.25">
      <c r="A2563" t="s">
        <v>39</v>
      </c>
      <c r="B2563" t="s">
        <v>8865</v>
      </c>
      <c r="C2563">
        <v>82.4</v>
      </c>
      <c r="D2563">
        <v>62.6</v>
      </c>
      <c r="G2563">
        <f t="shared" ref="G2563:G2626" si="400">IF(ABS(C2563-INDEX($F$2:$F$13,MONTH(B2563)))&gt;1.8,1,0)</f>
        <v>1</v>
      </c>
      <c r="H2563">
        <f t="shared" ref="H2563:H2626" si="401">IF(C2563&gt;=INDEX($F$2:$F$13,MONTH(B2563))+1.8,1,0)</f>
        <v>1</v>
      </c>
      <c r="I2563">
        <f t="shared" ref="I2563:I2626" si="402">IF(C2563&lt;=INDEX($F$2:$F$13,MONTH(B2563))-1.8,1,0)</f>
        <v>0</v>
      </c>
      <c r="J2563">
        <v>72.599999999999994</v>
      </c>
      <c r="K2563">
        <v>86.2</v>
      </c>
      <c r="L2563">
        <v>62.6</v>
      </c>
      <c r="M2563">
        <v>73</v>
      </c>
      <c r="N2563">
        <v>59.6</v>
      </c>
      <c r="O2563">
        <v>64.3</v>
      </c>
      <c r="S2563">
        <f t="shared" ref="S2563:S2626" si="403">IF(OR(O2563&lt;INDEX($Q$2:$Q$13,MONTH(B2563)),O2563&gt;INDEX($R$2:$R$13,MONTH(B2563))),1,0)</f>
        <v>0</v>
      </c>
      <c r="T2563">
        <f t="shared" ref="T2563:T2626" si="404">IF(O2563&gt;INDEX($R$2:$R$13,MONTH(B2563)),1,0)</f>
        <v>0</v>
      </c>
      <c r="U2563">
        <f t="shared" ref="U2563:U2626" si="405">IF(O2563&lt;INDEX($Q$2:$Q$13,MONTH(B2563)),1,0)</f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17.2</v>
      </c>
      <c r="AC2563">
        <v>8</v>
      </c>
      <c r="AG2563">
        <f t="shared" ref="AG2563:AG2626" si="406">IF(OR(AC2563&lt;INDEX($AE$2:$AE$13,MONTH(B2563)),AC2563&gt;INDEX($AF$2:$AF$13,MONTH(B2563))),1,0)</f>
        <v>1</v>
      </c>
      <c r="AH2563">
        <f t="shared" ref="AH2563:AH2626" si="407">IF(AC2563&gt;INDEX($AF$2:$AF$13,MONTH(B2563)),1,0)</f>
        <v>0</v>
      </c>
      <c r="AI2563">
        <f t="shared" ref="AI2563:AI2626" si="408">IF(AC2563&lt;INDEX($AE$2:$AE$13,MONTH(B2563)),1,0)</f>
        <v>1</v>
      </c>
      <c r="AJ2563">
        <v>108.5</v>
      </c>
      <c r="AK2563">
        <v>1014.9</v>
      </c>
      <c r="AL2563">
        <v>10.4</v>
      </c>
      <c r="AM2563">
        <v>6.2</v>
      </c>
      <c r="AN2563">
        <v>261.5</v>
      </c>
      <c r="AO2563">
        <v>22.5</v>
      </c>
      <c r="AP2563">
        <v>9</v>
      </c>
      <c r="AQ2563">
        <v>0</v>
      </c>
      <c r="AR2563" t="s">
        <v>8866</v>
      </c>
      <c r="AS2563" t="s">
        <v>8867</v>
      </c>
      <c r="AT2563">
        <v>0.66</v>
      </c>
      <c r="AU2563" t="s">
        <v>74</v>
      </c>
      <c r="AV2563" t="s">
        <v>2955</v>
      </c>
      <c r="AW2563" t="s">
        <v>75</v>
      </c>
      <c r="AX2563" t="s">
        <v>2763</v>
      </c>
      <c r="AY2563" t="s">
        <v>8868</v>
      </c>
      <c r="AZ2563">
        <v>200.00000000232831</v>
      </c>
      <c r="BA2563">
        <v>0</v>
      </c>
      <c r="BB2563">
        <v>0</v>
      </c>
      <c r="BC2563">
        <v>0.5</v>
      </c>
      <c r="BD2563">
        <v>0</v>
      </c>
      <c r="BE2563">
        <f t="shared" ref="BE2563:BE2626" si="409">IF((3*AH2563+3*H2563+2*U2563+2*BA2563-(2*(1-T2563)+2*(1-I2563)+2*(1-AI2563)))&gt;=1,1,0)</f>
        <v>0</v>
      </c>
    </row>
    <row r="2564" spans="1:57" x14ac:dyDescent="0.25">
      <c r="A2564" t="s">
        <v>39</v>
      </c>
      <c r="B2564" t="s">
        <v>8869</v>
      </c>
      <c r="C2564">
        <v>78.8</v>
      </c>
      <c r="D2564">
        <v>62.6</v>
      </c>
      <c r="G2564">
        <f t="shared" si="400"/>
        <v>1</v>
      </c>
      <c r="H2564">
        <f t="shared" si="401"/>
        <v>1</v>
      </c>
      <c r="I2564">
        <f t="shared" si="402"/>
        <v>0</v>
      </c>
      <c r="J2564">
        <v>70.599999999999994</v>
      </c>
      <c r="K2564">
        <v>78.8</v>
      </c>
      <c r="L2564">
        <v>62.6</v>
      </c>
      <c r="M2564">
        <v>70.599999999999994</v>
      </c>
      <c r="N2564">
        <v>61</v>
      </c>
      <c r="O2564">
        <v>72.599999999999994</v>
      </c>
      <c r="S2564">
        <f t="shared" si="403"/>
        <v>1</v>
      </c>
      <c r="T2564">
        <f t="shared" si="404"/>
        <v>1</v>
      </c>
      <c r="U2564">
        <f t="shared" si="405"/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28.9</v>
      </c>
      <c r="AC2564">
        <v>12.8</v>
      </c>
      <c r="AG2564">
        <f t="shared" si="406"/>
        <v>1</v>
      </c>
      <c r="AH2564">
        <f t="shared" si="407"/>
        <v>0</v>
      </c>
      <c r="AI2564">
        <f t="shared" si="408"/>
        <v>1</v>
      </c>
      <c r="AJ2564">
        <v>342.2</v>
      </c>
      <c r="AK2564">
        <v>1014.3</v>
      </c>
      <c r="AL2564">
        <v>41.7</v>
      </c>
      <c r="AM2564">
        <v>6.2</v>
      </c>
      <c r="AN2564">
        <v>207.6</v>
      </c>
      <c r="AO2564">
        <v>17.899999999999999</v>
      </c>
      <c r="AP2564">
        <v>7</v>
      </c>
      <c r="AQ2564">
        <v>0</v>
      </c>
      <c r="AR2564" t="s">
        <v>8870</v>
      </c>
      <c r="AS2564" t="s">
        <v>8871</v>
      </c>
      <c r="AT2564">
        <v>0.3</v>
      </c>
      <c r="AU2564" t="s">
        <v>43</v>
      </c>
      <c r="AV2564" t="s">
        <v>44</v>
      </c>
      <c r="AW2564" t="s">
        <v>45</v>
      </c>
      <c r="AX2564" t="s">
        <v>8872</v>
      </c>
      <c r="AY2564" t="s">
        <v>8873</v>
      </c>
      <c r="AZ2564">
        <v>567.9999999969732</v>
      </c>
      <c r="BA2564">
        <v>1</v>
      </c>
      <c r="BB2564">
        <v>0</v>
      </c>
      <c r="BC2564">
        <v>0.5</v>
      </c>
      <c r="BD2564">
        <v>0</v>
      </c>
      <c r="BE2564">
        <f t="shared" si="409"/>
        <v>1</v>
      </c>
    </row>
    <row r="2565" spans="1:57" x14ac:dyDescent="0.25">
      <c r="A2565" t="s">
        <v>39</v>
      </c>
      <c r="B2565" t="s">
        <v>8874</v>
      </c>
      <c r="C2565">
        <v>73.400000000000006</v>
      </c>
      <c r="D2565">
        <v>59</v>
      </c>
      <c r="G2565">
        <f t="shared" si="400"/>
        <v>0</v>
      </c>
      <c r="H2565">
        <f t="shared" si="401"/>
        <v>0</v>
      </c>
      <c r="I2565">
        <f t="shared" si="402"/>
        <v>0</v>
      </c>
      <c r="J2565">
        <v>66.099999999999994</v>
      </c>
      <c r="K2565">
        <v>73.400000000000006</v>
      </c>
      <c r="L2565">
        <v>59</v>
      </c>
      <c r="M2565">
        <v>66.099999999999994</v>
      </c>
      <c r="N2565">
        <v>60.2</v>
      </c>
      <c r="O2565">
        <v>81.599999999999994</v>
      </c>
      <c r="S2565">
        <f t="shared" si="403"/>
        <v>1</v>
      </c>
      <c r="T2565">
        <f t="shared" si="404"/>
        <v>1</v>
      </c>
      <c r="U2565">
        <f t="shared" si="405"/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18.3</v>
      </c>
      <c r="AC2565">
        <v>9.1999999999999993</v>
      </c>
      <c r="AG2565">
        <f t="shared" si="406"/>
        <v>1</v>
      </c>
      <c r="AH2565">
        <f t="shared" si="407"/>
        <v>0</v>
      </c>
      <c r="AI2565">
        <f t="shared" si="408"/>
        <v>1</v>
      </c>
      <c r="AJ2565">
        <v>237.5</v>
      </c>
      <c r="AK2565">
        <v>1021.5</v>
      </c>
      <c r="AL2565">
        <v>25.5</v>
      </c>
      <c r="AM2565">
        <v>6.2</v>
      </c>
      <c r="AN2565">
        <v>173.7</v>
      </c>
      <c r="AO2565">
        <v>15</v>
      </c>
      <c r="AP2565">
        <v>6</v>
      </c>
      <c r="AQ2565">
        <v>0</v>
      </c>
      <c r="AR2565" t="s">
        <v>8875</v>
      </c>
      <c r="AS2565" t="s">
        <v>8876</v>
      </c>
      <c r="AT2565">
        <v>7.0000000000000007E-2</v>
      </c>
      <c r="AU2565" t="s">
        <v>43</v>
      </c>
      <c r="AV2565" t="s">
        <v>44</v>
      </c>
      <c r="AW2565" t="s">
        <v>45</v>
      </c>
      <c r="AX2565" t="s">
        <v>4788</v>
      </c>
      <c r="AY2565" t="s">
        <v>8877</v>
      </c>
      <c r="AZ2565">
        <v>239.99999999650751</v>
      </c>
      <c r="BA2565">
        <v>0</v>
      </c>
      <c r="BB2565">
        <v>0</v>
      </c>
      <c r="BC2565">
        <v>1</v>
      </c>
      <c r="BD2565">
        <v>0</v>
      </c>
      <c r="BE2565">
        <f t="shared" si="409"/>
        <v>0</v>
      </c>
    </row>
    <row r="2566" spans="1:57" x14ac:dyDescent="0.25">
      <c r="A2566" t="s">
        <v>39</v>
      </c>
      <c r="B2566" t="s">
        <v>8878</v>
      </c>
      <c r="C2566">
        <v>71.599999999999994</v>
      </c>
      <c r="D2566">
        <v>66.2</v>
      </c>
      <c r="G2566">
        <f t="shared" si="400"/>
        <v>1</v>
      </c>
      <c r="H2566">
        <f t="shared" si="401"/>
        <v>0</v>
      </c>
      <c r="I2566">
        <f t="shared" si="402"/>
        <v>1</v>
      </c>
      <c r="J2566">
        <v>67.8</v>
      </c>
      <c r="K2566">
        <v>71.599999999999994</v>
      </c>
      <c r="L2566">
        <v>66.2</v>
      </c>
      <c r="M2566">
        <v>67.8</v>
      </c>
      <c r="N2566">
        <v>58</v>
      </c>
      <c r="O2566">
        <v>71.2</v>
      </c>
      <c r="S2566">
        <f t="shared" si="403"/>
        <v>1</v>
      </c>
      <c r="T2566">
        <f t="shared" si="404"/>
        <v>1</v>
      </c>
      <c r="U2566">
        <f t="shared" si="405"/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31.5</v>
      </c>
      <c r="AC2566">
        <v>20.8</v>
      </c>
      <c r="AG2566">
        <f t="shared" si="406"/>
        <v>1</v>
      </c>
      <c r="AH2566">
        <f t="shared" si="407"/>
        <v>1</v>
      </c>
      <c r="AI2566">
        <f t="shared" si="408"/>
        <v>0</v>
      </c>
      <c r="AJ2566">
        <v>304.10000000000002</v>
      </c>
      <c r="AK2566">
        <v>1021.5</v>
      </c>
      <c r="AL2566">
        <v>40.799999999999997</v>
      </c>
      <c r="AM2566">
        <v>6.2</v>
      </c>
      <c r="AN2566">
        <v>151.4</v>
      </c>
      <c r="AO2566">
        <v>13.1</v>
      </c>
      <c r="AP2566">
        <v>6</v>
      </c>
      <c r="AQ2566">
        <v>0</v>
      </c>
      <c r="AR2566" t="s">
        <v>8879</v>
      </c>
      <c r="AS2566" t="s">
        <v>8880</v>
      </c>
      <c r="AT2566">
        <v>0.1</v>
      </c>
      <c r="AU2566" t="s">
        <v>43</v>
      </c>
      <c r="AV2566" t="s">
        <v>44</v>
      </c>
      <c r="AW2566" t="s">
        <v>45</v>
      </c>
      <c r="AX2566" t="s">
        <v>4536</v>
      </c>
      <c r="AY2566" t="s">
        <v>8881</v>
      </c>
      <c r="AZ2566">
        <v>919.99999999185093</v>
      </c>
      <c r="BA2566">
        <v>1</v>
      </c>
      <c r="BB2566">
        <v>0</v>
      </c>
      <c r="BC2566">
        <v>4</v>
      </c>
      <c r="BD2566">
        <v>0</v>
      </c>
      <c r="BE2566">
        <f t="shared" si="409"/>
        <v>1</v>
      </c>
    </row>
    <row r="2567" spans="1:57" x14ac:dyDescent="0.25">
      <c r="A2567" t="s">
        <v>39</v>
      </c>
      <c r="B2567" t="s">
        <v>8882</v>
      </c>
      <c r="C2567">
        <v>62.6</v>
      </c>
      <c r="D2567">
        <v>50</v>
      </c>
      <c r="G2567">
        <f t="shared" si="400"/>
        <v>0</v>
      </c>
      <c r="H2567">
        <f t="shared" si="401"/>
        <v>0</v>
      </c>
      <c r="I2567">
        <f t="shared" si="402"/>
        <v>0</v>
      </c>
      <c r="J2567">
        <v>56.3</v>
      </c>
      <c r="K2567">
        <v>62.6</v>
      </c>
      <c r="L2567">
        <v>46.7</v>
      </c>
      <c r="M2567">
        <v>56</v>
      </c>
      <c r="N2567">
        <v>49.6</v>
      </c>
      <c r="O2567">
        <v>78.599999999999994</v>
      </c>
      <c r="S2567">
        <f t="shared" si="403"/>
        <v>1</v>
      </c>
      <c r="T2567">
        <f t="shared" si="404"/>
        <v>1</v>
      </c>
      <c r="U2567">
        <f t="shared" si="405"/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25.9</v>
      </c>
      <c r="AC2567">
        <v>19.7</v>
      </c>
      <c r="AG2567">
        <f t="shared" si="406"/>
        <v>0</v>
      </c>
      <c r="AH2567">
        <f t="shared" si="407"/>
        <v>0</v>
      </c>
      <c r="AI2567">
        <f t="shared" si="408"/>
        <v>0</v>
      </c>
      <c r="AJ2567">
        <v>315</v>
      </c>
      <c r="AK2567">
        <v>1019.8</v>
      </c>
      <c r="AL2567">
        <v>43.3</v>
      </c>
      <c r="AM2567">
        <v>6.2</v>
      </c>
      <c r="AN2567">
        <v>103.3</v>
      </c>
      <c r="AO2567">
        <v>8.9</v>
      </c>
      <c r="AP2567">
        <v>4</v>
      </c>
      <c r="AQ2567">
        <v>0</v>
      </c>
      <c r="AR2567" t="s">
        <v>8883</v>
      </c>
      <c r="AS2567" t="s">
        <v>8884</v>
      </c>
      <c r="AT2567">
        <v>7.0000000000000007E-2</v>
      </c>
      <c r="AU2567" t="s">
        <v>43</v>
      </c>
      <c r="AV2567" t="s">
        <v>44</v>
      </c>
      <c r="AW2567" t="s">
        <v>45</v>
      </c>
      <c r="AX2567" t="s">
        <v>4208</v>
      </c>
      <c r="AY2567" t="s">
        <v>8885</v>
      </c>
      <c r="AZ2567">
        <v>124.9999999988358</v>
      </c>
      <c r="BA2567">
        <v>0</v>
      </c>
      <c r="BB2567">
        <v>0</v>
      </c>
      <c r="BC2567">
        <v>3</v>
      </c>
      <c r="BD2567">
        <v>0</v>
      </c>
      <c r="BE2567">
        <f t="shared" si="409"/>
        <v>0</v>
      </c>
    </row>
    <row r="2568" spans="1:57" x14ac:dyDescent="0.25">
      <c r="A2568" t="s">
        <v>39</v>
      </c>
      <c r="B2568" t="s">
        <v>8770</v>
      </c>
      <c r="C2568">
        <v>66.2</v>
      </c>
      <c r="D2568">
        <v>48.2</v>
      </c>
      <c r="G2568">
        <f t="shared" si="400"/>
        <v>1</v>
      </c>
      <c r="H2568">
        <f t="shared" si="401"/>
        <v>1</v>
      </c>
      <c r="I2568">
        <f t="shared" si="402"/>
        <v>0</v>
      </c>
      <c r="J2568">
        <v>56.4</v>
      </c>
      <c r="K2568">
        <v>66.2</v>
      </c>
      <c r="L2568">
        <v>43.7</v>
      </c>
      <c r="M2568">
        <v>55.8</v>
      </c>
      <c r="N2568">
        <v>50.7</v>
      </c>
      <c r="O2568">
        <v>81.400000000000006</v>
      </c>
      <c r="S2568">
        <f t="shared" si="403"/>
        <v>1</v>
      </c>
      <c r="T2568">
        <f t="shared" si="404"/>
        <v>1</v>
      </c>
      <c r="U2568">
        <f t="shared" si="405"/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15</v>
      </c>
      <c r="AC2568">
        <v>13.9</v>
      </c>
      <c r="AG2568">
        <f t="shared" si="406"/>
        <v>1</v>
      </c>
      <c r="AH2568">
        <f t="shared" si="407"/>
        <v>0</v>
      </c>
      <c r="AI2568">
        <f t="shared" si="408"/>
        <v>1</v>
      </c>
      <c r="AJ2568">
        <v>202.6</v>
      </c>
      <c r="AK2568">
        <v>1026</v>
      </c>
      <c r="AL2568">
        <v>28.7</v>
      </c>
      <c r="AM2568">
        <v>6.2</v>
      </c>
      <c r="AN2568">
        <v>122</v>
      </c>
      <c r="AO2568">
        <v>10.4</v>
      </c>
      <c r="AP2568">
        <v>5</v>
      </c>
      <c r="AQ2568">
        <v>0</v>
      </c>
      <c r="AR2568" t="s">
        <v>8771</v>
      </c>
      <c r="AS2568" t="s">
        <v>8772</v>
      </c>
      <c r="AT2568">
        <v>0.14000000000000001</v>
      </c>
      <c r="AU2568" t="s">
        <v>43</v>
      </c>
      <c r="AV2568" t="s">
        <v>44</v>
      </c>
      <c r="AW2568" t="s">
        <v>45</v>
      </c>
      <c r="AX2568" t="s">
        <v>2459</v>
      </c>
      <c r="AY2568" t="s">
        <v>8886</v>
      </c>
      <c r="AZ2568">
        <v>100.0000000011642</v>
      </c>
      <c r="BA2568">
        <v>0</v>
      </c>
      <c r="BB2568">
        <v>0</v>
      </c>
      <c r="BC2568">
        <v>1</v>
      </c>
      <c r="BD2568">
        <v>0</v>
      </c>
      <c r="BE2568">
        <f t="shared" si="409"/>
        <v>1</v>
      </c>
    </row>
    <row r="2569" spans="1:57" x14ac:dyDescent="0.25">
      <c r="A2569" t="s">
        <v>39</v>
      </c>
      <c r="B2569" t="s">
        <v>8843</v>
      </c>
      <c r="C2569">
        <v>82.4</v>
      </c>
      <c r="D2569">
        <v>75.2</v>
      </c>
      <c r="G2569">
        <f t="shared" si="400"/>
        <v>1</v>
      </c>
      <c r="H2569">
        <f t="shared" si="401"/>
        <v>1</v>
      </c>
      <c r="I2569">
        <f t="shared" si="402"/>
        <v>0</v>
      </c>
      <c r="J2569">
        <v>79.8</v>
      </c>
      <c r="K2569">
        <v>87.2</v>
      </c>
      <c r="L2569">
        <v>75.2</v>
      </c>
      <c r="M2569">
        <v>81.3</v>
      </c>
      <c r="N2569">
        <v>65</v>
      </c>
      <c r="O2569">
        <v>62.4</v>
      </c>
      <c r="S2569">
        <f t="shared" si="403"/>
        <v>1</v>
      </c>
      <c r="T2569">
        <f t="shared" si="404"/>
        <v>0</v>
      </c>
      <c r="U2569">
        <f t="shared" si="405"/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25.3</v>
      </c>
      <c r="AC2569">
        <v>13.9</v>
      </c>
      <c r="AG2569">
        <f t="shared" si="406"/>
        <v>1</v>
      </c>
      <c r="AH2569">
        <f t="shared" si="407"/>
        <v>0</v>
      </c>
      <c r="AI2569">
        <f t="shared" si="408"/>
        <v>1</v>
      </c>
      <c r="AJ2569">
        <v>147.69999999999999</v>
      </c>
      <c r="AK2569">
        <v>1010.5</v>
      </c>
      <c r="AL2569">
        <v>30</v>
      </c>
      <c r="AM2569">
        <v>6.2</v>
      </c>
      <c r="AN2569">
        <v>214</v>
      </c>
      <c r="AO2569">
        <v>18.5</v>
      </c>
      <c r="AP2569">
        <v>8</v>
      </c>
      <c r="AQ2569">
        <v>0</v>
      </c>
      <c r="AR2569" t="s">
        <v>8844</v>
      </c>
      <c r="AS2569" t="s">
        <v>8845</v>
      </c>
      <c r="AT2569">
        <v>0.09</v>
      </c>
      <c r="AU2569" t="s">
        <v>43</v>
      </c>
      <c r="AV2569" t="s">
        <v>2026</v>
      </c>
      <c r="AW2569" t="s">
        <v>45</v>
      </c>
      <c r="AX2569" t="s">
        <v>2565</v>
      </c>
      <c r="AY2569" t="s">
        <v>8887</v>
      </c>
      <c r="AZ2569">
        <v>355.00000000465661</v>
      </c>
      <c r="BA2569">
        <v>0</v>
      </c>
      <c r="BB2569">
        <v>2</v>
      </c>
      <c r="BC2569">
        <v>0</v>
      </c>
      <c r="BD2569">
        <v>0</v>
      </c>
      <c r="BE2569">
        <f t="shared" si="409"/>
        <v>1</v>
      </c>
    </row>
    <row r="2570" spans="1:57" x14ac:dyDescent="0.25">
      <c r="A2570" t="s">
        <v>39</v>
      </c>
      <c r="B2570" t="s">
        <v>8888</v>
      </c>
      <c r="C2570">
        <v>87.8</v>
      </c>
      <c r="D2570">
        <v>71.599999999999994</v>
      </c>
      <c r="G2570">
        <f t="shared" si="400"/>
        <v>1</v>
      </c>
      <c r="H2570">
        <f t="shared" si="401"/>
        <v>1</v>
      </c>
      <c r="I2570">
        <f t="shared" si="402"/>
        <v>0</v>
      </c>
      <c r="J2570">
        <v>79.2</v>
      </c>
      <c r="K2570">
        <v>92</v>
      </c>
      <c r="L2570">
        <v>71.599999999999994</v>
      </c>
      <c r="M2570">
        <v>80.900000000000006</v>
      </c>
      <c r="N2570">
        <v>65.599999999999994</v>
      </c>
      <c r="O2570">
        <v>63.8</v>
      </c>
      <c r="S2570">
        <f t="shared" si="403"/>
        <v>1</v>
      </c>
      <c r="T2570">
        <f t="shared" si="404"/>
        <v>1</v>
      </c>
      <c r="U2570">
        <f t="shared" si="405"/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22.4</v>
      </c>
      <c r="AC2570">
        <v>16.100000000000001</v>
      </c>
      <c r="AG2570">
        <f t="shared" si="406"/>
        <v>0</v>
      </c>
      <c r="AH2570">
        <f t="shared" si="407"/>
        <v>0</v>
      </c>
      <c r="AI2570">
        <f t="shared" si="408"/>
        <v>0</v>
      </c>
      <c r="AJ2570">
        <v>293</v>
      </c>
      <c r="AK2570">
        <v>1008.1</v>
      </c>
      <c r="AL2570">
        <v>0.1</v>
      </c>
      <c r="AM2570">
        <v>6.2</v>
      </c>
      <c r="AN2570">
        <v>329.6</v>
      </c>
      <c r="AO2570">
        <v>28.4</v>
      </c>
      <c r="AP2570">
        <v>10</v>
      </c>
      <c r="AQ2570">
        <v>0</v>
      </c>
      <c r="AR2570" t="s">
        <v>8889</v>
      </c>
      <c r="AS2570" t="s">
        <v>8890</v>
      </c>
      <c r="AT2570">
        <v>0</v>
      </c>
      <c r="AU2570" t="s">
        <v>74</v>
      </c>
      <c r="AV2570" t="s">
        <v>2955</v>
      </c>
      <c r="AW2570" t="s">
        <v>75</v>
      </c>
      <c r="AX2570" t="s">
        <v>8891</v>
      </c>
      <c r="AY2570" t="s">
        <v>8892</v>
      </c>
      <c r="AZ2570">
        <v>1277.000000003027</v>
      </c>
      <c r="BA2570">
        <v>1</v>
      </c>
      <c r="BB2570">
        <v>0</v>
      </c>
      <c r="BC2570">
        <v>2</v>
      </c>
      <c r="BD2570">
        <v>0</v>
      </c>
      <c r="BE2570">
        <f t="shared" si="409"/>
        <v>1</v>
      </c>
    </row>
    <row r="2571" spans="1:57" x14ac:dyDescent="0.25">
      <c r="A2571" t="s">
        <v>39</v>
      </c>
      <c r="B2571" t="s">
        <v>8893</v>
      </c>
      <c r="C2571">
        <v>86</v>
      </c>
      <c r="D2571">
        <v>69.8</v>
      </c>
      <c r="G2571">
        <f t="shared" si="400"/>
        <v>1</v>
      </c>
      <c r="H2571">
        <f t="shared" si="401"/>
        <v>1</v>
      </c>
      <c r="I2571">
        <f t="shared" si="402"/>
        <v>0</v>
      </c>
      <c r="J2571">
        <v>80</v>
      </c>
      <c r="K2571">
        <v>85.5</v>
      </c>
      <c r="L2571">
        <v>69.8</v>
      </c>
      <c r="M2571">
        <v>79.900000000000006</v>
      </c>
      <c r="N2571">
        <v>60.3</v>
      </c>
      <c r="O2571">
        <v>52.2</v>
      </c>
      <c r="S2571">
        <f t="shared" si="403"/>
        <v>1</v>
      </c>
      <c r="T2571">
        <f t="shared" si="404"/>
        <v>0</v>
      </c>
      <c r="U2571">
        <f t="shared" si="405"/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29.8</v>
      </c>
      <c r="AC2571">
        <v>21.9</v>
      </c>
      <c r="AG2571">
        <f t="shared" si="406"/>
        <v>1</v>
      </c>
      <c r="AH2571">
        <f t="shared" si="407"/>
        <v>1</v>
      </c>
      <c r="AI2571">
        <f t="shared" si="408"/>
        <v>0</v>
      </c>
      <c r="AJ2571">
        <v>296.3</v>
      </c>
      <c r="AK2571">
        <v>1010</v>
      </c>
      <c r="AL2571">
        <v>5.8</v>
      </c>
      <c r="AM2571">
        <v>6.2</v>
      </c>
      <c r="AN2571">
        <v>341.5</v>
      </c>
      <c r="AO2571">
        <v>29.6</v>
      </c>
      <c r="AP2571">
        <v>10</v>
      </c>
      <c r="AQ2571">
        <v>0</v>
      </c>
      <c r="AR2571" t="s">
        <v>8894</v>
      </c>
      <c r="AS2571" t="s">
        <v>8895</v>
      </c>
      <c r="AT2571">
        <v>0.25</v>
      </c>
      <c r="AU2571" t="s">
        <v>74</v>
      </c>
      <c r="AV2571" t="s">
        <v>2955</v>
      </c>
      <c r="AW2571" t="s">
        <v>75</v>
      </c>
      <c r="AX2571" t="s">
        <v>8896</v>
      </c>
      <c r="AY2571" t="s">
        <v>8897</v>
      </c>
      <c r="AZ2571">
        <v>88.000000003958121</v>
      </c>
      <c r="BA2571">
        <v>0</v>
      </c>
      <c r="BB2571">
        <v>0</v>
      </c>
      <c r="BC2571">
        <v>0.1</v>
      </c>
      <c r="BD2571">
        <v>0</v>
      </c>
      <c r="BE2571">
        <f t="shared" si="409"/>
        <v>1</v>
      </c>
    </row>
    <row r="2572" spans="1:57" x14ac:dyDescent="0.25">
      <c r="A2572" t="s">
        <v>39</v>
      </c>
      <c r="B2572" t="s">
        <v>8815</v>
      </c>
      <c r="C2572">
        <v>87.8</v>
      </c>
      <c r="D2572">
        <v>77</v>
      </c>
      <c r="G2572">
        <f t="shared" si="400"/>
        <v>1</v>
      </c>
      <c r="H2572">
        <f t="shared" si="401"/>
        <v>1</v>
      </c>
      <c r="I2572">
        <f t="shared" si="402"/>
        <v>0</v>
      </c>
      <c r="J2572">
        <v>83.5</v>
      </c>
      <c r="K2572">
        <v>91.5</v>
      </c>
      <c r="L2572">
        <v>77</v>
      </c>
      <c r="M2572">
        <v>85.8</v>
      </c>
      <c r="N2572">
        <v>66.2</v>
      </c>
      <c r="O2572">
        <v>56.2</v>
      </c>
      <c r="S2572">
        <f t="shared" si="403"/>
        <v>1</v>
      </c>
      <c r="T2572">
        <f t="shared" si="404"/>
        <v>0</v>
      </c>
      <c r="U2572">
        <f t="shared" si="405"/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32.200000000000003</v>
      </c>
      <c r="AC2572">
        <v>13.9</v>
      </c>
      <c r="AG2572">
        <f t="shared" si="406"/>
        <v>1</v>
      </c>
      <c r="AH2572">
        <f t="shared" si="407"/>
        <v>0</v>
      </c>
      <c r="AI2572">
        <f t="shared" si="408"/>
        <v>1</v>
      </c>
      <c r="AJ2572">
        <v>305.8</v>
      </c>
      <c r="AK2572">
        <v>1009.1</v>
      </c>
      <c r="AL2572">
        <v>0</v>
      </c>
      <c r="AM2572">
        <v>6.2</v>
      </c>
      <c r="AN2572">
        <v>329.2</v>
      </c>
      <c r="AO2572">
        <v>28.5</v>
      </c>
      <c r="AP2572">
        <v>10</v>
      </c>
      <c r="AQ2572">
        <v>0</v>
      </c>
      <c r="AR2572" t="s">
        <v>8816</v>
      </c>
      <c r="AS2572" t="s">
        <v>8817</v>
      </c>
      <c r="AT2572">
        <v>0.89</v>
      </c>
      <c r="AU2572" t="s">
        <v>74</v>
      </c>
      <c r="AV2572" t="s">
        <v>2955</v>
      </c>
      <c r="AW2572" t="s">
        <v>75</v>
      </c>
      <c r="AX2572" t="s">
        <v>8898</v>
      </c>
      <c r="AY2572" t="s">
        <v>8899</v>
      </c>
      <c r="AZ2572">
        <v>2112.9999999934812</v>
      </c>
      <c r="BA2572">
        <v>1</v>
      </c>
      <c r="BB2572">
        <v>0</v>
      </c>
      <c r="BC2572">
        <v>20</v>
      </c>
      <c r="BD2572">
        <v>0</v>
      </c>
      <c r="BE2572">
        <f t="shared" si="409"/>
        <v>1</v>
      </c>
    </row>
    <row r="2573" spans="1:57" x14ac:dyDescent="0.25">
      <c r="A2573" t="s">
        <v>39</v>
      </c>
      <c r="B2573" t="s">
        <v>8900</v>
      </c>
      <c r="C2573">
        <v>53.6</v>
      </c>
      <c r="D2573">
        <v>46.4</v>
      </c>
      <c r="G2573">
        <f t="shared" si="400"/>
        <v>1</v>
      </c>
      <c r="H2573">
        <f t="shared" si="401"/>
        <v>0</v>
      </c>
      <c r="I2573">
        <f t="shared" si="402"/>
        <v>1</v>
      </c>
      <c r="J2573">
        <v>49.7</v>
      </c>
      <c r="K2573">
        <v>53.6</v>
      </c>
      <c r="L2573">
        <v>39.5</v>
      </c>
      <c r="M2573">
        <v>47.3</v>
      </c>
      <c r="N2573">
        <v>37.6</v>
      </c>
      <c r="O2573">
        <v>63.3</v>
      </c>
      <c r="S2573">
        <f t="shared" si="403"/>
        <v>1</v>
      </c>
      <c r="T2573">
        <f t="shared" si="404"/>
        <v>0</v>
      </c>
      <c r="U2573">
        <f t="shared" si="405"/>
        <v>1</v>
      </c>
      <c r="V2573">
        <v>8.9999999999999993E-3</v>
      </c>
      <c r="W2573">
        <v>100</v>
      </c>
      <c r="X2573">
        <v>4.17</v>
      </c>
      <c r="Y2573" t="s">
        <v>103</v>
      </c>
      <c r="Z2573">
        <v>0</v>
      </c>
      <c r="AA2573">
        <v>0</v>
      </c>
      <c r="AB2573">
        <v>25.3</v>
      </c>
      <c r="AC2573">
        <v>18.3</v>
      </c>
      <c r="AG2573">
        <f t="shared" si="406"/>
        <v>1</v>
      </c>
      <c r="AH2573">
        <f t="shared" si="407"/>
        <v>0</v>
      </c>
      <c r="AI2573">
        <f t="shared" si="408"/>
        <v>1</v>
      </c>
      <c r="AJ2573">
        <v>313.39999999999998</v>
      </c>
      <c r="AK2573">
        <v>1026.2</v>
      </c>
      <c r="AL2573">
        <v>59.8</v>
      </c>
      <c r="AM2573">
        <v>6.2</v>
      </c>
      <c r="AN2573">
        <v>160.4</v>
      </c>
      <c r="AO2573">
        <v>14</v>
      </c>
      <c r="AP2573">
        <v>6</v>
      </c>
      <c r="AQ2573">
        <v>0</v>
      </c>
      <c r="AR2573" t="s">
        <v>8901</v>
      </c>
      <c r="AS2573" t="s">
        <v>8902</v>
      </c>
      <c r="AT2573">
        <v>0.73</v>
      </c>
      <c r="AU2573" t="s">
        <v>106</v>
      </c>
      <c r="AV2573" t="s">
        <v>433</v>
      </c>
      <c r="AW2573" t="s">
        <v>103</v>
      </c>
      <c r="AX2573" t="s">
        <v>4452</v>
      </c>
      <c r="AY2573" t="s">
        <v>8903</v>
      </c>
      <c r="AZ2573">
        <v>1729.9999999918509</v>
      </c>
      <c r="BA2573">
        <v>1</v>
      </c>
      <c r="BB2573">
        <v>0</v>
      </c>
      <c r="BC2573">
        <v>140</v>
      </c>
      <c r="BD2573">
        <v>0</v>
      </c>
      <c r="BE2573">
        <f t="shared" si="409"/>
        <v>1</v>
      </c>
    </row>
    <row r="2574" spans="1:57" x14ac:dyDescent="0.25">
      <c r="A2574" t="s">
        <v>39</v>
      </c>
      <c r="B2574" t="s">
        <v>8904</v>
      </c>
      <c r="C2574">
        <v>59</v>
      </c>
      <c r="D2574">
        <v>42.8</v>
      </c>
      <c r="G2574">
        <f t="shared" si="400"/>
        <v>0</v>
      </c>
      <c r="H2574">
        <f t="shared" si="401"/>
        <v>0</v>
      </c>
      <c r="I2574">
        <f t="shared" si="402"/>
        <v>0</v>
      </c>
      <c r="J2574">
        <v>50.3</v>
      </c>
      <c r="K2574">
        <v>59</v>
      </c>
      <c r="L2574">
        <v>38</v>
      </c>
      <c r="M2574">
        <v>48</v>
      </c>
      <c r="N2574">
        <v>43.7</v>
      </c>
      <c r="O2574">
        <v>78.8</v>
      </c>
      <c r="S2574">
        <f t="shared" si="403"/>
        <v>1</v>
      </c>
      <c r="T2574">
        <f t="shared" si="404"/>
        <v>1</v>
      </c>
      <c r="U2574">
        <f t="shared" si="405"/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12.8</v>
      </c>
      <c r="AC2574">
        <v>11.4</v>
      </c>
      <c r="AG2574">
        <f t="shared" si="406"/>
        <v>1</v>
      </c>
      <c r="AH2574">
        <f t="shared" si="407"/>
        <v>0</v>
      </c>
      <c r="AI2574">
        <f t="shared" si="408"/>
        <v>1</v>
      </c>
      <c r="AJ2574">
        <v>161.1</v>
      </c>
      <c r="AK2574">
        <v>1029.8</v>
      </c>
      <c r="AL2574">
        <v>25.8</v>
      </c>
      <c r="AM2574">
        <v>6.2</v>
      </c>
      <c r="AN2574">
        <v>187.3</v>
      </c>
      <c r="AO2574">
        <v>16.2</v>
      </c>
      <c r="AP2574">
        <v>7</v>
      </c>
      <c r="AQ2574">
        <v>0</v>
      </c>
      <c r="AR2574" t="s">
        <v>8905</v>
      </c>
      <c r="AS2574" t="s">
        <v>8906</v>
      </c>
      <c r="AT2574">
        <v>0.9</v>
      </c>
      <c r="AU2574" t="s">
        <v>43</v>
      </c>
      <c r="AV2574" t="s">
        <v>44</v>
      </c>
      <c r="AW2574" t="s">
        <v>45</v>
      </c>
      <c r="AX2574" t="s">
        <v>2403</v>
      </c>
      <c r="AY2574" t="s">
        <v>8907</v>
      </c>
      <c r="AZ2574">
        <v>50.999999998603023</v>
      </c>
      <c r="BA2574">
        <v>0</v>
      </c>
      <c r="BB2574">
        <v>0</v>
      </c>
      <c r="BC2574">
        <v>0.01</v>
      </c>
      <c r="BD2574">
        <v>0</v>
      </c>
      <c r="BE2574">
        <f t="shared" si="409"/>
        <v>0</v>
      </c>
    </row>
    <row r="2575" spans="1:57" x14ac:dyDescent="0.25">
      <c r="A2575" t="s">
        <v>39</v>
      </c>
      <c r="B2575" t="s">
        <v>8908</v>
      </c>
      <c r="C2575">
        <v>68</v>
      </c>
      <c r="D2575">
        <v>53.6</v>
      </c>
      <c r="G2575">
        <f t="shared" si="400"/>
        <v>1</v>
      </c>
      <c r="H2575">
        <f t="shared" si="401"/>
        <v>1</v>
      </c>
      <c r="I2575">
        <f t="shared" si="402"/>
        <v>0</v>
      </c>
      <c r="J2575">
        <v>59.9</v>
      </c>
      <c r="K2575">
        <v>68</v>
      </c>
      <c r="L2575">
        <v>53.6</v>
      </c>
      <c r="M2575">
        <v>59.9</v>
      </c>
      <c r="N2575">
        <v>53.6</v>
      </c>
      <c r="O2575">
        <v>80</v>
      </c>
      <c r="S2575">
        <f t="shared" si="403"/>
        <v>1</v>
      </c>
      <c r="T2575">
        <f t="shared" si="404"/>
        <v>1</v>
      </c>
      <c r="U2575">
        <f t="shared" si="405"/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23.5</v>
      </c>
      <c r="AC2575">
        <v>16.100000000000001</v>
      </c>
      <c r="AG2575">
        <f t="shared" si="406"/>
        <v>0</v>
      </c>
      <c r="AH2575">
        <f t="shared" si="407"/>
        <v>0</v>
      </c>
      <c r="AI2575">
        <f t="shared" si="408"/>
        <v>0</v>
      </c>
      <c r="AJ2575">
        <v>203.8</v>
      </c>
      <c r="AK2575">
        <v>1011</v>
      </c>
      <c r="AL2575">
        <v>16.899999999999999</v>
      </c>
      <c r="AM2575">
        <v>6.2</v>
      </c>
      <c r="AN2575">
        <v>275.3</v>
      </c>
      <c r="AO2575">
        <v>22.8</v>
      </c>
      <c r="AP2575">
        <v>9</v>
      </c>
      <c r="AQ2575">
        <v>0</v>
      </c>
      <c r="AR2575" t="s">
        <v>8909</v>
      </c>
      <c r="AS2575" t="s">
        <v>8910</v>
      </c>
      <c r="AT2575">
        <v>0.15</v>
      </c>
      <c r="AU2575" t="s">
        <v>74</v>
      </c>
      <c r="AV2575" t="s">
        <v>2955</v>
      </c>
      <c r="AW2575" t="s">
        <v>75</v>
      </c>
      <c r="AX2575" t="s">
        <v>4997</v>
      </c>
      <c r="AY2575" t="s">
        <v>8911</v>
      </c>
      <c r="AZ2575">
        <v>709.0000000060536</v>
      </c>
      <c r="BA2575">
        <v>1</v>
      </c>
      <c r="BB2575">
        <v>0</v>
      </c>
      <c r="BC2575">
        <v>0.5</v>
      </c>
      <c r="BD2575">
        <v>0</v>
      </c>
      <c r="BE2575">
        <f t="shared" si="409"/>
        <v>1</v>
      </c>
    </row>
    <row r="2576" spans="1:57" x14ac:dyDescent="0.25">
      <c r="A2576" t="s">
        <v>39</v>
      </c>
      <c r="B2576" t="s">
        <v>8912</v>
      </c>
      <c r="C2576">
        <v>78.8</v>
      </c>
      <c r="D2576">
        <v>64.400000000000006</v>
      </c>
      <c r="G2576">
        <f t="shared" si="400"/>
        <v>0</v>
      </c>
      <c r="H2576">
        <f t="shared" si="401"/>
        <v>0</v>
      </c>
      <c r="I2576">
        <f t="shared" si="402"/>
        <v>0</v>
      </c>
      <c r="J2576">
        <v>72.400000000000006</v>
      </c>
      <c r="K2576">
        <v>78.8</v>
      </c>
      <c r="L2576">
        <v>64.400000000000006</v>
      </c>
      <c r="M2576">
        <v>72.400000000000006</v>
      </c>
      <c r="N2576">
        <v>62.4</v>
      </c>
      <c r="O2576">
        <v>71.5</v>
      </c>
      <c r="S2576">
        <f t="shared" si="403"/>
        <v>1</v>
      </c>
      <c r="T2576">
        <f t="shared" si="404"/>
        <v>1</v>
      </c>
      <c r="U2576">
        <f t="shared" si="405"/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13.9</v>
      </c>
      <c r="AC2576">
        <v>11.4</v>
      </c>
      <c r="AG2576">
        <f t="shared" si="406"/>
        <v>1</v>
      </c>
      <c r="AH2576">
        <f t="shared" si="407"/>
        <v>0</v>
      </c>
      <c r="AI2576">
        <f t="shared" si="408"/>
        <v>1</v>
      </c>
      <c r="AJ2576">
        <v>96.4</v>
      </c>
      <c r="AK2576">
        <v>1011.4</v>
      </c>
      <c r="AL2576">
        <v>19.5</v>
      </c>
      <c r="AM2576">
        <v>6.2</v>
      </c>
      <c r="AN2576">
        <v>333.5</v>
      </c>
      <c r="AO2576">
        <v>28.8</v>
      </c>
      <c r="AP2576">
        <v>10</v>
      </c>
      <c r="AQ2576">
        <v>0</v>
      </c>
      <c r="AR2576" t="s">
        <v>8913</v>
      </c>
      <c r="AS2576" t="s">
        <v>8914</v>
      </c>
      <c r="AT2576">
        <v>0.9</v>
      </c>
      <c r="AU2576" t="s">
        <v>74</v>
      </c>
      <c r="AV2576" t="s">
        <v>2955</v>
      </c>
      <c r="AW2576" t="s">
        <v>75</v>
      </c>
      <c r="AX2576" t="s">
        <v>2567</v>
      </c>
      <c r="AY2576" t="s">
        <v>8915</v>
      </c>
      <c r="AZ2576">
        <v>145.00000000116421</v>
      </c>
      <c r="BA2576">
        <v>0</v>
      </c>
      <c r="BB2576">
        <v>0</v>
      </c>
      <c r="BC2576">
        <v>0.1</v>
      </c>
      <c r="BD2576">
        <v>0</v>
      </c>
      <c r="BE2576">
        <f t="shared" si="409"/>
        <v>0</v>
      </c>
    </row>
    <row r="2577" spans="1:57" x14ac:dyDescent="0.25">
      <c r="A2577" t="s">
        <v>39</v>
      </c>
      <c r="B2577" t="s">
        <v>8916</v>
      </c>
      <c r="C2577">
        <v>91.4</v>
      </c>
      <c r="D2577">
        <v>78.8</v>
      </c>
      <c r="G2577">
        <f t="shared" si="400"/>
        <v>1</v>
      </c>
      <c r="H2577">
        <f t="shared" si="401"/>
        <v>1</v>
      </c>
      <c r="I2577">
        <f t="shared" si="402"/>
        <v>0</v>
      </c>
      <c r="J2577">
        <v>85.2</v>
      </c>
      <c r="K2577">
        <v>98.6</v>
      </c>
      <c r="L2577">
        <v>78.8</v>
      </c>
      <c r="M2577">
        <v>89.1</v>
      </c>
      <c r="N2577">
        <v>68.599999999999994</v>
      </c>
      <c r="O2577">
        <v>58.1</v>
      </c>
      <c r="S2577">
        <f t="shared" si="403"/>
        <v>1</v>
      </c>
      <c r="T2577">
        <f t="shared" si="404"/>
        <v>0</v>
      </c>
      <c r="U2577">
        <f t="shared" si="405"/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37.1</v>
      </c>
      <c r="AC2577">
        <v>16.100000000000001</v>
      </c>
      <c r="AG2577">
        <f t="shared" si="406"/>
        <v>0</v>
      </c>
      <c r="AH2577">
        <f t="shared" si="407"/>
        <v>0</v>
      </c>
      <c r="AI2577">
        <f t="shared" si="408"/>
        <v>0</v>
      </c>
      <c r="AJ2577">
        <v>309.39999999999998</v>
      </c>
      <c r="AK2577">
        <v>1010.5</v>
      </c>
      <c r="AL2577">
        <v>0</v>
      </c>
      <c r="AM2577">
        <v>6.2</v>
      </c>
      <c r="AN2577">
        <v>327.60000000000002</v>
      </c>
      <c r="AO2577">
        <v>28.4</v>
      </c>
      <c r="AP2577">
        <v>10</v>
      </c>
      <c r="AQ2577">
        <v>0</v>
      </c>
      <c r="AR2577" t="s">
        <v>8917</v>
      </c>
      <c r="AS2577" t="s">
        <v>8918</v>
      </c>
      <c r="AT2577">
        <v>0.25</v>
      </c>
      <c r="AU2577" t="s">
        <v>74</v>
      </c>
      <c r="AV2577" t="s">
        <v>2955</v>
      </c>
      <c r="AW2577" t="s">
        <v>75</v>
      </c>
      <c r="AX2577" t="s">
        <v>2565</v>
      </c>
      <c r="AY2577" t="s">
        <v>8919</v>
      </c>
      <c r="AZ2577">
        <v>2601.000000002095</v>
      </c>
      <c r="BA2577">
        <v>1</v>
      </c>
      <c r="BB2577">
        <v>0</v>
      </c>
      <c r="BC2577">
        <v>0.5</v>
      </c>
      <c r="BD2577">
        <v>0</v>
      </c>
      <c r="BE2577">
        <f t="shared" si="409"/>
        <v>1</v>
      </c>
    </row>
    <row r="2578" spans="1:57" x14ac:dyDescent="0.25">
      <c r="A2578" t="s">
        <v>39</v>
      </c>
      <c r="B2578" t="s">
        <v>8920</v>
      </c>
      <c r="C2578">
        <v>84.2</v>
      </c>
      <c r="D2578">
        <v>71.599999999999994</v>
      </c>
      <c r="G2578">
        <f t="shared" si="400"/>
        <v>0</v>
      </c>
      <c r="H2578">
        <f t="shared" si="401"/>
        <v>0</v>
      </c>
      <c r="I2578">
        <f t="shared" si="402"/>
        <v>0</v>
      </c>
      <c r="J2578">
        <v>80</v>
      </c>
      <c r="K2578">
        <v>91</v>
      </c>
      <c r="L2578">
        <v>71.599999999999994</v>
      </c>
      <c r="M2578">
        <v>83.3</v>
      </c>
      <c r="N2578">
        <v>70.5</v>
      </c>
      <c r="O2578">
        <v>73.099999999999994</v>
      </c>
      <c r="S2578">
        <f t="shared" si="403"/>
        <v>1</v>
      </c>
      <c r="T2578">
        <f t="shared" si="404"/>
        <v>1</v>
      </c>
      <c r="U2578">
        <f t="shared" si="405"/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24.2</v>
      </c>
      <c r="AC2578">
        <v>17.2</v>
      </c>
      <c r="AG2578">
        <f t="shared" si="406"/>
        <v>0</v>
      </c>
      <c r="AH2578">
        <f t="shared" si="407"/>
        <v>0</v>
      </c>
      <c r="AI2578">
        <f t="shared" si="408"/>
        <v>0</v>
      </c>
      <c r="AJ2578">
        <v>302</v>
      </c>
      <c r="AK2578">
        <v>1009</v>
      </c>
      <c r="AL2578">
        <v>8.1</v>
      </c>
      <c r="AM2578">
        <v>6.2</v>
      </c>
      <c r="AN2578">
        <v>315.7</v>
      </c>
      <c r="AO2578">
        <v>27.1</v>
      </c>
      <c r="AP2578">
        <v>9</v>
      </c>
      <c r="AQ2578">
        <v>0</v>
      </c>
      <c r="AR2578" t="s">
        <v>8921</v>
      </c>
      <c r="AS2578" t="s">
        <v>8922</v>
      </c>
      <c r="AT2578">
        <v>0.75</v>
      </c>
      <c r="AU2578" t="s">
        <v>74</v>
      </c>
      <c r="AV2578" t="s">
        <v>2955</v>
      </c>
      <c r="AW2578" t="s">
        <v>75</v>
      </c>
      <c r="AX2578" t="s">
        <v>4366</v>
      </c>
      <c r="AY2578" t="s">
        <v>8923</v>
      </c>
      <c r="AZ2578">
        <v>1845</v>
      </c>
      <c r="BA2578">
        <v>1</v>
      </c>
      <c r="BB2578">
        <v>0</v>
      </c>
      <c r="BC2578">
        <v>2.5</v>
      </c>
      <c r="BD2578">
        <v>0</v>
      </c>
      <c r="BE2578">
        <f t="shared" si="409"/>
        <v>0</v>
      </c>
    </row>
    <row r="2579" spans="1:57" x14ac:dyDescent="0.25">
      <c r="A2579" t="s">
        <v>39</v>
      </c>
      <c r="B2579" t="s">
        <v>8924</v>
      </c>
      <c r="C2579">
        <v>89.6</v>
      </c>
      <c r="D2579">
        <v>75.2</v>
      </c>
      <c r="G2579">
        <f t="shared" si="400"/>
        <v>1</v>
      </c>
      <c r="H2579">
        <f t="shared" si="401"/>
        <v>1</v>
      </c>
      <c r="I2579">
        <f t="shared" si="402"/>
        <v>0</v>
      </c>
      <c r="J2579">
        <v>83.4</v>
      </c>
      <c r="K2579">
        <v>98.1</v>
      </c>
      <c r="L2579">
        <v>75.2</v>
      </c>
      <c r="M2579">
        <v>86.1</v>
      </c>
      <c r="N2579">
        <v>67.8</v>
      </c>
      <c r="O2579">
        <v>60.3</v>
      </c>
      <c r="S2579">
        <f t="shared" si="403"/>
        <v>0</v>
      </c>
      <c r="T2579">
        <f t="shared" si="404"/>
        <v>0</v>
      </c>
      <c r="U2579">
        <f t="shared" si="405"/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29.8</v>
      </c>
      <c r="AC2579">
        <v>18.3</v>
      </c>
      <c r="AG2579">
        <f t="shared" si="406"/>
        <v>0</v>
      </c>
      <c r="AH2579">
        <f t="shared" si="407"/>
        <v>0</v>
      </c>
      <c r="AI2579">
        <f t="shared" si="408"/>
        <v>0</v>
      </c>
      <c r="AJ2579">
        <v>302.2</v>
      </c>
      <c r="AK2579">
        <v>1011.3</v>
      </c>
      <c r="AL2579">
        <v>0.9</v>
      </c>
      <c r="AM2579">
        <v>6.2</v>
      </c>
      <c r="AN2579">
        <v>286.5</v>
      </c>
      <c r="AO2579">
        <v>24.8</v>
      </c>
      <c r="AP2579">
        <v>9</v>
      </c>
      <c r="AQ2579">
        <v>0</v>
      </c>
      <c r="AR2579" t="s">
        <v>8925</v>
      </c>
      <c r="AS2579" t="s">
        <v>8926</v>
      </c>
      <c r="AT2579">
        <v>0.31</v>
      </c>
      <c r="AU2579" t="s">
        <v>74</v>
      </c>
      <c r="AV2579" t="s">
        <v>2955</v>
      </c>
      <c r="AW2579" t="s">
        <v>75</v>
      </c>
      <c r="AX2579" t="s">
        <v>4132</v>
      </c>
      <c r="AY2579" t="s">
        <v>8927</v>
      </c>
      <c r="AZ2579">
        <v>299.99999999301508</v>
      </c>
      <c r="BA2579">
        <v>0</v>
      </c>
      <c r="BB2579">
        <v>0</v>
      </c>
      <c r="BC2579">
        <v>15</v>
      </c>
      <c r="BD2579">
        <v>0</v>
      </c>
      <c r="BE2579">
        <f t="shared" si="409"/>
        <v>0</v>
      </c>
    </row>
    <row r="2580" spans="1:57" x14ac:dyDescent="0.25">
      <c r="A2580" t="s">
        <v>39</v>
      </c>
      <c r="B2580" t="s">
        <v>8928</v>
      </c>
      <c r="C2580">
        <v>75.2</v>
      </c>
      <c r="D2580">
        <v>57.2</v>
      </c>
      <c r="G2580">
        <f t="shared" si="400"/>
        <v>1</v>
      </c>
      <c r="H2580">
        <f t="shared" si="401"/>
        <v>1</v>
      </c>
      <c r="I2580">
        <f t="shared" si="402"/>
        <v>0</v>
      </c>
      <c r="J2580">
        <v>65.7</v>
      </c>
      <c r="K2580">
        <v>75.2</v>
      </c>
      <c r="L2580">
        <v>57.2</v>
      </c>
      <c r="M2580">
        <v>65.7</v>
      </c>
      <c r="N2580">
        <v>54.7</v>
      </c>
      <c r="O2580">
        <v>68.599999999999994</v>
      </c>
      <c r="S2580">
        <f t="shared" si="403"/>
        <v>0</v>
      </c>
      <c r="T2580">
        <f t="shared" si="404"/>
        <v>0</v>
      </c>
      <c r="U2580">
        <f t="shared" si="405"/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18.3</v>
      </c>
      <c r="AC2580">
        <v>12.7</v>
      </c>
      <c r="AG2580">
        <f t="shared" si="406"/>
        <v>1</v>
      </c>
      <c r="AH2580">
        <f t="shared" si="407"/>
        <v>0</v>
      </c>
      <c r="AI2580">
        <f t="shared" si="408"/>
        <v>1</v>
      </c>
      <c r="AJ2580">
        <v>164</v>
      </c>
      <c r="AK2580">
        <v>1015.3</v>
      </c>
      <c r="AL2580">
        <v>29.4</v>
      </c>
      <c r="AM2580">
        <v>6.2</v>
      </c>
      <c r="AN2580">
        <v>143</v>
      </c>
      <c r="AO2580">
        <v>12.5</v>
      </c>
      <c r="AP2580">
        <v>6</v>
      </c>
      <c r="AQ2580">
        <v>0</v>
      </c>
      <c r="AR2580" t="s">
        <v>8929</v>
      </c>
      <c r="AS2580" t="s">
        <v>8930</v>
      </c>
      <c r="AT2580">
        <v>7.0000000000000007E-2</v>
      </c>
      <c r="AU2580" t="s">
        <v>43</v>
      </c>
      <c r="AV2580" t="s">
        <v>44</v>
      </c>
      <c r="AW2580" t="s">
        <v>45</v>
      </c>
      <c r="AX2580" t="s">
        <v>2486</v>
      </c>
      <c r="AY2580" t="s">
        <v>8931</v>
      </c>
      <c r="AZ2580">
        <v>225</v>
      </c>
      <c r="BA2580">
        <v>0</v>
      </c>
      <c r="BB2580">
        <v>0</v>
      </c>
      <c r="BC2580">
        <v>1.5</v>
      </c>
      <c r="BD2580">
        <v>0</v>
      </c>
      <c r="BE2580">
        <f t="shared" si="409"/>
        <v>0</v>
      </c>
    </row>
    <row r="2581" spans="1:57" x14ac:dyDescent="0.25">
      <c r="A2581" t="s">
        <v>39</v>
      </c>
      <c r="B2581" t="s">
        <v>8932</v>
      </c>
      <c r="C2581">
        <v>77</v>
      </c>
      <c r="D2581">
        <v>57.2</v>
      </c>
      <c r="G2581">
        <f t="shared" si="400"/>
        <v>1</v>
      </c>
      <c r="H2581">
        <f t="shared" si="401"/>
        <v>1</v>
      </c>
      <c r="I2581">
        <f t="shared" si="402"/>
        <v>0</v>
      </c>
      <c r="J2581">
        <v>67.099999999999994</v>
      </c>
      <c r="K2581">
        <v>77</v>
      </c>
      <c r="L2581">
        <v>57.2</v>
      </c>
      <c r="M2581">
        <v>67.099999999999994</v>
      </c>
      <c r="N2581">
        <v>53.9</v>
      </c>
      <c r="O2581">
        <v>64.3</v>
      </c>
      <c r="S2581">
        <f t="shared" si="403"/>
        <v>0</v>
      </c>
      <c r="T2581">
        <f t="shared" si="404"/>
        <v>0</v>
      </c>
      <c r="U2581">
        <f t="shared" si="405"/>
        <v>0</v>
      </c>
      <c r="V2581">
        <v>1.7000000000000001E-2</v>
      </c>
      <c r="W2581">
        <v>100</v>
      </c>
      <c r="X2581">
        <v>4.17</v>
      </c>
      <c r="Y2581" t="s">
        <v>103</v>
      </c>
      <c r="Z2581">
        <v>0</v>
      </c>
      <c r="AA2581">
        <v>0</v>
      </c>
      <c r="AB2581">
        <v>41.2</v>
      </c>
      <c r="AC2581">
        <v>28.9</v>
      </c>
      <c r="AG2581">
        <f t="shared" si="406"/>
        <v>1</v>
      </c>
      <c r="AH2581">
        <f t="shared" si="407"/>
        <v>1</v>
      </c>
      <c r="AI2581">
        <f t="shared" si="408"/>
        <v>0</v>
      </c>
      <c r="AJ2581">
        <v>240.9</v>
      </c>
      <c r="AK2581">
        <v>1009.5</v>
      </c>
      <c r="AL2581">
        <v>48.9</v>
      </c>
      <c r="AM2581">
        <v>6.1</v>
      </c>
      <c r="AN2581">
        <v>104.2</v>
      </c>
      <c r="AO2581">
        <v>8.9</v>
      </c>
      <c r="AP2581">
        <v>4</v>
      </c>
      <c r="AQ2581">
        <v>0</v>
      </c>
      <c r="AR2581" t="s">
        <v>8933</v>
      </c>
      <c r="AS2581" t="s">
        <v>8934</v>
      </c>
      <c r="AT2581">
        <v>0.18</v>
      </c>
      <c r="AU2581" t="s">
        <v>106</v>
      </c>
      <c r="AV2581" t="s">
        <v>1180</v>
      </c>
      <c r="AW2581" t="s">
        <v>103</v>
      </c>
      <c r="AX2581" t="s">
        <v>4939</v>
      </c>
      <c r="AY2581" t="s">
        <v>8935</v>
      </c>
      <c r="AZ2581">
        <v>169.99999999883579</v>
      </c>
      <c r="BA2581">
        <v>0</v>
      </c>
      <c r="BB2581">
        <v>0</v>
      </c>
      <c r="BC2581">
        <v>1</v>
      </c>
      <c r="BD2581">
        <v>0</v>
      </c>
      <c r="BE2581">
        <f t="shared" si="409"/>
        <v>0</v>
      </c>
    </row>
    <row r="2582" spans="1:57" x14ac:dyDescent="0.25">
      <c r="A2582" t="s">
        <v>39</v>
      </c>
      <c r="B2582" t="s">
        <v>8936</v>
      </c>
      <c r="C2582">
        <v>60.8</v>
      </c>
      <c r="D2582">
        <v>42.8</v>
      </c>
      <c r="G2582">
        <f t="shared" si="400"/>
        <v>0</v>
      </c>
      <c r="H2582">
        <f t="shared" si="401"/>
        <v>0</v>
      </c>
      <c r="I2582">
        <f t="shared" si="402"/>
        <v>0</v>
      </c>
      <c r="J2582">
        <v>52.5</v>
      </c>
      <c r="K2582">
        <v>60.8</v>
      </c>
      <c r="L2582">
        <v>37</v>
      </c>
      <c r="M2582">
        <v>50.9</v>
      </c>
      <c r="N2582">
        <v>38.6</v>
      </c>
      <c r="O2582">
        <v>60.2</v>
      </c>
      <c r="S2582">
        <f t="shared" si="403"/>
        <v>1</v>
      </c>
      <c r="T2582">
        <f t="shared" si="404"/>
        <v>0</v>
      </c>
      <c r="U2582">
        <f t="shared" si="405"/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25.5</v>
      </c>
      <c r="AC2582">
        <v>16.100000000000001</v>
      </c>
      <c r="AG2582">
        <f t="shared" si="406"/>
        <v>0</v>
      </c>
      <c r="AH2582">
        <f t="shared" si="407"/>
        <v>0</v>
      </c>
      <c r="AI2582">
        <f t="shared" si="408"/>
        <v>0</v>
      </c>
      <c r="AJ2582">
        <v>270.10000000000002</v>
      </c>
      <c r="AK2582">
        <v>1025</v>
      </c>
      <c r="AL2582">
        <v>20.9</v>
      </c>
      <c r="AM2582">
        <v>6.2</v>
      </c>
      <c r="AN2582">
        <v>276.7</v>
      </c>
      <c r="AO2582">
        <v>24.1</v>
      </c>
      <c r="AP2582">
        <v>9</v>
      </c>
      <c r="AQ2582">
        <v>0</v>
      </c>
      <c r="AR2582" t="s">
        <v>8937</v>
      </c>
      <c r="AS2582" t="s">
        <v>8938</v>
      </c>
      <c r="AT2582">
        <v>0.28000000000000003</v>
      </c>
      <c r="AU2582" t="s">
        <v>43</v>
      </c>
      <c r="AV2582" t="s">
        <v>44</v>
      </c>
      <c r="AW2582" t="s">
        <v>45</v>
      </c>
      <c r="AX2582" t="s">
        <v>6792</v>
      </c>
      <c r="AY2582" t="s">
        <v>8939</v>
      </c>
      <c r="AZ2582">
        <v>296.99999999371357</v>
      </c>
      <c r="BA2582">
        <v>0</v>
      </c>
      <c r="BB2582">
        <v>0</v>
      </c>
      <c r="BC2582">
        <v>0.5</v>
      </c>
      <c r="BD2582">
        <v>0</v>
      </c>
      <c r="BE2582">
        <f t="shared" si="409"/>
        <v>0</v>
      </c>
    </row>
    <row r="2583" spans="1:57" x14ac:dyDescent="0.25">
      <c r="A2583" t="s">
        <v>39</v>
      </c>
      <c r="B2583" t="s">
        <v>8936</v>
      </c>
      <c r="C2583">
        <v>60.8</v>
      </c>
      <c r="D2583">
        <v>42.8</v>
      </c>
      <c r="G2583">
        <f t="shared" si="400"/>
        <v>0</v>
      </c>
      <c r="H2583">
        <f t="shared" si="401"/>
        <v>0</v>
      </c>
      <c r="I2583">
        <f t="shared" si="402"/>
        <v>0</v>
      </c>
      <c r="J2583">
        <v>52.5</v>
      </c>
      <c r="K2583">
        <v>60.8</v>
      </c>
      <c r="L2583">
        <v>37</v>
      </c>
      <c r="M2583">
        <v>50.9</v>
      </c>
      <c r="N2583">
        <v>38.6</v>
      </c>
      <c r="O2583">
        <v>60.2</v>
      </c>
      <c r="S2583">
        <f t="shared" si="403"/>
        <v>1</v>
      </c>
      <c r="T2583">
        <f t="shared" si="404"/>
        <v>0</v>
      </c>
      <c r="U2583">
        <f t="shared" si="405"/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25.5</v>
      </c>
      <c r="AC2583">
        <v>16.100000000000001</v>
      </c>
      <c r="AG2583">
        <f t="shared" si="406"/>
        <v>0</v>
      </c>
      <c r="AH2583">
        <f t="shared" si="407"/>
        <v>0</v>
      </c>
      <c r="AI2583">
        <f t="shared" si="408"/>
        <v>0</v>
      </c>
      <c r="AJ2583">
        <v>270.10000000000002</v>
      </c>
      <c r="AK2583">
        <v>1025</v>
      </c>
      <c r="AL2583">
        <v>20.9</v>
      </c>
      <c r="AM2583">
        <v>6.2</v>
      </c>
      <c r="AN2583">
        <v>276.7</v>
      </c>
      <c r="AO2583">
        <v>24.1</v>
      </c>
      <c r="AP2583">
        <v>9</v>
      </c>
      <c r="AQ2583">
        <v>0</v>
      </c>
      <c r="AR2583" t="s">
        <v>8937</v>
      </c>
      <c r="AS2583" t="s">
        <v>8938</v>
      </c>
      <c r="AT2583">
        <v>0.28000000000000003</v>
      </c>
      <c r="AU2583" t="s">
        <v>43</v>
      </c>
      <c r="AV2583" t="s">
        <v>44</v>
      </c>
      <c r="AW2583" t="s">
        <v>45</v>
      </c>
      <c r="AX2583" t="s">
        <v>8940</v>
      </c>
      <c r="AY2583" t="s">
        <v>8941</v>
      </c>
      <c r="AZ2583">
        <v>0</v>
      </c>
      <c r="BA2583">
        <v>0</v>
      </c>
      <c r="BB2583">
        <v>0</v>
      </c>
      <c r="BC2583">
        <v>0.1</v>
      </c>
      <c r="BD2583">
        <v>0</v>
      </c>
      <c r="BE2583">
        <f t="shared" si="409"/>
        <v>0</v>
      </c>
    </row>
    <row r="2584" spans="1:57" x14ac:dyDescent="0.25">
      <c r="A2584" t="s">
        <v>39</v>
      </c>
      <c r="B2584" t="s">
        <v>8942</v>
      </c>
      <c r="C2584">
        <v>84.2</v>
      </c>
      <c r="D2584">
        <v>77</v>
      </c>
      <c r="G2584">
        <f t="shared" si="400"/>
        <v>0</v>
      </c>
      <c r="H2584">
        <f t="shared" si="401"/>
        <v>0</v>
      </c>
      <c r="I2584">
        <f t="shared" si="402"/>
        <v>0</v>
      </c>
      <c r="J2584">
        <v>79.900000000000006</v>
      </c>
      <c r="K2584">
        <v>88.4</v>
      </c>
      <c r="L2584">
        <v>77</v>
      </c>
      <c r="M2584">
        <v>80.8</v>
      </c>
      <c r="N2584">
        <v>65</v>
      </c>
      <c r="O2584">
        <v>60.9</v>
      </c>
      <c r="S2584">
        <f t="shared" si="403"/>
        <v>0</v>
      </c>
      <c r="T2584">
        <f t="shared" si="404"/>
        <v>0</v>
      </c>
      <c r="U2584">
        <f t="shared" si="405"/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26.8</v>
      </c>
      <c r="AC2584">
        <v>16.100000000000001</v>
      </c>
      <c r="AG2584">
        <f t="shared" si="406"/>
        <v>0</v>
      </c>
      <c r="AH2584">
        <f t="shared" si="407"/>
        <v>0</v>
      </c>
      <c r="AI2584">
        <f t="shared" si="408"/>
        <v>0</v>
      </c>
      <c r="AJ2584">
        <v>307.39999999999998</v>
      </c>
      <c r="AK2584">
        <v>1013.7</v>
      </c>
      <c r="AL2584">
        <v>17.600000000000001</v>
      </c>
      <c r="AM2584">
        <v>6.2</v>
      </c>
      <c r="AN2584">
        <v>310.7</v>
      </c>
      <c r="AO2584">
        <v>27</v>
      </c>
      <c r="AP2584">
        <v>9</v>
      </c>
      <c r="AQ2584">
        <v>0</v>
      </c>
      <c r="AR2584" t="s">
        <v>8943</v>
      </c>
      <c r="AS2584" t="s">
        <v>8944</v>
      </c>
      <c r="AT2584">
        <v>0.79</v>
      </c>
      <c r="AU2584" t="s">
        <v>74</v>
      </c>
      <c r="AV2584" t="s">
        <v>2955</v>
      </c>
      <c r="AW2584" t="s">
        <v>75</v>
      </c>
      <c r="AX2584" t="s">
        <v>6608</v>
      </c>
      <c r="AY2584" t="s">
        <v>8945</v>
      </c>
      <c r="AZ2584">
        <v>1427.999999992317</v>
      </c>
      <c r="BA2584">
        <v>1</v>
      </c>
      <c r="BB2584">
        <v>0</v>
      </c>
      <c r="BC2584">
        <v>8</v>
      </c>
      <c r="BD2584">
        <v>0</v>
      </c>
      <c r="BE2584">
        <f t="shared" si="409"/>
        <v>0</v>
      </c>
    </row>
    <row r="2585" spans="1:57" x14ac:dyDescent="0.25">
      <c r="A2585" t="s">
        <v>39</v>
      </c>
      <c r="B2585" t="s">
        <v>8924</v>
      </c>
      <c r="C2585">
        <v>89.6</v>
      </c>
      <c r="D2585">
        <v>75.2</v>
      </c>
      <c r="G2585">
        <f t="shared" si="400"/>
        <v>1</v>
      </c>
      <c r="H2585">
        <f t="shared" si="401"/>
        <v>1</v>
      </c>
      <c r="I2585">
        <f t="shared" si="402"/>
        <v>0</v>
      </c>
      <c r="J2585">
        <v>83.4</v>
      </c>
      <c r="K2585">
        <v>98.1</v>
      </c>
      <c r="L2585">
        <v>75.2</v>
      </c>
      <c r="M2585">
        <v>86.1</v>
      </c>
      <c r="N2585">
        <v>67.8</v>
      </c>
      <c r="O2585">
        <v>60.3</v>
      </c>
      <c r="S2585">
        <f t="shared" si="403"/>
        <v>0</v>
      </c>
      <c r="T2585">
        <f t="shared" si="404"/>
        <v>0</v>
      </c>
      <c r="U2585">
        <f t="shared" si="405"/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29.8</v>
      </c>
      <c r="AC2585">
        <v>18.3</v>
      </c>
      <c r="AG2585">
        <f t="shared" si="406"/>
        <v>0</v>
      </c>
      <c r="AH2585">
        <f t="shared" si="407"/>
        <v>0</v>
      </c>
      <c r="AI2585">
        <f t="shared" si="408"/>
        <v>0</v>
      </c>
      <c r="AJ2585">
        <v>302.2</v>
      </c>
      <c r="AK2585">
        <v>1011.3</v>
      </c>
      <c r="AL2585">
        <v>0.9</v>
      </c>
      <c r="AM2585">
        <v>6.2</v>
      </c>
      <c r="AN2585">
        <v>286.5</v>
      </c>
      <c r="AO2585">
        <v>24.8</v>
      </c>
      <c r="AP2585">
        <v>9</v>
      </c>
      <c r="AQ2585">
        <v>0</v>
      </c>
      <c r="AR2585" t="s">
        <v>8925</v>
      </c>
      <c r="AS2585" t="s">
        <v>8926</v>
      </c>
      <c r="AT2585">
        <v>0.31</v>
      </c>
      <c r="AU2585" t="s">
        <v>74</v>
      </c>
      <c r="AV2585" t="s">
        <v>2955</v>
      </c>
      <c r="AW2585" t="s">
        <v>75</v>
      </c>
      <c r="AX2585" t="s">
        <v>2665</v>
      </c>
      <c r="AY2585" t="s">
        <v>8946</v>
      </c>
      <c r="AZ2585">
        <v>78.999999995576218</v>
      </c>
      <c r="BA2585">
        <v>0</v>
      </c>
      <c r="BB2585">
        <v>0</v>
      </c>
      <c r="BC2585">
        <v>0.01</v>
      </c>
      <c r="BD2585">
        <v>0</v>
      </c>
      <c r="BE2585">
        <f t="shared" si="409"/>
        <v>0</v>
      </c>
    </row>
    <row r="2586" spans="1:57" x14ac:dyDescent="0.25">
      <c r="A2586" t="s">
        <v>39</v>
      </c>
      <c r="B2586" t="s">
        <v>8947</v>
      </c>
      <c r="C2586">
        <v>66.2</v>
      </c>
      <c r="D2586">
        <v>51.8</v>
      </c>
      <c r="G2586">
        <f t="shared" si="400"/>
        <v>1</v>
      </c>
      <c r="H2586">
        <f t="shared" si="401"/>
        <v>1</v>
      </c>
      <c r="I2586">
        <f t="shared" si="402"/>
        <v>0</v>
      </c>
      <c r="J2586">
        <v>58.9</v>
      </c>
      <c r="K2586">
        <v>66.2</v>
      </c>
      <c r="L2586">
        <v>51.8</v>
      </c>
      <c r="M2586">
        <v>58.9</v>
      </c>
      <c r="N2586">
        <v>53.3</v>
      </c>
      <c r="O2586">
        <v>82.2</v>
      </c>
      <c r="S2586">
        <f t="shared" si="403"/>
        <v>1</v>
      </c>
      <c r="T2586">
        <f t="shared" si="404"/>
        <v>1</v>
      </c>
      <c r="U2586">
        <f t="shared" si="405"/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24.2</v>
      </c>
      <c r="AC2586">
        <v>17.2</v>
      </c>
      <c r="AG2586">
        <f t="shared" si="406"/>
        <v>0</v>
      </c>
      <c r="AH2586">
        <f t="shared" si="407"/>
        <v>0</v>
      </c>
      <c r="AI2586">
        <f t="shared" si="408"/>
        <v>0</v>
      </c>
      <c r="AJ2586">
        <v>148.80000000000001</v>
      </c>
      <c r="AK2586">
        <v>1013.9</v>
      </c>
      <c r="AL2586">
        <v>33.4</v>
      </c>
      <c r="AM2586">
        <v>6.2</v>
      </c>
      <c r="AN2586">
        <v>223.6</v>
      </c>
      <c r="AO2586">
        <v>19.399999999999999</v>
      </c>
      <c r="AP2586">
        <v>8</v>
      </c>
      <c r="AQ2586">
        <v>0</v>
      </c>
      <c r="AR2586" t="s">
        <v>8948</v>
      </c>
      <c r="AS2586" t="s">
        <v>8949</v>
      </c>
      <c r="AT2586">
        <v>0.6</v>
      </c>
      <c r="AU2586" t="s">
        <v>43</v>
      </c>
      <c r="AV2586" t="s">
        <v>44</v>
      </c>
      <c r="AW2586" t="s">
        <v>45</v>
      </c>
      <c r="AX2586" t="s">
        <v>4311</v>
      </c>
      <c r="AY2586" t="s">
        <v>8950</v>
      </c>
      <c r="AZ2586">
        <v>135</v>
      </c>
      <c r="BA2586">
        <v>0</v>
      </c>
      <c r="BB2586">
        <v>0</v>
      </c>
      <c r="BC2586">
        <v>0.3</v>
      </c>
      <c r="BD2586">
        <v>0</v>
      </c>
      <c r="BE2586">
        <f t="shared" si="409"/>
        <v>0</v>
      </c>
    </row>
    <row r="2587" spans="1:57" x14ac:dyDescent="0.25">
      <c r="A2587" t="s">
        <v>39</v>
      </c>
      <c r="B2587" t="s">
        <v>8908</v>
      </c>
      <c r="C2587">
        <v>68</v>
      </c>
      <c r="D2587">
        <v>53.6</v>
      </c>
      <c r="G2587">
        <f t="shared" si="400"/>
        <v>1</v>
      </c>
      <c r="H2587">
        <f t="shared" si="401"/>
        <v>1</v>
      </c>
      <c r="I2587">
        <f t="shared" si="402"/>
        <v>0</v>
      </c>
      <c r="J2587">
        <v>59.9</v>
      </c>
      <c r="K2587">
        <v>68</v>
      </c>
      <c r="L2587">
        <v>53.6</v>
      </c>
      <c r="M2587">
        <v>59.9</v>
      </c>
      <c r="N2587">
        <v>53.6</v>
      </c>
      <c r="O2587">
        <v>80</v>
      </c>
      <c r="S2587">
        <f t="shared" si="403"/>
        <v>1</v>
      </c>
      <c r="T2587">
        <f t="shared" si="404"/>
        <v>1</v>
      </c>
      <c r="U2587">
        <f t="shared" si="405"/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23.5</v>
      </c>
      <c r="AC2587">
        <v>16.100000000000001</v>
      </c>
      <c r="AG2587">
        <f t="shared" si="406"/>
        <v>0</v>
      </c>
      <c r="AH2587">
        <f t="shared" si="407"/>
        <v>0</v>
      </c>
      <c r="AI2587">
        <f t="shared" si="408"/>
        <v>0</v>
      </c>
      <c r="AJ2587">
        <v>203.8</v>
      </c>
      <c r="AK2587">
        <v>1011</v>
      </c>
      <c r="AL2587">
        <v>16.899999999999999</v>
      </c>
      <c r="AM2587">
        <v>6.2</v>
      </c>
      <c r="AN2587">
        <v>275.3</v>
      </c>
      <c r="AO2587">
        <v>22.8</v>
      </c>
      <c r="AP2587">
        <v>9</v>
      </c>
      <c r="AQ2587">
        <v>0</v>
      </c>
      <c r="AR2587" t="s">
        <v>8909</v>
      </c>
      <c r="AS2587" t="s">
        <v>8910</v>
      </c>
      <c r="AT2587">
        <v>0.15</v>
      </c>
      <c r="AU2587" t="s">
        <v>74</v>
      </c>
      <c r="AV2587" t="s">
        <v>2955</v>
      </c>
      <c r="AW2587" t="s">
        <v>75</v>
      </c>
      <c r="AX2587" t="s">
        <v>4970</v>
      </c>
      <c r="AY2587" t="s">
        <v>8951</v>
      </c>
      <c r="AZ2587">
        <v>1663.9999999967399</v>
      </c>
      <c r="BA2587">
        <v>1</v>
      </c>
      <c r="BB2587">
        <v>0</v>
      </c>
      <c r="BC2587">
        <v>80</v>
      </c>
      <c r="BD2587">
        <v>0</v>
      </c>
      <c r="BE2587">
        <f t="shared" si="409"/>
        <v>1</v>
      </c>
    </row>
    <row r="2588" spans="1:57" x14ac:dyDescent="0.25">
      <c r="A2588" t="s">
        <v>39</v>
      </c>
      <c r="B2588" t="s">
        <v>8952</v>
      </c>
      <c r="C2588">
        <v>66.2</v>
      </c>
      <c r="D2588">
        <v>59</v>
      </c>
      <c r="G2588">
        <f t="shared" si="400"/>
        <v>0</v>
      </c>
      <c r="H2588">
        <f t="shared" si="401"/>
        <v>0</v>
      </c>
      <c r="I2588">
        <f t="shared" si="402"/>
        <v>0</v>
      </c>
      <c r="J2588">
        <v>62.2</v>
      </c>
      <c r="K2588">
        <v>66.2</v>
      </c>
      <c r="L2588">
        <v>59</v>
      </c>
      <c r="M2588">
        <v>62.2</v>
      </c>
      <c r="N2588">
        <v>49.9</v>
      </c>
      <c r="O2588">
        <v>64.7</v>
      </c>
      <c r="S2588">
        <f t="shared" si="403"/>
        <v>0</v>
      </c>
      <c r="T2588">
        <f t="shared" si="404"/>
        <v>0</v>
      </c>
      <c r="U2588">
        <f t="shared" si="405"/>
        <v>0</v>
      </c>
      <c r="V2588">
        <v>0.129</v>
      </c>
      <c r="W2588">
        <v>100</v>
      </c>
      <c r="X2588">
        <v>4.17</v>
      </c>
      <c r="Y2588" t="s">
        <v>103</v>
      </c>
      <c r="Z2588">
        <v>0</v>
      </c>
      <c r="AA2588">
        <v>0</v>
      </c>
      <c r="AB2588">
        <v>29.1</v>
      </c>
      <c r="AC2588">
        <v>21.9</v>
      </c>
      <c r="AG2588">
        <f t="shared" si="406"/>
        <v>1</v>
      </c>
      <c r="AH2588">
        <f t="shared" si="407"/>
        <v>1</v>
      </c>
      <c r="AI2588">
        <f t="shared" si="408"/>
        <v>0</v>
      </c>
      <c r="AJ2588">
        <v>305.60000000000002</v>
      </c>
      <c r="AK2588">
        <v>1011.6</v>
      </c>
      <c r="AL2588">
        <v>44</v>
      </c>
      <c r="AM2588">
        <v>6.2</v>
      </c>
      <c r="AN2588">
        <v>276.60000000000002</v>
      </c>
      <c r="AO2588">
        <v>23.9</v>
      </c>
      <c r="AP2588">
        <v>9</v>
      </c>
      <c r="AQ2588">
        <v>0</v>
      </c>
      <c r="AR2588" t="s">
        <v>8953</v>
      </c>
      <c r="AS2588" t="s">
        <v>8954</v>
      </c>
      <c r="AT2588">
        <v>0.23</v>
      </c>
      <c r="AU2588" t="s">
        <v>106</v>
      </c>
      <c r="AV2588" t="s">
        <v>296</v>
      </c>
      <c r="AW2588" t="s">
        <v>103</v>
      </c>
      <c r="AX2588" t="s">
        <v>5271</v>
      </c>
      <c r="AY2588" t="s">
        <v>8955</v>
      </c>
      <c r="AZ2588">
        <v>130.99999999743889</v>
      </c>
      <c r="BA2588">
        <v>0</v>
      </c>
      <c r="BB2588">
        <v>0</v>
      </c>
      <c r="BC2588">
        <v>1</v>
      </c>
      <c r="BD2588">
        <v>0</v>
      </c>
      <c r="BE2588">
        <f t="shared" si="409"/>
        <v>0</v>
      </c>
    </row>
    <row r="2589" spans="1:57" x14ac:dyDescent="0.25">
      <c r="A2589" t="s">
        <v>39</v>
      </c>
      <c r="B2589" t="s">
        <v>8956</v>
      </c>
      <c r="C2589">
        <v>66.2</v>
      </c>
      <c r="D2589">
        <v>57.2</v>
      </c>
      <c r="G2589">
        <f t="shared" si="400"/>
        <v>1</v>
      </c>
      <c r="H2589">
        <f t="shared" si="401"/>
        <v>1</v>
      </c>
      <c r="I2589">
        <f t="shared" si="402"/>
        <v>0</v>
      </c>
      <c r="J2589">
        <v>62.5</v>
      </c>
      <c r="K2589">
        <v>66.2</v>
      </c>
      <c r="L2589">
        <v>57.2</v>
      </c>
      <c r="M2589">
        <v>62.5</v>
      </c>
      <c r="N2589">
        <v>55.4</v>
      </c>
      <c r="O2589">
        <v>77.599999999999994</v>
      </c>
      <c r="S2589">
        <f t="shared" si="403"/>
        <v>1</v>
      </c>
      <c r="T2589">
        <f t="shared" si="404"/>
        <v>1</v>
      </c>
      <c r="U2589">
        <f t="shared" si="405"/>
        <v>0</v>
      </c>
      <c r="V2589">
        <v>2E-3</v>
      </c>
      <c r="W2589">
        <v>100</v>
      </c>
      <c r="X2589">
        <v>4.17</v>
      </c>
      <c r="Y2589" t="s">
        <v>103</v>
      </c>
      <c r="Z2589">
        <v>0</v>
      </c>
      <c r="AA2589">
        <v>0</v>
      </c>
      <c r="AB2589">
        <v>12.8</v>
      </c>
      <c r="AC2589">
        <v>11.4</v>
      </c>
      <c r="AG2589">
        <f t="shared" si="406"/>
        <v>1</v>
      </c>
      <c r="AH2589">
        <f t="shared" si="407"/>
        <v>0</v>
      </c>
      <c r="AI2589">
        <f t="shared" si="408"/>
        <v>1</v>
      </c>
      <c r="AJ2589">
        <v>260.60000000000002</v>
      </c>
      <c r="AK2589">
        <v>1022</v>
      </c>
      <c r="AL2589">
        <v>79.3</v>
      </c>
      <c r="AM2589">
        <v>6.2</v>
      </c>
      <c r="AN2589">
        <v>108.8</v>
      </c>
      <c r="AO2589">
        <v>9.5</v>
      </c>
      <c r="AP2589">
        <v>5</v>
      </c>
      <c r="AQ2589">
        <v>0</v>
      </c>
      <c r="AR2589" t="s">
        <v>8957</v>
      </c>
      <c r="AS2589" t="s">
        <v>8958</v>
      </c>
      <c r="AT2589">
        <v>0.5</v>
      </c>
      <c r="AU2589" t="s">
        <v>106</v>
      </c>
      <c r="AV2589" t="s">
        <v>438</v>
      </c>
      <c r="AW2589" t="s">
        <v>103</v>
      </c>
      <c r="AX2589" t="s">
        <v>8959</v>
      </c>
      <c r="AY2589" t="s">
        <v>8960</v>
      </c>
      <c r="AZ2589">
        <v>506.00000000442378</v>
      </c>
      <c r="BA2589">
        <v>1</v>
      </c>
      <c r="BB2589">
        <v>0</v>
      </c>
      <c r="BC2589">
        <v>0.5</v>
      </c>
      <c r="BD2589">
        <v>0</v>
      </c>
      <c r="BE2589">
        <f t="shared" si="409"/>
        <v>1</v>
      </c>
    </row>
    <row r="2590" spans="1:57" x14ac:dyDescent="0.25">
      <c r="A2590" t="s">
        <v>39</v>
      </c>
      <c r="B2590" t="s">
        <v>8936</v>
      </c>
      <c r="C2590">
        <v>60.8</v>
      </c>
      <c r="D2590">
        <v>42.8</v>
      </c>
      <c r="G2590">
        <f t="shared" si="400"/>
        <v>0</v>
      </c>
      <c r="H2590">
        <f t="shared" si="401"/>
        <v>0</v>
      </c>
      <c r="I2590">
        <f t="shared" si="402"/>
        <v>0</v>
      </c>
      <c r="J2590">
        <v>52.5</v>
      </c>
      <c r="K2590">
        <v>60.8</v>
      </c>
      <c r="L2590">
        <v>37</v>
      </c>
      <c r="M2590">
        <v>50.9</v>
      </c>
      <c r="N2590">
        <v>38.6</v>
      </c>
      <c r="O2590">
        <v>60.2</v>
      </c>
      <c r="S2590">
        <f t="shared" si="403"/>
        <v>1</v>
      </c>
      <c r="T2590">
        <f t="shared" si="404"/>
        <v>0</v>
      </c>
      <c r="U2590">
        <f t="shared" si="405"/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25.5</v>
      </c>
      <c r="AC2590">
        <v>16.100000000000001</v>
      </c>
      <c r="AG2590">
        <f t="shared" si="406"/>
        <v>0</v>
      </c>
      <c r="AH2590">
        <f t="shared" si="407"/>
        <v>0</v>
      </c>
      <c r="AI2590">
        <f t="shared" si="408"/>
        <v>0</v>
      </c>
      <c r="AJ2590">
        <v>270.10000000000002</v>
      </c>
      <c r="AK2590">
        <v>1025</v>
      </c>
      <c r="AL2590">
        <v>20.9</v>
      </c>
      <c r="AM2590">
        <v>6.2</v>
      </c>
      <c r="AN2590">
        <v>276.7</v>
      </c>
      <c r="AO2590">
        <v>24.1</v>
      </c>
      <c r="AP2590">
        <v>9</v>
      </c>
      <c r="AQ2590">
        <v>0</v>
      </c>
      <c r="AR2590" t="s">
        <v>8937</v>
      </c>
      <c r="AS2590" t="s">
        <v>8938</v>
      </c>
      <c r="AT2590">
        <v>0.28000000000000003</v>
      </c>
      <c r="AU2590" t="s">
        <v>43</v>
      </c>
      <c r="AV2590" t="s">
        <v>44</v>
      </c>
      <c r="AW2590" t="s">
        <v>45</v>
      </c>
      <c r="AX2590" t="s">
        <v>2754</v>
      </c>
      <c r="AY2590" t="s">
        <v>8961</v>
      </c>
      <c r="AZ2590">
        <v>1519.9999999988361</v>
      </c>
      <c r="BA2590">
        <v>1</v>
      </c>
      <c r="BB2590">
        <v>0</v>
      </c>
      <c r="BC2590">
        <v>20</v>
      </c>
      <c r="BD2590">
        <v>0</v>
      </c>
      <c r="BE2590">
        <f t="shared" si="409"/>
        <v>0</v>
      </c>
    </row>
    <row r="2591" spans="1:57" x14ac:dyDescent="0.25">
      <c r="A2591" t="s">
        <v>39</v>
      </c>
      <c r="B2591" t="s">
        <v>8962</v>
      </c>
      <c r="C2591">
        <v>84.2</v>
      </c>
      <c r="D2591">
        <v>68</v>
      </c>
      <c r="G2591">
        <f t="shared" si="400"/>
        <v>1</v>
      </c>
      <c r="H2591">
        <f t="shared" si="401"/>
        <v>1</v>
      </c>
      <c r="I2591">
        <f t="shared" si="402"/>
        <v>0</v>
      </c>
      <c r="J2591">
        <v>73.900000000000006</v>
      </c>
      <c r="K2591">
        <v>83.5</v>
      </c>
      <c r="L2591">
        <v>68</v>
      </c>
      <c r="M2591">
        <v>73.8</v>
      </c>
      <c r="N2591">
        <v>61.3</v>
      </c>
      <c r="O2591">
        <v>65.8</v>
      </c>
      <c r="S2591">
        <f t="shared" si="403"/>
        <v>0</v>
      </c>
      <c r="T2591">
        <f t="shared" si="404"/>
        <v>0</v>
      </c>
      <c r="U2591">
        <f t="shared" si="405"/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30.2</v>
      </c>
      <c r="AC2591">
        <v>18.3</v>
      </c>
      <c r="AG2591">
        <f t="shared" si="406"/>
        <v>1</v>
      </c>
      <c r="AH2591">
        <f t="shared" si="407"/>
        <v>1</v>
      </c>
      <c r="AI2591">
        <f t="shared" si="408"/>
        <v>0</v>
      </c>
      <c r="AJ2591">
        <v>168.1</v>
      </c>
      <c r="AK2591">
        <v>1011.3</v>
      </c>
      <c r="AL2591">
        <v>39.1</v>
      </c>
      <c r="AM2591">
        <v>6.2</v>
      </c>
      <c r="AN2591">
        <v>168.2</v>
      </c>
      <c r="AO2591">
        <v>14.4</v>
      </c>
      <c r="AP2591">
        <v>6</v>
      </c>
      <c r="AQ2591">
        <v>0</v>
      </c>
      <c r="AR2591" t="s">
        <v>8963</v>
      </c>
      <c r="AS2591" t="s">
        <v>8964</v>
      </c>
      <c r="AT2591">
        <v>0.45</v>
      </c>
      <c r="AU2591" t="s">
        <v>43</v>
      </c>
      <c r="AV2591" t="s">
        <v>44</v>
      </c>
      <c r="AW2591" t="s">
        <v>45</v>
      </c>
      <c r="AX2591" t="s">
        <v>5209</v>
      </c>
      <c r="AY2591" t="s">
        <v>8965</v>
      </c>
      <c r="AZ2591">
        <v>121.0000000067521</v>
      </c>
      <c r="BA2591">
        <v>0</v>
      </c>
      <c r="BB2591">
        <v>0.03</v>
      </c>
      <c r="BC2591">
        <v>0</v>
      </c>
      <c r="BD2591">
        <v>0</v>
      </c>
      <c r="BE2591">
        <f t="shared" si="409"/>
        <v>0</v>
      </c>
    </row>
    <row r="2592" spans="1:57" x14ac:dyDescent="0.25">
      <c r="A2592" t="s">
        <v>39</v>
      </c>
      <c r="B2592" t="s">
        <v>8966</v>
      </c>
      <c r="C2592">
        <v>80.599999999999994</v>
      </c>
      <c r="D2592">
        <v>66.2</v>
      </c>
      <c r="G2592">
        <f t="shared" si="400"/>
        <v>1</v>
      </c>
      <c r="H2592">
        <f t="shared" si="401"/>
        <v>1</v>
      </c>
      <c r="I2592">
        <f t="shared" si="402"/>
        <v>0</v>
      </c>
      <c r="J2592">
        <v>72.2</v>
      </c>
      <c r="K2592">
        <v>80.8</v>
      </c>
      <c r="L2592">
        <v>66.2</v>
      </c>
      <c r="M2592">
        <v>72.2</v>
      </c>
      <c r="N2592">
        <v>61.5</v>
      </c>
      <c r="O2592">
        <v>70.099999999999994</v>
      </c>
      <c r="S2592">
        <f t="shared" si="403"/>
        <v>1</v>
      </c>
      <c r="T2592">
        <f t="shared" si="404"/>
        <v>1</v>
      </c>
      <c r="U2592">
        <f t="shared" si="405"/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17.2</v>
      </c>
      <c r="AC2592">
        <v>11.4</v>
      </c>
      <c r="AG2592">
        <f t="shared" si="406"/>
        <v>1</v>
      </c>
      <c r="AH2592">
        <f t="shared" si="407"/>
        <v>0</v>
      </c>
      <c r="AI2592">
        <f t="shared" si="408"/>
        <v>1</v>
      </c>
      <c r="AJ2592">
        <v>159.6</v>
      </c>
      <c r="AK2592">
        <v>1016.7</v>
      </c>
      <c r="AL2592">
        <v>38.200000000000003</v>
      </c>
      <c r="AM2592">
        <v>6.2</v>
      </c>
      <c r="AN2592">
        <v>135</v>
      </c>
      <c r="AO2592">
        <v>11.7</v>
      </c>
      <c r="AP2592">
        <v>5</v>
      </c>
      <c r="AQ2592">
        <v>0</v>
      </c>
      <c r="AR2592" t="s">
        <v>8967</v>
      </c>
      <c r="AS2592" t="s">
        <v>8968</v>
      </c>
      <c r="AT2592">
        <v>0.78</v>
      </c>
      <c r="AU2592" t="s">
        <v>43</v>
      </c>
      <c r="AV2592" t="s">
        <v>44</v>
      </c>
      <c r="AW2592" t="s">
        <v>45</v>
      </c>
      <c r="AX2592" t="s">
        <v>8969</v>
      </c>
      <c r="AY2592" t="s">
        <v>8970</v>
      </c>
      <c r="AZ2592">
        <v>384.99999999767169</v>
      </c>
      <c r="BA2592">
        <v>1</v>
      </c>
      <c r="BB2592">
        <v>0</v>
      </c>
      <c r="BC2592">
        <v>0.5</v>
      </c>
      <c r="BD2592">
        <v>0</v>
      </c>
      <c r="BE2592">
        <f t="shared" si="409"/>
        <v>1</v>
      </c>
    </row>
    <row r="2593" spans="1:57" x14ac:dyDescent="0.25">
      <c r="A2593" t="s">
        <v>39</v>
      </c>
      <c r="B2593" t="s">
        <v>8971</v>
      </c>
      <c r="C2593">
        <v>55.4</v>
      </c>
      <c r="D2593">
        <v>48.2</v>
      </c>
      <c r="G2593">
        <f t="shared" si="400"/>
        <v>1</v>
      </c>
      <c r="H2593">
        <f t="shared" si="401"/>
        <v>0</v>
      </c>
      <c r="I2593">
        <f t="shared" si="402"/>
        <v>1</v>
      </c>
      <c r="J2593">
        <v>52.5</v>
      </c>
      <c r="K2593">
        <v>55.4</v>
      </c>
      <c r="L2593">
        <v>43.6</v>
      </c>
      <c r="M2593">
        <v>52.1</v>
      </c>
      <c r="N2593">
        <v>41.2</v>
      </c>
      <c r="O2593">
        <v>65.599999999999994</v>
      </c>
      <c r="S2593">
        <f t="shared" si="403"/>
        <v>1</v>
      </c>
      <c r="T2593">
        <f t="shared" si="404"/>
        <v>0</v>
      </c>
      <c r="U2593">
        <f t="shared" si="405"/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32.700000000000003</v>
      </c>
      <c r="AC2593">
        <v>20.8</v>
      </c>
      <c r="AG2593">
        <f t="shared" si="406"/>
        <v>1</v>
      </c>
      <c r="AH2593">
        <f t="shared" si="407"/>
        <v>1</v>
      </c>
      <c r="AI2593">
        <f t="shared" si="408"/>
        <v>0</v>
      </c>
      <c r="AJ2593">
        <v>337.8</v>
      </c>
      <c r="AK2593">
        <v>1028.2</v>
      </c>
      <c r="AL2593">
        <v>59.8</v>
      </c>
      <c r="AM2593">
        <v>6.2</v>
      </c>
      <c r="AN2593">
        <v>125.2</v>
      </c>
      <c r="AO2593">
        <v>10.8</v>
      </c>
      <c r="AP2593">
        <v>4</v>
      </c>
      <c r="AQ2593">
        <v>0</v>
      </c>
      <c r="AR2593" t="s">
        <v>8972</v>
      </c>
      <c r="AS2593" t="s">
        <v>8973</v>
      </c>
      <c r="AT2593">
        <v>0.75</v>
      </c>
      <c r="AU2593" t="s">
        <v>43</v>
      </c>
      <c r="AV2593" t="s">
        <v>44</v>
      </c>
      <c r="AW2593" t="s">
        <v>45</v>
      </c>
      <c r="AX2593" t="s">
        <v>8974</v>
      </c>
      <c r="AY2593" t="s">
        <v>8975</v>
      </c>
      <c r="AZ2593">
        <v>183.99999999208379</v>
      </c>
      <c r="BA2593">
        <v>0</v>
      </c>
      <c r="BB2593">
        <v>0</v>
      </c>
      <c r="BC2593">
        <v>10</v>
      </c>
      <c r="BD2593">
        <v>0</v>
      </c>
      <c r="BE2593">
        <f t="shared" si="409"/>
        <v>1</v>
      </c>
    </row>
    <row r="2594" spans="1:57" x14ac:dyDescent="0.25">
      <c r="A2594" t="s">
        <v>39</v>
      </c>
      <c r="B2594" t="s">
        <v>8976</v>
      </c>
      <c r="C2594">
        <v>62.6</v>
      </c>
      <c r="D2594">
        <v>46.4</v>
      </c>
      <c r="G2594">
        <f t="shared" si="400"/>
        <v>1</v>
      </c>
      <c r="H2594">
        <f t="shared" si="401"/>
        <v>1</v>
      </c>
      <c r="I2594">
        <f t="shared" si="402"/>
        <v>0</v>
      </c>
      <c r="J2594">
        <v>53.8</v>
      </c>
      <c r="K2594">
        <v>62.6</v>
      </c>
      <c r="L2594">
        <v>40.6</v>
      </c>
      <c r="M2594">
        <v>52.1</v>
      </c>
      <c r="N2594">
        <v>47.9</v>
      </c>
      <c r="O2594">
        <v>81.099999999999994</v>
      </c>
      <c r="S2594">
        <f t="shared" si="403"/>
        <v>1</v>
      </c>
      <c r="T2594">
        <f t="shared" si="404"/>
        <v>1</v>
      </c>
      <c r="U2594">
        <f t="shared" si="405"/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17.2</v>
      </c>
      <c r="AC2594">
        <v>13.9</v>
      </c>
      <c r="AG2594">
        <f t="shared" si="406"/>
        <v>1</v>
      </c>
      <c r="AH2594">
        <f t="shared" si="407"/>
        <v>0</v>
      </c>
      <c r="AI2594">
        <f t="shared" si="408"/>
        <v>1</v>
      </c>
      <c r="AJ2594">
        <v>232.6</v>
      </c>
      <c r="AK2594">
        <v>1027.5</v>
      </c>
      <c r="AL2594">
        <v>30.6</v>
      </c>
      <c r="AM2594">
        <v>6.2</v>
      </c>
      <c r="AN2594">
        <v>178.5</v>
      </c>
      <c r="AO2594">
        <v>15.5</v>
      </c>
      <c r="AP2594">
        <v>7</v>
      </c>
      <c r="AQ2594">
        <v>0</v>
      </c>
      <c r="AR2594" t="s">
        <v>8977</v>
      </c>
      <c r="AS2594" t="s">
        <v>8978</v>
      </c>
      <c r="AT2594">
        <v>0.94</v>
      </c>
      <c r="AU2594" t="s">
        <v>43</v>
      </c>
      <c r="AV2594" t="s">
        <v>44</v>
      </c>
      <c r="AW2594" t="s">
        <v>45</v>
      </c>
      <c r="AX2594" t="s">
        <v>2428</v>
      </c>
      <c r="AY2594" t="s">
        <v>8979</v>
      </c>
      <c r="AZ2594">
        <v>110.00000000232831</v>
      </c>
      <c r="BA2594">
        <v>0</v>
      </c>
      <c r="BB2594">
        <v>0</v>
      </c>
      <c r="BC2594">
        <v>0.5</v>
      </c>
      <c r="BD2594">
        <v>0</v>
      </c>
      <c r="BE2594">
        <f t="shared" si="409"/>
        <v>1</v>
      </c>
    </row>
    <row r="2595" spans="1:57" x14ac:dyDescent="0.25">
      <c r="A2595" t="s">
        <v>39</v>
      </c>
      <c r="B2595" t="s">
        <v>8980</v>
      </c>
      <c r="C2595">
        <v>68</v>
      </c>
      <c r="D2595">
        <v>55.4</v>
      </c>
      <c r="G2595">
        <f t="shared" si="400"/>
        <v>1</v>
      </c>
      <c r="H2595">
        <f t="shared" si="401"/>
        <v>1</v>
      </c>
      <c r="I2595">
        <f t="shared" si="402"/>
        <v>0</v>
      </c>
      <c r="J2595">
        <v>62.1</v>
      </c>
      <c r="K2595">
        <v>68</v>
      </c>
      <c r="L2595">
        <v>55.4</v>
      </c>
      <c r="M2595">
        <v>62.1</v>
      </c>
      <c r="N2595">
        <v>50.2</v>
      </c>
      <c r="O2595">
        <v>66.2</v>
      </c>
      <c r="S2595">
        <f t="shared" si="403"/>
        <v>1</v>
      </c>
      <c r="T2595">
        <f t="shared" si="404"/>
        <v>0</v>
      </c>
      <c r="U2595">
        <f t="shared" si="405"/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45.9</v>
      </c>
      <c r="AC2595">
        <v>33.299999999999997</v>
      </c>
      <c r="AG2595">
        <f t="shared" si="406"/>
        <v>1</v>
      </c>
      <c r="AH2595">
        <f t="shared" si="407"/>
        <v>1</v>
      </c>
      <c r="AI2595">
        <f t="shared" si="408"/>
        <v>0</v>
      </c>
      <c r="AJ2595">
        <v>171</v>
      </c>
      <c r="AK2595">
        <v>1014.6</v>
      </c>
      <c r="AL2595">
        <v>53.8</v>
      </c>
      <c r="AM2595">
        <v>6.2</v>
      </c>
      <c r="AN2595">
        <v>179</v>
      </c>
      <c r="AO2595">
        <v>15.3</v>
      </c>
      <c r="AP2595">
        <v>7</v>
      </c>
      <c r="AQ2595">
        <v>0</v>
      </c>
      <c r="AR2595" t="s">
        <v>8981</v>
      </c>
      <c r="AS2595" t="s">
        <v>8982</v>
      </c>
      <c r="AT2595">
        <v>0.2</v>
      </c>
      <c r="AU2595" t="s">
        <v>43</v>
      </c>
      <c r="AV2595" t="s">
        <v>44</v>
      </c>
      <c r="AW2595" t="s">
        <v>419</v>
      </c>
      <c r="AX2595" t="s">
        <v>2341</v>
      </c>
      <c r="AY2595" t="s">
        <v>8983</v>
      </c>
      <c r="AZ2595">
        <v>69.999999997671694</v>
      </c>
      <c r="BA2595">
        <v>0</v>
      </c>
      <c r="BB2595">
        <v>0</v>
      </c>
      <c r="BC2595">
        <v>1</v>
      </c>
      <c r="BD2595">
        <v>0</v>
      </c>
      <c r="BE2595">
        <f t="shared" si="409"/>
        <v>1</v>
      </c>
    </row>
    <row r="2596" spans="1:57" x14ac:dyDescent="0.25">
      <c r="A2596" t="s">
        <v>39</v>
      </c>
      <c r="B2596" t="s">
        <v>8984</v>
      </c>
      <c r="C2596">
        <v>62.6</v>
      </c>
      <c r="D2596">
        <v>49.9</v>
      </c>
      <c r="G2596">
        <f t="shared" si="400"/>
        <v>0</v>
      </c>
      <c r="H2596">
        <f t="shared" si="401"/>
        <v>0</v>
      </c>
      <c r="I2596">
        <f t="shared" si="402"/>
        <v>0</v>
      </c>
      <c r="J2596">
        <v>56.5</v>
      </c>
      <c r="K2596">
        <v>62.6</v>
      </c>
      <c r="L2596">
        <v>47.7</v>
      </c>
      <c r="M2596">
        <v>56.3</v>
      </c>
      <c r="N2596">
        <v>51.8</v>
      </c>
      <c r="O2596">
        <v>84.9</v>
      </c>
      <c r="S2596">
        <f t="shared" si="403"/>
        <v>1</v>
      </c>
      <c r="T2596">
        <f t="shared" si="404"/>
        <v>1</v>
      </c>
      <c r="U2596">
        <f t="shared" si="405"/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19.899999999999999</v>
      </c>
      <c r="AC2596">
        <v>13.9</v>
      </c>
      <c r="AG2596">
        <f t="shared" si="406"/>
        <v>1</v>
      </c>
      <c r="AH2596">
        <f t="shared" si="407"/>
        <v>0</v>
      </c>
      <c r="AI2596">
        <f t="shared" si="408"/>
        <v>1</v>
      </c>
      <c r="AJ2596">
        <v>298.10000000000002</v>
      </c>
      <c r="AK2596">
        <v>1016.7</v>
      </c>
      <c r="AL2596">
        <v>52.1</v>
      </c>
      <c r="AM2596">
        <v>6.2</v>
      </c>
      <c r="AN2596">
        <v>207.8</v>
      </c>
      <c r="AO2596">
        <v>17.899999999999999</v>
      </c>
      <c r="AP2596">
        <v>7</v>
      </c>
      <c r="AQ2596">
        <v>0</v>
      </c>
      <c r="AR2596" t="s">
        <v>8985</v>
      </c>
      <c r="AS2596" t="s">
        <v>8986</v>
      </c>
      <c r="AT2596">
        <v>0.37</v>
      </c>
      <c r="AU2596" t="s">
        <v>43</v>
      </c>
      <c r="AV2596" t="s">
        <v>44</v>
      </c>
      <c r="AW2596" t="s">
        <v>45</v>
      </c>
      <c r="AX2596" t="s">
        <v>8987</v>
      </c>
      <c r="AY2596" t="s">
        <v>8988</v>
      </c>
      <c r="AZ2596">
        <v>1534.0000000025609</v>
      </c>
      <c r="BA2596">
        <v>1</v>
      </c>
      <c r="BB2596">
        <v>0</v>
      </c>
      <c r="BC2596">
        <v>15</v>
      </c>
      <c r="BD2596">
        <v>0</v>
      </c>
      <c r="BE2596">
        <f t="shared" si="409"/>
        <v>0</v>
      </c>
    </row>
    <row r="2597" spans="1:57" x14ac:dyDescent="0.25">
      <c r="A2597" t="s">
        <v>39</v>
      </c>
      <c r="B2597" t="s">
        <v>8989</v>
      </c>
      <c r="C2597">
        <v>68</v>
      </c>
      <c r="D2597">
        <v>55.4</v>
      </c>
      <c r="G2597">
        <f t="shared" si="400"/>
        <v>0</v>
      </c>
      <c r="H2597">
        <f t="shared" si="401"/>
        <v>0</v>
      </c>
      <c r="I2597">
        <f t="shared" si="402"/>
        <v>0</v>
      </c>
      <c r="J2597">
        <v>61.2</v>
      </c>
      <c r="K2597">
        <v>68</v>
      </c>
      <c r="L2597">
        <v>55.4</v>
      </c>
      <c r="M2597">
        <v>61.2</v>
      </c>
      <c r="N2597">
        <v>53.2</v>
      </c>
      <c r="O2597">
        <v>75.8</v>
      </c>
      <c r="S2597">
        <f t="shared" si="403"/>
        <v>1</v>
      </c>
      <c r="T2597">
        <f t="shared" si="404"/>
        <v>1</v>
      </c>
      <c r="U2597">
        <f t="shared" si="405"/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20.8</v>
      </c>
      <c r="AC2597">
        <v>11.4</v>
      </c>
      <c r="AG2597">
        <f t="shared" si="406"/>
        <v>1</v>
      </c>
      <c r="AH2597">
        <f t="shared" si="407"/>
        <v>0</v>
      </c>
      <c r="AI2597">
        <f t="shared" si="408"/>
        <v>1</v>
      </c>
      <c r="AJ2597">
        <v>303.7</v>
      </c>
      <c r="AK2597">
        <v>1011.7</v>
      </c>
      <c r="AL2597">
        <v>46</v>
      </c>
      <c r="AM2597">
        <v>6.2</v>
      </c>
      <c r="AN2597">
        <v>266.60000000000002</v>
      </c>
      <c r="AO2597">
        <v>22.8</v>
      </c>
      <c r="AP2597">
        <v>9</v>
      </c>
      <c r="AQ2597">
        <v>0</v>
      </c>
      <c r="AR2597" t="s">
        <v>8990</v>
      </c>
      <c r="AS2597" t="s">
        <v>8991</v>
      </c>
      <c r="AT2597">
        <v>0.94</v>
      </c>
      <c r="AU2597" t="s">
        <v>43</v>
      </c>
      <c r="AV2597" t="s">
        <v>44</v>
      </c>
      <c r="AW2597" t="s">
        <v>45</v>
      </c>
      <c r="AX2597" t="s">
        <v>8784</v>
      </c>
      <c r="AY2597" t="s">
        <v>8992</v>
      </c>
      <c r="AZ2597">
        <v>116.00000000093129</v>
      </c>
      <c r="BA2597">
        <v>0</v>
      </c>
      <c r="BB2597">
        <v>0</v>
      </c>
      <c r="BC2597">
        <v>0.02</v>
      </c>
      <c r="BD2597">
        <v>0</v>
      </c>
      <c r="BE2597">
        <f t="shared" si="409"/>
        <v>0</v>
      </c>
    </row>
    <row r="2598" spans="1:57" x14ac:dyDescent="0.25">
      <c r="A2598" t="s">
        <v>39</v>
      </c>
      <c r="B2598" t="s">
        <v>8993</v>
      </c>
      <c r="C2598">
        <v>73.400000000000006</v>
      </c>
      <c r="D2598">
        <v>59</v>
      </c>
      <c r="G2598">
        <f t="shared" si="400"/>
        <v>1</v>
      </c>
      <c r="H2598">
        <f t="shared" si="401"/>
        <v>1</v>
      </c>
      <c r="I2598">
        <f t="shared" si="402"/>
        <v>0</v>
      </c>
      <c r="J2598">
        <v>64.900000000000006</v>
      </c>
      <c r="K2598">
        <v>73.400000000000006</v>
      </c>
      <c r="L2598">
        <v>59</v>
      </c>
      <c r="M2598">
        <v>64.900000000000006</v>
      </c>
      <c r="N2598">
        <v>53.8</v>
      </c>
      <c r="O2598">
        <v>68.599999999999994</v>
      </c>
      <c r="S2598">
        <f t="shared" si="403"/>
        <v>1</v>
      </c>
      <c r="T2598">
        <f t="shared" si="404"/>
        <v>1</v>
      </c>
      <c r="U2598">
        <f t="shared" si="405"/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25.9</v>
      </c>
      <c r="AC2598">
        <v>13.9</v>
      </c>
      <c r="AG2598">
        <f t="shared" si="406"/>
        <v>1</v>
      </c>
      <c r="AH2598">
        <f t="shared" si="407"/>
        <v>0</v>
      </c>
      <c r="AI2598">
        <f t="shared" si="408"/>
        <v>1</v>
      </c>
      <c r="AJ2598">
        <v>161.80000000000001</v>
      </c>
      <c r="AK2598">
        <v>1009.7</v>
      </c>
      <c r="AL2598">
        <v>39.9</v>
      </c>
      <c r="AM2598">
        <v>6.2</v>
      </c>
      <c r="AN2598">
        <v>247</v>
      </c>
      <c r="AO2598">
        <v>21.3</v>
      </c>
      <c r="AP2598">
        <v>9</v>
      </c>
      <c r="AQ2598">
        <v>0</v>
      </c>
      <c r="AR2598" t="s">
        <v>8994</v>
      </c>
      <c r="AS2598" t="s">
        <v>8995</v>
      </c>
      <c r="AT2598">
        <v>0.2</v>
      </c>
      <c r="AU2598" t="s">
        <v>43</v>
      </c>
      <c r="AV2598" t="s">
        <v>44</v>
      </c>
      <c r="AW2598" t="s">
        <v>45</v>
      </c>
      <c r="AX2598" t="s">
        <v>2587</v>
      </c>
      <c r="AY2598" t="s">
        <v>8996</v>
      </c>
      <c r="AZ2598">
        <v>92.999999999301508</v>
      </c>
      <c r="BA2598">
        <v>0</v>
      </c>
      <c r="BB2598">
        <v>0</v>
      </c>
      <c r="BC2598">
        <v>0.04</v>
      </c>
      <c r="BD2598">
        <v>0</v>
      </c>
      <c r="BE2598">
        <f t="shared" si="409"/>
        <v>1</v>
      </c>
    </row>
    <row r="2599" spans="1:57" x14ac:dyDescent="0.25">
      <c r="A2599" t="s">
        <v>39</v>
      </c>
      <c r="B2599" t="s">
        <v>8997</v>
      </c>
      <c r="C2599">
        <v>73.400000000000006</v>
      </c>
      <c r="D2599">
        <v>64.400000000000006</v>
      </c>
      <c r="G2599">
        <f t="shared" si="400"/>
        <v>1</v>
      </c>
      <c r="H2599">
        <f t="shared" si="401"/>
        <v>0</v>
      </c>
      <c r="I2599">
        <f t="shared" si="402"/>
        <v>1</v>
      </c>
      <c r="J2599">
        <v>69.599999999999994</v>
      </c>
      <c r="K2599">
        <v>73.400000000000006</v>
      </c>
      <c r="L2599">
        <v>64.400000000000006</v>
      </c>
      <c r="M2599">
        <v>69.599999999999994</v>
      </c>
      <c r="N2599">
        <v>66.3</v>
      </c>
      <c r="O2599">
        <v>89.2</v>
      </c>
      <c r="S2599">
        <f t="shared" si="403"/>
        <v>1</v>
      </c>
      <c r="T2599">
        <f t="shared" si="404"/>
        <v>1</v>
      </c>
      <c r="U2599">
        <f t="shared" si="405"/>
        <v>0</v>
      </c>
      <c r="V2599">
        <v>1E-3</v>
      </c>
      <c r="W2599">
        <v>100</v>
      </c>
      <c r="X2599">
        <v>4.17</v>
      </c>
      <c r="Y2599" t="s">
        <v>103</v>
      </c>
      <c r="Z2599">
        <v>0</v>
      </c>
      <c r="AA2599">
        <v>0</v>
      </c>
      <c r="AB2599">
        <v>26.4</v>
      </c>
      <c r="AC2599">
        <v>15</v>
      </c>
      <c r="AG2599">
        <f t="shared" si="406"/>
        <v>1</v>
      </c>
      <c r="AH2599">
        <f t="shared" si="407"/>
        <v>0</v>
      </c>
      <c r="AI2599">
        <f t="shared" si="408"/>
        <v>1</v>
      </c>
      <c r="AJ2599">
        <v>25.3</v>
      </c>
      <c r="AK2599">
        <v>1011.9</v>
      </c>
      <c r="AL2599">
        <v>82.5</v>
      </c>
      <c r="AM2599">
        <v>6.2</v>
      </c>
      <c r="AN2599">
        <v>311.5</v>
      </c>
      <c r="AO2599">
        <v>26.9</v>
      </c>
      <c r="AP2599">
        <v>9</v>
      </c>
      <c r="AQ2599">
        <v>0</v>
      </c>
      <c r="AR2599" t="s">
        <v>8998</v>
      </c>
      <c r="AS2599" t="s">
        <v>8999</v>
      </c>
      <c r="AT2599">
        <v>0.41</v>
      </c>
      <c r="AU2599" t="s">
        <v>106</v>
      </c>
      <c r="AV2599" t="s">
        <v>433</v>
      </c>
      <c r="AW2599" t="s">
        <v>103</v>
      </c>
      <c r="AX2599" t="s">
        <v>4426</v>
      </c>
      <c r="AY2599" t="s">
        <v>9000</v>
      </c>
      <c r="AZ2599">
        <v>387.9999999969732</v>
      </c>
      <c r="BA2599">
        <v>1</v>
      </c>
      <c r="BB2599">
        <v>0</v>
      </c>
      <c r="BC2599">
        <v>3</v>
      </c>
      <c r="BD2599">
        <v>0</v>
      </c>
      <c r="BE2599">
        <f t="shared" si="409"/>
        <v>1</v>
      </c>
    </row>
    <row r="2600" spans="1:57" x14ac:dyDescent="0.25">
      <c r="A2600" t="s">
        <v>39</v>
      </c>
      <c r="B2600" t="s">
        <v>9001</v>
      </c>
      <c r="C2600">
        <v>91.4</v>
      </c>
      <c r="D2600">
        <v>73.400000000000006</v>
      </c>
      <c r="G2600">
        <f t="shared" si="400"/>
        <v>1</v>
      </c>
      <c r="H2600">
        <f t="shared" si="401"/>
        <v>1</v>
      </c>
      <c r="I2600">
        <f t="shared" si="402"/>
        <v>0</v>
      </c>
      <c r="J2600">
        <v>82.9</v>
      </c>
      <c r="K2600">
        <v>100.6</v>
      </c>
      <c r="L2600">
        <v>73.400000000000006</v>
      </c>
      <c r="M2600">
        <v>86.6</v>
      </c>
      <c r="N2600">
        <v>67.599999999999994</v>
      </c>
      <c r="O2600">
        <v>60.7</v>
      </c>
      <c r="S2600">
        <f t="shared" si="403"/>
        <v>0</v>
      </c>
      <c r="T2600">
        <f t="shared" si="404"/>
        <v>0</v>
      </c>
      <c r="U2600">
        <f t="shared" si="405"/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28.6</v>
      </c>
      <c r="AC2600">
        <v>13.9</v>
      </c>
      <c r="AG2600">
        <f t="shared" si="406"/>
        <v>1</v>
      </c>
      <c r="AH2600">
        <f t="shared" si="407"/>
        <v>0</v>
      </c>
      <c r="AI2600">
        <f t="shared" si="408"/>
        <v>1</v>
      </c>
      <c r="AJ2600">
        <v>281.8</v>
      </c>
      <c r="AK2600">
        <v>1012.2</v>
      </c>
      <c r="AL2600">
        <v>0</v>
      </c>
      <c r="AM2600">
        <v>6.2</v>
      </c>
      <c r="AN2600">
        <v>333.7</v>
      </c>
      <c r="AO2600">
        <v>28.9</v>
      </c>
      <c r="AP2600">
        <v>10</v>
      </c>
      <c r="AQ2600">
        <v>0</v>
      </c>
      <c r="AR2600" t="s">
        <v>9002</v>
      </c>
      <c r="AS2600" t="s">
        <v>9003</v>
      </c>
      <c r="AT2600">
        <v>0.88</v>
      </c>
      <c r="AU2600" t="s">
        <v>74</v>
      </c>
      <c r="AV2600" t="s">
        <v>2955</v>
      </c>
      <c r="AW2600" t="s">
        <v>75</v>
      </c>
      <c r="AX2600" t="s">
        <v>5374</v>
      </c>
      <c r="AY2600" t="s">
        <v>9004</v>
      </c>
      <c r="AZ2600">
        <v>3255.9999999997672</v>
      </c>
      <c r="BA2600">
        <v>1</v>
      </c>
      <c r="BB2600">
        <v>0</v>
      </c>
      <c r="BC2600">
        <v>160</v>
      </c>
      <c r="BD2600">
        <v>0</v>
      </c>
      <c r="BE2600">
        <f t="shared" si="409"/>
        <v>1</v>
      </c>
    </row>
    <row r="2601" spans="1:57" x14ac:dyDescent="0.25">
      <c r="A2601" t="s">
        <v>39</v>
      </c>
      <c r="B2601" t="s">
        <v>9005</v>
      </c>
      <c r="C2601">
        <v>87.8</v>
      </c>
      <c r="D2601">
        <v>78.8</v>
      </c>
      <c r="G2601">
        <f t="shared" si="400"/>
        <v>1</v>
      </c>
      <c r="H2601">
        <f t="shared" si="401"/>
        <v>1</v>
      </c>
      <c r="I2601">
        <f t="shared" si="402"/>
        <v>0</v>
      </c>
      <c r="J2601">
        <v>83</v>
      </c>
      <c r="K2601">
        <v>95.8</v>
      </c>
      <c r="L2601">
        <v>78.8</v>
      </c>
      <c r="M2601">
        <v>85.8</v>
      </c>
      <c r="N2601">
        <v>67</v>
      </c>
      <c r="O2601">
        <v>58.8</v>
      </c>
      <c r="S2601">
        <f t="shared" si="403"/>
        <v>0</v>
      </c>
      <c r="T2601">
        <f t="shared" si="404"/>
        <v>0</v>
      </c>
      <c r="U2601">
        <f t="shared" si="405"/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37.4</v>
      </c>
      <c r="AC2601">
        <v>23</v>
      </c>
      <c r="AG2601">
        <f t="shared" si="406"/>
        <v>1</v>
      </c>
      <c r="AH2601">
        <f t="shared" si="407"/>
        <v>1</v>
      </c>
      <c r="AI2601">
        <f t="shared" si="408"/>
        <v>0</v>
      </c>
      <c r="AJ2601">
        <v>298.10000000000002</v>
      </c>
      <c r="AK2601">
        <v>1010.3</v>
      </c>
      <c r="AL2601">
        <v>0.9</v>
      </c>
      <c r="AM2601">
        <v>6.2</v>
      </c>
      <c r="AN2601">
        <v>332.4</v>
      </c>
      <c r="AO2601">
        <v>28.7</v>
      </c>
      <c r="AP2601">
        <v>10</v>
      </c>
      <c r="AQ2601">
        <v>0</v>
      </c>
      <c r="AR2601" t="s">
        <v>9006</v>
      </c>
      <c r="AS2601" t="s">
        <v>9007</v>
      </c>
      <c r="AT2601">
        <v>0.02</v>
      </c>
      <c r="AU2601" t="s">
        <v>74</v>
      </c>
      <c r="AV2601" t="s">
        <v>2955</v>
      </c>
      <c r="AW2601" t="s">
        <v>75</v>
      </c>
      <c r="AX2601" t="s">
        <v>9008</v>
      </c>
      <c r="AY2601" t="s">
        <v>9009</v>
      </c>
      <c r="AZ2601">
        <v>784.99999999185093</v>
      </c>
      <c r="BA2601">
        <v>1</v>
      </c>
      <c r="BB2601">
        <v>0</v>
      </c>
      <c r="BC2601">
        <v>0.2</v>
      </c>
      <c r="BD2601">
        <v>0</v>
      </c>
      <c r="BE2601">
        <f t="shared" si="409"/>
        <v>1</v>
      </c>
    </row>
    <row r="2602" spans="1:57" x14ac:dyDescent="0.25">
      <c r="A2602" t="s">
        <v>39</v>
      </c>
      <c r="B2602" t="s">
        <v>9010</v>
      </c>
      <c r="C2602">
        <v>96.8</v>
      </c>
      <c r="D2602">
        <v>77</v>
      </c>
      <c r="G2602">
        <f t="shared" si="400"/>
        <v>1</v>
      </c>
      <c r="H2602">
        <f t="shared" si="401"/>
        <v>1</v>
      </c>
      <c r="I2602">
        <f t="shared" si="402"/>
        <v>0</v>
      </c>
      <c r="J2602">
        <v>86.9</v>
      </c>
      <c r="K2602">
        <v>105.3</v>
      </c>
      <c r="L2602">
        <v>77</v>
      </c>
      <c r="M2602">
        <v>91.1</v>
      </c>
      <c r="N2602">
        <v>66.8</v>
      </c>
      <c r="O2602">
        <v>51.7</v>
      </c>
      <c r="S2602">
        <f t="shared" si="403"/>
        <v>1</v>
      </c>
      <c r="T2602">
        <f t="shared" si="404"/>
        <v>0</v>
      </c>
      <c r="U2602">
        <f t="shared" si="405"/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28.4</v>
      </c>
      <c r="AC2602">
        <v>17.2</v>
      </c>
      <c r="AG2602">
        <f t="shared" si="406"/>
        <v>0</v>
      </c>
      <c r="AH2602">
        <f t="shared" si="407"/>
        <v>0</v>
      </c>
      <c r="AI2602">
        <f t="shared" si="408"/>
        <v>0</v>
      </c>
      <c r="AJ2602">
        <v>285.8</v>
      </c>
      <c r="AK2602">
        <v>1013.3</v>
      </c>
      <c r="AL2602">
        <v>0</v>
      </c>
      <c r="AM2602">
        <v>6.2</v>
      </c>
      <c r="AN2602">
        <v>328.9</v>
      </c>
      <c r="AO2602">
        <v>28.4</v>
      </c>
      <c r="AP2602">
        <v>10</v>
      </c>
      <c r="AQ2602">
        <v>0</v>
      </c>
      <c r="AR2602" t="s">
        <v>9011</v>
      </c>
      <c r="AS2602" t="s">
        <v>9012</v>
      </c>
      <c r="AT2602">
        <v>0.19</v>
      </c>
      <c r="AU2602" t="s">
        <v>74</v>
      </c>
      <c r="AV2602" t="s">
        <v>2955</v>
      </c>
      <c r="AW2602" t="s">
        <v>75</v>
      </c>
      <c r="AX2602" t="s">
        <v>9013</v>
      </c>
      <c r="AY2602" t="s">
        <v>9014</v>
      </c>
      <c r="AZ2602">
        <v>645.99999999976717</v>
      </c>
      <c r="BA2602">
        <v>1</v>
      </c>
      <c r="BB2602">
        <v>0</v>
      </c>
      <c r="BC2602">
        <v>1</v>
      </c>
      <c r="BD2602">
        <v>0</v>
      </c>
      <c r="BE2602">
        <f t="shared" si="409"/>
        <v>1</v>
      </c>
    </row>
    <row r="2603" spans="1:57" x14ac:dyDescent="0.25">
      <c r="A2603" t="s">
        <v>39</v>
      </c>
      <c r="B2603" t="s">
        <v>9015</v>
      </c>
      <c r="C2603">
        <v>87.8</v>
      </c>
      <c r="D2603">
        <v>73.400000000000006</v>
      </c>
      <c r="G2603">
        <f t="shared" si="400"/>
        <v>1</v>
      </c>
      <c r="H2603">
        <f t="shared" si="401"/>
        <v>1</v>
      </c>
      <c r="I2603">
        <f t="shared" si="402"/>
        <v>0</v>
      </c>
      <c r="J2603">
        <v>81.7</v>
      </c>
      <c r="K2603">
        <v>97.2</v>
      </c>
      <c r="L2603">
        <v>73.400000000000006</v>
      </c>
      <c r="M2603">
        <v>85.3</v>
      </c>
      <c r="N2603">
        <v>71.099999999999994</v>
      </c>
      <c r="O2603">
        <v>70.8</v>
      </c>
      <c r="S2603">
        <f t="shared" si="403"/>
        <v>1</v>
      </c>
      <c r="T2603">
        <f t="shared" si="404"/>
        <v>1</v>
      </c>
      <c r="U2603">
        <f t="shared" si="405"/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23</v>
      </c>
      <c r="AC2603">
        <v>23</v>
      </c>
      <c r="AG2603">
        <f t="shared" si="406"/>
        <v>1</v>
      </c>
      <c r="AH2603">
        <f t="shared" si="407"/>
        <v>1</v>
      </c>
      <c r="AI2603">
        <f t="shared" si="408"/>
        <v>0</v>
      </c>
      <c r="AJ2603">
        <v>284.60000000000002</v>
      </c>
      <c r="AK2603">
        <v>1007.6</v>
      </c>
      <c r="AL2603">
        <v>22.8</v>
      </c>
      <c r="AM2603">
        <v>6.2</v>
      </c>
      <c r="AN2603">
        <v>305.39999999999998</v>
      </c>
      <c r="AO2603">
        <v>26.5</v>
      </c>
      <c r="AP2603">
        <v>10</v>
      </c>
      <c r="AQ2603">
        <v>0</v>
      </c>
      <c r="AR2603" t="s">
        <v>9016</v>
      </c>
      <c r="AS2603" t="s">
        <v>9017</v>
      </c>
      <c r="AT2603">
        <v>0.66</v>
      </c>
      <c r="AU2603" t="s">
        <v>43</v>
      </c>
      <c r="AV2603" t="s">
        <v>44</v>
      </c>
      <c r="AW2603" t="s">
        <v>45</v>
      </c>
      <c r="AX2603" t="s">
        <v>9018</v>
      </c>
      <c r="AY2603" t="s">
        <v>9019</v>
      </c>
      <c r="AZ2603">
        <v>2136.9999999983702</v>
      </c>
      <c r="BA2603">
        <v>1</v>
      </c>
      <c r="BB2603">
        <v>0</v>
      </c>
      <c r="BC2603">
        <v>90</v>
      </c>
      <c r="BD2603">
        <v>0</v>
      </c>
      <c r="BE2603">
        <f t="shared" si="409"/>
        <v>1</v>
      </c>
    </row>
    <row r="2604" spans="1:57" x14ac:dyDescent="0.25">
      <c r="A2604" t="s">
        <v>39</v>
      </c>
      <c r="B2604" t="s">
        <v>9020</v>
      </c>
      <c r="C2604">
        <v>87.8</v>
      </c>
      <c r="D2604">
        <v>73.400000000000006</v>
      </c>
      <c r="G2604">
        <f t="shared" si="400"/>
        <v>1</v>
      </c>
      <c r="H2604">
        <f t="shared" si="401"/>
        <v>1</v>
      </c>
      <c r="I2604">
        <f t="shared" si="402"/>
        <v>0</v>
      </c>
      <c r="J2604">
        <v>81.8</v>
      </c>
      <c r="K2604">
        <v>95.8</v>
      </c>
      <c r="L2604">
        <v>73.400000000000006</v>
      </c>
      <c r="M2604">
        <v>85.9</v>
      </c>
      <c r="N2604">
        <v>71.400000000000006</v>
      </c>
      <c r="O2604">
        <v>71.400000000000006</v>
      </c>
      <c r="S2604">
        <f t="shared" si="403"/>
        <v>1</v>
      </c>
      <c r="T2604">
        <f t="shared" si="404"/>
        <v>1</v>
      </c>
      <c r="U2604">
        <f t="shared" si="405"/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28.6</v>
      </c>
      <c r="AC2604">
        <v>16.100000000000001</v>
      </c>
      <c r="AG2604">
        <f t="shared" si="406"/>
        <v>0</v>
      </c>
      <c r="AH2604">
        <f t="shared" si="407"/>
        <v>0</v>
      </c>
      <c r="AI2604">
        <f t="shared" si="408"/>
        <v>0</v>
      </c>
      <c r="AJ2604">
        <v>303.89999999999998</v>
      </c>
      <c r="AK2604">
        <v>1010</v>
      </c>
      <c r="AL2604">
        <v>7.8</v>
      </c>
      <c r="AM2604">
        <v>6.2</v>
      </c>
      <c r="AN2604">
        <v>292.5</v>
      </c>
      <c r="AO2604">
        <v>25.2</v>
      </c>
      <c r="AP2604">
        <v>9</v>
      </c>
      <c r="AQ2604">
        <v>0</v>
      </c>
      <c r="AR2604" t="s">
        <v>9021</v>
      </c>
      <c r="AS2604" t="s">
        <v>9022</v>
      </c>
      <c r="AT2604">
        <v>0.03</v>
      </c>
      <c r="AU2604" t="s">
        <v>74</v>
      </c>
      <c r="AV2604" t="s">
        <v>2955</v>
      </c>
      <c r="AW2604" t="s">
        <v>75</v>
      </c>
      <c r="AX2604" t="s">
        <v>8174</v>
      </c>
      <c r="AY2604" t="s">
        <v>9023</v>
      </c>
      <c r="AZ2604">
        <v>294.00000000488939</v>
      </c>
      <c r="BA2604">
        <v>0</v>
      </c>
      <c r="BB2604">
        <v>0</v>
      </c>
      <c r="BC2604">
        <v>0.2</v>
      </c>
      <c r="BD2604">
        <v>0</v>
      </c>
      <c r="BE2604">
        <f t="shared" si="409"/>
        <v>0</v>
      </c>
    </row>
    <row r="2605" spans="1:57" x14ac:dyDescent="0.25">
      <c r="A2605" t="s">
        <v>39</v>
      </c>
      <c r="B2605" t="s">
        <v>9024</v>
      </c>
      <c r="C2605">
        <v>86</v>
      </c>
      <c r="D2605">
        <v>69.8</v>
      </c>
      <c r="G2605">
        <f t="shared" si="400"/>
        <v>1</v>
      </c>
      <c r="H2605">
        <f t="shared" si="401"/>
        <v>1</v>
      </c>
      <c r="I2605">
        <f t="shared" si="402"/>
        <v>0</v>
      </c>
      <c r="J2605">
        <v>79.5</v>
      </c>
      <c r="K2605">
        <v>95.1</v>
      </c>
      <c r="L2605">
        <v>69.8</v>
      </c>
      <c r="M2605">
        <v>82.4</v>
      </c>
      <c r="N2605">
        <v>69.3</v>
      </c>
      <c r="O2605">
        <v>72.400000000000006</v>
      </c>
      <c r="S2605">
        <f t="shared" si="403"/>
        <v>1</v>
      </c>
      <c r="T2605">
        <f t="shared" si="404"/>
        <v>1</v>
      </c>
      <c r="U2605">
        <f t="shared" si="405"/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20.8</v>
      </c>
      <c r="AC2605">
        <v>10.3</v>
      </c>
      <c r="AG2605">
        <f t="shared" si="406"/>
        <v>1</v>
      </c>
      <c r="AH2605">
        <f t="shared" si="407"/>
        <v>0</v>
      </c>
      <c r="AI2605">
        <f t="shared" si="408"/>
        <v>1</v>
      </c>
      <c r="AJ2605">
        <v>258.8</v>
      </c>
      <c r="AK2605">
        <v>1010.5</v>
      </c>
      <c r="AL2605">
        <v>0.9</v>
      </c>
      <c r="AM2605">
        <v>6.2</v>
      </c>
      <c r="AN2605">
        <v>295.5</v>
      </c>
      <c r="AO2605">
        <v>25.5</v>
      </c>
      <c r="AP2605">
        <v>9</v>
      </c>
      <c r="AQ2605">
        <v>0</v>
      </c>
      <c r="AR2605" t="s">
        <v>9025</v>
      </c>
      <c r="AS2605" t="s">
        <v>9026</v>
      </c>
      <c r="AT2605">
        <v>0.24</v>
      </c>
      <c r="AU2605" t="s">
        <v>74</v>
      </c>
      <c r="AV2605" t="s">
        <v>2955</v>
      </c>
      <c r="AW2605" t="s">
        <v>75</v>
      </c>
      <c r="AX2605" t="s">
        <v>9027</v>
      </c>
      <c r="AY2605" t="s">
        <v>9028</v>
      </c>
      <c r="AZ2605">
        <v>66.999999998370185</v>
      </c>
      <c r="BA2605">
        <v>0</v>
      </c>
      <c r="BB2605">
        <v>0</v>
      </c>
      <c r="BC2605">
        <v>0.1</v>
      </c>
      <c r="BD2605">
        <v>0</v>
      </c>
      <c r="BE2605">
        <f t="shared" si="409"/>
        <v>1</v>
      </c>
    </row>
    <row r="2606" spans="1:57" x14ac:dyDescent="0.25">
      <c r="A2606" t="s">
        <v>39</v>
      </c>
      <c r="B2606" t="s">
        <v>9029</v>
      </c>
      <c r="C2606">
        <v>87.8</v>
      </c>
      <c r="D2606">
        <v>75.2</v>
      </c>
      <c r="G2606">
        <f t="shared" si="400"/>
        <v>1</v>
      </c>
      <c r="H2606">
        <f t="shared" si="401"/>
        <v>1</v>
      </c>
      <c r="I2606">
        <f t="shared" si="402"/>
        <v>0</v>
      </c>
      <c r="J2606">
        <v>81.2</v>
      </c>
      <c r="K2606">
        <v>90.6</v>
      </c>
      <c r="L2606">
        <v>75.2</v>
      </c>
      <c r="M2606">
        <v>82.8</v>
      </c>
      <c r="N2606">
        <v>63.6</v>
      </c>
      <c r="O2606">
        <v>55.7</v>
      </c>
      <c r="S2606">
        <f t="shared" si="403"/>
        <v>1</v>
      </c>
      <c r="T2606">
        <f t="shared" si="404"/>
        <v>0</v>
      </c>
      <c r="U2606">
        <f t="shared" si="405"/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33.299999999999997</v>
      </c>
      <c r="AC2606">
        <v>23</v>
      </c>
      <c r="AG2606">
        <f t="shared" si="406"/>
        <v>1</v>
      </c>
      <c r="AH2606">
        <f t="shared" si="407"/>
        <v>1</v>
      </c>
      <c r="AI2606">
        <f t="shared" si="408"/>
        <v>0</v>
      </c>
      <c r="AJ2606">
        <v>283.7</v>
      </c>
      <c r="AK2606">
        <v>1008.7</v>
      </c>
      <c r="AL2606">
        <v>22</v>
      </c>
      <c r="AM2606">
        <v>6.2</v>
      </c>
      <c r="AN2606">
        <v>278.39999999999998</v>
      </c>
      <c r="AO2606">
        <v>24</v>
      </c>
      <c r="AP2606">
        <v>9</v>
      </c>
      <c r="AQ2606">
        <v>0</v>
      </c>
      <c r="AR2606" t="s">
        <v>9030</v>
      </c>
      <c r="AS2606" t="s">
        <v>9031</v>
      </c>
      <c r="AT2606">
        <v>0.37</v>
      </c>
      <c r="AU2606" t="s">
        <v>43</v>
      </c>
      <c r="AV2606" t="s">
        <v>44</v>
      </c>
      <c r="AW2606" t="s">
        <v>45</v>
      </c>
      <c r="AX2606" t="s">
        <v>7728</v>
      </c>
      <c r="AY2606" t="s">
        <v>9032</v>
      </c>
      <c r="AZ2606">
        <v>1694.0000000002331</v>
      </c>
      <c r="BA2606">
        <v>1</v>
      </c>
      <c r="BB2606">
        <v>4</v>
      </c>
      <c r="BC2606">
        <v>4</v>
      </c>
      <c r="BD2606">
        <v>0</v>
      </c>
      <c r="BE2606">
        <f t="shared" si="409"/>
        <v>1</v>
      </c>
    </row>
    <row r="2607" spans="1:57" x14ac:dyDescent="0.25">
      <c r="A2607" t="s">
        <v>39</v>
      </c>
      <c r="B2607" t="s">
        <v>9033</v>
      </c>
      <c r="C2607">
        <v>89.6</v>
      </c>
      <c r="D2607">
        <v>69.8</v>
      </c>
      <c r="G2607">
        <f t="shared" si="400"/>
        <v>1</v>
      </c>
      <c r="H2607">
        <f t="shared" si="401"/>
        <v>1</v>
      </c>
      <c r="I2607">
        <f t="shared" si="402"/>
        <v>0</v>
      </c>
      <c r="J2607">
        <v>79.099999999999994</v>
      </c>
      <c r="K2607">
        <v>90.3</v>
      </c>
      <c r="L2607">
        <v>69.8</v>
      </c>
      <c r="M2607">
        <v>79.400000000000006</v>
      </c>
      <c r="N2607">
        <v>57.4</v>
      </c>
      <c r="O2607">
        <v>48</v>
      </c>
      <c r="S2607">
        <f t="shared" si="403"/>
        <v>1</v>
      </c>
      <c r="T2607">
        <f t="shared" si="404"/>
        <v>0</v>
      </c>
      <c r="U2607">
        <f t="shared" si="405"/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20.100000000000001</v>
      </c>
      <c r="AC2607">
        <v>9.1999999999999993</v>
      </c>
      <c r="AG2607">
        <f t="shared" si="406"/>
        <v>1</v>
      </c>
      <c r="AH2607">
        <f t="shared" si="407"/>
        <v>0</v>
      </c>
      <c r="AI2607">
        <f t="shared" si="408"/>
        <v>1</v>
      </c>
      <c r="AJ2607">
        <v>168</v>
      </c>
      <c r="AK2607">
        <v>1012.8</v>
      </c>
      <c r="AL2607">
        <v>17.8</v>
      </c>
      <c r="AM2607">
        <v>6.2</v>
      </c>
      <c r="AN2607">
        <v>238.5</v>
      </c>
      <c r="AO2607">
        <v>20.6</v>
      </c>
      <c r="AP2607">
        <v>8</v>
      </c>
      <c r="AQ2607">
        <v>0</v>
      </c>
      <c r="AR2607" t="s">
        <v>9034</v>
      </c>
      <c r="AS2607" t="s">
        <v>9035</v>
      </c>
      <c r="AT2607">
        <v>0.32</v>
      </c>
      <c r="AU2607" t="s">
        <v>74</v>
      </c>
      <c r="AV2607" t="s">
        <v>2955</v>
      </c>
      <c r="AW2607" t="s">
        <v>75</v>
      </c>
      <c r="AX2607" t="s">
        <v>9036</v>
      </c>
      <c r="AY2607" t="s">
        <v>9037</v>
      </c>
      <c r="AZ2607">
        <v>873.99999999906868</v>
      </c>
      <c r="BA2607">
        <v>1</v>
      </c>
      <c r="BB2607">
        <v>0</v>
      </c>
      <c r="BC2607">
        <v>25</v>
      </c>
      <c r="BD2607">
        <v>0</v>
      </c>
      <c r="BE2607">
        <f t="shared" si="409"/>
        <v>1</v>
      </c>
    </row>
    <row r="2608" spans="1:57" x14ac:dyDescent="0.25">
      <c r="A2608" t="s">
        <v>39</v>
      </c>
      <c r="B2608" t="s">
        <v>9038</v>
      </c>
      <c r="C2608">
        <v>75.2</v>
      </c>
      <c r="D2608">
        <v>69.8</v>
      </c>
      <c r="G2608">
        <f t="shared" si="400"/>
        <v>0</v>
      </c>
      <c r="H2608">
        <f t="shared" si="401"/>
        <v>0</v>
      </c>
      <c r="I2608">
        <f t="shared" si="402"/>
        <v>0</v>
      </c>
      <c r="J2608">
        <v>72.099999999999994</v>
      </c>
      <c r="K2608">
        <v>75.2</v>
      </c>
      <c r="L2608">
        <v>69.8</v>
      </c>
      <c r="M2608">
        <v>72.099999999999994</v>
      </c>
      <c r="N2608">
        <v>57.9</v>
      </c>
      <c r="O2608">
        <v>61.9</v>
      </c>
      <c r="S2608">
        <f t="shared" si="403"/>
        <v>1</v>
      </c>
      <c r="T2608">
        <f t="shared" si="404"/>
        <v>0</v>
      </c>
      <c r="U2608">
        <f t="shared" si="405"/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34.700000000000003</v>
      </c>
      <c r="AC2608">
        <v>20.8</v>
      </c>
      <c r="AG2608">
        <f t="shared" si="406"/>
        <v>1</v>
      </c>
      <c r="AH2608">
        <f t="shared" si="407"/>
        <v>1</v>
      </c>
      <c r="AI2608">
        <f t="shared" si="408"/>
        <v>0</v>
      </c>
      <c r="AJ2608">
        <v>314.39999999999998</v>
      </c>
      <c r="AK2608">
        <v>1018.6</v>
      </c>
      <c r="AL2608">
        <v>42.6</v>
      </c>
      <c r="AM2608">
        <v>6.2</v>
      </c>
      <c r="AN2608">
        <v>198.7</v>
      </c>
      <c r="AO2608">
        <v>17.100000000000001</v>
      </c>
      <c r="AP2608">
        <v>7</v>
      </c>
      <c r="AQ2608">
        <v>0</v>
      </c>
      <c r="AR2608" t="s">
        <v>9039</v>
      </c>
      <c r="AS2608" t="s">
        <v>9040</v>
      </c>
      <c r="AT2608">
        <v>0.89</v>
      </c>
      <c r="AU2608" t="s">
        <v>43</v>
      </c>
      <c r="AV2608" t="s">
        <v>44</v>
      </c>
      <c r="AW2608" t="s">
        <v>45</v>
      </c>
      <c r="AX2608" t="s">
        <v>4582</v>
      </c>
      <c r="AY2608" t="s">
        <v>9041</v>
      </c>
      <c r="AZ2608">
        <v>151.00000001024449</v>
      </c>
      <c r="BA2608">
        <v>0</v>
      </c>
      <c r="BB2608">
        <v>0</v>
      </c>
      <c r="BC2608">
        <v>10</v>
      </c>
      <c r="BD2608">
        <v>0</v>
      </c>
      <c r="BE2608">
        <f t="shared" si="409"/>
        <v>0</v>
      </c>
    </row>
    <row r="2609" spans="1:57" x14ac:dyDescent="0.25">
      <c r="A2609" t="s">
        <v>39</v>
      </c>
      <c r="B2609" t="s">
        <v>9042</v>
      </c>
      <c r="C2609">
        <v>91.4</v>
      </c>
      <c r="D2609">
        <v>75.099999999999994</v>
      </c>
      <c r="G2609">
        <f t="shared" si="400"/>
        <v>1</v>
      </c>
      <c r="H2609">
        <f t="shared" si="401"/>
        <v>1</v>
      </c>
      <c r="I2609">
        <f t="shared" si="402"/>
        <v>0</v>
      </c>
      <c r="J2609">
        <v>81.599999999999994</v>
      </c>
      <c r="K2609">
        <v>88.1</v>
      </c>
      <c r="L2609">
        <v>75.099999999999994</v>
      </c>
      <c r="M2609">
        <v>80.400000000000006</v>
      </c>
      <c r="N2609">
        <v>49.9</v>
      </c>
      <c r="O2609">
        <v>35</v>
      </c>
      <c r="S2609">
        <f t="shared" si="403"/>
        <v>1</v>
      </c>
      <c r="T2609">
        <f t="shared" si="404"/>
        <v>0</v>
      </c>
      <c r="U2609">
        <f t="shared" si="405"/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33.299999999999997</v>
      </c>
      <c r="AC2609">
        <v>19.7</v>
      </c>
      <c r="AG2609">
        <f t="shared" si="406"/>
        <v>1</v>
      </c>
      <c r="AH2609">
        <f t="shared" si="407"/>
        <v>1</v>
      </c>
      <c r="AI2609">
        <f t="shared" si="408"/>
        <v>0</v>
      </c>
      <c r="AJ2609">
        <v>183.8</v>
      </c>
      <c r="AK2609">
        <v>1009.9</v>
      </c>
      <c r="AL2609">
        <v>26.3</v>
      </c>
      <c r="AM2609">
        <v>6.2</v>
      </c>
      <c r="AN2609">
        <v>161</v>
      </c>
      <c r="AO2609">
        <v>13.8</v>
      </c>
      <c r="AP2609">
        <v>6</v>
      </c>
      <c r="AQ2609">
        <v>0</v>
      </c>
      <c r="AR2609" t="s">
        <v>9043</v>
      </c>
      <c r="AS2609" t="s">
        <v>9044</v>
      </c>
      <c r="AT2609">
        <v>0.71</v>
      </c>
      <c r="AU2609" t="s">
        <v>43</v>
      </c>
      <c r="AV2609" t="s">
        <v>44</v>
      </c>
      <c r="AW2609" t="s">
        <v>45</v>
      </c>
      <c r="AX2609" t="s">
        <v>8409</v>
      </c>
      <c r="AY2609" t="s">
        <v>9045</v>
      </c>
      <c r="AZ2609">
        <v>45</v>
      </c>
      <c r="BA2609">
        <v>0</v>
      </c>
      <c r="BB2609">
        <v>0</v>
      </c>
      <c r="BC2609">
        <v>0.5</v>
      </c>
      <c r="BD2609">
        <v>0</v>
      </c>
      <c r="BE2609">
        <f t="shared" si="409"/>
        <v>1</v>
      </c>
    </row>
    <row r="2610" spans="1:57" x14ac:dyDescent="0.25">
      <c r="A2610" t="s">
        <v>39</v>
      </c>
      <c r="B2610" t="s">
        <v>8932</v>
      </c>
      <c r="C2610">
        <v>77</v>
      </c>
      <c r="D2610">
        <v>57.2</v>
      </c>
      <c r="G2610">
        <f t="shared" si="400"/>
        <v>1</v>
      </c>
      <c r="H2610">
        <f t="shared" si="401"/>
        <v>1</v>
      </c>
      <c r="I2610">
        <f t="shared" si="402"/>
        <v>0</v>
      </c>
      <c r="J2610">
        <v>67.099999999999994</v>
      </c>
      <c r="K2610">
        <v>77</v>
      </c>
      <c r="L2610">
        <v>57.2</v>
      </c>
      <c r="M2610">
        <v>67.099999999999994</v>
      </c>
      <c r="N2610">
        <v>53.9</v>
      </c>
      <c r="O2610">
        <v>64.3</v>
      </c>
      <c r="S2610">
        <f t="shared" si="403"/>
        <v>0</v>
      </c>
      <c r="T2610">
        <f t="shared" si="404"/>
        <v>0</v>
      </c>
      <c r="U2610">
        <f t="shared" si="405"/>
        <v>0</v>
      </c>
      <c r="V2610">
        <v>1.7000000000000001E-2</v>
      </c>
      <c r="W2610">
        <v>100</v>
      </c>
      <c r="X2610">
        <v>4.17</v>
      </c>
      <c r="Y2610" t="s">
        <v>103</v>
      </c>
      <c r="Z2610">
        <v>0</v>
      </c>
      <c r="AA2610">
        <v>0</v>
      </c>
      <c r="AB2610">
        <v>41.2</v>
      </c>
      <c r="AC2610">
        <v>28.9</v>
      </c>
      <c r="AG2610">
        <f t="shared" si="406"/>
        <v>1</v>
      </c>
      <c r="AH2610">
        <f t="shared" si="407"/>
        <v>1</v>
      </c>
      <c r="AI2610">
        <f t="shared" si="408"/>
        <v>0</v>
      </c>
      <c r="AJ2610">
        <v>240.9</v>
      </c>
      <c r="AK2610">
        <v>1009.5</v>
      </c>
      <c r="AL2610">
        <v>48.9</v>
      </c>
      <c r="AM2610">
        <v>6.1</v>
      </c>
      <c r="AN2610">
        <v>104.2</v>
      </c>
      <c r="AO2610">
        <v>8.9</v>
      </c>
      <c r="AP2610">
        <v>4</v>
      </c>
      <c r="AQ2610">
        <v>0</v>
      </c>
      <c r="AR2610" t="s">
        <v>8933</v>
      </c>
      <c r="AS2610" t="s">
        <v>8934</v>
      </c>
      <c r="AT2610">
        <v>0.18</v>
      </c>
      <c r="AU2610" t="s">
        <v>106</v>
      </c>
      <c r="AV2610" t="s">
        <v>1180</v>
      </c>
      <c r="AW2610" t="s">
        <v>103</v>
      </c>
      <c r="AX2610" t="s">
        <v>6762</v>
      </c>
      <c r="AY2610" t="s">
        <v>9046</v>
      </c>
      <c r="AZ2610">
        <v>1170.999999992782</v>
      </c>
      <c r="BA2610">
        <v>1</v>
      </c>
      <c r="BB2610">
        <v>1</v>
      </c>
      <c r="BC2610">
        <v>0</v>
      </c>
      <c r="BD2610">
        <v>0</v>
      </c>
      <c r="BE2610">
        <f t="shared" si="409"/>
        <v>1</v>
      </c>
    </row>
    <row r="2611" spans="1:57" x14ac:dyDescent="0.25">
      <c r="A2611" t="s">
        <v>39</v>
      </c>
      <c r="B2611" t="s">
        <v>9047</v>
      </c>
      <c r="C2611">
        <v>60.8</v>
      </c>
      <c r="D2611">
        <v>50</v>
      </c>
      <c r="G2611">
        <f t="shared" si="400"/>
        <v>0</v>
      </c>
      <c r="H2611">
        <f t="shared" si="401"/>
        <v>0</v>
      </c>
      <c r="I2611">
        <f t="shared" si="402"/>
        <v>0</v>
      </c>
      <c r="J2611">
        <v>56</v>
      </c>
      <c r="K2611">
        <v>60.8</v>
      </c>
      <c r="L2611">
        <v>50</v>
      </c>
      <c r="M2611">
        <v>56</v>
      </c>
      <c r="N2611">
        <v>46.5</v>
      </c>
      <c r="O2611">
        <v>71.5</v>
      </c>
      <c r="S2611">
        <f t="shared" si="403"/>
        <v>1</v>
      </c>
      <c r="T2611">
        <f t="shared" si="404"/>
        <v>1</v>
      </c>
      <c r="U2611">
        <f t="shared" si="405"/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19.7</v>
      </c>
      <c r="AC2611">
        <v>15</v>
      </c>
      <c r="AG2611">
        <f t="shared" si="406"/>
        <v>1</v>
      </c>
      <c r="AH2611">
        <f t="shared" si="407"/>
        <v>0</v>
      </c>
      <c r="AI2611">
        <f t="shared" si="408"/>
        <v>1</v>
      </c>
      <c r="AJ2611">
        <v>315.39999999999998</v>
      </c>
      <c r="AK2611">
        <v>1013.7</v>
      </c>
      <c r="AL2611">
        <v>66.3</v>
      </c>
      <c r="AM2611">
        <v>6.1</v>
      </c>
      <c r="AN2611">
        <v>84.9</v>
      </c>
      <c r="AO2611">
        <v>7.3</v>
      </c>
      <c r="AP2611">
        <v>4</v>
      </c>
      <c r="AQ2611">
        <v>0</v>
      </c>
      <c r="AR2611" t="s">
        <v>9048</v>
      </c>
      <c r="AS2611" t="s">
        <v>9049</v>
      </c>
      <c r="AT2611">
        <v>0.89</v>
      </c>
      <c r="AU2611" t="s">
        <v>43</v>
      </c>
      <c r="AV2611" t="s">
        <v>44</v>
      </c>
      <c r="AW2611" t="s">
        <v>45</v>
      </c>
      <c r="AX2611" t="s">
        <v>9050</v>
      </c>
      <c r="AY2611" t="s">
        <v>9051</v>
      </c>
      <c r="AZ2611">
        <v>129.99999999417921</v>
      </c>
      <c r="BA2611">
        <v>0</v>
      </c>
      <c r="BB2611">
        <v>0</v>
      </c>
      <c r="BC2611">
        <v>1</v>
      </c>
      <c r="BD2611">
        <v>0</v>
      </c>
      <c r="BE2611">
        <f t="shared" si="409"/>
        <v>0</v>
      </c>
    </row>
    <row r="2612" spans="1:57" x14ac:dyDescent="0.25">
      <c r="A2612" t="s">
        <v>39</v>
      </c>
      <c r="B2612" t="s">
        <v>9052</v>
      </c>
      <c r="C2612">
        <v>62.6</v>
      </c>
      <c r="D2612">
        <v>51.8</v>
      </c>
      <c r="G2612">
        <f t="shared" si="400"/>
        <v>0</v>
      </c>
      <c r="H2612">
        <f t="shared" si="401"/>
        <v>0</v>
      </c>
      <c r="I2612">
        <f t="shared" si="402"/>
        <v>0</v>
      </c>
      <c r="J2612">
        <v>57.1</v>
      </c>
      <c r="K2612">
        <v>62.6</v>
      </c>
      <c r="L2612">
        <v>51.8</v>
      </c>
      <c r="M2612">
        <v>57.1</v>
      </c>
      <c r="N2612">
        <v>52</v>
      </c>
      <c r="O2612">
        <v>83.3</v>
      </c>
      <c r="S2612">
        <f t="shared" si="403"/>
        <v>1</v>
      </c>
      <c r="T2612">
        <f t="shared" si="404"/>
        <v>1</v>
      </c>
      <c r="U2612">
        <f t="shared" si="405"/>
        <v>0</v>
      </c>
      <c r="V2612">
        <v>0.90100000000000002</v>
      </c>
      <c r="W2612">
        <v>100</v>
      </c>
      <c r="X2612">
        <v>8.33</v>
      </c>
      <c r="Y2612" t="s">
        <v>103</v>
      </c>
      <c r="Z2612">
        <v>0</v>
      </c>
      <c r="AA2612">
        <v>0</v>
      </c>
      <c r="AB2612">
        <v>21.9</v>
      </c>
      <c r="AC2612">
        <v>11.4</v>
      </c>
      <c r="AG2612">
        <f t="shared" si="406"/>
        <v>1</v>
      </c>
      <c r="AH2612">
        <f t="shared" si="407"/>
        <v>0</v>
      </c>
      <c r="AI2612">
        <f t="shared" si="408"/>
        <v>1</v>
      </c>
      <c r="AJ2612">
        <v>350</v>
      </c>
      <c r="AK2612">
        <v>1013.5</v>
      </c>
      <c r="AL2612">
        <v>70.5</v>
      </c>
      <c r="AM2612">
        <v>5.8</v>
      </c>
      <c r="AN2612">
        <v>88</v>
      </c>
      <c r="AO2612">
        <v>7.9</v>
      </c>
      <c r="AP2612">
        <v>4</v>
      </c>
      <c r="AQ2612">
        <v>0</v>
      </c>
      <c r="AR2612" t="s">
        <v>9053</v>
      </c>
      <c r="AS2612" t="s">
        <v>9054</v>
      </c>
      <c r="AT2612">
        <v>0.95</v>
      </c>
      <c r="AU2612" t="s">
        <v>106</v>
      </c>
      <c r="AV2612" t="s">
        <v>257</v>
      </c>
      <c r="AW2612" t="s">
        <v>103</v>
      </c>
      <c r="AX2612" t="s">
        <v>9055</v>
      </c>
      <c r="AY2612" t="s">
        <v>9056</v>
      </c>
      <c r="AZ2612">
        <v>95.999999998603016</v>
      </c>
      <c r="BA2612">
        <v>0</v>
      </c>
      <c r="BB2612">
        <v>0</v>
      </c>
      <c r="BC2612">
        <v>0.15</v>
      </c>
      <c r="BD2612">
        <v>0</v>
      </c>
      <c r="BE2612">
        <f t="shared" si="409"/>
        <v>0</v>
      </c>
    </row>
    <row r="2613" spans="1:57" x14ac:dyDescent="0.25">
      <c r="A2613" t="s">
        <v>39</v>
      </c>
      <c r="B2613" t="s">
        <v>9005</v>
      </c>
      <c r="C2613">
        <v>87.8</v>
      </c>
      <c r="D2613">
        <v>78.8</v>
      </c>
      <c r="G2613">
        <f t="shared" si="400"/>
        <v>1</v>
      </c>
      <c r="H2613">
        <f t="shared" si="401"/>
        <v>1</v>
      </c>
      <c r="I2613">
        <f t="shared" si="402"/>
        <v>0</v>
      </c>
      <c r="J2613">
        <v>83</v>
      </c>
      <c r="K2613">
        <v>95.8</v>
      </c>
      <c r="L2613">
        <v>78.8</v>
      </c>
      <c r="M2613">
        <v>85.8</v>
      </c>
      <c r="N2613">
        <v>67</v>
      </c>
      <c r="O2613">
        <v>58.8</v>
      </c>
      <c r="S2613">
        <f t="shared" si="403"/>
        <v>0</v>
      </c>
      <c r="T2613">
        <f t="shared" si="404"/>
        <v>0</v>
      </c>
      <c r="U2613">
        <f t="shared" si="405"/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37.4</v>
      </c>
      <c r="AC2613">
        <v>23</v>
      </c>
      <c r="AG2613">
        <f t="shared" si="406"/>
        <v>1</v>
      </c>
      <c r="AH2613">
        <f t="shared" si="407"/>
        <v>1</v>
      </c>
      <c r="AI2613">
        <f t="shared" si="408"/>
        <v>0</v>
      </c>
      <c r="AJ2613">
        <v>298.10000000000002</v>
      </c>
      <c r="AK2613">
        <v>1010.3</v>
      </c>
      <c r="AL2613">
        <v>0.9</v>
      </c>
      <c r="AM2613">
        <v>6.2</v>
      </c>
      <c r="AN2613">
        <v>332.4</v>
      </c>
      <c r="AO2613">
        <v>28.7</v>
      </c>
      <c r="AP2613">
        <v>10</v>
      </c>
      <c r="AQ2613">
        <v>0</v>
      </c>
      <c r="AR2613" t="s">
        <v>9006</v>
      </c>
      <c r="AS2613" t="s">
        <v>9007</v>
      </c>
      <c r="AT2613">
        <v>0.02</v>
      </c>
      <c r="AU2613" t="s">
        <v>74</v>
      </c>
      <c r="AV2613" t="s">
        <v>2955</v>
      </c>
      <c r="AW2613" t="s">
        <v>75</v>
      </c>
      <c r="AX2613" t="s">
        <v>6608</v>
      </c>
      <c r="AY2613" t="s">
        <v>9057</v>
      </c>
      <c r="AZ2613">
        <v>1141.999999992549</v>
      </c>
      <c r="BA2613">
        <v>1</v>
      </c>
      <c r="BB2613">
        <v>0</v>
      </c>
      <c r="BC2613">
        <v>0.5</v>
      </c>
      <c r="BD2613">
        <v>0</v>
      </c>
      <c r="BE2613">
        <f t="shared" si="409"/>
        <v>1</v>
      </c>
    </row>
    <row r="2614" spans="1:57" x14ac:dyDescent="0.25">
      <c r="A2614" t="s">
        <v>39</v>
      </c>
      <c r="B2614" t="s">
        <v>9058</v>
      </c>
      <c r="C2614">
        <v>84.2</v>
      </c>
      <c r="D2614">
        <v>68</v>
      </c>
      <c r="G2614">
        <f t="shared" si="400"/>
        <v>1</v>
      </c>
      <c r="H2614">
        <f t="shared" si="401"/>
        <v>1</v>
      </c>
      <c r="I2614">
        <f t="shared" si="402"/>
        <v>0</v>
      </c>
      <c r="J2614">
        <v>75.2</v>
      </c>
      <c r="K2614">
        <v>86.2</v>
      </c>
      <c r="L2614">
        <v>68</v>
      </c>
      <c r="M2614">
        <v>76</v>
      </c>
      <c r="N2614">
        <v>60.2</v>
      </c>
      <c r="O2614">
        <v>60.2</v>
      </c>
      <c r="S2614">
        <f t="shared" si="403"/>
        <v>1</v>
      </c>
      <c r="T2614">
        <f t="shared" si="404"/>
        <v>0</v>
      </c>
      <c r="U2614">
        <f t="shared" si="405"/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21.9</v>
      </c>
      <c r="AC2614">
        <v>8.1</v>
      </c>
      <c r="AG2614">
        <f t="shared" si="406"/>
        <v>1</v>
      </c>
      <c r="AH2614">
        <f t="shared" si="407"/>
        <v>0</v>
      </c>
      <c r="AI2614">
        <f t="shared" si="408"/>
        <v>1</v>
      </c>
      <c r="AJ2614">
        <v>168.3</v>
      </c>
      <c r="AK2614">
        <v>1016.3</v>
      </c>
      <c r="AL2614">
        <v>13.3</v>
      </c>
      <c r="AM2614">
        <v>6.2</v>
      </c>
      <c r="AN2614">
        <v>240.1</v>
      </c>
      <c r="AO2614">
        <v>20.6</v>
      </c>
      <c r="AP2614">
        <v>8</v>
      </c>
      <c r="AQ2614">
        <v>0</v>
      </c>
      <c r="AR2614" t="s">
        <v>9059</v>
      </c>
      <c r="AS2614" t="s">
        <v>9060</v>
      </c>
      <c r="AT2614">
        <v>0.25</v>
      </c>
      <c r="AU2614" t="s">
        <v>74</v>
      </c>
      <c r="AV2614" t="s">
        <v>2955</v>
      </c>
      <c r="AW2614" t="s">
        <v>75</v>
      </c>
      <c r="AX2614" t="s">
        <v>4170</v>
      </c>
      <c r="AY2614" t="s">
        <v>9061</v>
      </c>
      <c r="AZ2614">
        <v>78.000000002793968</v>
      </c>
      <c r="BA2614">
        <v>0</v>
      </c>
      <c r="BB2614">
        <v>0.1</v>
      </c>
      <c r="BC2614">
        <v>0</v>
      </c>
      <c r="BD2614">
        <v>0</v>
      </c>
      <c r="BE2614">
        <f t="shared" si="409"/>
        <v>1</v>
      </c>
    </row>
    <row r="2615" spans="1:57" x14ac:dyDescent="0.25">
      <c r="A2615" t="s">
        <v>39</v>
      </c>
      <c r="B2615" t="s">
        <v>9062</v>
      </c>
      <c r="C2615">
        <v>84.2</v>
      </c>
      <c r="D2615">
        <v>68</v>
      </c>
      <c r="G2615">
        <f t="shared" si="400"/>
        <v>1</v>
      </c>
      <c r="H2615">
        <f t="shared" si="401"/>
        <v>1</v>
      </c>
      <c r="I2615">
        <f t="shared" si="402"/>
        <v>0</v>
      </c>
      <c r="J2615">
        <v>77</v>
      </c>
      <c r="K2615">
        <v>89.6</v>
      </c>
      <c r="L2615">
        <v>68</v>
      </c>
      <c r="M2615">
        <v>78.599999999999994</v>
      </c>
      <c r="N2615">
        <v>62.2</v>
      </c>
      <c r="O2615">
        <v>62.2</v>
      </c>
      <c r="S2615">
        <f t="shared" si="403"/>
        <v>1</v>
      </c>
      <c r="T2615">
        <f t="shared" si="404"/>
        <v>0</v>
      </c>
      <c r="U2615">
        <f t="shared" si="405"/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20.8</v>
      </c>
      <c r="AC2615">
        <v>9.1999999999999993</v>
      </c>
      <c r="AG2615">
        <f t="shared" si="406"/>
        <v>1</v>
      </c>
      <c r="AH2615">
        <f t="shared" si="407"/>
        <v>0</v>
      </c>
      <c r="AI2615">
        <f t="shared" si="408"/>
        <v>1</v>
      </c>
      <c r="AJ2615">
        <v>185.8</v>
      </c>
      <c r="AK2615">
        <v>1011.2</v>
      </c>
      <c r="AL2615">
        <v>24.8</v>
      </c>
      <c r="AM2615">
        <v>6.2</v>
      </c>
      <c r="AN2615">
        <v>231.7</v>
      </c>
      <c r="AO2615">
        <v>20</v>
      </c>
      <c r="AP2615">
        <v>8</v>
      </c>
      <c r="AQ2615">
        <v>0</v>
      </c>
      <c r="AR2615" t="s">
        <v>9063</v>
      </c>
      <c r="AS2615" t="s">
        <v>9064</v>
      </c>
      <c r="AT2615">
        <v>0.36</v>
      </c>
      <c r="AU2615" t="s">
        <v>43</v>
      </c>
      <c r="AV2615" t="s">
        <v>44</v>
      </c>
      <c r="AW2615" t="s">
        <v>45</v>
      </c>
      <c r="AX2615" t="s">
        <v>7578</v>
      </c>
      <c r="AY2615" t="s">
        <v>9065</v>
      </c>
      <c r="AZ2615">
        <v>233.0000000051223</v>
      </c>
      <c r="BA2615">
        <v>0</v>
      </c>
      <c r="BB2615">
        <v>0.01</v>
      </c>
      <c r="BC2615">
        <v>0</v>
      </c>
      <c r="BD2615">
        <v>0</v>
      </c>
      <c r="BE2615">
        <f t="shared" si="409"/>
        <v>1</v>
      </c>
    </row>
    <row r="2616" spans="1:57" x14ac:dyDescent="0.25">
      <c r="A2616" t="s">
        <v>39</v>
      </c>
      <c r="B2616" t="s">
        <v>9066</v>
      </c>
      <c r="C2616">
        <v>78.8</v>
      </c>
      <c r="D2616">
        <v>71.599999999999994</v>
      </c>
      <c r="G2616">
        <f t="shared" si="400"/>
        <v>1</v>
      </c>
      <c r="H2616">
        <f t="shared" si="401"/>
        <v>1</v>
      </c>
      <c r="I2616">
        <f t="shared" si="402"/>
        <v>0</v>
      </c>
      <c r="J2616">
        <v>75.3</v>
      </c>
      <c r="K2616">
        <v>78.8</v>
      </c>
      <c r="L2616">
        <v>71.599999999999994</v>
      </c>
      <c r="M2616">
        <v>75.3</v>
      </c>
      <c r="N2616">
        <v>60.4</v>
      </c>
      <c r="O2616">
        <v>60.5</v>
      </c>
      <c r="S2616">
        <f t="shared" si="403"/>
        <v>1</v>
      </c>
      <c r="T2616">
        <f t="shared" si="404"/>
        <v>0</v>
      </c>
      <c r="U2616">
        <f t="shared" si="405"/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42.3</v>
      </c>
      <c r="AC2616">
        <v>20.8</v>
      </c>
      <c r="AG2616">
        <f t="shared" si="406"/>
        <v>1</v>
      </c>
      <c r="AH2616">
        <f t="shared" si="407"/>
        <v>1</v>
      </c>
      <c r="AI2616">
        <f t="shared" si="408"/>
        <v>0</v>
      </c>
      <c r="AJ2616">
        <v>315.39999999999998</v>
      </c>
      <c r="AK2616">
        <v>1017.3</v>
      </c>
      <c r="AL2616">
        <v>36.1</v>
      </c>
      <c r="AM2616">
        <v>6.2</v>
      </c>
      <c r="AN2616">
        <v>214.9</v>
      </c>
      <c r="AO2616">
        <v>18.5</v>
      </c>
      <c r="AP2616">
        <v>8</v>
      </c>
      <c r="AQ2616">
        <v>0</v>
      </c>
      <c r="AR2616" t="s">
        <v>9067</v>
      </c>
      <c r="AS2616" t="s">
        <v>9068</v>
      </c>
      <c r="AT2616">
        <v>0.6</v>
      </c>
      <c r="AU2616" t="s">
        <v>43</v>
      </c>
      <c r="AV2616" t="s">
        <v>44</v>
      </c>
      <c r="AW2616" t="s">
        <v>45</v>
      </c>
      <c r="AX2616" t="s">
        <v>6813</v>
      </c>
      <c r="AY2616" t="s">
        <v>9069</v>
      </c>
      <c r="AZ2616">
        <v>3659.0000000037248</v>
      </c>
      <c r="BA2616">
        <v>1</v>
      </c>
      <c r="BB2616">
        <v>0</v>
      </c>
      <c r="BC2616">
        <v>2</v>
      </c>
      <c r="BD2616">
        <v>0</v>
      </c>
      <c r="BE2616">
        <f t="shared" si="409"/>
        <v>1</v>
      </c>
    </row>
    <row r="2617" spans="1:57" x14ac:dyDescent="0.25">
      <c r="A2617" t="s">
        <v>39</v>
      </c>
      <c r="B2617" t="s">
        <v>9066</v>
      </c>
      <c r="C2617">
        <v>78.8</v>
      </c>
      <c r="D2617">
        <v>71.599999999999994</v>
      </c>
      <c r="G2617">
        <f t="shared" si="400"/>
        <v>1</v>
      </c>
      <c r="H2617">
        <f t="shared" si="401"/>
        <v>1</v>
      </c>
      <c r="I2617">
        <f t="shared" si="402"/>
        <v>0</v>
      </c>
      <c r="J2617">
        <v>75.3</v>
      </c>
      <c r="K2617">
        <v>78.8</v>
      </c>
      <c r="L2617">
        <v>71.599999999999994</v>
      </c>
      <c r="M2617">
        <v>75.3</v>
      </c>
      <c r="N2617">
        <v>60.4</v>
      </c>
      <c r="O2617">
        <v>60.5</v>
      </c>
      <c r="S2617">
        <f t="shared" si="403"/>
        <v>1</v>
      </c>
      <c r="T2617">
        <f t="shared" si="404"/>
        <v>0</v>
      </c>
      <c r="U2617">
        <f t="shared" si="405"/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42.3</v>
      </c>
      <c r="AC2617">
        <v>20.8</v>
      </c>
      <c r="AG2617">
        <f t="shared" si="406"/>
        <v>1</v>
      </c>
      <c r="AH2617">
        <f t="shared" si="407"/>
        <v>1</v>
      </c>
      <c r="AI2617">
        <f t="shared" si="408"/>
        <v>0</v>
      </c>
      <c r="AJ2617">
        <v>315.39999999999998</v>
      </c>
      <c r="AK2617">
        <v>1017.3</v>
      </c>
      <c r="AL2617">
        <v>36.1</v>
      </c>
      <c r="AM2617">
        <v>6.2</v>
      </c>
      <c r="AN2617">
        <v>214.9</v>
      </c>
      <c r="AO2617">
        <v>18.5</v>
      </c>
      <c r="AP2617">
        <v>8</v>
      </c>
      <c r="AQ2617">
        <v>0</v>
      </c>
      <c r="AR2617" t="s">
        <v>9067</v>
      </c>
      <c r="AS2617" t="s">
        <v>9068</v>
      </c>
      <c r="AT2617">
        <v>0.6</v>
      </c>
      <c r="AU2617" t="s">
        <v>43</v>
      </c>
      <c r="AV2617" t="s">
        <v>44</v>
      </c>
      <c r="AW2617" t="s">
        <v>45</v>
      </c>
      <c r="AX2617" t="s">
        <v>4025</v>
      </c>
      <c r="AY2617" t="s">
        <v>9070</v>
      </c>
      <c r="AZ2617">
        <v>213.000000002794</v>
      </c>
      <c r="BA2617">
        <v>0</v>
      </c>
      <c r="BB2617">
        <v>0</v>
      </c>
      <c r="BC2617">
        <v>3</v>
      </c>
      <c r="BD2617">
        <v>0</v>
      </c>
      <c r="BE2617">
        <f t="shared" si="409"/>
        <v>1</v>
      </c>
    </row>
    <row r="2618" spans="1:57" x14ac:dyDescent="0.25">
      <c r="A2618" t="s">
        <v>39</v>
      </c>
      <c r="B2618" t="s">
        <v>9071</v>
      </c>
      <c r="C2618">
        <v>71.599999999999994</v>
      </c>
      <c r="D2618">
        <v>57.2</v>
      </c>
      <c r="G2618">
        <f t="shared" si="400"/>
        <v>1</v>
      </c>
      <c r="H2618">
        <f t="shared" si="401"/>
        <v>1</v>
      </c>
      <c r="I2618">
        <f t="shared" si="402"/>
        <v>0</v>
      </c>
      <c r="J2618">
        <v>63.7</v>
      </c>
      <c r="K2618">
        <v>71.599999999999994</v>
      </c>
      <c r="L2618">
        <v>57.2</v>
      </c>
      <c r="M2618">
        <v>63.7</v>
      </c>
      <c r="N2618">
        <v>52.3</v>
      </c>
      <c r="O2618">
        <v>67.599999999999994</v>
      </c>
      <c r="S2618">
        <f t="shared" si="403"/>
        <v>1</v>
      </c>
      <c r="T2618">
        <f t="shared" si="404"/>
        <v>1</v>
      </c>
      <c r="U2618">
        <f t="shared" si="405"/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36.9</v>
      </c>
      <c r="AC2618">
        <v>25.3</v>
      </c>
      <c r="AG2618">
        <f t="shared" si="406"/>
        <v>1</v>
      </c>
      <c r="AH2618">
        <f t="shared" si="407"/>
        <v>1</v>
      </c>
      <c r="AI2618">
        <f t="shared" si="408"/>
        <v>0</v>
      </c>
      <c r="AJ2618">
        <v>160.30000000000001</v>
      </c>
      <c r="AK2618">
        <v>1006.9</v>
      </c>
      <c r="AL2618">
        <v>52.1</v>
      </c>
      <c r="AM2618">
        <v>6.2</v>
      </c>
      <c r="AN2618">
        <v>213</v>
      </c>
      <c r="AO2618">
        <v>18.399999999999999</v>
      </c>
      <c r="AP2618">
        <v>8</v>
      </c>
      <c r="AQ2618">
        <v>0</v>
      </c>
      <c r="AR2618" t="s">
        <v>9072</v>
      </c>
      <c r="AS2618" t="s">
        <v>9073</v>
      </c>
      <c r="AT2618">
        <v>0.64</v>
      </c>
      <c r="AU2618" t="s">
        <v>43</v>
      </c>
      <c r="AV2618" t="s">
        <v>44</v>
      </c>
      <c r="AW2618" t="s">
        <v>45</v>
      </c>
      <c r="AX2618" t="s">
        <v>4396</v>
      </c>
      <c r="AY2618" t="s">
        <v>9074</v>
      </c>
      <c r="AZ2618">
        <v>364.99999999534339</v>
      </c>
      <c r="BA2618">
        <v>1</v>
      </c>
      <c r="BB2618">
        <v>0</v>
      </c>
      <c r="BC2618">
        <v>1</v>
      </c>
      <c r="BD2618">
        <v>0</v>
      </c>
      <c r="BE2618">
        <f t="shared" si="409"/>
        <v>1</v>
      </c>
    </row>
    <row r="2619" spans="1:57" x14ac:dyDescent="0.25">
      <c r="A2619" t="s">
        <v>39</v>
      </c>
      <c r="B2619" t="s">
        <v>9075</v>
      </c>
      <c r="C2619">
        <v>75.2</v>
      </c>
      <c r="D2619">
        <v>59</v>
      </c>
      <c r="G2619">
        <f t="shared" si="400"/>
        <v>1</v>
      </c>
      <c r="H2619">
        <f t="shared" si="401"/>
        <v>1</v>
      </c>
      <c r="I2619">
        <f t="shared" si="402"/>
        <v>0</v>
      </c>
      <c r="J2619">
        <v>69.5</v>
      </c>
      <c r="K2619">
        <v>75.2</v>
      </c>
      <c r="L2619">
        <v>59</v>
      </c>
      <c r="M2619">
        <v>69.5</v>
      </c>
      <c r="N2619">
        <v>51.6</v>
      </c>
      <c r="O2619">
        <v>54.6</v>
      </c>
      <c r="S2619">
        <f t="shared" si="403"/>
        <v>1</v>
      </c>
      <c r="T2619">
        <f t="shared" si="404"/>
        <v>0</v>
      </c>
      <c r="U2619">
        <f t="shared" si="405"/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47.2</v>
      </c>
      <c r="AC2619">
        <v>34.4</v>
      </c>
      <c r="AG2619">
        <f t="shared" si="406"/>
        <v>1</v>
      </c>
      <c r="AH2619">
        <f t="shared" si="407"/>
        <v>1</v>
      </c>
      <c r="AI2619">
        <f t="shared" si="408"/>
        <v>0</v>
      </c>
      <c r="AJ2619">
        <v>168.2</v>
      </c>
      <c r="AK2619">
        <v>1004.6</v>
      </c>
      <c r="AL2619">
        <v>49.6</v>
      </c>
      <c r="AM2619">
        <v>6.2</v>
      </c>
      <c r="AN2619">
        <v>266.10000000000002</v>
      </c>
      <c r="AO2619">
        <v>23.1</v>
      </c>
      <c r="AP2619">
        <v>9</v>
      </c>
      <c r="AQ2619">
        <v>0</v>
      </c>
      <c r="AR2619" t="s">
        <v>9076</v>
      </c>
      <c r="AS2619" t="s">
        <v>9077</v>
      </c>
      <c r="AT2619">
        <v>0.41</v>
      </c>
      <c r="AU2619" t="s">
        <v>43</v>
      </c>
      <c r="AV2619" t="s">
        <v>44</v>
      </c>
      <c r="AW2619" t="s">
        <v>419</v>
      </c>
      <c r="AX2619" t="s">
        <v>4778</v>
      </c>
      <c r="AY2619" t="s">
        <v>9078</v>
      </c>
      <c r="AZ2619">
        <v>2110.0000000046571</v>
      </c>
      <c r="BA2619">
        <v>1</v>
      </c>
      <c r="BB2619">
        <v>10</v>
      </c>
      <c r="BC2619">
        <v>0</v>
      </c>
      <c r="BD2619">
        <v>0</v>
      </c>
      <c r="BE2619">
        <f t="shared" si="409"/>
        <v>1</v>
      </c>
    </row>
    <row r="2620" spans="1:57" x14ac:dyDescent="0.25">
      <c r="A2620" t="s">
        <v>39</v>
      </c>
      <c r="B2620" t="s">
        <v>8989</v>
      </c>
      <c r="C2620">
        <v>68</v>
      </c>
      <c r="D2620">
        <v>55.4</v>
      </c>
      <c r="G2620">
        <f t="shared" si="400"/>
        <v>0</v>
      </c>
      <c r="H2620">
        <f t="shared" si="401"/>
        <v>0</v>
      </c>
      <c r="I2620">
        <f t="shared" si="402"/>
        <v>0</v>
      </c>
      <c r="J2620">
        <v>61.2</v>
      </c>
      <c r="K2620">
        <v>68</v>
      </c>
      <c r="L2620">
        <v>55.4</v>
      </c>
      <c r="M2620">
        <v>61.2</v>
      </c>
      <c r="N2620">
        <v>53.2</v>
      </c>
      <c r="O2620">
        <v>75.8</v>
      </c>
      <c r="S2620">
        <f t="shared" si="403"/>
        <v>1</v>
      </c>
      <c r="T2620">
        <f t="shared" si="404"/>
        <v>1</v>
      </c>
      <c r="U2620">
        <f t="shared" si="405"/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20.8</v>
      </c>
      <c r="AC2620">
        <v>11.4</v>
      </c>
      <c r="AG2620">
        <f t="shared" si="406"/>
        <v>1</v>
      </c>
      <c r="AH2620">
        <f t="shared" si="407"/>
        <v>0</v>
      </c>
      <c r="AI2620">
        <f t="shared" si="408"/>
        <v>1</v>
      </c>
      <c r="AJ2620">
        <v>303.7</v>
      </c>
      <c r="AK2620">
        <v>1011.7</v>
      </c>
      <c r="AL2620">
        <v>46</v>
      </c>
      <c r="AM2620">
        <v>6.2</v>
      </c>
      <c r="AN2620">
        <v>266.60000000000002</v>
      </c>
      <c r="AO2620">
        <v>22.8</v>
      </c>
      <c r="AP2620">
        <v>9</v>
      </c>
      <c r="AQ2620">
        <v>0</v>
      </c>
      <c r="AR2620" t="s">
        <v>8990</v>
      </c>
      <c r="AS2620" t="s">
        <v>8991</v>
      </c>
      <c r="AT2620">
        <v>0.94</v>
      </c>
      <c r="AU2620" t="s">
        <v>43</v>
      </c>
      <c r="AV2620" t="s">
        <v>44</v>
      </c>
      <c r="AW2620" t="s">
        <v>45</v>
      </c>
      <c r="AX2620" t="s">
        <v>4184</v>
      </c>
      <c r="AY2620" t="s">
        <v>9079</v>
      </c>
      <c r="AZ2620">
        <v>180</v>
      </c>
      <c r="BA2620">
        <v>0</v>
      </c>
      <c r="BB2620">
        <v>0</v>
      </c>
      <c r="BC2620">
        <v>4</v>
      </c>
      <c r="BD2620">
        <v>0</v>
      </c>
      <c r="BE2620">
        <f t="shared" si="409"/>
        <v>0</v>
      </c>
    </row>
    <row r="2621" spans="1:57" x14ac:dyDescent="0.25">
      <c r="A2621" t="s">
        <v>39</v>
      </c>
      <c r="B2621" t="s">
        <v>9080</v>
      </c>
      <c r="C2621">
        <v>80.599999999999994</v>
      </c>
      <c r="D2621">
        <v>69.8</v>
      </c>
      <c r="G2621">
        <f t="shared" si="400"/>
        <v>1</v>
      </c>
      <c r="H2621">
        <f t="shared" si="401"/>
        <v>1</v>
      </c>
      <c r="I2621">
        <f t="shared" si="402"/>
        <v>0</v>
      </c>
      <c r="J2621">
        <v>74.8</v>
      </c>
      <c r="K2621">
        <v>82.3</v>
      </c>
      <c r="L2621">
        <v>69.8</v>
      </c>
      <c r="M2621">
        <v>74.900000000000006</v>
      </c>
      <c r="N2621">
        <v>61.6</v>
      </c>
      <c r="O2621">
        <v>64</v>
      </c>
      <c r="S2621">
        <f t="shared" si="403"/>
        <v>1</v>
      </c>
      <c r="T2621">
        <f t="shared" si="404"/>
        <v>0</v>
      </c>
      <c r="U2621">
        <f t="shared" si="405"/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34.9</v>
      </c>
      <c r="AC2621">
        <v>17.2</v>
      </c>
      <c r="AG2621">
        <f t="shared" si="406"/>
        <v>0</v>
      </c>
      <c r="AH2621">
        <f t="shared" si="407"/>
        <v>0</v>
      </c>
      <c r="AI2621">
        <f t="shared" si="408"/>
        <v>0</v>
      </c>
      <c r="AJ2621">
        <v>298.8</v>
      </c>
      <c r="AK2621">
        <v>1016.2</v>
      </c>
      <c r="AL2621">
        <v>32.4</v>
      </c>
      <c r="AM2621">
        <v>6.2</v>
      </c>
      <c r="AN2621">
        <v>209.3</v>
      </c>
      <c r="AO2621">
        <v>18</v>
      </c>
      <c r="AP2621">
        <v>8</v>
      </c>
      <c r="AQ2621">
        <v>0</v>
      </c>
      <c r="AR2621" t="s">
        <v>9081</v>
      </c>
      <c r="AS2621" t="s">
        <v>9082</v>
      </c>
      <c r="AT2621">
        <v>0.56000000000000005</v>
      </c>
      <c r="AU2621" t="s">
        <v>43</v>
      </c>
      <c r="AV2621" t="s">
        <v>44</v>
      </c>
      <c r="AW2621" t="s">
        <v>45</v>
      </c>
      <c r="AX2621" t="s">
        <v>9083</v>
      </c>
      <c r="AY2621" t="s">
        <v>9084</v>
      </c>
      <c r="AZ2621">
        <v>913.00000000046566</v>
      </c>
      <c r="BA2621">
        <v>1</v>
      </c>
      <c r="BB2621">
        <v>0</v>
      </c>
      <c r="BC2621">
        <v>5</v>
      </c>
      <c r="BD2621">
        <v>0</v>
      </c>
      <c r="BE2621">
        <f t="shared" si="409"/>
        <v>1</v>
      </c>
    </row>
    <row r="2622" spans="1:57" x14ac:dyDescent="0.25">
      <c r="A2622" t="s">
        <v>39</v>
      </c>
      <c r="B2622" t="s">
        <v>9085</v>
      </c>
      <c r="C2622">
        <v>64.400000000000006</v>
      </c>
      <c r="D2622">
        <v>51.8</v>
      </c>
      <c r="G2622">
        <f t="shared" si="400"/>
        <v>1</v>
      </c>
      <c r="H2622">
        <f t="shared" si="401"/>
        <v>1</v>
      </c>
      <c r="I2622">
        <f t="shared" si="402"/>
        <v>0</v>
      </c>
      <c r="J2622">
        <v>57.7</v>
      </c>
      <c r="K2622">
        <v>64.400000000000006</v>
      </c>
      <c r="L2622">
        <v>51.8</v>
      </c>
      <c r="M2622">
        <v>57.7</v>
      </c>
      <c r="N2622">
        <v>51.1</v>
      </c>
      <c r="O2622">
        <v>79.3</v>
      </c>
      <c r="S2622">
        <f t="shared" si="403"/>
        <v>1</v>
      </c>
      <c r="T2622">
        <f t="shared" si="404"/>
        <v>1</v>
      </c>
      <c r="U2622">
        <f t="shared" si="405"/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13.9</v>
      </c>
      <c r="AC2622">
        <v>10.3</v>
      </c>
      <c r="AG2622">
        <f t="shared" si="406"/>
        <v>1</v>
      </c>
      <c r="AH2622">
        <f t="shared" si="407"/>
        <v>0</v>
      </c>
      <c r="AI2622">
        <f t="shared" si="408"/>
        <v>1</v>
      </c>
      <c r="AJ2622">
        <v>175.5</v>
      </c>
      <c r="AK2622">
        <v>1021.6</v>
      </c>
      <c r="AL2622">
        <v>55.4</v>
      </c>
      <c r="AM2622">
        <v>6.2</v>
      </c>
      <c r="AN2622">
        <v>77.3</v>
      </c>
      <c r="AO2622">
        <v>6.7</v>
      </c>
      <c r="AP2622">
        <v>3</v>
      </c>
      <c r="AQ2622">
        <v>0</v>
      </c>
      <c r="AR2622" t="s">
        <v>9086</v>
      </c>
      <c r="AS2622" t="s">
        <v>9087</v>
      </c>
      <c r="AT2622">
        <v>0.61</v>
      </c>
      <c r="AU2622" t="s">
        <v>43</v>
      </c>
      <c r="AV2622" t="s">
        <v>44</v>
      </c>
      <c r="AW2622" t="s">
        <v>45</v>
      </c>
      <c r="AX2622" t="s">
        <v>2459</v>
      </c>
      <c r="AY2622" t="s">
        <v>9088</v>
      </c>
      <c r="AZ2622">
        <v>34.999999998835847</v>
      </c>
      <c r="BA2622">
        <v>0</v>
      </c>
      <c r="BB2622">
        <v>0</v>
      </c>
      <c r="BC2622">
        <v>2</v>
      </c>
      <c r="BD2622">
        <v>0</v>
      </c>
      <c r="BE2622">
        <f t="shared" si="409"/>
        <v>1</v>
      </c>
    </row>
    <row r="2623" spans="1:57" x14ac:dyDescent="0.25">
      <c r="A2623" t="s">
        <v>39</v>
      </c>
      <c r="B2623" t="s">
        <v>9089</v>
      </c>
      <c r="C2623">
        <v>84.2</v>
      </c>
      <c r="D2623">
        <v>69.7</v>
      </c>
      <c r="G2623">
        <f t="shared" si="400"/>
        <v>0</v>
      </c>
      <c r="H2623">
        <f t="shared" si="401"/>
        <v>0</v>
      </c>
      <c r="I2623">
        <f t="shared" si="402"/>
        <v>0</v>
      </c>
      <c r="J2623">
        <v>78.900000000000006</v>
      </c>
      <c r="K2623">
        <v>85.7</v>
      </c>
      <c r="L2623">
        <v>69.7</v>
      </c>
      <c r="M2623">
        <v>79.8</v>
      </c>
      <c r="N2623">
        <v>66.3</v>
      </c>
      <c r="O2623">
        <v>66</v>
      </c>
      <c r="S2623">
        <f t="shared" si="403"/>
        <v>1</v>
      </c>
      <c r="T2623">
        <f t="shared" si="404"/>
        <v>1</v>
      </c>
      <c r="U2623">
        <f t="shared" si="405"/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40</v>
      </c>
      <c r="AC2623">
        <v>19.7</v>
      </c>
      <c r="AG2623">
        <f t="shared" si="406"/>
        <v>1</v>
      </c>
      <c r="AH2623">
        <f t="shared" si="407"/>
        <v>1</v>
      </c>
      <c r="AI2623">
        <f t="shared" si="408"/>
        <v>0</v>
      </c>
      <c r="AJ2623">
        <v>307.5</v>
      </c>
      <c r="AK2623">
        <v>1016.3</v>
      </c>
      <c r="AL2623">
        <v>11.6</v>
      </c>
      <c r="AM2623">
        <v>6.2</v>
      </c>
      <c r="AN2623">
        <v>339.5</v>
      </c>
      <c r="AO2623">
        <v>29.3</v>
      </c>
      <c r="AP2623">
        <v>10</v>
      </c>
      <c r="AQ2623">
        <v>0</v>
      </c>
      <c r="AR2623" t="s">
        <v>9090</v>
      </c>
      <c r="AS2623" t="s">
        <v>9091</v>
      </c>
      <c r="AT2623">
        <v>0.75</v>
      </c>
      <c r="AU2623" t="s">
        <v>74</v>
      </c>
      <c r="AV2623" t="s">
        <v>2955</v>
      </c>
      <c r="AW2623" t="s">
        <v>75</v>
      </c>
      <c r="AX2623" t="s">
        <v>4452</v>
      </c>
      <c r="AY2623" t="s">
        <v>9092</v>
      </c>
      <c r="AZ2623">
        <v>1084.9999999953429</v>
      </c>
      <c r="BA2623">
        <v>1</v>
      </c>
      <c r="BB2623">
        <v>1</v>
      </c>
      <c r="BC2623">
        <v>0</v>
      </c>
      <c r="BD2623">
        <v>0</v>
      </c>
      <c r="BE2623">
        <f t="shared" si="409"/>
        <v>1</v>
      </c>
    </row>
    <row r="2624" spans="1:57" x14ac:dyDescent="0.25">
      <c r="A2624" t="s">
        <v>39</v>
      </c>
      <c r="B2624" t="s">
        <v>8916</v>
      </c>
      <c r="C2624">
        <v>91.4</v>
      </c>
      <c r="D2624">
        <v>78.8</v>
      </c>
      <c r="G2624">
        <f t="shared" si="400"/>
        <v>1</v>
      </c>
      <c r="H2624">
        <f t="shared" si="401"/>
        <v>1</v>
      </c>
      <c r="I2624">
        <f t="shared" si="402"/>
        <v>0</v>
      </c>
      <c r="J2624">
        <v>85.2</v>
      </c>
      <c r="K2624">
        <v>98.6</v>
      </c>
      <c r="L2624">
        <v>78.8</v>
      </c>
      <c r="M2624">
        <v>89.1</v>
      </c>
      <c r="N2624">
        <v>68.599999999999994</v>
      </c>
      <c r="O2624">
        <v>58.1</v>
      </c>
      <c r="S2624">
        <f t="shared" si="403"/>
        <v>1</v>
      </c>
      <c r="T2624">
        <f t="shared" si="404"/>
        <v>0</v>
      </c>
      <c r="U2624">
        <f t="shared" si="405"/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37.1</v>
      </c>
      <c r="AC2624">
        <v>16.100000000000001</v>
      </c>
      <c r="AG2624">
        <f t="shared" si="406"/>
        <v>0</v>
      </c>
      <c r="AH2624">
        <f t="shared" si="407"/>
        <v>0</v>
      </c>
      <c r="AI2624">
        <f t="shared" si="408"/>
        <v>0</v>
      </c>
      <c r="AJ2624">
        <v>309.39999999999998</v>
      </c>
      <c r="AK2624">
        <v>1010.5</v>
      </c>
      <c r="AL2624">
        <v>0</v>
      </c>
      <c r="AM2624">
        <v>6.2</v>
      </c>
      <c r="AN2624">
        <v>327.60000000000002</v>
      </c>
      <c r="AO2624">
        <v>28.4</v>
      </c>
      <c r="AP2624">
        <v>10</v>
      </c>
      <c r="AQ2624">
        <v>0</v>
      </c>
      <c r="AR2624" t="s">
        <v>8917</v>
      </c>
      <c r="AS2624" t="s">
        <v>8918</v>
      </c>
      <c r="AT2624">
        <v>0.25</v>
      </c>
      <c r="AU2624" t="s">
        <v>74</v>
      </c>
      <c r="AV2624" t="s">
        <v>2955</v>
      </c>
      <c r="AW2624" t="s">
        <v>75</v>
      </c>
      <c r="AX2624" t="s">
        <v>9093</v>
      </c>
      <c r="AY2624" t="s">
        <v>9094</v>
      </c>
      <c r="AZ2624">
        <v>1550.0000000023281</v>
      </c>
      <c r="BA2624">
        <v>1</v>
      </c>
      <c r="BB2624">
        <v>0.5</v>
      </c>
      <c r="BC2624">
        <v>0</v>
      </c>
      <c r="BD2624">
        <v>0</v>
      </c>
      <c r="BE2624">
        <f t="shared" si="409"/>
        <v>1</v>
      </c>
    </row>
    <row r="2625" spans="1:57" x14ac:dyDescent="0.25">
      <c r="A2625" t="s">
        <v>39</v>
      </c>
      <c r="B2625" t="s">
        <v>9095</v>
      </c>
      <c r="C2625">
        <v>86</v>
      </c>
      <c r="D2625">
        <v>71.599999999999994</v>
      </c>
      <c r="G2625">
        <f t="shared" si="400"/>
        <v>1</v>
      </c>
      <c r="H2625">
        <f t="shared" si="401"/>
        <v>1</v>
      </c>
      <c r="I2625">
        <f t="shared" si="402"/>
        <v>0</v>
      </c>
      <c r="J2625">
        <v>80.2</v>
      </c>
      <c r="K2625">
        <v>92</v>
      </c>
      <c r="L2625">
        <v>71.599999999999994</v>
      </c>
      <c r="M2625">
        <v>83.1</v>
      </c>
      <c r="N2625">
        <v>70.599999999999994</v>
      </c>
      <c r="O2625">
        <v>73.2</v>
      </c>
      <c r="S2625">
        <f t="shared" si="403"/>
        <v>1</v>
      </c>
      <c r="T2625">
        <f t="shared" si="404"/>
        <v>1</v>
      </c>
      <c r="U2625">
        <f t="shared" si="405"/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28.6</v>
      </c>
      <c r="AC2625">
        <v>17.2</v>
      </c>
      <c r="AG2625">
        <f t="shared" si="406"/>
        <v>0</v>
      </c>
      <c r="AH2625">
        <f t="shared" si="407"/>
        <v>0</v>
      </c>
      <c r="AI2625">
        <f t="shared" si="408"/>
        <v>0</v>
      </c>
      <c r="AJ2625">
        <v>297.60000000000002</v>
      </c>
      <c r="AK2625">
        <v>1011.7</v>
      </c>
      <c r="AL2625">
        <v>9.3000000000000007</v>
      </c>
      <c r="AM2625">
        <v>6.2</v>
      </c>
      <c r="AN2625">
        <v>297.5</v>
      </c>
      <c r="AO2625">
        <v>25.7</v>
      </c>
      <c r="AP2625">
        <v>9</v>
      </c>
      <c r="AQ2625">
        <v>0</v>
      </c>
      <c r="AR2625" t="s">
        <v>9096</v>
      </c>
      <c r="AS2625" t="s">
        <v>9097</v>
      </c>
      <c r="AT2625">
        <v>0</v>
      </c>
      <c r="AU2625" t="s">
        <v>74</v>
      </c>
      <c r="AV2625" t="s">
        <v>2955</v>
      </c>
      <c r="AW2625" t="s">
        <v>75</v>
      </c>
      <c r="AX2625" t="s">
        <v>9098</v>
      </c>
      <c r="AY2625" t="s">
        <v>9099</v>
      </c>
      <c r="AZ2625">
        <v>3332.0000000065188</v>
      </c>
      <c r="BA2625">
        <v>1</v>
      </c>
      <c r="BB2625">
        <v>0</v>
      </c>
      <c r="BC2625">
        <v>2</v>
      </c>
      <c r="BD2625">
        <v>0</v>
      </c>
      <c r="BE2625">
        <f t="shared" si="409"/>
        <v>1</v>
      </c>
    </row>
    <row r="2626" spans="1:57" x14ac:dyDescent="0.25">
      <c r="A2626" t="s">
        <v>39</v>
      </c>
      <c r="B2626" t="s">
        <v>9024</v>
      </c>
      <c r="C2626">
        <v>86</v>
      </c>
      <c r="D2626">
        <v>69.8</v>
      </c>
      <c r="G2626">
        <f t="shared" si="400"/>
        <v>1</v>
      </c>
      <c r="H2626">
        <f t="shared" si="401"/>
        <v>1</v>
      </c>
      <c r="I2626">
        <f t="shared" si="402"/>
        <v>0</v>
      </c>
      <c r="J2626">
        <v>79.5</v>
      </c>
      <c r="K2626">
        <v>95.1</v>
      </c>
      <c r="L2626">
        <v>69.8</v>
      </c>
      <c r="M2626">
        <v>82.4</v>
      </c>
      <c r="N2626">
        <v>69.3</v>
      </c>
      <c r="O2626">
        <v>72.400000000000006</v>
      </c>
      <c r="S2626">
        <f t="shared" si="403"/>
        <v>1</v>
      </c>
      <c r="T2626">
        <f t="shared" si="404"/>
        <v>1</v>
      </c>
      <c r="U2626">
        <f t="shared" si="405"/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20.8</v>
      </c>
      <c r="AC2626">
        <v>10.3</v>
      </c>
      <c r="AG2626">
        <f t="shared" si="406"/>
        <v>1</v>
      </c>
      <c r="AH2626">
        <f t="shared" si="407"/>
        <v>0</v>
      </c>
      <c r="AI2626">
        <f t="shared" si="408"/>
        <v>1</v>
      </c>
      <c r="AJ2626">
        <v>258.8</v>
      </c>
      <c r="AK2626">
        <v>1010.5</v>
      </c>
      <c r="AL2626">
        <v>0.9</v>
      </c>
      <c r="AM2626">
        <v>6.2</v>
      </c>
      <c r="AN2626">
        <v>295.5</v>
      </c>
      <c r="AO2626">
        <v>25.5</v>
      </c>
      <c r="AP2626">
        <v>9</v>
      </c>
      <c r="AQ2626">
        <v>0</v>
      </c>
      <c r="AR2626" t="s">
        <v>9025</v>
      </c>
      <c r="AS2626" t="s">
        <v>9026</v>
      </c>
      <c r="AT2626">
        <v>0.24</v>
      </c>
      <c r="AU2626" t="s">
        <v>74</v>
      </c>
      <c r="AV2626" t="s">
        <v>2955</v>
      </c>
      <c r="AW2626" t="s">
        <v>75</v>
      </c>
      <c r="AX2626" t="s">
        <v>2476</v>
      </c>
      <c r="AY2626" t="s">
        <v>9100</v>
      </c>
      <c r="AZ2626">
        <v>2594.0000000002328</v>
      </c>
      <c r="BA2626">
        <v>1</v>
      </c>
      <c r="BB2626">
        <v>2</v>
      </c>
      <c r="BC2626">
        <v>0</v>
      </c>
      <c r="BD2626">
        <v>0</v>
      </c>
      <c r="BE2626">
        <f t="shared" si="409"/>
        <v>1</v>
      </c>
    </row>
    <row r="2627" spans="1:57" x14ac:dyDescent="0.25">
      <c r="A2627" t="s">
        <v>39</v>
      </c>
      <c r="B2627" t="s">
        <v>9101</v>
      </c>
      <c r="C2627">
        <v>82.4</v>
      </c>
      <c r="D2627">
        <v>66.2</v>
      </c>
      <c r="G2627">
        <f t="shared" ref="G2627:G2690" si="410">IF(ABS(C2627-INDEX($F$2:$F$13,MONTH(B2627)))&gt;1.8,1,0)</f>
        <v>1</v>
      </c>
      <c r="H2627">
        <f t="shared" ref="H2627:H2690" si="411">IF(C2627&gt;=INDEX($F$2:$F$13,MONTH(B2627))+1.8,1,0)</f>
        <v>1</v>
      </c>
      <c r="I2627">
        <f t="shared" ref="I2627:I2690" si="412">IF(C2627&lt;=INDEX($F$2:$F$13,MONTH(B2627))-1.8,1,0)</f>
        <v>0</v>
      </c>
      <c r="J2627">
        <v>75</v>
      </c>
      <c r="K2627">
        <v>84.7</v>
      </c>
      <c r="L2627">
        <v>66.2</v>
      </c>
      <c r="M2627">
        <v>75.7</v>
      </c>
      <c r="N2627">
        <v>61.5</v>
      </c>
      <c r="O2627">
        <v>63.4</v>
      </c>
      <c r="S2627">
        <f t="shared" ref="S2627:S2690" si="413">IF(OR(O2627&lt;INDEX($Q$2:$Q$13,MONTH(B2627)),O2627&gt;INDEX($R$2:$R$13,MONTH(B2627))),1,0)</f>
        <v>1</v>
      </c>
      <c r="T2627">
        <f t="shared" ref="T2627:T2690" si="414">IF(O2627&gt;INDEX($R$2:$R$13,MONTH(B2627)),1,0)</f>
        <v>0</v>
      </c>
      <c r="U2627">
        <f t="shared" ref="U2627:U2690" si="415">IF(O2627&lt;INDEX($Q$2:$Q$13,MONTH(B2627)),1,0)</f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25.3</v>
      </c>
      <c r="AC2627">
        <v>13.9</v>
      </c>
      <c r="AG2627">
        <f t="shared" ref="AG2627:AG2690" si="416">IF(OR(AC2627&lt;INDEX($AE$2:$AE$13,MONTH(B2627)),AC2627&gt;INDEX($AF$2:$AF$13,MONTH(B2627))),1,0)</f>
        <v>1</v>
      </c>
      <c r="AH2627">
        <f t="shared" ref="AH2627:AH2690" si="417">IF(AC2627&gt;INDEX($AF$2:$AF$13,MONTH(B2627)),1,0)</f>
        <v>0</v>
      </c>
      <c r="AI2627">
        <f t="shared" ref="AI2627:AI2690" si="418">IF(AC2627&lt;INDEX($AE$2:$AE$13,MONTH(B2627)),1,0)</f>
        <v>1</v>
      </c>
      <c r="AJ2627">
        <v>287.7</v>
      </c>
      <c r="AK2627">
        <v>1015.2</v>
      </c>
      <c r="AL2627">
        <v>0.3</v>
      </c>
      <c r="AM2627">
        <v>6.2</v>
      </c>
      <c r="AN2627">
        <v>254.8</v>
      </c>
      <c r="AO2627">
        <v>21.9</v>
      </c>
      <c r="AP2627">
        <v>8</v>
      </c>
      <c r="AQ2627">
        <v>0</v>
      </c>
      <c r="AR2627" t="s">
        <v>9102</v>
      </c>
      <c r="AS2627" t="s">
        <v>9103</v>
      </c>
      <c r="AT2627">
        <v>0</v>
      </c>
      <c r="AU2627" t="s">
        <v>74</v>
      </c>
      <c r="AV2627" t="s">
        <v>2955</v>
      </c>
      <c r="AW2627" t="s">
        <v>75</v>
      </c>
      <c r="AX2627" t="s">
        <v>9104</v>
      </c>
      <c r="AY2627" t="s">
        <v>9105</v>
      </c>
      <c r="AZ2627">
        <v>3367.9999999981369</v>
      </c>
      <c r="BA2627">
        <v>1</v>
      </c>
      <c r="BB2627">
        <v>0</v>
      </c>
      <c r="BC2627">
        <v>1</v>
      </c>
      <c r="BD2627">
        <v>0</v>
      </c>
      <c r="BE2627">
        <f t="shared" ref="BE2627:BE2690" si="419">IF((3*AH2627+3*H2627+2*U2627+2*BA2627-(2*(1-T2627)+2*(1-I2627)+2*(1-AI2627)))&gt;=1,1,0)</f>
        <v>1</v>
      </c>
    </row>
    <row r="2628" spans="1:57" x14ac:dyDescent="0.25">
      <c r="A2628" t="s">
        <v>39</v>
      </c>
      <c r="B2628" t="s">
        <v>9101</v>
      </c>
      <c r="C2628">
        <v>82.4</v>
      </c>
      <c r="D2628">
        <v>66.2</v>
      </c>
      <c r="G2628">
        <f t="shared" si="410"/>
        <v>1</v>
      </c>
      <c r="H2628">
        <f t="shared" si="411"/>
        <v>1</v>
      </c>
      <c r="I2628">
        <f t="shared" si="412"/>
        <v>0</v>
      </c>
      <c r="J2628">
        <v>75</v>
      </c>
      <c r="K2628">
        <v>84.7</v>
      </c>
      <c r="L2628">
        <v>66.2</v>
      </c>
      <c r="M2628">
        <v>75.7</v>
      </c>
      <c r="N2628">
        <v>61.5</v>
      </c>
      <c r="O2628">
        <v>63.4</v>
      </c>
      <c r="S2628">
        <f t="shared" si="413"/>
        <v>1</v>
      </c>
      <c r="T2628">
        <f t="shared" si="414"/>
        <v>0</v>
      </c>
      <c r="U2628">
        <f t="shared" si="415"/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25.3</v>
      </c>
      <c r="AC2628">
        <v>13.9</v>
      </c>
      <c r="AG2628">
        <f t="shared" si="416"/>
        <v>1</v>
      </c>
      <c r="AH2628">
        <f t="shared" si="417"/>
        <v>0</v>
      </c>
      <c r="AI2628">
        <f t="shared" si="418"/>
        <v>1</v>
      </c>
      <c r="AJ2628">
        <v>287.7</v>
      </c>
      <c r="AK2628">
        <v>1015.2</v>
      </c>
      <c r="AL2628">
        <v>0.3</v>
      </c>
      <c r="AM2628">
        <v>6.2</v>
      </c>
      <c r="AN2628">
        <v>254.8</v>
      </c>
      <c r="AO2628">
        <v>21.9</v>
      </c>
      <c r="AP2628">
        <v>8</v>
      </c>
      <c r="AQ2628">
        <v>0</v>
      </c>
      <c r="AR2628" t="s">
        <v>9102</v>
      </c>
      <c r="AS2628" t="s">
        <v>9103</v>
      </c>
      <c r="AT2628">
        <v>0</v>
      </c>
      <c r="AU2628" t="s">
        <v>74</v>
      </c>
      <c r="AV2628" t="s">
        <v>2955</v>
      </c>
      <c r="AW2628" t="s">
        <v>75</v>
      </c>
      <c r="AX2628" t="s">
        <v>9106</v>
      </c>
      <c r="AY2628" t="s">
        <v>9107</v>
      </c>
      <c r="AZ2628">
        <v>162.9999999969732</v>
      </c>
      <c r="BA2628">
        <v>0</v>
      </c>
      <c r="BB2628">
        <v>0.5</v>
      </c>
      <c r="BC2628">
        <v>0</v>
      </c>
      <c r="BD2628">
        <v>0</v>
      </c>
      <c r="BE2628">
        <f t="shared" si="419"/>
        <v>1</v>
      </c>
    </row>
    <row r="2629" spans="1:57" x14ac:dyDescent="0.25">
      <c r="A2629" t="s">
        <v>39</v>
      </c>
      <c r="B2629" t="s">
        <v>9108</v>
      </c>
      <c r="C2629">
        <v>78.8</v>
      </c>
      <c r="D2629">
        <v>73.400000000000006</v>
      </c>
      <c r="G2629">
        <f t="shared" si="410"/>
        <v>0</v>
      </c>
      <c r="H2629">
        <f t="shared" si="411"/>
        <v>0</v>
      </c>
      <c r="I2629">
        <f t="shared" si="412"/>
        <v>0</v>
      </c>
      <c r="J2629">
        <v>75.900000000000006</v>
      </c>
      <c r="K2629">
        <v>78.8</v>
      </c>
      <c r="L2629">
        <v>73.400000000000006</v>
      </c>
      <c r="M2629">
        <v>75.900000000000006</v>
      </c>
      <c r="N2629">
        <v>64</v>
      </c>
      <c r="O2629">
        <v>66.8</v>
      </c>
      <c r="S2629">
        <f t="shared" si="413"/>
        <v>0</v>
      </c>
      <c r="T2629">
        <f t="shared" si="414"/>
        <v>0</v>
      </c>
      <c r="U2629">
        <f t="shared" si="415"/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35.299999999999997</v>
      </c>
      <c r="AC2629">
        <v>23</v>
      </c>
      <c r="AG2629">
        <f t="shared" si="416"/>
        <v>1</v>
      </c>
      <c r="AH2629">
        <f t="shared" si="417"/>
        <v>1</v>
      </c>
      <c r="AI2629">
        <f t="shared" si="418"/>
        <v>0</v>
      </c>
      <c r="AJ2629">
        <v>302.5</v>
      </c>
      <c r="AK2629">
        <v>1013.8</v>
      </c>
      <c r="AL2629">
        <v>49.1</v>
      </c>
      <c r="AM2629">
        <v>6.2</v>
      </c>
      <c r="AN2629">
        <v>224.1</v>
      </c>
      <c r="AO2629">
        <v>19.2</v>
      </c>
      <c r="AP2629">
        <v>8</v>
      </c>
      <c r="AQ2629">
        <v>0</v>
      </c>
      <c r="AR2629" t="s">
        <v>9109</v>
      </c>
      <c r="AS2629" t="s">
        <v>9110</v>
      </c>
      <c r="AT2629">
        <v>0.12</v>
      </c>
      <c r="AU2629" t="s">
        <v>43</v>
      </c>
      <c r="AV2629" t="s">
        <v>44</v>
      </c>
      <c r="AW2629" t="s">
        <v>45</v>
      </c>
      <c r="AX2629" t="s">
        <v>9111</v>
      </c>
      <c r="AY2629" t="s">
        <v>9112</v>
      </c>
      <c r="AZ2629">
        <v>1962.000000004191</v>
      </c>
      <c r="BA2629">
        <v>1</v>
      </c>
      <c r="BB2629">
        <v>0.5</v>
      </c>
      <c r="BC2629">
        <v>0</v>
      </c>
      <c r="BD2629">
        <v>0</v>
      </c>
      <c r="BE2629">
        <f t="shared" si="419"/>
        <v>0</v>
      </c>
    </row>
    <row r="2630" spans="1:57" x14ac:dyDescent="0.25">
      <c r="A2630" t="s">
        <v>39</v>
      </c>
      <c r="B2630" t="s">
        <v>9066</v>
      </c>
      <c r="C2630">
        <v>78.8</v>
      </c>
      <c r="D2630">
        <v>71.599999999999994</v>
      </c>
      <c r="G2630">
        <f t="shared" si="410"/>
        <v>1</v>
      </c>
      <c r="H2630">
        <f t="shared" si="411"/>
        <v>1</v>
      </c>
      <c r="I2630">
        <f t="shared" si="412"/>
        <v>0</v>
      </c>
      <c r="J2630">
        <v>75.3</v>
      </c>
      <c r="K2630">
        <v>78.8</v>
      </c>
      <c r="L2630">
        <v>71.599999999999994</v>
      </c>
      <c r="M2630">
        <v>75.3</v>
      </c>
      <c r="N2630">
        <v>60.4</v>
      </c>
      <c r="O2630">
        <v>60.5</v>
      </c>
      <c r="S2630">
        <f t="shared" si="413"/>
        <v>1</v>
      </c>
      <c r="T2630">
        <f t="shared" si="414"/>
        <v>0</v>
      </c>
      <c r="U2630">
        <f t="shared" si="415"/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42.3</v>
      </c>
      <c r="AC2630">
        <v>20.8</v>
      </c>
      <c r="AG2630">
        <f t="shared" si="416"/>
        <v>1</v>
      </c>
      <c r="AH2630">
        <f t="shared" si="417"/>
        <v>1</v>
      </c>
      <c r="AI2630">
        <f t="shared" si="418"/>
        <v>0</v>
      </c>
      <c r="AJ2630">
        <v>315.39999999999998</v>
      </c>
      <c r="AK2630">
        <v>1017.3</v>
      </c>
      <c r="AL2630">
        <v>36.1</v>
      </c>
      <c r="AM2630">
        <v>6.2</v>
      </c>
      <c r="AN2630">
        <v>214.9</v>
      </c>
      <c r="AO2630">
        <v>18.5</v>
      </c>
      <c r="AP2630">
        <v>8</v>
      </c>
      <c r="AQ2630">
        <v>0</v>
      </c>
      <c r="AR2630" t="s">
        <v>9067</v>
      </c>
      <c r="AS2630" t="s">
        <v>9068</v>
      </c>
      <c r="AT2630">
        <v>0.6</v>
      </c>
      <c r="AU2630" t="s">
        <v>43</v>
      </c>
      <c r="AV2630" t="s">
        <v>44</v>
      </c>
      <c r="AW2630" t="s">
        <v>45</v>
      </c>
      <c r="AX2630" t="s">
        <v>9113</v>
      </c>
      <c r="AY2630" t="s">
        <v>9114</v>
      </c>
      <c r="AZ2630">
        <v>1652.0000000100119</v>
      </c>
      <c r="BA2630">
        <v>1</v>
      </c>
      <c r="BB2630">
        <v>0</v>
      </c>
      <c r="BC2630">
        <v>1</v>
      </c>
      <c r="BD2630">
        <v>0</v>
      </c>
      <c r="BE2630">
        <f t="shared" si="419"/>
        <v>1</v>
      </c>
    </row>
    <row r="2631" spans="1:57" x14ac:dyDescent="0.25">
      <c r="A2631" t="s">
        <v>39</v>
      </c>
      <c r="B2631" t="s">
        <v>9042</v>
      </c>
      <c r="C2631">
        <v>91.4</v>
      </c>
      <c r="D2631">
        <v>75.099999999999994</v>
      </c>
      <c r="G2631">
        <f t="shared" si="410"/>
        <v>1</v>
      </c>
      <c r="H2631">
        <f t="shared" si="411"/>
        <v>1</v>
      </c>
      <c r="I2631">
        <f t="shared" si="412"/>
        <v>0</v>
      </c>
      <c r="J2631">
        <v>81.599999999999994</v>
      </c>
      <c r="K2631">
        <v>88.1</v>
      </c>
      <c r="L2631">
        <v>75.099999999999994</v>
      </c>
      <c r="M2631">
        <v>80.400000000000006</v>
      </c>
      <c r="N2631">
        <v>49.9</v>
      </c>
      <c r="O2631">
        <v>35</v>
      </c>
      <c r="S2631">
        <f t="shared" si="413"/>
        <v>1</v>
      </c>
      <c r="T2631">
        <f t="shared" si="414"/>
        <v>0</v>
      </c>
      <c r="U2631">
        <f t="shared" si="415"/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33.299999999999997</v>
      </c>
      <c r="AC2631">
        <v>19.7</v>
      </c>
      <c r="AG2631">
        <f t="shared" si="416"/>
        <v>1</v>
      </c>
      <c r="AH2631">
        <f t="shared" si="417"/>
        <v>1</v>
      </c>
      <c r="AI2631">
        <f t="shared" si="418"/>
        <v>0</v>
      </c>
      <c r="AJ2631">
        <v>183.8</v>
      </c>
      <c r="AK2631">
        <v>1009.9</v>
      </c>
      <c r="AL2631">
        <v>26.3</v>
      </c>
      <c r="AM2631">
        <v>6.2</v>
      </c>
      <c r="AN2631">
        <v>161</v>
      </c>
      <c r="AO2631">
        <v>13.8</v>
      </c>
      <c r="AP2631">
        <v>6</v>
      </c>
      <c r="AQ2631">
        <v>0</v>
      </c>
      <c r="AR2631" t="s">
        <v>9043</v>
      </c>
      <c r="AS2631" t="s">
        <v>9044</v>
      </c>
      <c r="AT2631">
        <v>0.71</v>
      </c>
      <c r="AU2631" t="s">
        <v>43</v>
      </c>
      <c r="AV2631" t="s">
        <v>44</v>
      </c>
      <c r="AW2631" t="s">
        <v>45</v>
      </c>
      <c r="AX2631" t="s">
        <v>6923</v>
      </c>
      <c r="AY2631" t="s">
        <v>9115</v>
      </c>
      <c r="AZ2631">
        <v>2102.999999992317</v>
      </c>
      <c r="BA2631">
        <v>1</v>
      </c>
      <c r="BB2631">
        <v>2</v>
      </c>
      <c r="BC2631">
        <v>0</v>
      </c>
      <c r="BD2631">
        <v>0</v>
      </c>
      <c r="BE2631">
        <f t="shared" si="419"/>
        <v>1</v>
      </c>
    </row>
    <row r="2632" spans="1:57" x14ac:dyDescent="0.25">
      <c r="A2632" t="s">
        <v>39</v>
      </c>
      <c r="B2632" t="s">
        <v>9116</v>
      </c>
      <c r="C2632">
        <v>75.2</v>
      </c>
      <c r="D2632">
        <v>62.6</v>
      </c>
      <c r="G2632">
        <f t="shared" si="410"/>
        <v>1</v>
      </c>
      <c r="H2632">
        <f t="shared" si="411"/>
        <v>1</v>
      </c>
      <c r="I2632">
        <f t="shared" si="412"/>
        <v>0</v>
      </c>
      <c r="J2632">
        <v>68.5</v>
      </c>
      <c r="K2632">
        <v>75.2</v>
      </c>
      <c r="L2632">
        <v>62.6</v>
      </c>
      <c r="M2632">
        <v>68.5</v>
      </c>
      <c r="N2632">
        <v>60.7</v>
      </c>
      <c r="O2632">
        <v>76.900000000000006</v>
      </c>
      <c r="S2632">
        <f t="shared" si="413"/>
        <v>1</v>
      </c>
      <c r="T2632">
        <f t="shared" si="414"/>
        <v>1</v>
      </c>
      <c r="U2632">
        <f t="shared" si="415"/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25.9</v>
      </c>
      <c r="AC2632">
        <v>19.7</v>
      </c>
      <c r="AG2632">
        <f t="shared" si="416"/>
        <v>1</v>
      </c>
      <c r="AH2632">
        <f t="shared" si="417"/>
        <v>1</v>
      </c>
      <c r="AI2632">
        <f t="shared" si="418"/>
        <v>0</v>
      </c>
      <c r="AJ2632">
        <v>357.3</v>
      </c>
      <c r="AK2632">
        <v>1016.5</v>
      </c>
      <c r="AL2632">
        <v>54.9</v>
      </c>
      <c r="AM2632">
        <v>6.2</v>
      </c>
      <c r="AN2632">
        <v>117.9</v>
      </c>
      <c r="AO2632">
        <v>10.199999999999999</v>
      </c>
      <c r="AP2632">
        <v>5</v>
      </c>
      <c r="AQ2632">
        <v>0</v>
      </c>
      <c r="AR2632" t="s">
        <v>9117</v>
      </c>
      <c r="AS2632" t="s">
        <v>9118</v>
      </c>
      <c r="AT2632">
        <v>0.11</v>
      </c>
      <c r="AU2632" t="s">
        <v>43</v>
      </c>
      <c r="AV2632" t="s">
        <v>44</v>
      </c>
      <c r="AW2632" t="s">
        <v>45</v>
      </c>
      <c r="AX2632" t="s">
        <v>9119</v>
      </c>
      <c r="AY2632" t="s">
        <v>9120</v>
      </c>
      <c r="AZ2632">
        <v>178.00000000395809</v>
      </c>
      <c r="BA2632">
        <v>0</v>
      </c>
      <c r="BB2632">
        <v>0</v>
      </c>
      <c r="BC2632">
        <v>0.5</v>
      </c>
      <c r="BD2632">
        <v>0</v>
      </c>
      <c r="BE2632">
        <f t="shared" si="419"/>
        <v>1</v>
      </c>
    </row>
    <row r="2633" spans="1:57" x14ac:dyDescent="0.25">
      <c r="A2633" t="s">
        <v>39</v>
      </c>
      <c r="B2633" t="s">
        <v>9121</v>
      </c>
      <c r="C2633">
        <v>68</v>
      </c>
      <c r="D2633">
        <v>53.6</v>
      </c>
      <c r="G2633">
        <f t="shared" si="410"/>
        <v>0</v>
      </c>
      <c r="H2633">
        <f t="shared" si="411"/>
        <v>0</v>
      </c>
      <c r="I2633">
        <f t="shared" si="412"/>
        <v>0</v>
      </c>
      <c r="J2633">
        <v>60.1</v>
      </c>
      <c r="K2633">
        <v>68</v>
      </c>
      <c r="L2633">
        <v>53.6</v>
      </c>
      <c r="M2633">
        <v>60.1</v>
      </c>
      <c r="N2633">
        <v>46</v>
      </c>
      <c r="O2633">
        <v>60.3</v>
      </c>
      <c r="S2633">
        <f t="shared" si="413"/>
        <v>1</v>
      </c>
      <c r="T2633">
        <f t="shared" si="414"/>
        <v>0</v>
      </c>
      <c r="U2633">
        <f t="shared" si="415"/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17.899999999999999</v>
      </c>
      <c r="AC2633">
        <v>9.1999999999999993</v>
      </c>
      <c r="AG2633">
        <f t="shared" si="416"/>
        <v>1</v>
      </c>
      <c r="AH2633">
        <f t="shared" si="417"/>
        <v>0</v>
      </c>
      <c r="AI2633">
        <f t="shared" si="418"/>
        <v>1</v>
      </c>
      <c r="AJ2633">
        <v>218.3</v>
      </c>
      <c r="AK2633">
        <v>1017</v>
      </c>
      <c r="AL2633">
        <v>19.899999999999999</v>
      </c>
      <c r="AM2633">
        <v>6.2</v>
      </c>
      <c r="AN2633">
        <v>141.69999999999999</v>
      </c>
      <c r="AO2633">
        <v>12.3</v>
      </c>
      <c r="AP2633">
        <v>6</v>
      </c>
      <c r="AQ2633">
        <v>0</v>
      </c>
      <c r="AR2633" t="s">
        <v>9122</v>
      </c>
      <c r="AS2633" t="s">
        <v>9123</v>
      </c>
      <c r="AT2633">
        <v>0.25</v>
      </c>
      <c r="AU2633" t="s">
        <v>74</v>
      </c>
      <c r="AV2633" t="s">
        <v>2955</v>
      </c>
      <c r="AW2633" t="s">
        <v>75</v>
      </c>
      <c r="AX2633" t="s">
        <v>8779</v>
      </c>
      <c r="AY2633" t="s">
        <v>9124</v>
      </c>
      <c r="AZ2633">
        <v>1193.9999999944121</v>
      </c>
      <c r="BA2633">
        <v>1</v>
      </c>
      <c r="BB2633">
        <v>0</v>
      </c>
      <c r="BC2633">
        <v>1</v>
      </c>
      <c r="BD2633">
        <v>0</v>
      </c>
      <c r="BE2633">
        <f t="shared" si="419"/>
        <v>0</v>
      </c>
    </row>
    <row r="2634" spans="1:57" x14ac:dyDescent="0.25">
      <c r="A2634" t="s">
        <v>39</v>
      </c>
      <c r="B2634" t="s">
        <v>9121</v>
      </c>
      <c r="C2634">
        <v>68</v>
      </c>
      <c r="D2634">
        <v>53.6</v>
      </c>
      <c r="G2634">
        <f t="shared" si="410"/>
        <v>0</v>
      </c>
      <c r="H2634">
        <f t="shared" si="411"/>
        <v>0</v>
      </c>
      <c r="I2634">
        <f t="shared" si="412"/>
        <v>0</v>
      </c>
      <c r="J2634">
        <v>60.1</v>
      </c>
      <c r="K2634">
        <v>68</v>
      </c>
      <c r="L2634">
        <v>53.6</v>
      </c>
      <c r="M2634">
        <v>60.1</v>
      </c>
      <c r="N2634">
        <v>46</v>
      </c>
      <c r="O2634">
        <v>60.3</v>
      </c>
      <c r="S2634">
        <f t="shared" si="413"/>
        <v>1</v>
      </c>
      <c r="T2634">
        <f t="shared" si="414"/>
        <v>0</v>
      </c>
      <c r="U2634">
        <f t="shared" si="415"/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17.899999999999999</v>
      </c>
      <c r="AC2634">
        <v>9.1999999999999993</v>
      </c>
      <c r="AG2634">
        <f t="shared" si="416"/>
        <v>1</v>
      </c>
      <c r="AH2634">
        <f t="shared" si="417"/>
        <v>0</v>
      </c>
      <c r="AI2634">
        <f t="shared" si="418"/>
        <v>1</v>
      </c>
      <c r="AJ2634">
        <v>218.3</v>
      </c>
      <c r="AK2634">
        <v>1017</v>
      </c>
      <c r="AL2634">
        <v>19.899999999999999</v>
      </c>
      <c r="AM2634">
        <v>6.2</v>
      </c>
      <c r="AN2634">
        <v>141.69999999999999</v>
      </c>
      <c r="AO2634">
        <v>12.3</v>
      </c>
      <c r="AP2634">
        <v>6</v>
      </c>
      <c r="AQ2634">
        <v>0</v>
      </c>
      <c r="AR2634" t="s">
        <v>9122</v>
      </c>
      <c r="AS2634" t="s">
        <v>9123</v>
      </c>
      <c r="AT2634">
        <v>0.25</v>
      </c>
      <c r="AU2634" t="s">
        <v>74</v>
      </c>
      <c r="AV2634" t="s">
        <v>2955</v>
      </c>
      <c r="AW2634" t="s">
        <v>75</v>
      </c>
      <c r="AX2634" t="s">
        <v>2466</v>
      </c>
      <c r="AY2634" t="s">
        <v>9125</v>
      </c>
      <c r="AZ2634">
        <v>1776.0000000055879</v>
      </c>
      <c r="BA2634">
        <v>1</v>
      </c>
      <c r="BB2634">
        <v>0</v>
      </c>
      <c r="BC2634">
        <v>2</v>
      </c>
      <c r="BD2634">
        <v>0</v>
      </c>
      <c r="BE2634">
        <f t="shared" si="419"/>
        <v>0</v>
      </c>
    </row>
    <row r="2635" spans="1:57" x14ac:dyDescent="0.25">
      <c r="A2635" t="s">
        <v>39</v>
      </c>
      <c r="B2635" t="s">
        <v>9126</v>
      </c>
      <c r="C2635">
        <v>73.400000000000006</v>
      </c>
      <c r="D2635">
        <v>62.6</v>
      </c>
      <c r="G2635">
        <f t="shared" si="410"/>
        <v>1</v>
      </c>
      <c r="H2635">
        <f t="shared" si="411"/>
        <v>1</v>
      </c>
      <c r="I2635">
        <f t="shared" si="412"/>
        <v>0</v>
      </c>
      <c r="J2635">
        <v>66.7</v>
      </c>
      <c r="K2635">
        <v>73.400000000000006</v>
      </c>
      <c r="L2635">
        <v>62.6</v>
      </c>
      <c r="M2635">
        <v>66.7</v>
      </c>
      <c r="N2635">
        <v>54.8</v>
      </c>
      <c r="O2635">
        <v>67.3</v>
      </c>
      <c r="S2635">
        <f t="shared" si="413"/>
        <v>0</v>
      </c>
      <c r="T2635">
        <f t="shared" si="414"/>
        <v>0</v>
      </c>
      <c r="U2635">
        <f t="shared" si="415"/>
        <v>0</v>
      </c>
      <c r="V2635">
        <v>2.7E-2</v>
      </c>
      <c r="W2635">
        <v>100</v>
      </c>
      <c r="X2635">
        <v>4.17</v>
      </c>
      <c r="Y2635" t="s">
        <v>103</v>
      </c>
      <c r="Z2635">
        <v>0</v>
      </c>
      <c r="AA2635">
        <v>0</v>
      </c>
      <c r="AB2635">
        <v>46.1</v>
      </c>
      <c r="AC2635">
        <v>26.4</v>
      </c>
      <c r="AG2635">
        <f t="shared" si="416"/>
        <v>1</v>
      </c>
      <c r="AH2635">
        <f t="shared" si="417"/>
        <v>1</v>
      </c>
      <c r="AI2635">
        <f t="shared" si="418"/>
        <v>0</v>
      </c>
      <c r="AJ2635">
        <v>192.1</v>
      </c>
      <c r="AK2635">
        <v>998.1</v>
      </c>
      <c r="AL2635">
        <v>53</v>
      </c>
      <c r="AM2635">
        <v>6.2</v>
      </c>
      <c r="AN2635">
        <v>115.9</v>
      </c>
      <c r="AO2635">
        <v>9.9</v>
      </c>
      <c r="AP2635">
        <v>5</v>
      </c>
      <c r="AQ2635">
        <v>0</v>
      </c>
      <c r="AR2635" t="s">
        <v>9127</v>
      </c>
      <c r="AS2635" t="s">
        <v>9128</v>
      </c>
      <c r="AT2635">
        <v>0.43</v>
      </c>
      <c r="AU2635" t="s">
        <v>106</v>
      </c>
      <c r="AV2635" t="s">
        <v>1180</v>
      </c>
      <c r="AW2635" t="s">
        <v>103</v>
      </c>
      <c r="AX2635" t="s">
        <v>2443</v>
      </c>
      <c r="AY2635" t="s">
        <v>9129</v>
      </c>
      <c r="AZ2635">
        <v>162.9999999969732</v>
      </c>
      <c r="BA2635">
        <v>0</v>
      </c>
      <c r="BB2635">
        <v>0</v>
      </c>
      <c r="BC2635">
        <v>1</v>
      </c>
      <c r="BD2635">
        <v>0</v>
      </c>
      <c r="BE2635">
        <f t="shared" si="419"/>
        <v>0</v>
      </c>
    </row>
    <row r="2636" spans="1:57" x14ac:dyDescent="0.25">
      <c r="A2636" t="s">
        <v>39</v>
      </c>
      <c r="B2636" t="s">
        <v>8971</v>
      </c>
      <c r="C2636">
        <v>55.4</v>
      </c>
      <c r="D2636">
        <v>48.2</v>
      </c>
      <c r="G2636">
        <f t="shared" si="410"/>
        <v>1</v>
      </c>
      <c r="H2636">
        <f t="shared" si="411"/>
        <v>0</v>
      </c>
      <c r="I2636">
        <f t="shared" si="412"/>
        <v>1</v>
      </c>
      <c r="J2636">
        <v>52.5</v>
      </c>
      <c r="K2636">
        <v>55.4</v>
      </c>
      <c r="L2636">
        <v>43.6</v>
      </c>
      <c r="M2636">
        <v>52.1</v>
      </c>
      <c r="N2636">
        <v>41.2</v>
      </c>
      <c r="O2636">
        <v>65.599999999999994</v>
      </c>
      <c r="S2636">
        <f t="shared" si="413"/>
        <v>1</v>
      </c>
      <c r="T2636">
        <f t="shared" si="414"/>
        <v>0</v>
      </c>
      <c r="U2636">
        <f t="shared" si="415"/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32.700000000000003</v>
      </c>
      <c r="AC2636">
        <v>20.8</v>
      </c>
      <c r="AG2636">
        <f t="shared" si="416"/>
        <v>1</v>
      </c>
      <c r="AH2636">
        <f t="shared" si="417"/>
        <v>1</v>
      </c>
      <c r="AI2636">
        <f t="shared" si="418"/>
        <v>0</v>
      </c>
      <c r="AJ2636">
        <v>337.8</v>
      </c>
      <c r="AK2636">
        <v>1028.2</v>
      </c>
      <c r="AL2636">
        <v>59.8</v>
      </c>
      <c r="AM2636">
        <v>6.2</v>
      </c>
      <c r="AN2636">
        <v>125.2</v>
      </c>
      <c r="AO2636">
        <v>10.8</v>
      </c>
      <c r="AP2636">
        <v>4</v>
      </c>
      <c r="AQ2636">
        <v>0</v>
      </c>
      <c r="AR2636" t="s">
        <v>8972</v>
      </c>
      <c r="AS2636" t="s">
        <v>8973</v>
      </c>
      <c r="AT2636">
        <v>0.75</v>
      </c>
      <c r="AU2636" t="s">
        <v>43</v>
      </c>
      <c r="AV2636" t="s">
        <v>44</v>
      </c>
      <c r="AW2636" t="s">
        <v>45</v>
      </c>
      <c r="AX2636" t="s">
        <v>5723</v>
      </c>
      <c r="AY2636" t="s">
        <v>9130</v>
      </c>
      <c r="AZ2636">
        <v>206.00000000093129</v>
      </c>
      <c r="BA2636">
        <v>0</v>
      </c>
      <c r="BB2636">
        <v>0</v>
      </c>
      <c r="BC2636">
        <v>0.3</v>
      </c>
      <c r="BD2636">
        <v>0</v>
      </c>
      <c r="BE2636">
        <f t="shared" si="419"/>
        <v>1</v>
      </c>
    </row>
    <row r="2637" spans="1:57" x14ac:dyDescent="0.25">
      <c r="A2637" t="s">
        <v>39</v>
      </c>
      <c r="B2637" t="s">
        <v>9131</v>
      </c>
      <c r="C2637">
        <v>62.6</v>
      </c>
      <c r="D2637">
        <v>48.2</v>
      </c>
      <c r="G2637">
        <f t="shared" si="410"/>
        <v>1</v>
      </c>
      <c r="H2637">
        <f t="shared" si="411"/>
        <v>1</v>
      </c>
      <c r="I2637">
        <f t="shared" si="412"/>
        <v>0</v>
      </c>
      <c r="J2637">
        <v>55</v>
      </c>
      <c r="K2637">
        <v>62.6</v>
      </c>
      <c r="L2637">
        <v>44.6</v>
      </c>
      <c r="M2637">
        <v>54.8</v>
      </c>
      <c r="N2637">
        <v>48.8</v>
      </c>
      <c r="O2637">
        <v>80</v>
      </c>
      <c r="S2637">
        <f t="shared" si="413"/>
        <v>1</v>
      </c>
      <c r="T2637">
        <f t="shared" si="414"/>
        <v>1</v>
      </c>
      <c r="U2637">
        <f t="shared" si="415"/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15</v>
      </c>
      <c r="AC2637">
        <v>11.4</v>
      </c>
      <c r="AG2637">
        <f t="shared" si="416"/>
        <v>1</v>
      </c>
      <c r="AH2637">
        <f t="shared" si="417"/>
        <v>0</v>
      </c>
      <c r="AI2637">
        <f t="shared" si="418"/>
        <v>1</v>
      </c>
      <c r="AJ2637">
        <v>175.2</v>
      </c>
      <c r="AK2637">
        <v>1021.1</v>
      </c>
      <c r="AL2637">
        <v>36.1</v>
      </c>
      <c r="AM2637">
        <v>6.2</v>
      </c>
      <c r="AN2637">
        <v>134.1</v>
      </c>
      <c r="AO2637">
        <v>11.7</v>
      </c>
      <c r="AP2637">
        <v>6</v>
      </c>
      <c r="AQ2637">
        <v>0</v>
      </c>
      <c r="AR2637" t="s">
        <v>9132</v>
      </c>
      <c r="AS2637" t="s">
        <v>9133</v>
      </c>
      <c r="AT2637">
        <v>0.57999999999999996</v>
      </c>
      <c r="AU2637" t="s">
        <v>43</v>
      </c>
      <c r="AV2637" t="s">
        <v>44</v>
      </c>
      <c r="AW2637" t="s">
        <v>45</v>
      </c>
      <c r="AX2637" t="s">
        <v>5629</v>
      </c>
      <c r="AY2637" t="s">
        <v>9134</v>
      </c>
      <c r="AZ2637">
        <v>145.9999999939464</v>
      </c>
      <c r="BA2637">
        <v>0</v>
      </c>
      <c r="BB2637">
        <v>0</v>
      </c>
      <c r="BC2637">
        <v>3</v>
      </c>
      <c r="BD2637">
        <v>0</v>
      </c>
      <c r="BE2637">
        <f t="shared" si="419"/>
        <v>1</v>
      </c>
    </row>
    <row r="2638" spans="1:57" x14ac:dyDescent="0.25">
      <c r="A2638" t="s">
        <v>39</v>
      </c>
      <c r="B2638" t="s">
        <v>8976</v>
      </c>
      <c r="C2638">
        <v>62.6</v>
      </c>
      <c r="D2638">
        <v>46.4</v>
      </c>
      <c r="G2638">
        <f t="shared" si="410"/>
        <v>1</v>
      </c>
      <c r="H2638">
        <f t="shared" si="411"/>
        <v>1</v>
      </c>
      <c r="I2638">
        <f t="shared" si="412"/>
        <v>0</v>
      </c>
      <c r="J2638">
        <v>53.8</v>
      </c>
      <c r="K2638">
        <v>62.6</v>
      </c>
      <c r="L2638">
        <v>40.6</v>
      </c>
      <c r="M2638">
        <v>52.1</v>
      </c>
      <c r="N2638">
        <v>47.9</v>
      </c>
      <c r="O2638">
        <v>81.099999999999994</v>
      </c>
      <c r="S2638">
        <f t="shared" si="413"/>
        <v>1</v>
      </c>
      <c r="T2638">
        <f t="shared" si="414"/>
        <v>1</v>
      </c>
      <c r="U2638">
        <f t="shared" si="415"/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17.2</v>
      </c>
      <c r="AC2638">
        <v>13.9</v>
      </c>
      <c r="AG2638">
        <f t="shared" si="416"/>
        <v>1</v>
      </c>
      <c r="AH2638">
        <f t="shared" si="417"/>
        <v>0</v>
      </c>
      <c r="AI2638">
        <f t="shared" si="418"/>
        <v>1</v>
      </c>
      <c r="AJ2638">
        <v>232.6</v>
      </c>
      <c r="AK2638">
        <v>1027.5</v>
      </c>
      <c r="AL2638">
        <v>30.6</v>
      </c>
      <c r="AM2638">
        <v>6.2</v>
      </c>
      <c r="AN2638">
        <v>178.5</v>
      </c>
      <c r="AO2638">
        <v>15.5</v>
      </c>
      <c r="AP2638">
        <v>7</v>
      </c>
      <c r="AQ2638">
        <v>0</v>
      </c>
      <c r="AR2638" t="s">
        <v>8977</v>
      </c>
      <c r="AS2638" t="s">
        <v>8978</v>
      </c>
      <c r="AT2638">
        <v>0.94</v>
      </c>
      <c r="AU2638" t="s">
        <v>43</v>
      </c>
      <c r="AV2638" t="s">
        <v>44</v>
      </c>
      <c r="AW2638" t="s">
        <v>45</v>
      </c>
      <c r="AX2638" t="s">
        <v>8812</v>
      </c>
      <c r="AY2638" t="s">
        <v>9135</v>
      </c>
      <c r="AZ2638">
        <v>222.00000000069849</v>
      </c>
      <c r="BA2638">
        <v>0</v>
      </c>
      <c r="BB2638">
        <v>0</v>
      </c>
      <c r="BC2638">
        <v>0.5</v>
      </c>
      <c r="BD2638">
        <v>0</v>
      </c>
      <c r="BE2638">
        <f t="shared" si="419"/>
        <v>1</v>
      </c>
    </row>
    <row r="2639" spans="1:57" x14ac:dyDescent="0.25">
      <c r="A2639" t="s">
        <v>39</v>
      </c>
      <c r="B2639" t="s">
        <v>9136</v>
      </c>
      <c r="C2639">
        <v>66.2</v>
      </c>
      <c r="D2639">
        <v>55.4</v>
      </c>
      <c r="G2639">
        <f t="shared" si="410"/>
        <v>1</v>
      </c>
      <c r="H2639">
        <f t="shared" si="411"/>
        <v>1</v>
      </c>
      <c r="I2639">
        <f t="shared" si="412"/>
        <v>0</v>
      </c>
      <c r="J2639">
        <v>60.5</v>
      </c>
      <c r="K2639">
        <v>66.2</v>
      </c>
      <c r="L2639">
        <v>55.4</v>
      </c>
      <c r="M2639">
        <v>60.5</v>
      </c>
      <c r="N2639">
        <v>52.5</v>
      </c>
      <c r="O2639">
        <v>76</v>
      </c>
      <c r="S2639">
        <f t="shared" si="413"/>
        <v>1</v>
      </c>
      <c r="T2639">
        <f t="shared" si="414"/>
        <v>1</v>
      </c>
      <c r="U2639">
        <f t="shared" si="415"/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17.2</v>
      </c>
      <c r="AC2639">
        <v>9.1999999999999993</v>
      </c>
      <c r="AG2639">
        <f t="shared" si="416"/>
        <v>1</v>
      </c>
      <c r="AH2639">
        <f t="shared" si="417"/>
        <v>0</v>
      </c>
      <c r="AI2639">
        <f t="shared" si="418"/>
        <v>1</v>
      </c>
      <c r="AJ2639">
        <v>263.89999999999998</v>
      </c>
      <c r="AK2639">
        <v>1015.3</v>
      </c>
      <c r="AL2639">
        <v>34.1</v>
      </c>
      <c r="AM2639">
        <v>4.7</v>
      </c>
      <c r="AN2639">
        <v>196.5</v>
      </c>
      <c r="AO2639">
        <v>17</v>
      </c>
      <c r="AP2639">
        <v>7</v>
      </c>
      <c r="AQ2639">
        <v>0</v>
      </c>
      <c r="AR2639" t="s">
        <v>9137</v>
      </c>
      <c r="AS2639" t="s">
        <v>9138</v>
      </c>
      <c r="AT2639">
        <v>0.3</v>
      </c>
      <c r="AU2639" t="s">
        <v>43</v>
      </c>
      <c r="AV2639" t="s">
        <v>2026</v>
      </c>
      <c r="AW2639" t="s">
        <v>45</v>
      </c>
      <c r="AX2639" t="s">
        <v>5609</v>
      </c>
      <c r="AY2639" t="s">
        <v>9139</v>
      </c>
      <c r="AZ2639">
        <v>40.000000004656613</v>
      </c>
      <c r="BA2639">
        <v>0</v>
      </c>
      <c r="BB2639">
        <v>0</v>
      </c>
      <c r="BC2639">
        <v>0.02</v>
      </c>
      <c r="BD2639">
        <v>0</v>
      </c>
      <c r="BE2639">
        <f t="shared" si="419"/>
        <v>1</v>
      </c>
    </row>
    <row r="2640" spans="1:57" x14ac:dyDescent="0.25">
      <c r="A2640" t="s">
        <v>39</v>
      </c>
      <c r="B2640" t="s">
        <v>9140</v>
      </c>
      <c r="C2640">
        <v>64.400000000000006</v>
      </c>
      <c r="D2640">
        <v>57.2</v>
      </c>
      <c r="G2640">
        <f t="shared" si="410"/>
        <v>1</v>
      </c>
      <c r="H2640">
        <f t="shared" si="411"/>
        <v>1</v>
      </c>
      <c r="I2640">
        <f t="shared" si="412"/>
        <v>0</v>
      </c>
      <c r="J2640">
        <v>59.8</v>
      </c>
      <c r="K2640">
        <v>64.400000000000006</v>
      </c>
      <c r="L2640">
        <v>57.2</v>
      </c>
      <c r="M2640">
        <v>59.8</v>
      </c>
      <c r="N2640">
        <v>55.1</v>
      </c>
      <c r="O2640">
        <v>84.7</v>
      </c>
      <c r="S2640">
        <f t="shared" si="413"/>
        <v>1</v>
      </c>
      <c r="T2640">
        <f t="shared" si="414"/>
        <v>1</v>
      </c>
      <c r="U2640">
        <f t="shared" si="415"/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23</v>
      </c>
      <c r="AC2640">
        <v>13.9</v>
      </c>
      <c r="AG2640">
        <f t="shared" si="416"/>
        <v>1</v>
      </c>
      <c r="AH2640">
        <f t="shared" si="417"/>
        <v>0</v>
      </c>
      <c r="AI2640">
        <f t="shared" si="418"/>
        <v>1</v>
      </c>
      <c r="AJ2640">
        <v>341.8</v>
      </c>
      <c r="AK2640">
        <v>1015.1</v>
      </c>
      <c r="AL2640">
        <v>66.8</v>
      </c>
      <c r="AM2640">
        <v>5.2</v>
      </c>
      <c r="AN2640">
        <v>188.1</v>
      </c>
      <c r="AO2640">
        <v>16.2</v>
      </c>
      <c r="AP2640">
        <v>7</v>
      </c>
      <c r="AQ2640">
        <v>0</v>
      </c>
      <c r="AR2640" t="s">
        <v>9141</v>
      </c>
      <c r="AS2640" t="s">
        <v>9142</v>
      </c>
      <c r="AT2640">
        <v>0.33</v>
      </c>
      <c r="AU2640" t="s">
        <v>43</v>
      </c>
      <c r="AV2640" t="s">
        <v>44</v>
      </c>
      <c r="AW2640" t="s">
        <v>45</v>
      </c>
      <c r="AX2640" t="s">
        <v>2346</v>
      </c>
      <c r="AY2640" t="s">
        <v>9143</v>
      </c>
      <c r="AZ2640">
        <v>140.00000000582079</v>
      </c>
      <c r="BA2640">
        <v>0</v>
      </c>
      <c r="BB2640">
        <v>0</v>
      </c>
      <c r="BC2640">
        <v>0.5</v>
      </c>
      <c r="BD2640">
        <v>0</v>
      </c>
      <c r="BE2640">
        <f t="shared" si="419"/>
        <v>1</v>
      </c>
    </row>
    <row r="2641" spans="1:57" x14ac:dyDescent="0.25">
      <c r="A2641" t="s">
        <v>39</v>
      </c>
      <c r="B2641" t="s">
        <v>9144</v>
      </c>
      <c r="C2641">
        <v>62.6</v>
      </c>
      <c r="D2641">
        <v>53.6</v>
      </c>
      <c r="G2641">
        <f t="shared" si="410"/>
        <v>0</v>
      </c>
      <c r="H2641">
        <f t="shared" si="411"/>
        <v>0</v>
      </c>
      <c r="I2641">
        <f t="shared" si="412"/>
        <v>0</v>
      </c>
      <c r="J2641">
        <v>57.4</v>
      </c>
      <c r="K2641">
        <v>62.6</v>
      </c>
      <c r="L2641">
        <v>53.6</v>
      </c>
      <c r="M2641">
        <v>57.4</v>
      </c>
      <c r="N2641">
        <v>50</v>
      </c>
      <c r="O2641">
        <v>77</v>
      </c>
      <c r="S2641">
        <f t="shared" si="413"/>
        <v>1</v>
      </c>
      <c r="T2641">
        <f t="shared" si="414"/>
        <v>1</v>
      </c>
      <c r="U2641">
        <f t="shared" si="415"/>
        <v>0</v>
      </c>
      <c r="V2641">
        <v>3.9E-2</v>
      </c>
      <c r="W2641">
        <v>100</v>
      </c>
      <c r="X2641">
        <v>4.17</v>
      </c>
      <c r="Y2641" t="s">
        <v>103</v>
      </c>
      <c r="Z2641">
        <v>0</v>
      </c>
      <c r="AA2641">
        <v>0</v>
      </c>
      <c r="AB2641">
        <v>28.4</v>
      </c>
      <c r="AC2641">
        <v>23</v>
      </c>
      <c r="AG2641">
        <f t="shared" si="416"/>
        <v>1</v>
      </c>
      <c r="AH2641">
        <f t="shared" si="417"/>
        <v>1</v>
      </c>
      <c r="AI2641">
        <f t="shared" si="418"/>
        <v>0</v>
      </c>
      <c r="AJ2641">
        <v>273.10000000000002</v>
      </c>
      <c r="AK2641">
        <v>1011.1</v>
      </c>
      <c r="AL2641">
        <v>67.7</v>
      </c>
      <c r="AM2641">
        <v>6.2</v>
      </c>
      <c r="AN2641">
        <v>152.5</v>
      </c>
      <c r="AO2641">
        <v>13.2</v>
      </c>
      <c r="AP2641">
        <v>5</v>
      </c>
      <c r="AQ2641">
        <v>0</v>
      </c>
      <c r="AR2641" t="s">
        <v>9145</v>
      </c>
      <c r="AS2641" t="s">
        <v>9146</v>
      </c>
      <c r="AT2641">
        <v>0.43</v>
      </c>
      <c r="AU2641" t="s">
        <v>106</v>
      </c>
      <c r="AV2641" t="s">
        <v>1180</v>
      </c>
      <c r="AW2641" t="s">
        <v>103</v>
      </c>
      <c r="AX2641" t="s">
        <v>2403</v>
      </c>
      <c r="AY2641" t="s">
        <v>9147</v>
      </c>
      <c r="AZ2641">
        <v>180</v>
      </c>
      <c r="BA2641">
        <v>0</v>
      </c>
      <c r="BB2641">
        <v>2</v>
      </c>
      <c r="BC2641">
        <v>0.5</v>
      </c>
      <c r="BD2641">
        <v>0</v>
      </c>
      <c r="BE2641">
        <f t="shared" si="419"/>
        <v>0</v>
      </c>
    </row>
    <row r="2642" spans="1:57" x14ac:dyDescent="0.25">
      <c r="A2642" t="s">
        <v>39</v>
      </c>
      <c r="B2642" t="s">
        <v>9148</v>
      </c>
      <c r="C2642">
        <v>60.8</v>
      </c>
      <c r="D2642">
        <v>53.6</v>
      </c>
      <c r="G2642">
        <f t="shared" si="410"/>
        <v>0</v>
      </c>
      <c r="H2642">
        <f t="shared" si="411"/>
        <v>0</v>
      </c>
      <c r="I2642">
        <f t="shared" si="412"/>
        <v>0</v>
      </c>
      <c r="J2642">
        <v>57.9</v>
      </c>
      <c r="K2642">
        <v>60.8</v>
      </c>
      <c r="L2642">
        <v>53.6</v>
      </c>
      <c r="M2642">
        <v>57.9</v>
      </c>
      <c r="N2642">
        <v>50.4</v>
      </c>
      <c r="O2642">
        <v>76.400000000000006</v>
      </c>
      <c r="S2642">
        <f t="shared" si="413"/>
        <v>1</v>
      </c>
      <c r="T2642">
        <f t="shared" si="414"/>
        <v>1</v>
      </c>
      <c r="U2642">
        <f t="shared" si="415"/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30.9</v>
      </c>
      <c r="AC2642">
        <v>23</v>
      </c>
      <c r="AG2642">
        <f t="shared" si="416"/>
        <v>1</v>
      </c>
      <c r="AH2642">
        <f t="shared" si="417"/>
        <v>1</v>
      </c>
      <c r="AI2642">
        <f t="shared" si="418"/>
        <v>0</v>
      </c>
      <c r="AJ2642">
        <v>302.8</v>
      </c>
      <c r="AK2642">
        <v>1018.5</v>
      </c>
      <c r="AL2642">
        <v>66.099999999999994</v>
      </c>
      <c r="AM2642">
        <v>6.2</v>
      </c>
      <c r="AN2642">
        <v>216.9</v>
      </c>
      <c r="AO2642">
        <v>18.7</v>
      </c>
      <c r="AP2642">
        <v>7</v>
      </c>
      <c r="AQ2642">
        <v>0</v>
      </c>
      <c r="AR2642" t="s">
        <v>9149</v>
      </c>
      <c r="AS2642" t="s">
        <v>9150</v>
      </c>
      <c r="AT2642">
        <v>0.95</v>
      </c>
      <c r="AU2642" t="s">
        <v>43</v>
      </c>
      <c r="AV2642" t="s">
        <v>44</v>
      </c>
      <c r="AW2642" t="s">
        <v>45</v>
      </c>
      <c r="AX2642" t="s">
        <v>6684</v>
      </c>
      <c r="AY2642" t="s">
        <v>9151</v>
      </c>
      <c r="AZ2642">
        <v>82.999999998137355</v>
      </c>
      <c r="BA2642">
        <v>0</v>
      </c>
      <c r="BB2642">
        <v>0.1</v>
      </c>
      <c r="BC2642">
        <v>0</v>
      </c>
      <c r="BD2642">
        <v>0</v>
      </c>
      <c r="BE2642">
        <f t="shared" si="419"/>
        <v>0</v>
      </c>
    </row>
    <row r="2643" spans="1:57" x14ac:dyDescent="0.25">
      <c r="A2643" t="s">
        <v>39</v>
      </c>
      <c r="B2643" t="s">
        <v>9152</v>
      </c>
      <c r="C2643">
        <v>64.400000000000006</v>
      </c>
      <c r="D2643">
        <v>50</v>
      </c>
      <c r="G2643">
        <f t="shared" si="410"/>
        <v>1</v>
      </c>
      <c r="H2643">
        <f t="shared" si="411"/>
        <v>1</v>
      </c>
      <c r="I2643">
        <f t="shared" si="412"/>
        <v>0</v>
      </c>
      <c r="J2643">
        <v>58.3</v>
      </c>
      <c r="K2643">
        <v>64.400000000000006</v>
      </c>
      <c r="L2643">
        <v>50</v>
      </c>
      <c r="M2643">
        <v>58.3</v>
      </c>
      <c r="N2643">
        <v>53.3</v>
      </c>
      <c r="O2643">
        <v>84</v>
      </c>
      <c r="S2643">
        <f t="shared" si="413"/>
        <v>1</v>
      </c>
      <c r="T2643">
        <f t="shared" si="414"/>
        <v>1</v>
      </c>
      <c r="U2643">
        <f t="shared" si="415"/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21.7</v>
      </c>
      <c r="AC2643">
        <v>12.8</v>
      </c>
      <c r="AG2643">
        <f t="shared" si="416"/>
        <v>1</v>
      </c>
      <c r="AH2643">
        <f t="shared" si="417"/>
        <v>0</v>
      </c>
      <c r="AI2643">
        <f t="shared" si="418"/>
        <v>1</v>
      </c>
      <c r="AJ2643">
        <v>298.60000000000002</v>
      </c>
      <c r="AK2643">
        <v>1013.3</v>
      </c>
      <c r="AL2643">
        <v>25.9</v>
      </c>
      <c r="AM2643">
        <v>6.2</v>
      </c>
      <c r="AN2643">
        <v>262.8</v>
      </c>
      <c r="AO2643">
        <v>22.5</v>
      </c>
      <c r="AP2643">
        <v>9</v>
      </c>
      <c r="AQ2643">
        <v>0</v>
      </c>
      <c r="AR2643" t="s">
        <v>9153</v>
      </c>
      <c r="AS2643" t="s">
        <v>9154</v>
      </c>
      <c r="AT2643">
        <v>0.12</v>
      </c>
      <c r="AU2643" t="s">
        <v>43</v>
      </c>
      <c r="AV2643" t="s">
        <v>44</v>
      </c>
      <c r="AW2643" t="s">
        <v>45</v>
      </c>
      <c r="AX2643" t="s">
        <v>8139</v>
      </c>
      <c r="AY2643" t="s">
        <v>9155</v>
      </c>
      <c r="AZ2643">
        <v>232.9999999946449</v>
      </c>
      <c r="BA2643">
        <v>0</v>
      </c>
      <c r="BB2643">
        <v>0</v>
      </c>
      <c r="BC2643">
        <v>0.1</v>
      </c>
      <c r="BD2643">
        <v>0</v>
      </c>
      <c r="BE2643">
        <f t="shared" si="419"/>
        <v>1</v>
      </c>
    </row>
    <row r="2644" spans="1:57" x14ac:dyDescent="0.25">
      <c r="A2644" t="s">
        <v>39</v>
      </c>
      <c r="B2644" t="s">
        <v>8908</v>
      </c>
      <c r="C2644">
        <v>68</v>
      </c>
      <c r="D2644">
        <v>53.6</v>
      </c>
      <c r="G2644">
        <f t="shared" si="410"/>
        <v>1</v>
      </c>
      <c r="H2644">
        <f t="shared" si="411"/>
        <v>1</v>
      </c>
      <c r="I2644">
        <f t="shared" si="412"/>
        <v>0</v>
      </c>
      <c r="J2644">
        <v>59.9</v>
      </c>
      <c r="K2644">
        <v>68</v>
      </c>
      <c r="L2644">
        <v>53.6</v>
      </c>
      <c r="M2644">
        <v>59.9</v>
      </c>
      <c r="N2644">
        <v>53.6</v>
      </c>
      <c r="O2644">
        <v>80</v>
      </c>
      <c r="S2644">
        <f t="shared" si="413"/>
        <v>1</v>
      </c>
      <c r="T2644">
        <f t="shared" si="414"/>
        <v>1</v>
      </c>
      <c r="U2644">
        <f t="shared" si="415"/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23.5</v>
      </c>
      <c r="AC2644">
        <v>16.100000000000001</v>
      </c>
      <c r="AG2644">
        <f t="shared" si="416"/>
        <v>0</v>
      </c>
      <c r="AH2644">
        <f t="shared" si="417"/>
        <v>0</v>
      </c>
      <c r="AI2644">
        <f t="shared" si="418"/>
        <v>0</v>
      </c>
      <c r="AJ2644">
        <v>203.8</v>
      </c>
      <c r="AK2644">
        <v>1011</v>
      </c>
      <c r="AL2644">
        <v>16.899999999999999</v>
      </c>
      <c r="AM2644">
        <v>6.2</v>
      </c>
      <c r="AN2644">
        <v>275.3</v>
      </c>
      <c r="AO2644">
        <v>22.8</v>
      </c>
      <c r="AP2644">
        <v>9</v>
      </c>
      <c r="AQ2644">
        <v>0</v>
      </c>
      <c r="AR2644" t="s">
        <v>8909</v>
      </c>
      <c r="AS2644" t="s">
        <v>8910</v>
      </c>
      <c r="AT2644">
        <v>0.15</v>
      </c>
      <c r="AU2644" t="s">
        <v>74</v>
      </c>
      <c r="AV2644" t="s">
        <v>2955</v>
      </c>
      <c r="AW2644" t="s">
        <v>75</v>
      </c>
      <c r="AX2644" t="s">
        <v>2373</v>
      </c>
      <c r="AY2644" t="s">
        <v>9156</v>
      </c>
      <c r="AZ2644">
        <v>94.999999995343387</v>
      </c>
      <c r="BA2644">
        <v>0</v>
      </c>
      <c r="BB2644">
        <v>0</v>
      </c>
      <c r="BC2644">
        <v>0.1</v>
      </c>
      <c r="BD2644">
        <v>0</v>
      </c>
      <c r="BE2644">
        <f t="shared" si="419"/>
        <v>0</v>
      </c>
    </row>
    <row r="2645" spans="1:57" x14ac:dyDescent="0.25">
      <c r="A2645" t="s">
        <v>39</v>
      </c>
      <c r="B2645" t="s">
        <v>9157</v>
      </c>
      <c r="C2645">
        <v>66.2</v>
      </c>
      <c r="D2645">
        <v>55.4</v>
      </c>
      <c r="G2645">
        <f t="shared" si="410"/>
        <v>1</v>
      </c>
      <c r="H2645">
        <f t="shared" si="411"/>
        <v>1</v>
      </c>
      <c r="I2645">
        <f t="shared" si="412"/>
        <v>0</v>
      </c>
      <c r="J2645">
        <v>61.6</v>
      </c>
      <c r="K2645">
        <v>66.2</v>
      </c>
      <c r="L2645">
        <v>55.4</v>
      </c>
      <c r="M2645">
        <v>61.6</v>
      </c>
      <c r="N2645">
        <v>49</v>
      </c>
      <c r="O2645">
        <v>64.3</v>
      </c>
      <c r="S2645">
        <f t="shared" si="413"/>
        <v>0</v>
      </c>
      <c r="T2645">
        <f t="shared" si="414"/>
        <v>0</v>
      </c>
      <c r="U2645">
        <f t="shared" si="415"/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36.9</v>
      </c>
      <c r="AC2645">
        <v>31.1</v>
      </c>
      <c r="AG2645">
        <f t="shared" si="416"/>
        <v>1</v>
      </c>
      <c r="AH2645">
        <f t="shared" si="417"/>
        <v>1</v>
      </c>
      <c r="AI2645">
        <f t="shared" si="418"/>
        <v>0</v>
      </c>
      <c r="AJ2645">
        <v>276.89999999999998</v>
      </c>
      <c r="AK2645">
        <v>1011.7</v>
      </c>
      <c r="AL2645">
        <v>29.7</v>
      </c>
      <c r="AM2645">
        <v>6.2</v>
      </c>
      <c r="AN2645">
        <v>258.39999999999998</v>
      </c>
      <c r="AO2645">
        <v>22.4</v>
      </c>
      <c r="AP2645">
        <v>9</v>
      </c>
      <c r="AQ2645">
        <v>0</v>
      </c>
      <c r="AR2645" t="s">
        <v>9158</v>
      </c>
      <c r="AS2645" t="s">
        <v>9159</v>
      </c>
      <c r="AT2645">
        <v>0.21</v>
      </c>
      <c r="AU2645" t="s">
        <v>43</v>
      </c>
      <c r="AV2645" t="s">
        <v>44</v>
      </c>
      <c r="AW2645" t="s">
        <v>419</v>
      </c>
      <c r="AX2645" t="s">
        <v>6989</v>
      </c>
      <c r="AY2645" t="s">
        <v>9160</v>
      </c>
      <c r="AZ2645">
        <v>174.00000000139701</v>
      </c>
      <c r="BA2645">
        <v>0</v>
      </c>
      <c r="BB2645">
        <v>2</v>
      </c>
      <c r="BC2645">
        <v>0</v>
      </c>
      <c r="BD2645">
        <v>0</v>
      </c>
      <c r="BE2645">
        <f t="shared" si="419"/>
        <v>0</v>
      </c>
    </row>
    <row r="2646" spans="1:57" x14ac:dyDescent="0.25">
      <c r="A2646" t="s">
        <v>39</v>
      </c>
      <c r="B2646" t="s">
        <v>9161</v>
      </c>
      <c r="C2646">
        <v>75.2</v>
      </c>
      <c r="D2646">
        <v>53.6</v>
      </c>
      <c r="G2646">
        <f t="shared" si="410"/>
        <v>1</v>
      </c>
      <c r="H2646">
        <f t="shared" si="411"/>
        <v>1</v>
      </c>
      <c r="I2646">
        <f t="shared" si="412"/>
        <v>0</v>
      </c>
      <c r="J2646">
        <v>62.9</v>
      </c>
      <c r="K2646">
        <v>75.2</v>
      </c>
      <c r="L2646">
        <v>53.6</v>
      </c>
      <c r="M2646">
        <v>62.9</v>
      </c>
      <c r="N2646">
        <v>53.3</v>
      </c>
      <c r="O2646">
        <v>72</v>
      </c>
      <c r="S2646">
        <f t="shared" si="413"/>
        <v>1</v>
      </c>
      <c r="T2646">
        <f t="shared" si="414"/>
        <v>1</v>
      </c>
      <c r="U2646">
        <f t="shared" si="415"/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34.4</v>
      </c>
      <c r="AC2646">
        <v>17.2</v>
      </c>
      <c r="AG2646">
        <f t="shared" si="416"/>
        <v>0</v>
      </c>
      <c r="AH2646">
        <f t="shared" si="417"/>
        <v>0</v>
      </c>
      <c r="AI2646">
        <f t="shared" si="418"/>
        <v>0</v>
      </c>
      <c r="AJ2646">
        <v>167.5</v>
      </c>
      <c r="AK2646">
        <v>1014.6</v>
      </c>
      <c r="AL2646">
        <v>35.700000000000003</v>
      </c>
      <c r="AM2646">
        <v>6.2</v>
      </c>
      <c r="AN2646">
        <v>270.10000000000002</v>
      </c>
      <c r="AO2646">
        <v>23.3</v>
      </c>
      <c r="AP2646">
        <v>9</v>
      </c>
      <c r="AQ2646">
        <v>0</v>
      </c>
      <c r="AR2646" t="s">
        <v>9162</v>
      </c>
      <c r="AS2646" t="s">
        <v>9163</v>
      </c>
      <c r="AT2646">
        <v>0.34</v>
      </c>
      <c r="AU2646" t="s">
        <v>43</v>
      </c>
      <c r="AV2646" t="s">
        <v>44</v>
      </c>
      <c r="AW2646" t="s">
        <v>45</v>
      </c>
      <c r="AX2646" t="s">
        <v>9164</v>
      </c>
      <c r="AY2646" t="s">
        <v>9165</v>
      </c>
      <c r="AZ2646">
        <v>216.9999999948777</v>
      </c>
      <c r="BA2646">
        <v>0</v>
      </c>
      <c r="BB2646">
        <v>0</v>
      </c>
      <c r="BC2646">
        <v>0.5</v>
      </c>
      <c r="BD2646">
        <v>0</v>
      </c>
      <c r="BE2646">
        <f t="shared" si="419"/>
        <v>0</v>
      </c>
    </row>
    <row r="2647" spans="1:57" x14ac:dyDescent="0.25">
      <c r="A2647" t="s">
        <v>39</v>
      </c>
      <c r="B2647" t="s">
        <v>9166</v>
      </c>
      <c r="C2647">
        <v>66.2</v>
      </c>
      <c r="D2647">
        <v>53.6</v>
      </c>
      <c r="G2647">
        <f t="shared" si="410"/>
        <v>0</v>
      </c>
      <c r="H2647">
        <f t="shared" si="411"/>
        <v>0</v>
      </c>
      <c r="I2647">
        <f t="shared" si="412"/>
        <v>0</v>
      </c>
      <c r="J2647">
        <v>57.4</v>
      </c>
      <c r="K2647">
        <v>66.2</v>
      </c>
      <c r="L2647">
        <v>53.6</v>
      </c>
      <c r="M2647">
        <v>57.4</v>
      </c>
      <c r="N2647">
        <v>52.2</v>
      </c>
      <c r="O2647">
        <v>83.3</v>
      </c>
      <c r="S2647">
        <f t="shared" si="413"/>
        <v>1</v>
      </c>
      <c r="T2647">
        <f t="shared" si="414"/>
        <v>1</v>
      </c>
      <c r="U2647">
        <f t="shared" si="415"/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28.9</v>
      </c>
      <c r="AC2647">
        <v>18.3</v>
      </c>
      <c r="AG2647">
        <f t="shared" si="416"/>
        <v>0</v>
      </c>
      <c r="AH2647">
        <f t="shared" si="417"/>
        <v>0</v>
      </c>
      <c r="AI2647">
        <f t="shared" si="418"/>
        <v>0</v>
      </c>
      <c r="AJ2647">
        <v>174.5</v>
      </c>
      <c r="AK2647">
        <v>1013.3</v>
      </c>
      <c r="AL2647">
        <v>70.7</v>
      </c>
      <c r="AM2647">
        <v>6.1</v>
      </c>
      <c r="AN2647">
        <v>161.80000000000001</v>
      </c>
      <c r="AO2647">
        <v>13.9</v>
      </c>
      <c r="AP2647">
        <v>5</v>
      </c>
      <c r="AQ2647">
        <v>0</v>
      </c>
      <c r="AR2647" t="s">
        <v>9167</v>
      </c>
      <c r="AS2647" t="s">
        <v>9168</v>
      </c>
      <c r="AT2647">
        <v>0.5</v>
      </c>
      <c r="AU2647" t="s">
        <v>43</v>
      </c>
      <c r="AV2647" t="s">
        <v>44</v>
      </c>
      <c r="AW2647" t="s">
        <v>45</v>
      </c>
      <c r="AX2647" t="s">
        <v>9169</v>
      </c>
      <c r="AY2647" t="s">
        <v>9170</v>
      </c>
      <c r="AZ2647">
        <v>172.99999999813741</v>
      </c>
      <c r="BA2647">
        <v>0</v>
      </c>
      <c r="BB2647">
        <v>3</v>
      </c>
      <c r="BC2647">
        <v>0</v>
      </c>
      <c r="BD2647">
        <v>0</v>
      </c>
      <c r="BE2647">
        <f t="shared" si="419"/>
        <v>0</v>
      </c>
    </row>
    <row r="2648" spans="1:57" x14ac:dyDescent="0.25">
      <c r="A2648" t="s">
        <v>39</v>
      </c>
      <c r="B2648" t="s">
        <v>9171</v>
      </c>
      <c r="C2648">
        <v>66.2</v>
      </c>
      <c r="D2648">
        <v>57.2</v>
      </c>
      <c r="G2648">
        <f t="shared" si="410"/>
        <v>0</v>
      </c>
      <c r="H2648">
        <f t="shared" si="411"/>
        <v>0</v>
      </c>
      <c r="I2648">
        <f t="shared" si="412"/>
        <v>0</v>
      </c>
      <c r="J2648">
        <v>60.2</v>
      </c>
      <c r="K2648">
        <v>66.2</v>
      </c>
      <c r="L2648">
        <v>57.2</v>
      </c>
      <c r="M2648">
        <v>60.2</v>
      </c>
      <c r="N2648">
        <v>53.1</v>
      </c>
      <c r="O2648">
        <v>77.7</v>
      </c>
      <c r="S2648">
        <f t="shared" si="413"/>
        <v>1</v>
      </c>
      <c r="T2648">
        <f t="shared" si="414"/>
        <v>1</v>
      </c>
      <c r="U2648">
        <f t="shared" si="415"/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19.5</v>
      </c>
      <c r="AC2648">
        <v>8.1</v>
      </c>
      <c r="AG2648">
        <f t="shared" si="416"/>
        <v>1</v>
      </c>
      <c r="AH2648">
        <f t="shared" si="417"/>
        <v>0</v>
      </c>
      <c r="AI2648">
        <f t="shared" si="418"/>
        <v>1</v>
      </c>
      <c r="AJ2648">
        <v>358.5</v>
      </c>
      <c r="AK2648">
        <v>1015.2</v>
      </c>
      <c r="AL2648">
        <v>71.900000000000006</v>
      </c>
      <c r="AM2648">
        <v>6.2</v>
      </c>
      <c r="AN2648">
        <v>249.5</v>
      </c>
      <c r="AO2648">
        <v>21.7</v>
      </c>
      <c r="AP2648">
        <v>8</v>
      </c>
      <c r="AQ2648">
        <v>0</v>
      </c>
      <c r="AR2648" t="s">
        <v>9172</v>
      </c>
      <c r="AS2648" t="s">
        <v>9173</v>
      </c>
      <c r="AT2648">
        <v>0.61</v>
      </c>
      <c r="AU2648" t="s">
        <v>43</v>
      </c>
      <c r="AV2648" t="s">
        <v>44</v>
      </c>
      <c r="AW2648" t="s">
        <v>45</v>
      </c>
      <c r="AX2648" t="s">
        <v>4132</v>
      </c>
      <c r="AY2648" t="s">
        <v>9174</v>
      </c>
      <c r="AZ2648">
        <v>135</v>
      </c>
      <c r="BA2648">
        <v>0</v>
      </c>
      <c r="BB2648">
        <v>0.3</v>
      </c>
      <c r="BC2648">
        <v>0</v>
      </c>
      <c r="BD2648">
        <v>0</v>
      </c>
      <c r="BE2648">
        <f t="shared" si="419"/>
        <v>0</v>
      </c>
    </row>
    <row r="2649" spans="1:57" x14ac:dyDescent="0.25">
      <c r="A2649" t="s">
        <v>39</v>
      </c>
      <c r="B2649" t="s">
        <v>9175</v>
      </c>
      <c r="C2649">
        <v>82.4</v>
      </c>
      <c r="D2649">
        <v>69.8</v>
      </c>
      <c r="G2649">
        <f t="shared" si="410"/>
        <v>0</v>
      </c>
      <c r="H2649">
        <f t="shared" si="411"/>
        <v>0</v>
      </c>
      <c r="I2649">
        <f t="shared" si="412"/>
        <v>0</v>
      </c>
      <c r="J2649">
        <v>76.2</v>
      </c>
      <c r="K2649">
        <v>88.3</v>
      </c>
      <c r="L2649">
        <v>69.8</v>
      </c>
      <c r="M2649">
        <v>77.8</v>
      </c>
      <c r="N2649">
        <v>69.8</v>
      </c>
      <c r="O2649">
        <v>80.900000000000006</v>
      </c>
      <c r="S2649">
        <f t="shared" si="413"/>
        <v>1</v>
      </c>
      <c r="T2649">
        <f t="shared" si="414"/>
        <v>1</v>
      </c>
      <c r="U2649">
        <f t="shared" si="415"/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22.8</v>
      </c>
      <c r="AC2649">
        <v>9.1999999999999993</v>
      </c>
      <c r="AG2649">
        <f t="shared" si="416"/>
        <v>1</v>
      </c>
      <c r="AH2649">
        <f t="shared" si="417"/>
        <v>0</v>
      </c>
      <c r="AI2649">
        <f t="shared" si="418"/>
        <v>1</v>
      </c>
      <c r="AJ2649">
        <v>335.5</v>
      </c>
      <c r="AK2649">
        <v>1011.4</v>
      </c>
      <c r="AL2649">
        <v>35.200000000000003</v>
      </c>
      <c r="AM2649">
        <v>6.2</v>
      </c>
      <c r="AN2649">
        <v>329.4</v>
      </c>
      <c r="AO2649">
        <v>28.5</v>
      </c>
      <c r="AP2649">
        <v>10</v>
      </c>
      <c r="AQ2649">
        <v>0</v>
      </c>
      <c r="AR2649" t="s">
        <v>9176</v>
      </c>
      <c r="AS2649" t="s">
        <v>9177</v>
      </c>
      <c r="AT2649">
        <v>0.43</v>
      </c>
      <c r="AU2649" t="s">
        <v>43</v>
      </c>
      <c r="AV2649" t="s">
        <v>44</v>
      </c>
      <c r="AW2649" t="s">
        <v>45</v>
      </c>
      <c r="AX2649" t="s">
        <v>9178</v>
      </c>
      <c r="AY2649" t="s">
        <v>9179</v>
      </c>
      <c r="AZ2649">
        <v>746.00000000093132</v>
      </c>
      <c r="BA2649">
        <v>1</v>
      </c>
      <c r="BB2649">
        <v>0</v>
      </c>
      <c r="BC2649">
        <v>1</v>
      </c>
      <c r="BD2649">
        <v>0</v>
      </c>
      <c r="BE2649">
        <f t="shared" si="419"/>
        <v>0</v>
      </c>
    </row>
    <row r="2650" spans="1:57" x14ac:dyDescent="0.25">
      <c r="A2650" t="s">
        <v>39</v>
      </c>
      <c r="B2650" t="s">
        <v>9180</v>
      </c>
      <c r="C2650">
        <v>84.2</v>
      </c>
      <c r="D2650">
        <v>75.2</v>
      </c>
      <c r="G2650">
        <f t="shared" si="410"/>
        <v>0</v>
      </c>
      <c r="H2650">
        <f t="shared" si="411"/>
        <v>0</v>
      </c>
      <c r="I2650">
        <f t="shared" si="412"/>
        <v>0</v>
      </c>
      <c r="J2650">
        <v>79.2</v>
      </c>
      <c r="K2650">
        <v>89.6</v>
      </c>
      <c r="L2650">
        <v>75.2</v>
      </c>
      <c r="M2650">
        <v>81.5</v>
      </c>
      <c r="N2650">
        <v>71.3</v>
      </c>
      <c r="O2650">
        <v>77.3</v>
      </c>
      <c r="S2650">
        <f t="shared" si="413"/>
        <v>1</v>
      </c>
      <c r="T2650">
        <f t="shared" si="414"/>
        <v>1</v>
      </c>
      <c r="U2650">
        <f t="shared" si="415"/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24.2</v>
      </c>
      <c r="AC2650">
        <v>15</v>
      </c>
      <c r="AG2650">
        <f t="shared" si="416"/>
        <v>1</v>
      </c>
      <c r="AH2650">
        <f t="shared" si="417"/>
        <v>0</v>
      </c>
      <c r="AI2650">
        <f t="shared" si="418"/>
        <v>1</v>
      </c>
      <c r="AJ2650">
        <v>315.2</v>
      </c>
      <c r="AK2650">
        <v>1011.8</v>
      </c>
      <c r="AL2650">
        <v>18.399999999999999</v>
      </c>
      <c r="AM2650">
        <v>6.2</v>
      </c>
      <c r="AN2650">
        <v>329.4</v>
      </c>
      <c r="AO2650">
        <v>28.5</v>
      </c>
      <c r="AP2650">
        <v>9</v>
      </c>
      <c r="AQ2650">
        <v>0</v>
      </c>
      <c r="AR2650" t="s">
        <v>9181</v>
      </c>
      <c r="AS2650" t="s">
        <v>9182</v>
      </c>
      <c r="AT2650">
        <v>0.53</v>
      </c>
      <c r="AU2650" t="s">
        <v>74</v>
      </c>
      <c r="AV2650" t="s">
        <v>2955</v>
      </c>
      <c r="AW2650" t="s">
        <v>75</v>
      </c>
      <c r="AX2650" t="s">
        <v>7846</v>
      </c>
      <c r="AY2650" t="s">
        <v>9183</v>
      </c>
      <c r="AZ2650">
        <v>3306.0000000055879</v>
      </c>
      <c r="BA2650">
        <v>1</v>
      </c>
      <c r="BB2650">
        <v>0</v>
      </c>
      <c r="BC2650">
        <v>6.5</v>
      </c>
      <c r="BD2650">
        <v>0</v>
      </c>
      <c r="BE2650">
        <f t="shared" si="419"/>
        <v>0</v>
      </c>
    </row>
    <row r="2651" spans="1:57" x14ac:dyDescent="0.25">
      <c r="A2651" t="s">
        <v>39</v>
      </c>
      <c r="B2651" t="s">
        <v>9184</v>
      </c>
      <c r="C2651">
        <v>89.6</v>
      </c>
      <c r="D2651">
        <v>77</v>
      </c>
      <c r="G2651">
        <f t="shared" si="410"/>
        <v>1</v>
      </c>
      <c r="H2651">
        <f t="shared" si="411"/>
        <v>1</v>
      </c>
      <c r="I2651">
        <f t="shared" si="412"/>
        <v>0</v>
      </c>
      <c r="J2651">
        <v>84.1</v>
      </c>
      <c r="K2651">
        <v>96.3</v>
      </c>
      <c r="L2651">
        <v>77</v>
      </c>
      <c r="M2651">
        <v>87</v>
      </c>
      <c r="N2651">
        <v>67</v>
      </c>
      <c r="O2651">
        <v>56.9</v>
      </c>
      <c r="S2651">
        <f t="shared" si="413"/>
        <v>1</v>
      </c>
      <c r="T2651">
        <f t="shared" si="414"/>
        <v>0</v>
      </c>
      <c r="U2651">
        <f t="shared" si="415"/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32.4</v>
      </c>
      <c r="AC2651">
        <v>17.2</v>
      </c>
      <c r="AG2651">
        <f t="shared" si="416"/>
        <v>0</v>
      </c>
      <c r="AH2651">
        <f t="shared" si="417"/>
        <v>0</v>
      </c>
      <c r="AI2651">
        <f t="shared" si="418"/>
        <v>0</v>
      </c>
      <c r="AJ2651">
        <v>296.10000000000002</v>
      </c>
      <c r="AK2651">
        <v>1006.7</v>
      </c>
      <c r="AL2651">
        <v>0</v>
      </c>
      <c r="AM2651">
        <v>6.2</v>
      </c>
      <c r="AN2651">
        <v>322.2</v>
      </c>
      <c r="AO2651">
        <v>27.7</v>
      </c>
      <c r="AP2651">
        <v>10</v>
      </c>
      <c r="AQ2651">
        <v>0</v>
      </c>
      <c r="AR2651" t="s">
        <v>9185</v>
      </c>
      <c r="AS2651" t="s">
        <v>9186</v>
      </c>
      <c r="AT2651">
        <v>0.45</v>
      </c>
      <c r="AU2651" t="s">
        <v>74</v>
      </c>
      <c r="AV2651" t="s">
        <v>2955</v>
      </c>
      <c r="AW2651" t="s">
        <v>75</v>
      </c>
      <c r="AX2651" t="s">
        <v>9187</v>
      </c>
      <c r="AY2651" t="s">
        <v>9188</v>
      </c>
      <c r="AZ2651">
        <v>0</v>
      </c>
      <c r="BA2651">
        <v>0</v>
      </c>
      <c r="BB2651">
        <v>1</v>
      </c>
      <c r="BC2651">
        <v>0</v>
      </c>
      <c r="BD2651">
        <v>0</v>
      </c>
      <c r="BE2651">
        <f t="shared" si="419"/>
        <v>0</v>
      </c>
    </row>
    <row r="2652" spans="1:57" x14ac:dyDescent="0.25">
      <c r="A2652" t="s">
        <v>39</v>
      </c>
      <c r="B2652" t="s">
        <v>9095</v>
      </c>
      <c r="C2652">
        <v>86</v>
      </c>
      <c r="D2652">
        <v>71.599999999999994</v>
      </c>
      <c r="G2652">
        <f t="shared" si="410"/>
        <v>1</v>
      </c>
      <c r="H2652">
        <f t="shared" si="411"/>
        <v>1</v>
      </c>
      <c r="I2652">
        <f t="shared" si="412"/>
        <v>0</v>
      </c>
      <c r="J2652">
        <v>80.2</v>
      </c>
      <c r="K2652">
        <v>92</v>
      </c>
      <c r="L2652">
        <v>71.599999999999994</v>
      </c>
      <c r="M2652">
        <v>83.1</v>
      </c>
      <c r="N2652">
        <v>70.599999999999994</v>
      </c>
      <c r="O2652">
        <v>73.2</v>
      </c>
      <c r="S2652">
        <f t="shared" si="413"/>
        <v>1</v>
      </c>
      <c r="T2652">
        <f t="shared" si="414"/>
        <v>1</v>
      </c>
      <c r="U2652">
        <f t="shared" si="415"/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28.6</v>
      </c>
      <c r="AC2652">
        <v>17.2</v>
      </c>
      <c r="AG2652">
        <f t="shared" si="416"/>
        <v>0</v>
      </c>
      <c r="AH2652">
        <f t="shared" si="417"/>
        <v>0</v>
      </c>
      <c r="AI2652">
        <f t="shared" si="418"/>
        <v>0</v>
      </c>
      <c r="AJ2652">
        <v>297.60000000000002</v>
      </c>
      <c r="AK2652">
        <v>1011.7</v>
      </c>
      <c r="AL2652">
        <v>9.3000000000000007</v>
      </c>
      <c r="AM2652">
        <v>6.2</v>
      </c>
      <c r="AN2652">
        <v>297.5</v>
      </c>
      <c r="AO2652">
        <v>25.7</v>
      </c>
      <c r="AP2652">
        <v>9</v>
      </c>
      <c r="AQ2652">
        <v>0</v>
      </c>
      <c r="AR2652" t="s">
        <v>9096</v>
      </c>
      <c r="AS2652" t="s">
        <v>9097</v>
      </c>
      <c r="AT2652">
        <v>0</v>
      </c>
      <c r="AU2652" t="s">
        <v>74</v>
      </c>
      <c r="AV2652" t="s">
        <v>2955</v>
      </c>
      <c r="AW2652" t="s">
        <v>75</v>
      </c>
      <c r="AX2652" t="s">
        <v>6089</v>
      </c>
      <c r="AY2652" t="s">
        <v>9189</v>
      </c>
      <c r="AZ2652">
        <v>135.99999999278231</v>
      </c>
      <c r="BA2652">
        <v>0</v>
      </c>
      <c r="BB2652">
        <v>0</v>
      </c>
      <c r="BC2652">
        <v>8</v>
      </c>
      <c r="BD2652">
        <v>0</v>
      </c>
      <c r="BE2652">
        <f t="shared" si="419"/>
        <v>0</v>
      </c>
    </row>
    <row r="2653" spans="1:57" x14ac:dyDescent="0.25">
      <c r="A2653" t="s">
        <v>39</v>
      </c>
      <c r="B2653" t="s">
        <v>9190</v>
      </c>
      <c r="C2653">
        <v>75.3</v>
      </c>
      <c r="D2653">
        <v>59</v>
      </c>
      <c r="G2653">
        <f t="shared" si="410"/>
        <v>0</v>
      </c>
      <c r="H2653">
        <f t="shared" si="411"/>
        <v>0</v>
      </c>
      <c r="I2653">
        <f t="shared" si="412"/>
        <v>0</v>
      </c>
      <c r="J2653">
        <v>68.400000000000006</v>
      </c>
      <c r="K2653">
        <v>75.3</v>
      </c>
      <c r="L2653">
        <v>59</v>
      </c>
      <c r="M2653">
        <v>68.400000000000006</v>
      </c>
      <c r="N2653">
        <v>60.9</v>
      </c>
      <c r="O2653">
        <v>77.599999999999994</v>
      </c>
      <c r="S2653">
        <f t="shared" si="413"/>
        <v>1</v>
      </c>
      <c r="T2653">
        <f t="shared" si="414"/>
        <v>1</v>
      </c>
      <c r="U2653">
        <f t="shared" si="415"/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13.9</v>
      </c>
      <c r="AC2653">
        <v>11.4</v>
      </c>
      <c r="AG2653">
        <f t="shared" si="416"/>
        <v>1</v>
      </c>
      <c r="AH2653">
        <f t="shared" si="417"/>
        <v>0</v>
      </c>
      <c r="AI2653">
        <f t="shared" si="418"/>
        <v>1</v>
      </c>
      <c r="AJ2653">
        <v>152.19999999999999</v>
      </c>
      <c r="AK2653">
        <v>1014.5</v>
      </c>
      <c r="AL2653">
        <v>27.9</v>
      </c>
      <c r="AM2653">
        <v>6.2</v>
      </c>
      <c r="AN2653">
        <v>167.9</v>
      </c>
      <c r="AO2653">
        <v>14.5</v>
      </c>
      <c r="AP2653">
        <v>6</v>
      </c>
      <c r="AQ2653">
        <v>0</v>
      </c>
      <c r="AR2653" t="s">
        <v>9191</v>
      </c>
      <c r="AS2653" t="s">
        <v>9192</v>
      </c>
      <c r="AT2653">
        <v>0.38</v>
      </c>
      <c r="AU2653" t="s">
        <v>43</v>
      </c>
      <c r="AV2653" t="s">
        <v>44</v>
      </c>
      <c r="AW2653" t="s">
        <v>45</v>
      </c>
      <c r="AX2653" t="s">
        <v>4203</v>
      </c>
      <c r="AY2653" t="s">
        <v>9193</v>
      </c>
      <c r="AZ2653">
        <v>974.99999999301508</v>
      </c>
      <c r="BA2653">
        <v>1</v>
      </c>
      <c r="BB2653">
        <v>0</v>
      </c>
      <c r="BC2653">
        <v>1</v>
      </c>
      <c r="BD2653">
        <v>0</v>
      </c>
      <c r="BE2653">
        <f t="shared" si="419"/>
        <v>0</v>
      </c>
    </row>
    <row r="2654" spans="1:57" x14ac:dyDescent="0.25">
      <c r="A2654" t="s">
        <v>39</v>
      </c>
      <c r="B2654" t="s">
        <v>9194</v>
      </c>
      <c r="C2654">
        <v>60.8</v>
      </c>
      <c r="D2654">
        <v>55.4</v>
      </c>
      <c r="G2654">
        <f t="shared" si="410"/>
        <v>1</v>
      </c>
      <c r="H2654">
        <f t="shared" si="411"/>
        <v>0</v>
      </c>
      <c r="I2654">
        <f t="shared" si="412"/>
        <v>1</v>
      </c>
      <c r="J2654">
        <v>59.2</v>
      </c>
      <c r="K2654">
        <v>60.8</v>
      </c>
      <c r="L2654">
        <v>55.4</v>
      </c>
      <c r="M2654">
        <v>59.2</v>
      </c>
      <c r="N2654">
        <v>44.6</v>
      </c>
      <c r="O2654">
        <v>60</v>
      </c>
      <c r="S2654">
        <f t="shared" si="413"/>
        <v>1</v>
      </c>
      <c r="T2654">
        <f t="shared" si="414"/>
        <v>0</v>
      </c>
      <c r="U2654">
        <f t="shared" si="415"/>
        <v>1</v>
      </c>
      <c r="V2654">
        <v>1.248</v>
      </c>
      <c r="W2654">
        <v>100</v>
      </c>
      <c r="X2654">
        <v>8.33</v>
      </c>
      <c r="Y2654" t="s">
        <v>103</v>
      </c>
      <c r="Z2654">
        <v>0</v>
      </c>
      <c r="AA2654">
        <v>0</v>
      </c>
      <c r="AB2654">
        <v>37.4</v>
      </c>
      <c r="AC2654">
        <v>26.4</v>
      </c>
      <c r="AG2654">
        <f t="shared" si="416"/>
        <v>1</v>
      </c>
      <c r="AH2654">
        <f t="shared" si="417"/>
        <v>1</v>
      </c>
      <c r="AI2654">
        <f t="shared" si="418"/>
        <v>0</v>
      </c>
      <c r="AJ2654">
        <v>317.2</v>
      </c>
      <c r="AK2654">
        <v>1013.8</v>
      </c>
      <c r="AL2654">
        <v>82.6</v>
      </c>
      <c r="AM2654">
        <v>6</v>
      </c>
      <c r="AN2654">
        <v>117.4</v>
      </c>
      <c r="AO2654">
        <v>10.1</v>
      </c>
      <c r="AP2654">
        <v>5</v>
      </c>
      <c r="AQ2654">
        <v>0</v>
      </c>
      <c r="AR2654" t="s">
        <v>9195</v>
      </c>
      <c r="AS2654" t="s">
        <v>9196</v>
      </c>
      <c r="AT2654">
        <v>0.22</v>
      </c>
      <c r="AU2654" t="s">
        <v>106</v>
      </c>
      <c r="AV2654" t="s">
        <v>1098</v>
      </c>
      <c r="AW2654" t="s">
        <v>103</v>
      </c>
      <c r="AX2654" t="s">
        <v>9197</v>
      </c>
      <c r="AY2654" t="s">
        <v>9198</v>
      </c>
      <c r="AZ2654">
        <v>268.00000000395812</v>
      </c>
      <c r="BA2654">
        <v>0</v>
      </c>
      <c r="BB2654">
        <v>0.5</v>
      </c>
      <c r="BC2654">
        <v>0</v>
      </c>
      <c r="BD2654">
        <v>0</v>
      </c>
      <c r="BE2654">
        <f t="shared" si="419"/>
        <v>1</v>
      </c>
    </row>
    <row r="2655" spans="1:57" x14ac:dyDescent="0.25">
      <c r="A2655" t="s">
        <v>39</v>
      </c>
      <c r="B2655" t="s">
        <v>9199</v>
      </c>
      <c r="C2655">
        <v>76.900000000000006</v>
      </c>
      <c r="D2655">
        <v>64.400000000000006</v>
      </c>
      <c r="G2655">
        <f t="shared" si="410"/>
        <v>1</v>
      </c>
      <c r="H2655">
        <f t="shared" si="411"/>
        <v>1</v>
      </c>
      <c r="I2655">
        <f t="shared" si="412"/>
        <v>0</v>
      </c>
      <c r="J2655">
        <v>68.599999999999994</v>
      </c>
      <c r="K2655">
        <v>76.900000000000006</v>
      </c>
      <c r="L2655">
        <v>64.400000000000006</v>
      </c>
      <c r="M2655">
        <v>68.599999999999994</v>
      </c>
      <c r="N2655">
        <v>57.4</v>
      </c>
      <c r="O2655">
        <v>68.8</v>
      </c>
      <c r="S2655">
        <f t="shared" si="413"/>
        <v>0</v>
      </c>
      <c r="T2655">
        <f t="shared" si="414"/>
        <v>0</v>
      </c>
      <c r="U2655">
        <f t="shared" si="415"/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28.9</v>
      </c>
      <c r="AC2655">
        <v>18.3</v>
      </c>
      <c r="AG2655">
        <f t="shared" si="416"/>
        <v>1</v>
      </c>
      <c r="AH2655">
        <f t="shared" si="417"/>
        <v>1</v>
      </c>
      <c r="AI2655">
        <f t="shared" si="418"/>
        <v>0</v>
      </c>
      <c r="AJ2655">
        <v>176.2</v>
      </c>
      <c r="AK2655">
        <v>1012.8</v>
      </c>
      <c r="AL2655">
        <v>37.1</v>
      </c>
      <c r="AM2655">
        <v>6.2</v>
      </c>
      <c r="AN2655">
        <v>112.2</v>
      </c>
      <c r="AO2655">
        <v>9.6999999999999993</v>
      </c>
      <c r="AP2655">
        <v>4</v>
      </c>
      <c r="AQ2655">
        <v>0</v>
      </c>
      <c r="AR2655" t="s">
        <v>9200</v>
      </c>
      <c r="AS2655" t="s">
        <v>9201</v>
      </c>
      <c r="AT2655">
        <v>0.32</v>
      </c>
      <c r="AU2655" t="s">
        <v>43</v>
      </c>
      <c r="AV2655" t="s">
        <v>44</v>
      </c>
      <c r="AW2655" t="s">
        <v>45</v>
      </c>
      <c r="AX2655" t="s">
        <v>4095</v>
      </c>
      <c r="AY2655" t="s">
        <v>9202</v>
      </c>
      <c r="AZ2655">
        <v>190.00000000116421</v>
      </c>
      <c r="BA2655">
        <v>0</v>
      </c>
      <c r="BB2655">
        <v>0.2</v>
      </c>
      <c r="BC2655">
        <v>0</v>
      </c>
      <c r="BD2655">
        <v>0</v>
      </c>
      <c r="BE2655">
        <f t="shared" si="419"/>
        <v>0</v>
      </c>
    </row>
    <row r="2656" spans="1:57" x14ac:dyDescent="0.25">
      <c r="A2656" t="s">
        <v>39</v>
      </c>
      <c r="B2656" t="s">
        <v>9203</v>
      </c>
      <c r="C2656">
        <v>68</v>
      </c>
      <c r="D2656">
        <v>50</v>
      </c>
      <c r="G2656">
        <f t="shared" si="410"/>
        <v>0</v>
      </c>
      <c r="H2656">
        <f t="shared" si="411"/>
        <v>0</v>
      </c>
      <c r="I2656">
        <f t="shared" si="412"/>
        <v>0</v>
      </c>
      <c r="J2656">
        <v>60.3</v>
      </c>
      <c r="K2656">
        <v>68</v>
      </c>
      <c r="L2656">
        <v>50</v>
      </c>
      <c r="M2656">
        <v>60.3</v>
      </c>
      <c r="N2656">
        <v>45.9</v>
      </c>
      <c r="O2656">
        <v>59.3</v>
      </c>
      <c r="S2656">
        <f t="shared" si="413"/>
        <v>1</v>
      </c>
      <c r="T2656">
        <f t="shared" si="414"/>
        <v>0</v>
      </c>
      <c r="U2656">
        <f t="shared" si="415"/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38</v>
      </c>
      <c r="AC2656">
        <v>26.4</v>
      </c>
      <c r="AG2656">
        <f t="shared" si="416"/>
        <v>1</v>
      </c>
      <c r="AH2656">
        <f t="shared" si="417"/>
        <v>1</v>
      </c>
      <c r="AI2656">
        <f t="shared" si="418"/>
        <v>0</v>
      </c>
      <c r="AJ2656">
        <v>178.2</v>
      </c>
      <c r="AK2656">
        <v>1015.6</v>
      </c>
      <c r="AL2656">
        <v>36.9</v>
      </c>
      <c r="AM2656">
        <v>6.2</v>
      </c>
      <c r="AN2656">
        <v>91.5</v>
      </c>
      <c r="AO2656">
        <v>8</v>
      </c>
      <c r="AP2656">
        <v>4</v>
      </c>
      <c r="AQ2656">
        <v>0</v>
      </c>
      <c r="AR2656" t="s">
        <v>9204</v>
      </c>
      <c r="AS2656" t="s">
        <v>9205</v>
      </c>
      <c r="AT2656">
        <v>0.53</v>
      </c>
      <c r="AU2656" t="s">
        <v>43</v>
      </c>
      <c r="AV2656" t="s">
        <v>44</v>
      </c>
      <c r="AW2656" t="s">
        <v>45</v>
      </c>
      <c r="AX2656" t="s">
        <v>7619</v>
      </c>
      <c r="AY2656" t="s">
        <v>9206</v>
      </c>
      <c r="AZ2656">
        <v>775.00000000116415</v>
      </c>
      <c r="BA2656">
        <v>1</v>
      </c>
      <c r="BB2656">
        <v>1</v>
      </c>
      <c r="BC2656">
        <v>0</v>
      </c>
      <c r="BD2656">
        <v>0</v>
      </c>
      <c r="BE2656">
        <f t="shared" si="419"/>
        <v>1</v>
      </c>
    </row>
    <row r="2657" spans="1:57" x14ac:dyDescent="0.25">
      <c r="A2657" t="s">
        <v>39</v>
      </c>
      <c r="B2657" t="s">
        <v>9207</v>
      </c>
      <c r="C2657">
        <v>71.599999999999994</v>
      </c>
      <c r="D2657">
        <v>64.400000000000006</v>
      </c>
      <c r="G2657">
        <f t="shared" si="410"/>
        <v>1</v>
      </c>
      <c r="H2657">
        <f t="shared" si="411"/>
        <v>1</v>
      </c>
      <c r="I2657">
        <f t="shared" si="412"/>
        <v>0</v>
      </c>
      <c r="J2657">
        <v>67</v>
      </c>
      <c r="K2657">
        <v>71.599999999999994</v>
      </c>
      <c r="L2657">
        <v>64.400000000000006</v>
      </c>
      <c r="M2657">
        <v>67</v>
      </c>
      <c r="N2657">
        <v>52.1</v>
      </c>
      <c r="O2657">
        <v>58.9</v>
      </c>
      <c r="S2657">
        <f t="shared" si="413"/>
        <v>1</v>
      </c>
      <c r="T2657">
        <f t="shared" si="414"/>
        <v>0</v>
      </c>
      <c r="U2657">
        <f t="shared" si="415"/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34.4</v>
      </c>
      <c r="AC2657">
        <v>25.3</v>
      </c>
      <c r="AG2657">
        <f t="shared" si="416"/>
        <v>1</v>
      </c>
      <c r="AH2657">
        <f t="shared" si="417"/>
        <v>1</v>
      </c>
      <c r="AI2657">
        <f t="shared" si="418"/>
        <v>0</v>
      </c>
      <c r="AJ2657">
        <v>175.3</v>
      </c>
      <c r="AK2657">
        <v>1012.8</v>
      </c>
      <c r="AL2657">
        <v>52.9</v>
      </c>
      <c r="AM2657">
        <v>6.2</v>
      </c>
      <c r="AN2657">
        <v>103.7</v>
      </c>
      <c r="AO2657">
        <v>8.8000000000000007</v>
      </c>
      <c r="AP2657">
        <v>4</v>
      </c>
      <c r="AQ2657">
        <v>0</v>
      </c>
      <c r="AR2657" t="s">
        <v>9208</v>
      </c>
      <c r="AS2657" t="s">
        <v>9209</v>
      </c>
      <c r="AT2657">
        <v>0.56999999999999995</v>
      </c>
      <c r="AU2657" t="s">
        <v>43</v>
      </c>
      <c r="AV2657" t="s">
        <v>44</v>
      </c>
      <c r="AW2657" t="s">
        <v>45</v>
      </c>
      <c r="AX2657" t="s">
        <v>9210</v>
      </c>
      <c r="AY2657" t="s">
        <v>9211</v>
      </c>
      <c r="AZ2657">
        <v>436.99999999953428</v>
      </c>
      <c r="BA2657">
        <v>1</v>
      </c>
      <c r="BB2657">
        <v>2</v>
      </c>
      <c r="BC2657">
        <v>0</v>
      </c>
      <c r="BD2657">
        <v>0</v>
      </c>
      <c r="BE2657">
        <f t="shared" si="419"/>
        <v>1</v>
      </c>
    </row>
    <row r="2658" spans="1:57" x14ac:dyDescent="0.25">
      <c r="A2658" t="s">
        <v>39</v>
      </c>
      <c r="B2658" t="s">
        <v>9212</v>
      </c>
      <c r="C2658">
        <v>68</v>
      </c>
      <c r="D2658">
        <v>59</v>
      </c>
      <c r="G2658">
        <f t="shared" si="410"/>
        <v>1</v>
      </c>
      <c r="H2658">
        <f t="shared" si="411"/>
        <v>1</v>
      </c>
      <c r="I2658">
        <f t="shared" si="412"/>
        <v>0</v>
      </c>
      <c r="J2658">
        <v>63.4</v>
      </c>
      <c r="K2658">
        <v>68</v>
      </c>
      <c r="L2658">
        <v>59</v>
      </c>
      <c r="M2658">
        <v>63.4</v>
      </c>
      <c r="N2658">
        <v>51.9</v>
      </c>
      <c r="O2658">
        <v>66.8</v>
      </c>
      <c r="S2658">
        <f t="shared" si="413"/>
        <v>1</v>
      </c>
      <c r="T2658">
        <f t="shared" si="414"/>
        <v>0</v>
      </c>
      <c r="U2658">
        <f t="shared" si="415"/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25.3</v>
      </c>
      <c r="AC2658">
        <v>16.100000000000001</v>
      </c>
      <c r="AG2658">
        <f t="shared" si="416"/>
        <v>1</v>
      </c>
      <c r="AH2658">
        <f t="shared" si="417"/>
        <v>0</v>
      </c>
      <c r="AI2658">
        <f t="shared" si="418"/>
        <v>1</v>
      </c>
      <c r="AJ2658">
        <v>218.5</v>
      </c>
      <c r="AK2658">
        <v>1011.6</v>
      </c>
      <c r="AL2658">
        <v>46.1</v>
      </c>
      <c r="AM2658">
        <v>6.2</v>
      </c>
      <c r="AN2658">
        <v>106.1</v>
      </c>
      <c r="AO2658">
        <v>9</v>
      </c>
      <c r="AP2658">
        <v>4</v>
      </c>
      <c r="AQ2658">
        <v>0</v>
      </c>
      <c r="AR2658" t="s">
        <v>9213</v>
      </c>
      <c r="AS2658" t="s">
        <v>9214</v>
      </c>
      <c r="AT2658">
        <v>0.79</v>
      </c>
      <c r="AU2658" t="s">
        <v>43</v>
      </c>
      <c r="AV2658" t="s">
        <v>44</v>
      </c>
      <c r="AW2658" t="s">
        <v>45</v>
      </c>
      <c r="AX2658" t="s">
        <v>2560</v>
      </c>
      <c r="AY2658" t="s">
        <v>9215</v>
      </c>
      <c r="AZ2658">
        <v>135</v>
      </c>
      <c r="BA2658">
        <v>0</v>
      </c>
      <c r="BB2658">
        <v>0.02</v>
      </c>
      <c r="BC2658">
        <v>0.02</v>
      </c>
      <c r="BD2658">
        <v>0</v>
      </c>
      <c r="BE2658">
        <f t="shared" si="419"/>
        <v>1</v>
      </c>
    </row>
    <row r="2659" spans="1:57" x14ac:dyDescent="0.25">
      <c r="A2659" t="s">
        <v>39</v>
      </c>
      <c r="B2659" t="s">
        <v>9216</v>
      </c>
      <c r="C2659">
        <v>69.8</v>
      </c>
      <c r="D2659">
        <v>59.8</v>
      </c>
      <c r="G2659">
        <f t="shared" si="410"/>
        <v>1</v>
      </c>
      <c r="H2659">
        <f t="shared" si="411"/>
        <v>1</v>
      </c>
      <c r="I2659">
        <f t="shared" si="412"/>
        <v>0</v>
      </c>
      <c r="J2659">
        <v>65.900000000000006</v>
      </c>
      <c r="K2659">
        <v>69.8</v>
      </c>
      <c r="L2659">
        <v>59.8</v>
      </c>
      <c r="M2659">
        <v>65.900000000000006</v>
      </c>
      <c r="N2659">
        <v>54.4</v>
      </c>
      <c r="O2659">
        <v>67</v>
      </c>
      <c r="S2659">
        <f t="shared" si="413"/>
        <v>0</v>
      </c>
      <c r="T2659">
        <f t="shared" si="414"/>
        <v>0</v>
      </c>
      <c r="U2659">
        <f t="shared" si="415"/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41.4</v>
      </c>
      <c r="AC2659">
        <v>30</v>
      </c>
      <c r="AG2659">
        <f t="shared" si="416"/>
        <v>1</v>
      </c>
      <c r="AH2659">
        <f t="shared" si="417"/>
        <v>1</v>
      </c>
      <c r="AI2659">
        <f t="shared" si="418"/>
        <v>0</v>
      </c>
      <c r="AJ2659">
        <v>179.7</v>
      </c>
      <c r="AK2659">
        <v>1015.2</v>
      </c>
      <c r="AL2659">
        <v>41</v>
      </c>
      <c r="AM2659">
        <v>6.2</v>
      </c>
      <c r="AN2659">
        <v>95</v>
      </c>
      <c r="AO2659">
        <v>8.3000000000000007</v>
      </c>
      <c r="AP2659">
        <v>4</v>
      </c>
      <c r="AQ2659">
        <v>0</v>
      </c>
      <c r="AR2659" t="s">
        <v>9217</v>
      </c>
      <c r="AS2659" t="s">
        <v>9218</v>
      </c>
      <c r="AT2659">
        <v>0.09</v>
      </c>
      <c r="AU2659" t="s">
        <v>43</v>
      </c>
      <c r="AV2659" t="s">
        <v>44</v>
      </c>
      <c r="AW2659" t="s">
        <v>45</v>
      </c>
      <c r="AX2659" t="s">
        <v>2592</v>
      </c>
      <c r="AY2659" t="s">
        <v>9219</v>
      </c>
      <c r="AZ2659">
        <v>614.00000000023283</v>
      </c>
      <c r="BA2659">
        <v>1</v>
      </c>
      <c r="BB2659">
        <v>0</v>
      </c>
      <c r="BC2659">
        <v>0.2</v>
      </c>
      <c r="BD2659">
        <v>0</v>
      </c>
      <c r="BE2659">
        <f t="shared" si="419"/>
        <v>1</v>
      </c>
    </row>
    <row r="2660" spans="1:57" x14ac:dyDescent="0.25">
      <c r="A2660" t="s">
        <v>39</v>
      </c>
      <c r="B2660" t="s">
        <v>9216</v>
      </c>
      <c r="C2660">
        <v>69.8</v>
      </c>
      <c r="D2660">
        <v>59.8</v>
      </c>
      <c r="G2660">
        <f t="shared" si="410"/>
        <v>1</v>
      </c>
      <c r="H2660">
        <f t="shared" si="411"/>
        <v>1</v>
      </c>
      <c r="I2660">
        <f t="shared" si="412"/>
        <v>0</v>
      </c>
      <c r="J2660">
        <v>65.900000000000006</v>
      </c>
      <c r="K2660">
        <v>69.8</v>
      </c>
      <c r="L2660">
        <v>59.8</v>
      </c>
      <c r="M2660">
        <v>65.900000000000006</v>
      </c>
      <c r="N2660">
        <v>54.4</v>
      </c>
      <c r="O2660">
        <v>67</v>
      </c>
      <c r="S2660">
        <f t="shared" si="413"/>
        <v>0</v>
      </c>
      <c r="T2660">
        <f t="shared" si="414"/>
        <v>0</v>
      </c>
      <c r="U2660">
        <f t="shared" si="415"/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41.4</v>
      </c>
      <c r="AC2660">
        <v>30</v>
      </c>
      <c r="AG2660">
        <f t="shared" si="416"/>
        <v>1</v>
      </c>
      <c r="AH2660">
        <f t="shared" si="417"/>
        <v>1</v>
      </c>
      <c r="AI2660">
        <f t="shared" si="418"/>
        <v>0</v>
      </c>
      <c r="AJ2660">
        <v>179.7</v>
      </c>
      <c r="AK2660">
        <v>1015.2</v>
      </c>
      <c r="AL2660">
        <v>41</v>
      </c>
      <c r="AM2660">
        <v>6.2</v>
      </c>
      <c r="AN2660">
        <v>95</v>
      </c>
      <c r="AO2660">
        <v>8.3000000000000007</v>
      </c>
      <c r="AP2660">
        <v>4</v>
      </c>
      <c r="AQ2660">
        <v>0</v>
      </c>
      <c r="AR2660" t="s">
        <v>9217</v>
      </c>
      <c r="AS2660" t="s">
        <v>9218</v>
      </c>
      <c r="AT2660">
        <v>0.09</v>
      </c>
      <c r="AU2660" t="s">
        <v>43</v>
      </c>
      <c r="AV2660" t="s">
        <v>44</v>
      </c>
      <c r="AW2660" t="s">
        <v>45</v>
      </c>
      <c r="AX2660" t="s">
        <v>4333</v>
      </c>
      <c r="AY2660" t="s">
        <v>9220</v>
      </c>
      <c r="AZ2660">
        <v>306.00000000209548</v>
      </c>
      <c r="BA2660">
        <v>0</v>
      </c>
      <c r="BB2660">
        <v>0</v>
      </c>
      <c r="BC2660">
        <v>0.1</v>
      </c>
      <c r="BD2660">
        <v>0</v>
      </c>
      <c r="BE2660">
        <f t="shared" si="419"/>
        <v>0</v>
      </c>
    </row>
    <row r="2661" spans="1:57" x14ac:dyDescent="0.25">
      <c r="A2661" t="s">
        <v>39</v>
      </c>
      <c r="B2661" t="s">
        <v>9221</v>
      </c>
      <c r="C2661">
        <v>68</v>
      </c>
      <c r="D2661">
        <v>48.2</v>
      </c>
      <c r="G2661">
        <f t="shared" si="410"/>
        <v>1</v>
      </c>
      <c r="H2661">
        <f t="shared" si="411"/>
        <v>1</v>
      </c>
      <c r="I2661">
        <f t="shared" si="412"/>
        <v>0</v>
      </c>
      <c r="J2661">
        <v>57.7</v>
      </c>
      <c r="K2661">
        <v>68</v>
      </c>
      <c r="L2661">
        <v>45.6</v>
      </c>
      <c r="M2661">
        <v>57.4</v>
      </c>
      <c r="N2661">
        <v>47.9</v>
      </c>
      <c r="O2661">
        <v>72.8</v>
      </c>
      <c r="S2661">
        <f t="shared" si="413"/>
        <v>1</v>
      </c>
      <c r="T2661">
        <f t="shared" si="414"/>
        <v>1</v>
      </c>
      <c r="U2661">
        <f t="shared" si="415"/>
        <v>0</v>
      </c>
      <c r="V2661">
        <v>1.6E-2</v>
      </c>
      <c r="W2661">
        <v>100</v>
      </c>
      <c r="X2661">
        <v>4.17</v>
      </c>
      <c r="Y2661" t="s">
        <v>103</v>
      </c>
      <c r="Z2661">
        <v>0</v>
      </c>
      <c r="AA2661">
        <v>0</v>
      </c>
      <c r="AB2661">
        <v>23</v>
      </c>
      <c r="AC2661">
        <v>16.100000000000001</v>
      </c>
      <c r="AG2661">
        <f t="shared" si="416"/>
        <v>1</v>
      </c>
      <c r="AH2661">
        <f t="shared" si="417"/>
        <v>0</v>
      </c>
      <c r="AI2661">
        <f t="shared" si="418"/>
        <v>1</v>
      </c>
      <c r="AJ2661">
        <v>164.7</v>
      </c>
      <c r="AK2661">
        <v>1016.3</v>
      </c>
      <c r="AL2661">
        <v>50.5</v>
      </c>
      <c r="AM2661">
        <v>6.2</v>
      </c>
      <c r="AN2661">
        <v>82.6</v>
      </c>
      <c r="AO2661">
        <v>7.1</v>
      </c>
      <c r="AP2661">
        <v>4</v>
      </c>
      <c r="AQ2661">
        <v>0</v>
      </c>
      <c r="AR2661" t="s">
        <v>9222</v>
      </c>
      <c r="AS2661" t="s">
        <v>9223</v>
      </c>
      <c r="AT2661">
        <v>0.26</v>
      </c>
      <c r="AU2661" t="s">
        <v>106</v>
      </c>
      <c r="AV2661" t="s">
        <v>4466</v>
      </c>
      <c r="AW2661" t="s">
        <v>103</v>
      </c>
      <c r="AX2661" t="s">
        <v>6562</v>
      </c>
      <c r="AY2661" t="s">
        <v>9224</v>
      </c>
      <c r="AZ2661">
        <v>188.9999999979045</v>
      </c>
      <c r="BA2661">
        <v>0</v>
      </c>
      <c r="BB2661">
        <v>0.1</v>
      </c>
      <c r="BC2661">
        <v>0</v>
      </c>
      <c r="BD2661">
        <v>0</v>
      </c>
      <c r="BE2661">
        <f t="shared" si="419"/>
        <v>1</v>
      </c>
    </row>
    <row r="2662" spans="1:57" x14ac:dyDescent="0.25">
      <c r="A2662" t="s">
        <v>39</v>
      </c>
      <c r="B2662" t="s">
        <v>9225</v>
      </c>
      <c r="C2662">
        <v>68</v>
      </c>
      <c r="D2662">
        <v>53.6</v>
      </c>
      <c r="G2662">
        <f t="shared" si="410"/>
        <v>1</v>
      </c>
      <c r="H2662">
        <f t="shared" si="411"/>
        <v>1</v>
      </c>
      <c r="I2662">
        <f t="shared" si="412"/>
        <v>0</v>
      </c>
      <c r="J2662">
        <v>61.1</v>
      </c>
      <c r="K2662">
        <v>68</v>
      </c>
      <c r="L2662">
        <v>53.6</v>
      </c>
      <c r="M2662">
        <v>61.1</v>
      </c>
      <c r="N2662">
        <v>51.9</v>
      </c>
      <c r="O2662">
        <v>72.3</v>
      </c>
      <c r="S2662">
        <f t="shared" si="413"/>
        <v>1</v>
      </c>
      <c r="T2662">
        <f t="shared" si="414"/>
        <v>1</v>
      </c>
      <c r="U2662">
        <f t="shared" si="415"/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23</v>
      </c>
      <c r="AC2662">
        <v>11.4</v>
      </c>
      <c r="AG2662">
        <f t="shared" si="416"/>
        <v>1</v>
      </c>
      <c r="AH2662">
        <f t="shared" si="417"/>
        <v>0</v>
      </c>
      <c r="AI2662">
        <f t="shared" si="418"/>
        <v>1</v>
      </c>
      <c r="AJ2662">
        <v>179.8</v>
      </c>
      <c r="AK2662">
        <v>1021.1</v>
      </c>
      <c r="AL2662">
        <v>64.900000000000006</v>
      </c>
      <c r="AM2662">
        <v>6.2</v>
      </c>
      <c r="AN2662">
        <v>106.1</v>
      </c>
      <c r="AO2662">
        <v>9</v>
      </c>
      <c r="AP2662">
        <v>5</v>
      </c>
      <c r="AQ2662">
        <v>0</v>
      </c>
      <c r="AR2662" t="s">
        <v>9226</v>
      </c>
      <c r="AS2662" t="s">
        <v>9227</v>
      </c>
      <c r="AT2662">
        <v>0.48</v>
      </c>
      <c r="AU2662" t="s">
        <v>43</v>
      </c>
      <c r="AV2662" t="s">
        <v>44</v>
      </c>
      <c r="AW2662" t="s">
        <v>45</v>
      </c>
      <c r="AX2662" t="s">
        <v>4095</v>
      </c>
      <c r="AY2662" t="s">
        <v>9228</v>
      </c>
      <c r="AZ2662">
        <v>72.999999996973202</v>
      </c>
      <c r="BA2662">
        <v>0</v>
      </c>
      <c r="BB2662">
        <v>0.05</v>
      </c>
      <c r="BC2662">
        <v>0</v>
      </c>
      <c r="BD2662">
        <v>0</v>
      </c>
      <c r="BE2662">
        <f t="shared" si="419"/>
        <v>1</v>
      </c>
    </row>
    <row r="2663" spans="1:57" x14ac:dyDescent="0.25">
      <c r="A2663" t="s">
        <v>39</v>
      </c>
      <c r="B2663" t="s">
        <v>9229</v>
      </c>
      <c r="C2663">
        <v>82.4</v>
      </c>
      <c r="D2663">
        <v>69.8</v>
      </c>
      <c r="G2663">
        <f t="shared" si="410"/>
        <v>1</v>
      </c>
      <c r="H2663">
        <f t="shared" si="411"/>
        <v>1</v>
      </c>
      <c r="I2663">
        <f t="shared" si="412"/>
        <v>0</v>
      </c>
      <c r="J2663">
        <v>73.7</v>
      </c>
      <c r="K2663">
        <v>81.400000000000006</v>
      </c>
      <c r="L2663">
        <v>69.8</v>
      </c>
      <c r="M2663">
        <v>73.7</v>
      </c>
      <c r="N2663">
        <v>58.9</v>
      </c>
      <c r="O2663">
        <v>61</v>
      </c>
      <c r="S2663">
        <f t="shared" si="413"/>
        <v>1</v>
      </c>
      <c r="T2663">
        <f t="shared" si="414"/>
        <v>0</v>
      </c>
      <c r="U2663">
        <f t="shared" si="415"/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34.4</v>
      </c>
      <c r="AC2663">
        <v>30</v>
      </c>
      <c r="AG2663">
        <f t="shared" si="416"/>
        <v>1</v>
      </c>
      <c r="AH2663">
        <f t="shared" si="417"/>
        <v>1</v>
      </c>
      <c r="AI2663">
        <f t="shared" si="418"/>
        <v>0</v>
      </c>
      <c r="AJ2663">
        <v>175.8</v>
      </c>
      <c r="AK2663">
        <v>1014.7</v>
      </c>
      <c r="AL2663">
        <v>31.5</v>
      </c>
      <c r="AM2663">
        <v>6.2</v>
      </c>
      <c r="AN2663">
        <v>125.2</v>
      </c>
      <c r="AO2663">
        <v>10.9</v>
      </c>
      <c r="AP2663">
        <v>5</v>
      </c>
      <c r="AQ2663">
        <v>0</v>
      </c>
      <c r="AR2663" t="s">
        <v>9230</v>
      </c>
      <c r="AS2663" t="s">
        <v>9231</v>
      </c>
      <c r="AT2663">
        <v>0.94</v>
      </c>
      <c r="AU2663" t="s">
        <v>43</v>
      </c>
      <c r="AV2663" t="s">
        <v>44</v>
      </c>
      <c r="AW2663" t="s">
        <v>45</v>
      </c>
      <c r="AX2663" t="s">
        <v>9232</v>
      </c>
      <c r="AY2663" t="s">
        <v>9233</v>
      </c>
      <c r="AZ2663">
        <v>1847.999999999302</v>
      </c>
      <c r="BA2663">
        <v>1</v>
      </c>
      <c r="BB2663">
        <v>0</v>
      </c>
      <c r="BC2663">
        <v>3</v>
      </c>
      <c r="BD2663">
        <v>0</v>
      </c>
      <c r="BE2663">
        <f t="shared" si="419"/>
        <v>1</v>
      </c>
    </row>
    <row r="2664" spans="1:57" x14ac:dyDescent="0.25">
      <c r="A2664" t="s">
        <v>39</v>
      </c>
      <c r="B2664" t="s">
        <v>9089</v>
      </c>
      <c r="C2664">
        <v>84.2</v>
      </c>
      <c r="D2664">
        <v>69.7</v>
      </c>
      <c r="G2664">
        <f t="shared" si="410"/>
        <v>0</v>
      </c>
      <c r="H2664">
        <f t="shared" si="411"/>
        <v>0</v>
      </c>
      <c r="I2664">
        <f t="shared" si="412"/>
        <v>0</v>
      </c>
      <c r="J2664">
        <v>78.900000000000006</v>
      </c>
      <c r="K2664">
        <v>85.7</v>
      </c>
      <c r="L2664">
        <v>69.7</v>
      </c>
      <c r="M2664">
        <v>79.8</v>
      </c>
      <c r="N2664">
        <v>66.3</v>
      </c>
      <c r="O2664">
        <v>66</v>
      </c>
      <c r="S2664">
        <f t="shared" si="413"/>
        <v>1</v>
      </c>
      <c r="T2664">
        <f t="shared" si="414"/>
        <v>1</v>
      </c>
      <c r="U2664">
        <f t="shared" si="415"/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40</v>
      </c>
      <c r="AC2664">
        <v>19.7</v>
      </c>
      <c r="AG2664">
        <f t="shared" si="416"/>
        <v>1</v>
      </c>
      <c r="AH2664">
        <f t="shared" si="417"/>
        <v>1</v>
      </c>
      <c r="AI2664">
        <f t="shared" si="418"/>
        <v>0</v>
      </c>
      <c r="AJ2664">
        <v>307.5</v>
      </c>
      <c r="AK2664">
        <v>1016.3</v>
      </c>
      <c r="AL2664">
        <v>11.6</v>
      </c>
      <c r="AM2664">
        <v>6.2</v>
      </c>
      <c r="AN2664">
        <v>339.5</v>
      </c>
      <c r="AO2664">
        <v>29.3</v>
      </c>
      <c r="AP2664">
        <v>10</v>
      </c>
      <c r="AQ2664">
        <v>0</v>
      </c>
      <c r="AR2664" t="s">
        <v>9090</v>
      </c>
      <c r="AS2664" t="s">
        <v>9091</v>
      </c>
      <c r="AT2664">
        <v>0.75</v>
      </c>
      <c r="AU2664" t="s">
        <v>74</v>
      </c>
      <c r="AV2664" t="s">
        <v>2955</v>
      </c>
      <c r="AW2664" t="s">
        <v>75</v>
      </c>
      <c r="AX2664" t="s">
        <v>2346</v>
      </c>
      <c r="AY2664" t="s">
        <v>9234</v>
      </c>
      <c r="AZ2664">
        <v>1602.000000004191</v>
      </c>
      <c r="BA2664">
        <v>1</v>
      </c>
      <c r="BB2664">
        <v>0</v>
      </c>
      <c r="BC2664">
        <v>1</v>
      </c>
      <c r="BD2664">
        <v>0</v>
      </c>
      <c r="BE2664">
        <f t="shared" si="419"/>
        <v>1</v>
      </c>
    </row>
    <row r="2665" spans="1:57" x14ac:dyDescent="0.25">
      <c r="A2665" t="s">
        <v>39</v>
      </c>
      <c r="B2665" t="s">
        <v>8989</v>
      </c>
      <c r="C2665">
        <v>68</v>
      </c>
      <c r="D2665">
        <v>55.4</v>
      </c>
      <c r="G2665">
        <f t="shared" si="410"/>
        <v>0</v>
      </c>
      <c r="H2665">
        <f t="shared" si="411"/>
        <v>0</v>
      </c>
      <c r="I2665">
        <f t="shared" si="412"/>
        <v>0</v>
      </c>
      <c r="J2665">
        <v>61.2</v>
      </c>
      <c r="K2665">
        <v>68</v>
      </c>
      <c r="L2665">
        <v>55.4</v>
      </c>
      <c r="M2665">
        <v>61.2</v>
      </c>
      <c r="N2665">
        <v>53.2</v>
      </c>
      <c r="O2665">
        <v>75.8</v>
      </c>
      <c r="S2665">
        <f t="shared" si="413"/>
        <v>1</v>
      </c>
      <c r="T2665">
        <f t="shared" si="414"/>
        <v>1</v>
      </c>
      <c r="U2665">
        <f t="shared" si="415"/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20.8</v>
      </c>
      <c r="AC2665">
        <v>11.4</v>
      </c>
      <c r="AG2665">
        <f t="shared" si="416"/>
        <v>1</v>
      </c>
      <c r="AH2665">
        <f t="shared" si="417"/>
        <v>0</v>
      </c>
      <c r="AI2665">
        <f t="shared" si="418"/>
        <v>1</v>
      </c>
      <c r="AJ2665">
        <v>303.7</v>
      </c>
      <c r="AK2665">
        <v>1011.7</v>
      </c>
      <c r="AL2665">
        <v>46</v>
      </c>
      <c r="AM2665">
        <v>6.2</v>
      </c>
      <c r="AN2665">
        <v>266.60000000000002</v>
      </c>
      <c r="AO2665">
        <v>22.8</v>
      </c>
      <c r="AP2665">
        <v>9</v>
      </c>
      <c r="AQ2665">
        <v>0</v>
      </c>
      <c r="AR2665" t="s">
        <v>8990</v>
      </c>
      <c r="AS2665" t="s">
        <v>8991</v>
      </c>
      <c r="AT2665">
        <v>0.94</v>
      </c>
      <c r="AU2665" t="s">
        <v>43</v>
      </c>
      <c r="AV2665" t="s">
        <v>44</v>
      </c>
      <c r="AW2665" t="s">
        <v>45</v>
      </c>
      <c r="AX2665" t="s">
        <v>5171</v>
      </c>
      <c r="AY2665" t="s">
        <v>9235</v>
      </c>
      <c r="AZ2665">
        <v>101.999999997206</v>
      </c>
      <c r="BA2665">
        <v>0</v>
      </c>
      <c r="BB2665">
        <v>0</v>
      </c>
      <c r="BC2665">
        <v>0.05</v>
      </c>
      <c r="BD2665">
        <v>0</v>
      </c>
      <c r="BE2665">
        <f t="shared" si="419"/>
        <v>0</v>
      </c>
    </row>
    <row r="2666" spans="1:57" x14ac:dyDescent="0.25">
      <c r="A2666" t="s">
        <v>39</v>
      </c>
      <c r="B2666" t="s">
        <v>9005</v>
      </c>
      <c r="C2666">
        <v>87.8</v>
      </c>
      <c r="D2666">
        <v>78.8</v>
      </c>
      <c r="G2666">
        <f t="shared" si="410"/>
        <v>1</v>
      </c>
      <c r="H2666">
        <f t="shared" si="411"/>
        <v>1</v>
      </c>
      <c r="I2666">
        <f t="shared" si="412"/>
        <v>0</v>
      </c>
      <c r="J2666">
        <v>83</v>
      </c>
      <c r="K2666">
        <v>95.8</v>
      </c>
      <c r="L2666">
        <v>78.8</v>
      </c>
      <c r="M2666">
        <v>85.8</v>
      </c>
      <c r="N2666">
        <v>67</v>
      </c>
      <c r="O2666">
        <v>58.8</v>
      </c>
      <c r="S2666">
        <f t="shared" si="413"/>
        <v>0</v>
      </c>
      <c r="T2666">
        <f t="shared" si="414"/>
        <v>0</v>
      </c>
      <c r="U2666">
        <f t="shared" si="415"/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37.4</v>
      </c>
      <c r="AC2666">
        <v>23</v>
      </c>
      <c r="AG2666">
        <f t="shared" si="416"/>
        <v>1</v>
      </c>
      <c r="AH2666">
        <f t="shared" si="417"/>
        <v>1</v>
      </c>
      <c r="AI2666">
        <f t="shared" si="418"/>
        <v>0</v>
      </c>
      <c r="AJ2666">
        <v>298.10000000000002</v>
      </c>
      <c r="AK2666">
        <v>1010.3</v>
      </c>
      <c r="AL2666">
        <v>0.9</v>
      </c>
      <c r="AM2666">
        <v>6.2</v>
      </c>
      <c r="AN2666">
        <v>332.4</v>
      </c>
      <c r="AO2666">
        <v>28.7</v>
      </c>
      <c r="AP2666">
        <v>10</v>
      </c>
      <c r="AQ2666">
        <v>0</v>
      </c>
      <c r="AR2666" t="s">
        <v>9006</v>
      </c>
      <c r="AS2666" t="s">
        <v>9007</v>
      </c>
      <c r="AT2666">
        <v>0.02</v>
      </c>
      <c r="AU2666" t="s">
        <v>74</v>
      </c>
      <c r="AV2666" t="s">
        <v>2955</v>
      </c>
      <c r="AW2666" t="s">
        <v>75</v>
      </c>
      <c r="AX2666" t="s">
        <v>4366</v>
      </c>
      <c r="AY2666" t="s">
        <v>9236</v>
      </c>
      <c r="AZ2666">
        <v>39.999999994179227</v>
      </c>
      <c r="BA2666">
        <v>0</v>
      </c>
      <c r="BB2666">
        <v>0</v>
      </c>
      <c r="BC2666">
        <v>0.01</v>
      </c>
      <c r="BD2666">
        <v>0</v>
      </c>
      <c r="BE2666">
        <f t="shared" si="419"/>
        <v>0</v>
      </c>
    </row>
    <row r="2667" spans="1:57" x14ac:dyDescent="0.25">
      <c r="A2667" t="s">
        <v>39</v>
      </c>
      <c r="B2667" t="s">
        <v>9237</v>
      </c>
      <c r="C2667">
        <v>71.599999999999994</v>
      </c>
      <c r="D2667">
        <v>55.4</v>
      </c>
      <c r="G2667">
        <f t="shared" si="410"/>
        <v>1</v>
      </c>
      <c r="H2667">
        <f t="shared" si="411"/>
        <v>1</v>
      </c>
      <c r="I2667">
        <f t="shared" si="412"/>
        <v>0</v>
      </c>
      <c r="J2667">
        <v>62.9</v>
      </c>
      <c r="K2667">
        <v>71.599999999999994</v>
      </c>
      <c r="L2667">
        <v>55.4</v>
      </c>
      <c r="M2667">
        <v>62.9</v>
      </c>
      <c r="N2667">
        <v>52.6</v>
      </c>
      <c r="O2667">
        <v>69.8</v>
      </c>
      <c r="S2667">
        <f t="shared" si="413"/>
        <v>1</v>
      </c>
      <c r="T2667">
        <f t="shared" si="414"/>
        <v>1</v>
      </c>
      <c r="U2667">
        <f t="shared" si="415"/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20.8</v>
      </c>
      <c r="AC2667">
        <v>12.8</v>
      </c>
      <c r="AG2667">
        <f t="shared" si="416"/>
        <v>1</v>
      </c>
      <c r="AH2667">
        <f t="shared" si="417"/>
        <v>0</v>
      </c>
      <c r="AI2667">
        <f t="shared" si="418"/>
        <v>1</v>
      </c>
      <c r="AJ2667">
        <v>162.19999999999999</v>
      </c>
      <c r="AK2667">
        <v>1015.1</v>
      </c>
      <c r="AL2667">
        <v>41.9</v>
      </c>
      <c r="AM2667">
        <v>6.2</v>
      </c>
      <c r="AN2667">
        <v>114.1</v>
      </c>
      <c r="AO2667">
        <v>9.8000000000000007</v>
      </c>
      <c r="AP2667">
        <v>5</v>
      </c>
      <c r="AQ2667">
        <v>0</v>
      </c>
      <c r="AR2667" t="s">
        <v>9238</v>
      </c>
      <c r="AS2667" t="s">
        <v>9239</v>
      </c>
      <c r="AT2667">
        <v>0.28999999999999998</v>
      </c>
      <c r="AU2667" t="s">
        <v>43</v>
      </c>
      <c r="AV2667" t="s">
        <v>44</v>
      </c>
      <c r="AW2667" t="s">
        <v>45</v>
      </c>
      <c r="AX2667" t="s">
        <v>2452</v>
      </c>
      <c r="AY2667" t="s">
        <v>9240</v>
      </c>
      <c r="AZ2667">
        <v>199.9999999918509</v>
      </c>
      <c r="BA2667">
        <v>0</v>
      </c>
      <c r="BB2667">
        <v>0</v>
      </c>
      <c r="BC2667">
        <v>1</v>
      </c>
      <c r="BD2667">
        <v>0</v>
      </c>
      <c r="BE2667">
        <f t="shared" si="419"/>
        <v>1</v>
      </c>
    </row>
    <row r="2668" spans="1:57" x14ac:dyDescent="0.25">
      <c r="A2668" t="s">
        <v>39</v>
      </c>
      <c r="B2668" t="s">
        <v>9071</v>
      </c>
      <c r="C2668">
        <v>71.599999999999994</v>
      </c>
      <c r="D2668">
        <v>57.2</v>
      </c>
      <c r="G2668">
        <f t="shared" si="410"/>
        <v>1</v>
      </c>
      <c r="H2668">
        <f t="shared" si="411"/>
        <v>1</v>
      </c>
      <c r="I2668">
        <f t="shared" si="412"/>
        <v>0</v>
      </c>
      <c r="J2668">
        <v>63.7</v>
      </c>
      <c r="K2668">
        <v>71.599999999999994</v>
      </c>
      <c r="L2668">
        <v>57.2</v>
      </c>
      <c r="M2668">
        <v>63.7</v>
      </c>
      <c r="N2668">
        <v>52.3</v>
      </c>
      <c r="O2668">
        <v>67.599999999999994</v>
      </c>
      <c r="S2668">
        <f t="shared" si="413"/>
        <v>1</v>
      </c>
      <c r="T2668">
        <f t="shared" si="414"/>
        <v>1</v>
      </c>
      <c r="U2668">
        <f t="shared" si="415"/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36.9</v>
      </c>
      <c r="AC2668">
        <v>25.3</v>
      </c>
      <c r="AG2668">
        <f t="shared" si="416"/>
        <v>1</v>
      </c>
      <c r="AH2668">
        <f t="shared" si="417"/>
        <v>1</v>
      </c>
      <c r="AI2668">
        <f t="shared" si="418"/>
        <v>0</v>
      </c>
      <c r="AJ2668">
        <v>160.30000000000001</v>
      </c>
      <c r="AK2668">
        <v>1006.9</v>
      </c>
      <c r="AL2668">
        <v>52.1</v>
      </c>
      <c r="AM2668">
        <v>6.2</v>
      </c>
      <c r="AN2668">
        <v>213</v>
      </c>
      <c r="AO2668">
        <v>18.399999999999999</v>
      </c>
      <c r="AP2668">
        <v>8</v>
      </c>
      <c r="AQ2668">
        <v>0</v>
      </c>
      <c r="AR2668" t="s">
        <v>9072</v>
      </c>
      <c r="AS2668" t="s">
        <v>9073</v>
      </c>
      <c r="AT2668">
        <v>0.64</v>
      </c>
      <c r="AU2668" t="s">
        <v>43</v>
      </c>
      <c r="AV2668" t="s">
        <v>44</v>
      </c>
      <c r="AW2668" t="s">
        <v>45</v>
      </c>
      <c r="AX2668" t="s">
        <v>4376</v>
      </c>
      <c r="AY2668" t="s">
        <v>9241</v>
      </c>
      <c r="AZ2668">
        <v>464.99999999650748</v>
      </c>
      <c r="BA2668">
        <v>1</v>
      </c>
      <c r="BB2668">
        <v>0</v>
      </c>
      <c r="BC2668">
        <v>1</v>
      </c>
      <c r="BD2668">
        <v>0</v>
      </c>
      <c r="BE2668">
        <f t="shared" si="419"/>
        <v>1</v>
      </c>
    </row>
    <row r="2669" spans="1:57" x14ac:dyDescent="0.25">
      <c r="A2669" t="s">
        <v>39</v>
      </c>
      <c r="B2669" t="s">
        <v>9242</v>
      </c>
      <c r="C2669">
        <v>73.400000000000006</v>
      </c>
      <c r="D2669">
        <v>64.400000000000006</v>
      </c>
      <c r="G2669">
        <f t="shared" si="410"/>
        <v>1</v>
      </c>
      <c r="H2669">
        <f t="shared" si="411"/>
        <v>1</v>
      </c>
      <c r="I2669">
        <f t="shared" si="412"/>
        <v>0</v>
      </c>
      <c r="J2669">
        <v>67</v>
      </c>
      <c r="K2669">
        <v>73.400000000000006</v>
      </c>
      <c r="L2669">
        <v>64.400000000000006</v>
      </c>
      <c r="M2669">
        <v>67</v>
      </c>
      <c r="N2669">
        <v>52.3</v>
      </c>
      <c r="O2669">
        <v>59.9</v>
      </c>
      <c r="S2669">
        <f t="shared" si="413"/>
        <v>1</v>
      </c>
      <c r="T2669">
        <f t="shared" si="414"/>
        <v>0</v>
      </c>
      <c r="U2669">
        <f t="shared" si="415"/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35.6</v>
      </c>
      <c r="AC2669">
        <v>24.2</v>
      </c>
      <c r="AG2669">
        <f t="shared" si="416"/>
        <v>1</v>
      </c>
      <c r="AH2669">
        <f t="shared" si="417"/>
        <v>1</v>
      </c>
      <c r="AI2669">
        <f t="shared" si="418"/>
        <v>0</v>
      </c>
      <c r="AJ2669">
        <v>171.8</v>
      </c>
      <c r="AK2669">
        <v>1016.3</v>
      </c>
      <c r="AL2669">
        <v>27.9</v>
      </c>
      <c r="AM2669">
        <v>6.2</v>
      </c>
      <c r="AN2669">
        <v>102.7</v>
      </c>
      <c r="AO2669">
        <v>8.9</v>
      </c>
      <c r="AP2669">
        <v>4</v>
      </c>
      <c r="AQ2669">
        <v>0</v>
      </c>
      <c r="AR2669" t="s">
        <v>9243</v>
      </c>
      <c r="AS2669" t="s">
        <v>9244</v>
      </c>
      <c r="AT2669">
        <v>0.69</v>
      </c>
      <c r="AU2669" t="s">
        <v>43</v>
      </c>
      <c r="AV2669" t="s">
        <v>44</v>
      </c>
      <c r="AW2669" t="s">
        <v>45</v>
      </c>
      <c r="AX2669" t="s">
        <v>2459</v>
      </c>
      <c r="AY2669" t="s">
        <v>9245</v>
      </c>
      <c r="AZ2669">
        <v>1319.999999996508</v>
      </c>
      <c r="BA2669">
        <v>1</v>
      </c>
      <c r="BB2669">
        <v>0</v>
      </c>
      <c r="BC2669">
        <v>7</v>
      </c>
      <c r="BD2669">
        <v>0</v>
      </c>
      <c r="BE2669">
        <f t="shared" si="419"/>
        <v>1</v>
      </c>
    </row>
    <row r="2670" spans="1:57" x14ac:dyDescent="0.25">
      <c r="A2670" t="s">
        <v>39</v>
      </c>
      <c r="B2670" t="s">
        <v>9246</v>
      </c>
      <c r="C2670">
        <v>69.8</v>
      </c>
      <c r="D2670">
        <v>57.2</v>
      </c>
      <c r="G2670">
        <f t="shared" si="410"/>
        <v>1</v>
      </c>
      <c r="H2670">
        <f t="shared" si="411"/>
        <v>1</v>
      </c>
      <c r="I2670">
        <f t="shared" si="412"/>
        <v>0</v>
      </c>
      <c r="J2670">
        <v>63.7</v>
      </c>
      <c r="K2670">
        <v>69.8</v>
      </c>
      <c r="L2670">
        <v>57.2</v>
      </c>
      <c r="M2670">
        <v>63.7</v>
      </c>
      <c r="N2670">
        <v>54.4</v>
      </c>
      <c r="O2670">
        <v>72.3</v>
      </c>
      <c r="S2670">
        <f t="shared" si="413"/>
        <v>1</v>
      </c>
      <c r="T2670">
        <f t="shared" si="414"/>
        <v>1</v>
      </c>
      <c r="U2670">
        <f t="shared" si="415"/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16.100000000000001</v>
      </c>
      <c r="AC2670">
        <v>18.3</v>
      </c>
      <c r="AG2670">
        <f t="shared" si="416"/>
        <v>1</v>
      </c>
      <c r="AH2670">
        <f t="shared" si="417"/>
        <v>0</v>
      </c>
      <c r="AI2670">
        <f t="shared" si="418"/>
        <v>1</v>
      </c>
      <c r="AJ2670">
        <v>167.9</v>
      </c>
      <c r="AK2670">
        <v>1016.9</v>
      </c>
      <c r="AL2670">
        <v>34.299999999999997</v>
      </c>
      <c r="AM2670">
        <v>6.2</v>
      </c>
      <c r="AN2670">
        <v>122.6</v>
      </c>
      <c r="AO2670">
        <v>10.6</v>
      </c>
      <c r="AP2670">
        <v>5</v>
      </c>
      <c r="AQ2670">
        <v>0</v>
      </c>
      <c r="AR2670" t="s">
        <v>9247</v>
      </c>
      <c r="AS2670" t="s">
        <v>9248</v>
      </c>
      <c r="AT2670">
        <v>0.73</v>
      </c>
      <c r="AU2670" t="s">
        <v>43</v>
      </c>
      <c r="AV2670" t="s">
        <v>44</v>
      </c>
      <c r="AW2670" t="s">
        <v>45</v>
      </c>
      <c r="AX2670" t="s">
        <v>2572</v>
      </c>
      <c r="AY2670" t="s">
        <v>9249</v>
      </c>
      <c r="AZ2670">
        <v>1059.9999999976719</v>
      </c>
      <c r="BA2670">
        <v>1</v>
      </c>
      <c r="BB2670">
        <v>0</v>
      </c>
      <c r="BC2670">
        <v>1</v>
      </c>
      <c r="BD2670">
        <v>0</v>
      </c>
      <c r="BE2670">
        <f t="shared" si="419"/>
        <v>1</v>
      </c>
    </row>
    <row r="2671" spans="1:57" x14ac:dyDescent="0.25">
      <c r="A2671" t="s">
        <v>39</v>
      </c>
      <c r="B2671" t="s">
        <v>9250</v>
      </c>
      <c r="C2671">
        <v>78.8</v>
      </c>
      <c r="D2671">
        <v>55.4</v>
      </c>
      <c r="G2671">
        <f t="shared" si="410"/>
        <v>1</v>
      </c>
      <c r="H2671">
        <f t="shared" si="411"/>
        <v>1</v>
      </c>
      <c r="I2671">
        <f t="shared" si="412"/>
        <v>0</v>
      </c>
      <c r="J2671">
        <v>68.2</v>
      </c>
      <c r="K2671">
        <v>78.8</v>
      </c>
      <c r="L2671">
        <v>55.4</v>
      </c>
      <c r="M2671">
        <v>68.2</v>
      </c>
      <c r="N2671">
        <v>48.4</v>
      </c>
      <c r="O2671">
        <v>50.4</v>
      </c>
      <c r="S2671">
        <f t="shared" si="413"/>
        <v>1</v>
      </c>
      <c r="T2671">
        <f t="shared" si="414"/>
        <v>0</v>
      </c>
      <c r="U2671">
        <f t="shared" si="415"/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34.4</v>
      </c>
      <c r="AC2671">
        <v>23</v>
      </c>
      <c r="AG2671">
        <f t="shared" si="416"/>
        <v>1</v>
      </c>
      <c r="AH2671">
        <f t="shared" si="417"/>
        <v>1</v>
      </c>
      <c r="AI2671">
        <f t="shared" si="418"/>
        <v>0</v>
      </c>
      <c r="AJ2671">
        <v>171.5</v>
      </c>
      <c r="AK2671">
        <v>1010.7</v>
      </c>
      <c r="AL2671">
        <v>43.6</v>
      </c>
      <c r="AM2671">
        <v>6.2</v>
      </c>
      <c r="AN2671">
        <v>218.7</v>
      </c>
      <c r="AO2671">
        <v>18.899999999999999</v>
      </c>
      <c r="AP2671">
        <v>8</v>
      </c>
      <c r="AQ2671">
        <v>0</v>
      </c>
      <c r="AR2671" t="s">
        <v>9251</v>
      </c>
      <c r="AS2671" t="s">
        <v>9252</v>
      </c>
      <c r="AT2671">
        <v>0.38</v>
      </c>
      <c r="AU2671" t="s">
        <v>43</v>
      </c>
      <c r="AV2671" t="s">
        <v>44</v>
      </c>
      <c r="AW2671" t="s">
        <v>45</v>
      </c>
      <c r="AX2671" t="s">
        <v>6179</v>
      </c>
      <c r="AY2671" t="s">
        <v>9253</v>
      </c>
      <c r="AZ2671">
        <v>1598.00000000163</v>
      </c>
      <c r="BA2671">
        <v>1</v>
      </c>
      <c r="BB2671">
        <v>0.1</v>
      </c>
      <c r="BC2671">
        <v>0</v>
      </c>
      <c r="BD2671">
        <v>0</v>
      </c>
      <c r="BE2671">
        <f t="shared" si="419"/>
        <v>1</v>
      </c>
    </row>
    <row r="2672" spans="1:57" x14ac:dyDescent="0.25">
      <c r="A2672" t="s">
        <v>39</v>
      </c>
      <c r="B2672" t="s">
        <v>9216</v>
      </c>
      <c r="C2672">
        <v>69.8</v>
      </c>
      <c r="D2672">
        <v>59.8</v>
      </c>
      <c r="G2672">
        <f t="shared" si="410"/>
        <v>1</v>
      </c>
      <c r="H2672">
        <f t="shared" si="411"/>
        <v>1</v>
      </c>
      <c r="I2672">
        <f t="shared" si="412"/>
        <v>0</v>
      </c>
      <c r="J2672">
        <v>65.900000000000006</v>
      </c>
      <c r="K2672">
        <v>69.8</v>
      </c>
      <c r="L2672">
        <v>59.8</v>
      </c>
      <c r="M2672">
        <v>65.900000000000006</v>
      </c>
      <c r="N2672">
        <v>54.4</v>
      </c>
      <c r="O2672">
        <v>67</v>
      </c>
      <c r="S2672">
        <f t="shared" si="413"/>
        <v>0</v>
      </c>
      <c r="T2672">
        <f t="shared" si="414"/>
        <v>0</v>
      </c>
      <c r="U2672">
        <f t="shared" si="415"/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41.4</v>
      </c>
      <c r="AC2672">
        <v>30</v>
      </c>
      <c r="AG2672">
        <f t="shared" si="416"/>
        <v>1</v>
      </c>
      <c r="AH2672">
        <f t="shared" si="417"/>
        <v>1</v>
      </c>
      <c r="AI2672">
        <f t="shared" si="418"/>
        <v>0</v>
      </c>
      <c r="AJ2672">
        <v>179.7</v>
      </c>
      <c r="AK2672">
        <v>1015.2</v>
      </c>
      <c r="AL2672">
        <v>41</v>
      </c>
      <c r="AM2672">
        <v>6.2</v>
      </c>
      <c r="AN2672">
        <v>95</v>
      </c>
      <c r="AO2672">
        <v>8.3000000000000007</v>
      </c>
      <c r="AP2672">
        <v>4</v>
      </c>
      <c r="AQ2672">
        <v>0</v>
      </c>
      <c r="AR2672" t="s">
        <v>9217</v>
      </c>
      <c r="AS2672" t="s">
        <v>9218</v>
      </c>
      <c r="AT2672">
        <v>0.09</v>
      </c>
      <c r="AU2672" t="s">
        <v>43</v>
      </c>
      <c r="AV2672" t="s">
        <v>44</v>
      </c>
      <c r="AW2672" t="s">
        <v>45</v>
      </c>
      <c r="AX2672" t="s">
        <v>2592</v>
      </c>
      <c r="AY2672" t="s">
        <v>9219</v>
      </c>
      <c r="AZ2672">
        <v>430.00000000814907</v>
      </c>
      <c r="BA2672">
        <v>1</v>
      </c>
      <c r="BB2672">
        <v>0</v>
      </c>
      <c r="BC2672">
        <v>6</v>
      </c>
      <c r="BD2672">
        <v>0</v>
      </c>
      <c r="BE2672">
        <f t="shared" si="419"/>
        <v>1</v>
      </c>
    </row>
    <row r="2673" spans="1:57" x14ac:dyDescent="0.25">
      <c r="A2673" t="s">
        <v>39</v>
      </c>
      <c r="B2673" t="s">
        <v>9212</v>
      </c>
      <c r="C2673">
        <v>68</v>
      </c>
      <c r="D2673">
        <v>59</v>
      </c>
      <c r="G2673">
        <f t="shared" si="410"/>
        <v>1</v>
      </c>
      <c r="H2673">
        <f t="shared" si="411"/>
        <v>1</v>
      </c>
      <c r="I2673">
        <f t="shared" si="412"/>
        <v>0</v>
      </c>
      <c r="J2673">
        <v>63.4</v>
      </c>
      <c r="K2673">
        <v>68</v>
      </c>
      <c r="L2673">
        <v>59</v>
      </c>
      <c r="M2673">
        <v>63.4</v>
      </c>
      <c r="N2673">
        <v>51.9</v>
      </c>
      <c r="O2673">
        <v>66.8</v>
      </c>
      <c r="S2673">
        <f t="shared" si="413"/>
        <v>1</v>
      </c>
      <c r="T2673">
        <f t="shared" si="414"/>
        <v>0</v>
      </c>
      <c r="U2673">
        <f t="shared" si="415"/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25.3</v>
      </c>
      <c r="AC2673">
        <v>16.100000000000001</v>
      </c>
      <c r="AG2673">
        <f t="shared" si="416"/>
        <v>1</v>
      </c>
      <c r="AH2673">
        <f t="shared" si="417"/>
        <v>0</v>
      </c>
      <c r="AI2673">
        <f t="shared" si="418"/>
        <v>1</v>
      </c>
      <c r="AJ2673">
        <v>218.5</v>
      </c>
      <c r="AK2673">
        <v>1011.6</v>
      </c>
      <c r="AL2673">
        <v>46.1</v>
      </c>
      <c r="AM2673">
        <v>6.2</v>
      </c>
      <c r="AN2673">
        <v>106.1</v>
      </c>
      <c r="AO2673">
        <v>9</v>
      </c>
      <c r="AP2673">
        <v>4</v>
      </c>
      <c r="AQ2673">
        <v>0</v>
      </c>
      <c r="AR2673" t="s">
        <v>9213</v>
      </c>
      <c r="AS2673" t="s">
        <v>9214</v>
      </c>
      <c r="AT2673">
        <v>0.79</v>
      </c>
      <c r="AU2673" t="s">
        <v>43</v>
      </c>
      <c r="AV2673" t="s">
        <v>44</v>
      </c>
      <c r="AW2673" t="s">
        <v>45</v>
      </c>
      <c r="AX2673" t="s">
        <v>6122</v>
      </c>
      <c r="AY2673" t="s">
        <v>9254</v>
      </c>
      <c r="AZ2673">
        <v>1551.0000000055879</v>
      </c>
      <c r="BA2673">
        <v>1</v>
      </c>
      <c r="BB2673">
        <v>0</v>
      </c>
      <c r="BC2673">
        <v>20</v>
      </c>
      <c r="BD2673">
        <v>0</v>
      </c>
      <c r="BE2673">
        <f t="shared" si="419"/>
        <v>1</v>
      </c>
    </row>
    <row r="2674" spans="1:57" x14ac:dyDescent="0.25">
      <c r="A2674" t="s">
        <v>39</v>
      </c>
      <c r="B2674" t="s">
        <v>9255</v>
      </c>
      <c r="C2674">
        <v>53.6</v>
      </c>
      <c r="D2674">
        <v>50</v>
      </c>
      <c r="G2674">
        <f t="shared" si="410"/>
        <v>1</v>
      </c>
      <c r="H2674">
        <f t="shared" si="411"/>
        <v>0</v>
      </c>
      <c r="I2674">
        <f t="shared" si="412"/>
        <v>1</v>
      </c>
      <c r="J2674">
        <v>52</v>
      </c>
      <c r="K2674">
        <v>53.6</v>
      </c>
      <c r="L2674">
        <v>42.9</v>
      </c>
      <c r="M2674">
        <v>51.4</v>
      </c>
      <c r="N2674">
        <v>44.1</v>
      </c>
      <c r="O2674">
        <v>74.8</v>
      </c>
      <c r="S2674">
        <f t="shared" si="413"/>
        <v>1</v>
      </c>
      <c r="T2674">
        <f t="shared" si="414"/>
        <v>1</v>
      </c>
      <c r="U2674">
        <f t="shared" si="415"/>
        <v>0</v>
      </c>
      <c r="V2674">
        <v>0.20100000000000001</v>
      </c>
      <c r="W2674">
        <v>100</v>
      </c>
      <c r="X2674">
        <v>12.5</v>
      </c>
      <c r="Y2674" t="s">
        <v>103</v>
      </c>
      <c r="Z2674">
        <v>0</v>
      </c>
      <c r="AA2674">
        <v>0</v>
      </c>
      <c r="AB2674">
        <v>32.700000000000003</v>
      </c>
      <c r="AC2674">
        <v>24.1</v>
      </c>
      <c r="AG2674">
        <f t="shared" si="416"/>
        <v>1</v>
      </c>
      <c r="AH2674">
        <f t="shared" si="417"/>
        <v>1</v>
      </c>
      <c r="AI2674">
        <f t="shared" si="418"/>
        <v>0</v>
      </c>
      <c r="AJ2674">
        <v>317.60000000000002</v>
      </c>
      <c r="AK2674">
        <v>1024</v>
      </c>
      <c r="AL2674">
        <v>87.5</v>
      </c>
      <c r="AM2674">
        <v>6.2</v>
      </c>
      <c r="AN2674">
        <v>113.3</v>
      </c>
      <c r="AO2674">
        <v>9.9</v>
      </c>
      <c r="AP2674">
        <v>5</v>
      </c>
      <c r="AQ2674">
        <v>0</v>
      </c>
      <c r="AR2674" t="s">
        <v>9256</v>
      </c>
      <c r="AS2674" t="s">
        <v>9257</v>
      </c>
      <c r="AT2674">
        <v>0.72</v>
      </c>
      <c r="AU2674" t="s">
        <v>106</v>
      </c>
      <c r="AV2674" t="s">
        <v>1783</v>
      </c>
      <c r="AW2674" t="s">
        <v>103</v>
      </c>
      <c r="AX2674" t="s">
        <v>2418</v>
      </c>
      <c r="AY2674" t="s">
        <v>9258</v>
      </c>
      <c r="AZ2674">
        <v>114.99999999767169</v>
      </c>
      <c r="BA2674">
        <v>0</v>
      </c>
      <c r="BB2674">
        <v>0</v>
      </c>
      <c r="BC2674">
        <v>0.4</v>
      </c>
      <c r="BD2674">
        <v>0</v>
      </c>
      <c r="BE2674">
        <f t="shared" si="419"/>
        <v>1</v>
      </c>
    </row>
    <row r="2675" spans="1:57" x14ac:dyDescent="0.25">
      <c r="A2675" t="s">
        <v>39</v>
      </c>
      <c r="B2675" t="s">
        <v>9259</v>
      </c>
      <c r="C2675">
        <v>73.400000000000006</v>
      </c>
      <c r="D2675">
        <v>64.400000000000006</v>
      </c>
      <c r="G2675">
        <f t="shared" si="410"/>
        <v>1</v>
      </c>
      <c r="H2675">
        <f t="shared" si="411"/>
        <v>1</v>
      </c>
      <c r="I2675">
        <f t="shared" si="412"/>
        <v>0</v>
      </c>
      <c r="J2675">
        <v>69.3</v>
      </c>
      <c r="K2675">
        <v>73.400000000000006</v>
      </c>
      <c r="L2675">
        <v>64.400000000000006</v>
      </c>
      <c r="M2675">
        <v>69.3</v>
      </c>
      <c r="N2675">
        <v>55.2</v>
      </c>
      <c r="O2675">
        <v>61.5</v>
      </c>
      <c r="S2675">
        <f t="shared" si="413"/>
        <v>1</v>
      </c>
      <c r="T2675">
        <f t="shared" si="414"/>
        <v>0</v>
      </c>
      <c r="U2675">
        <f t="shared" si="415"/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24.2</v>
      </c>
      <c r="AC2675">
        <v>13.9</v>
      </c>
      <c r="AG2675">
        <f t="shared" si="416"/>
        <v>1</v>
      </c>
      <c r="AH2675">
        <f t="shared" si="417"/>
        <v>0</v>
      </c>
      <c r="AI2675">
        <f t="shared" si="418"/>
        <v>1</v>
      </c>
      <c r="AJ2675">
        <v>308.8</v>
      </c>
      <c r="AK2675">
        <v>1019</v>
      </c>
      <c r="AL2675">
        <v>0.3</v>
      </c>
      <c r="AM2675">
        <v>6.2</v>
      </c>
      <c r="AN2675">
        <v>296.2</v>
      </c>
      <c r="AO2675">
        <v>25.5</v>
      </c>
      <c r="AP2675">
        <v>9</v>
      </c>
      <c r="AQ2675">
        <v>0</v>
      </c>
      <c r="AR2675" t="s">
        <v>9260</v>
      </c>
      <c r="AS2675" t="s">
        <v>9261</v>
      </c>
      <c r="AT2675">
        <v>0.25</v>
      </c>
      <c r="AU2675" t="s">
        <v>74</v>
      </c>
      <c r="AV2675" t="s">
        <v>2955</v>
      </c>
      <c r="AW2675" t="s">
        <v>75</v>
      </c>
      <c r="AX2675" t="s">
        <v>7231</v>
      </c>
      <c r="AY2675" t="s">
        <v>9262</v>
      </c>
      <c r="AZ2675">
        <v>185.99999999860299</v>
      </c>
      <c r="BA2675">
        <v>0</v>
      </c>
      <c r="BB2675">
        <v>0</v>
      </c>
      <c r="BC2675">
        <v>0.1</v>
      </c>
      <c r="BD2675">
        <v>0</v>
      </c>
      <c r="BE2675">
        <f t="shared" si="419"/>
        <v>1</v>
      </c>
    </row>
    <row r="2676" spans="1:57" x14ac:dyDescent="0.25">
      <c r="A2676" t="s">
        <v>39</v>
      </c>
      <c r="B2676" t="s">
        <v>9263</v>
      </c>
      <c r="C2676">
        <v>87.8</v>
      </c>
      <c r="D2676">
        <v>77</v>
      </c>
      <c r="G2676">
        <f t="shared" si="410"/>
        <v>1</v>
      </c>
      <c r="H2676">
        <f t="shared" si="411"/>
        <v>1</v>
      </c>
      <c r="I2676">
        <f t="shared" si="412"/>
        <v>0</v>
      </c>
      <c r="J2676">
        <v>83.4</v>
      </c>
      <c r="K2676">
        <v>95.2</v>
      </c>
      <c r="L2676">
        <v>77</v>
      </c>
      <c r="M2676">
        <v>87</v>
      </c>
      <c r="N2676">
        <v>67.2</v>
      </c>
      <c r="O2676">
        <v>59</v>
      </c>
      <c r="S2676">
        <f t="shared" si="413"/>
        <v>0</v>
      </c>
      <c r="T2676">
        <f t="shared" si="414"/>
        <v>0</v>
      </c>
      <c r="U2676">
        <f t="shared" si="415"/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24.6</v>
      </c>
      <c r="AC2676">
        <v>14.9</v>
      </c>
      <c r="AG2676">
        <f t="shared" si="416"/>
        <v>1</v>
      </c>
      <c r="AH2676">
        <f t="shared" si="417"/>
        <v>0</v>
      </c>
      <c r="AI2676">
        <f t="shared" si="418"/>
        <v>1</v>
      </c>
      <c r="AJ2676">
        <v>304.7</v>
      </c>
      <c r="AK2676">
        <v>1008.6</v>
      </c>
      <c r="AL2676">
        <v>0</v>
      </c>
      <c r="AM2676">
        <v>6.2</v>
      </c>
      <c r="AN2676">
        <v>329.1</v>
      </c>
      <c r="AO2676">
        <v>28.3</v>
      </c>
      <c r="AP2676">
        <v>10</v>
      </c>
      <c r="AQ2676">
        <v>0</v>
      </c>
      <c r="AR2676" t="s">
        <v>9264</v>
      </c>
      <c r="AS2676" t="s">
        <v>9265</v>
      </c>
      <c r="AT2676">
        <v>0.37</v>
      </c>
      <c r="AU2676" t="s">
        <v>74</v>
      </c>
      <c r="AV2676" t="s">
        <v>2955</v>
      </c>
      <c r="AW2676" t="s">
        <v>75</v>
      </c>
      <c r="AX2676" t="s">
        <v>4049</v>
      </c>
      <c r="AY2676" t="s">
        <v>9266</v>
      </c>
      <c r="AZ2676">
        <v>362.99999999930151</v>
      </c>
      <c r="BA2676">
        <v>1</v>
      </c>
      <c r="BB2676">
        <v>0</v>
      </c>
      <c r="BC2676">
        <v>2</v>
      </c>
      <c r="BD2676">
        <v>0</v>
      </c>
      <c r="BE2676">
        <f t="shared" si="419"/>
        <v>1</v>
      </c>
    </row>
    <row r="2677" spans="1:57" x14ac:dyDescent="0.25">
      <c r="A2677" t="s">
        <v>39</v>
      </c>
      <c r="B2677" t="s">
        <v>9267</v>
      </c>
      <c r="C2677">
        <v>87.8</v>
      </c>
      <c r="D2677">
        <v>75.2</v>
      </c>
      <c r="G2677">
        <f t="shared" si="410"/>
        <v>1</v>
      </c>
      <c r="H2677">
        <f t="shared" si="411"/>
        <v>1</v>
      </c>
      <c r="I2677">
        <f t="shared" si="412"/>
        <v>0</v>
      </c>
      <c r="J2677">
        <v>82.1</v>
      </c>
      <c r="K2677">
        <v>95.8</v>
      </c>
      <c r="L2677">
        <v>75.2</v>
      </c>
      <c r="M2677">
        <v>86.5</v>
      </c>
      <c r="N2677">
        <v>70.599999999999994</v>
      </c>
      <c r="O2677">
        <v>69</v>
      </c>
      <c r="S2677">
        <f t="shared" si="413"/>
        <v>1</v>
      </c>
      <c r="T2677">
        <f t="shared" si="414"/>
        <v>1</v>
      </c>
      <c r="U2677">
        <f t="shared" si="415"/>
        <v>0</v>
      </c>
      <c r="V2677">
        <v>1E-3</v>
      </c>
      <c r="W2677">
        <v>100</v>
      </c>
      <c r="X2677">
        <v>4.17</v>
      </c>
      <c r="Y2677" t="s">
        <v>103</v>
      </c>
      <c r="Z2677">
        <v>0</v>
      </c>
      <c r="AA2677">
        <v>0</v>
      </c>
      <c r="AB2677">
        <v>25.9</v>
      </c>
      <c r="AC2677">
        <v>19.7</v>
      </c>
      <c r="AG2677">
        <f t="shared" si="416"/>
        <v>1</v>
      </c>
      <c r="AH2677">
        <f t="shared" si="417"/>
        <v>1</v>
      </c>
      <c r="AI2677">
        <f t="shared" si="418"/>
        <v>0</v>
      </c>
      <c r="AJ2677">
        <v>294.7</v>
      </c>
      <c r="AK2677">
        <v>1007.6</v>
      </c>
      <c r="AL2677">
        <v>23.5</v>
      </c>
      <c r="AM2677">
        <v>6.2</v>
      </c>
      <c r="AN2677">
        <v>253</v>
      </c>
      <c r="AO2677">
        <v>22</v>
      </c>
      <c r="AP2677">
        <v>8</v>
      </c>
      <c r="AQ2677">
        <v>0</v>
      </c>
      <c r="AR2677" t="s">
        <v>9268</v>
      </c>
      <c r="AS2677" t="s">
        <v>9269</v>
      </c>
      <c r="AT2677">
        <v>0.56000000000000005</v>
      </c>
      <c r="AU2677" t="s">
        <v>106</v>
      </c>
      <c r="AV2677" t="s">
        <v>438</v>
      </c>
      <c r="AW2677" t="s">
        <v>103</v>
      </c>
      <c r="AX2677" t="s">
        <v>4391</v>
      </c>
      <c r="AY2677" t="s">
        <v>9270</v>
      </c>
      <c r="AZ2677">
        <v>130.00000000465661</v>
      </c>
      <c r="BA2677">
        <v>0</v>
      </c>
      <c r="BB2677">
        <v>0</v>
      </c>
      <c r="BC2677">
        <v>0.01</v>
      </c>
      <c r="BD2677">
        <v>0</v>
      </c>
      <c r="BE2677">
        <f t="shared" si="419"/>
        <v>1</v>
      </c>
    </row>
    <row r="2678" spans="1:57" x14ac:dyDescent="0.25">
      <c r="A2678" t="s">
        <v>39</v>
      </c>
      <c r="B2678" t="s">
        <v>9271</v>
      </c>
      <c r="C2678">
        <v>78.8</v>
      </c>
      <c r="D2678">
        <v>66.2</v>
      </c>
      <c r="G2678">
        <f t="shared" si="410"/>
        <v>1</v>
      </c>
      <c r="H2678">
        <f t="shared" si="411"/>
        <v>1</v>
      </c>
      <c r="I2678">
        <f t="shared" si="412"/>
        <v>0</v>
      </c>
      <c r="J2678">
        <v>73.2</v>
      </c>
      <c r="K2678">
        <v>78.8</v>
      </c>
      <c r="L2678">
        <v>66.2</v>
      </c>
      <c r="M2678">
        <v>73.2</v>
      </c>
      <c r="N2678">
        <v>65.7</v>
      </c>
      <c r="O2678">
        <v>78</v>
      </c>
      <c r="S2678">
        <f t="shared" si="413"/>
        <v>1</v>
      </c>
      <c r="T2678">
        <f t="shared" si="414"/>
        <v>1</v>
      </c>
      <c r="U2678">
        <f t="shared" si="415"/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28.4</v>
      </c>
      <c r="AC2678">
        <v>15</v>
      </c>
      <c r="AG2678">
        <f t="shared" si="416"/>
        <v>1</v>
      </c>
      <c r="AH2678">
        <f t="shared" si="417"/>
        <v>0</v>
      </c>
      <c r="AI2678">
        <f t="shared" si="418"/>
        <v>1</v>
      </c>
      <c r="AJ2678">
        <v>326.5</v>
      </c>
      <c r="AK2678">
        <v>1015.9</v>
      </c>
      <c r="AL2678">
        <v>39.6</v>
      </c>
      <c r="AM2678">
        <v>6.2</v>
      </c>
      <c r="AN2678">
        <v>176.4</v>
      </c>
      <c r="AO2678">
        <v>15.2</v>
      </c>
      <c r="AP2678">
        <v>6</v>
      </c>
      <c r="AQ2678">
        <v>0</v>
      </c>
      <c r="AR2678" t="s">
        <v>9272</v>
      </c>
      <c r="AS2678" t="s">
        <v>9273</v>
      </c>
      <c r="AT2678">
        <v>0.39</v>
      </c>
      <c r="AU2678" t="s">
        <v>43</v>
      </c>
      <c r="AV2678" t="s">
        <v>44</v>
      </c>
      <c r="AW2678" t="s">
        <v>45</v>
      </c>
      <c r="AX2678" t="s">
        <v>2459</v>
      </c>
      <c r="AY2678" t="s">
        <v>9274</v>
      </c>
      <c r="AZ2678">
        <v>152.0000000030268</v>
      </c>
      <c r="BA2678">
        <v>0</v>
      </c>
      <c r="BB2678">
        <v>0</v>
      </c>
      <c r="BC2678">
        <v>1</v>
      </c>
      <c r="BD2678">
        <v>0</v>
      </c>
      <c r="BE2678">
        <f t="shared" si="419"/>
        <v>1</v>
      </c>
    </row>
    <row r="2679" spans="1:57" x14ac:dyDescent="0.25">
      <c r="A2679" t="s">
        <v>39</v>
      </c>
      <c r="B2679" t="s">
        <v>9275</v>
      </c>
      <c r="C2679">
        <v>60.8</v>
      </c>
      <c r="D2679">
        <v>53.6</v>
      </c>
      <c r="G2679">
        <f t="shared" si="410"/>
        <v>1</v>
      </c>
      <c r="H2679">
        <f t="shared" si="411"/>
        <v>0</v>
      </c>
      <c r="I2679">
        <f t="shared" si="412"/>
        <v>1</v>
      </c>
      <c r="J2679">
        <v>56.3</v>
      </c>
      <c r="K2679">
        <v>60.8</v>
      </c>
      <c r="L2679">
        <v>53.6</v>
      </c>
      <c r="M2679">
        <v>56.3</v>
      </c>
      <c r="N2679">
        <v>42.5</v>
      </c>
      <c r="O2679">
        <v>59.9</v>
      </c>
      <c r="S2679">
        <f t="shared" si="413"/>
        <v>1</v>
      </c>
      <c r="T2679">
        <f t="shared" si="414"/>
        <v>0</v>
      </c>
      <c r="U2679">
        <f t="shared" si="415"/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34.9</v>
      </c>
      <c r="AC2679">
        <v>17.2</v>
      </c>
      <c r="AG2679">
        <f t="shared" si="416"/>
        <v>0</v>
      </c>
      <c r="AH2679">
        <f t="shared" si="417"/>
        <v>0</v>
      </c>
      <c r="AI2679">
        <f t="shared" si="418"/>
        <v>0</v>
      </c>
      <c r="AJ2679">
        <v>350.4</v>
      </c>
      <c r="AK2679">
        <v>1026.9000000000001</v>
      </c>
      <c r="AL2679">
        <v>47</v>
      </c>
      <c r="AM2679">
        <v>6.2</v>
      </c>
      <c r="AN2679">
        <v>110.4</v>
      </c>
      <c r="AO2679">
        <v>9.4</v>
      </c>
      <c r="AP2679">
        <v>4</v>
      </c>
      <c r="AQ2679">
        <v>0</v>
      </c>
      <c r="AR2679" t="s">
        <v>9276</v>
      </c>
      <c r="AS2679" t="s">
        <v>9277</v>
      </c>
      <c r="AT2679">
        <v>0.81</v>
      </c>
      <c r="AU2679" t="s">
        <v>43</v>
      </c>
      <c r="AV2679" t="s">
        <v>44</v>
      </c>
      <c r="AW2679" t="s">
        <v>45</v>
      </c>
      <c r="AX2679" t="s">
        <v>4992</v>
      </c>
      <c r="AY2679" t="s">
        <v>9278</v>
      </c>
      <c r="AZ2679">
        <v>251.00000000093129</v>
      </c>
      <c r="BA2679">
        <v>0</v>
      </c>
      <c r="BB2679">
        <v>0.2</v>
      </c>
      <c r="BC2679">
        <v>0</v>
      </c>
      <c r="BD2679">
        <v>0</v>
      </c>
      <c r="BE2679">
        <f t="shared" si="419"/>
        <v>0</v>
      </c>
    </row>
    <row r="2680" spans="1:57" x14ac:dyDescent="0.25">
      <c r="A2680" t="s">
        <v>39</v>
      </c>
      <c r="B2680" t="s">
        <v>9279</v>
      </c>
      <c r="C2680">
        <v>59</v>
      </c>
      <c r="D2680">
        <v>48.5</v>
      </c>
      <c r="G2680">
        <f t="shared" si="410"/>
        <v>1</v>
      </c>
      <c r="H2680">
        <f t="shared" si="411"/>
        <v>0</v>
      </c>
      <c r="I2680">
        <f t="shared" si="412"/>
        <v>1</v>
      </c>
      <c r="J2680">
        <v>55.9</v>
      </c>
      <c r="K2680">
        <v>59</v>
      </c>
      <c r="L2680">
        <v>43.7</v>
      </c>
      <c r="M2680">
        <v>55.7</v>
      </c>
      <c r="N2680">
        <v>45.3</v>
      </c>
      <c r="O2680">
        <v>67.7</v>
      </c>
      <c r="S2680">
        <f t="shared" si="413"/>
        <v>0</v>
      </c>
      <c r="T2680">
        <f t="shared" si="414"/>
        <v>0</v>
      </c>
      <c r="U2680">
        <f t="shared" si="415"/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25.9</v>
      </c>
      <c r="AC2680">
        <v>16.100000000000001</v>
      </c>
      <c r="AG2680">
        <f t="shared" si="416"/>
        <v>0</v>
      </c>
      <c r="AH2680">
        <f t="shared" si="417"/>
        <v>0</v>
      </c>
      <c r="AI2680">
        <f t="shared" si="418"/>
        <v>0</v>
      </c>
      <c r="AJ2680">
        <v>345</v>
      </c>
      <c r="AK2680">
        <v>1023.8</v>
      </c>
      <c r="AL2680">
        <v>50.6</v>
      </c>
      <c r="AM2680">
        <v>6.2</v>
      </c>
      <c r="AN2680">
        <v>110.1</v>
      </c>
      <c r="AO2680">
        <v>9.4</v>
      </c>
      <c r="AP2680">
        <v>5</v>
      </c>
      <c r="AQ2680">
        <v>0</v>
      </c>
      <c r="AR2680" t="s">
        <v>9280</v>
      </c>
      <c r="AS2680" t="s">
        <v>9281</v>
      </c>
      <c r="AT2680">
        <v>0.84</v>
      </c>
      <c r="AU2680" t="s">
        <v>43</v>
      </c>
      <c r="AV2680" t="s">
        <v>44</v>
      </c>
      <c r="AW2680" t="s">
        <v>45</v>
      </c>
      <c r="AX2680" t="s">
        <v>5271</v>
      </c>
      <c r="AY2680" t="s">
        <v>9282</v>
      </c>
      <c r="AZ2680">
        <v>155.99999999511061</v>
      </c>
      <c r="BA2680">
        <v>0</v>
      </c>
      <c r="BB2680">
        <v>0</v>
      </c>
      <c r="BC2680">
        <v>0.1</v>
      </c>
      <c r="BD2680">
        <v>0</v>
      </c>
      <c r="BE2680">
        <f t="shared" si="419"/>
        <v>0</v>
      </c>
    </row>
    <row r="2681" spans="1:57" x14ac:dyDescent="0.25">
      <c r="A2681" t="s">
        <v>39</v>
      </c>
      <c r="B2681" t="s">
        <v>9283</v>
      </c>
      <c r="C2681">
        <v>64.400000000000006</v>
      </c>
      <c r="D2681">
        <v>50</v>
      </c>
      <c r="G2681">
        <f t="shared" si="410"/>
        <v>1</v>
      </c>
      <c r="H2681">
        <f t="shared" si="411"/>
        <v>0</v>
      </c>
      <c r="I2681">
        <f t="shared" si="412"/>
        <v>1</v>
      </c>
      <c r="J2681">
        <v>56.6</v>
      </c>
      <c r="K2681">
        <v>64.400000000000006</v>
      </c>
      <c r="L2681">
        <v>50</v>
      </c>
      <c r="M2681">
        <v>56.6</v>
      </c>
      <c r="N2681">
        <v>51.4</v>
      </c>
      <c r="O2681">
        <v>83</v>
      </c>
      <c r="S2681">
        <f t="shared" si="413"/>
        <v>1</v>
      </c>
      <c r="T2681">
        <f t="shared" si="414"/>
        <v>1</v>
      </c>
      <c r="U2681">
        <f t="shared" si="415"/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16.100000000000001</v>
      </c>
      <c r="AC2681">
        <v>6.9</v>
      </c>
      <c r="AG2681">
        <f t="shared" si="416"/>
        <v>1</v>
      </c>
      <c r="AH2681">
        <f t="shared" si="417"/>
        <v>0</v>
      </c>
      <c r="AI2681">
        <f t="shared" si="418"/>
        <v>1</v>
      </c>
      <c r="AJ2681">
        <v>1.9</v>
      </c>
      <c r="AK2681">
        <v>1025.0999999999999</v>
      </c>
      <c r="AL2681">
        <v>36.200000000000003</v>
      </c>
      <c r="AM2681">
        <v>6.2</v>
      </c>
      <c r="AN2681">
        <v>131</v>
      </c>
      <c r="AO2681">
        <v>11.3</v>
      </c>
      <c r="AP2681">
        <v>5</v>
      </c>
      <c r="AQ2681">
        <v>0</v>
      </c>
      <c r="AR2681" t="s">
        <v>9284</v>
      </c>
      <c r="AS2681" t="s">
        <v>9285</v>
      </c>
      <c r="AT2681">
        <v>0.91</v>
      </c>
      <c r="AU2681" t="s">
        <v>43</v>
      </c>
      <c r="AV2681" t="s">
        <v>44</v>
      </c>
      <c r="AW2681" t="s">
        <v>45</v>
      </c>
      <c r="AX2681" t="s">
        <v>2481</v>
      </c>
      <c r="AY2681" t="s">
        <v>9286</v>
      </c>
      <c r="AZ2681">
        <v>62.999999995809048</v>
      </c>
      <c r="BA2681">
        <v>0</v>
      </c>
      <c r="BB2681">
        <v>0</v>
      </c>
      <c r="BC2681">
        <v>0.1</v>
      </c>
      <c r="BD2681">
        <v>0</v>
      </c>
      <c r="BE2681">
        <f t="shared" si="419"/>
        <v>0</v>
      </c>
    </row>
    <row r="2682" spans="1:57" x14ac:dyDescent="0.25">
      <c r="A2682" t="s">
        <v>39</v>
      </c>
      <c r="B2682" t="s">
        <v>9287</v>
      </c>
      <c r="C2682">
        <v>73.3</v>
      </c>
      <c r="D2682">
        <v>57.2</v>
      </c>
      <c r="G2682">
        <f t="shared" si="410"/>
        <v>1</v>
      </c>
      <c r="H2682">
        <f t="shared" si="411"/>
        <v>1</v>
      </c>
      <c r="I2682">
        <f t="shared" si="412"/>
        <v>0</v>
      </c>
      <c r="J2682">
        <v>65.3</v>
      </c>
      <c r="K2682">
        <v>73.3</v>
      </c>
      <c r="L2682">
        <v>57.2</v>
      </c>
      <c r="M2682">
        <v>65.3</v>
      </c>
      <c r="N2682">
        <v>52.6</v>
      </c>
      <c r="O2682">
        <v>66.400000000000006</v>
      </c>
      <c r="S2682">
        <f t="shared" si="413"/>
        <v>1</v>
      </c>
      <c r="T2682">
        <f t="shared" si="414"/>
        <v>1</v>
      </c>
      <c r="U2682">
        <f t="shared" si="415"/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28.9</v>
      </c>
      <c r="AC2682">
        <v>27.7</v>
      </c>
      <c r="AG2682">
        <f t="shared" si="416"/>
        <v>1</v>
      </c>
      <c r="AH2682">
        <f t="shared" si="417"/>
        <v>1</v>
      </c>
      <c r="AI2682">
        <f t="shared" si="418"/>
        <v>0</v>
      </c>
      <c r="AJ2682">
        <v>153.6</v>
      </c>
      <c r="AK2682">
        <v>1013.1</v>
      </c>
      <c r="AL2682">
        <v>49.1</v>
      </c>
      <c r="AM2682">
        <v>6.2</v>
      </c>
      <c r="AN2682">
        <v>238.8</v>
      </c>
      <c r="AO2682">
        <v>20.6</v>
      </c>
      <c r="AP2682">
        <v>9</v>
      </c>
      <c r="AQ2682">
        <v>0</v>
      </c>
      <c r="AR2682" t="s">
        <v>9288</v>
      </c>
      <c r="AS2682" t="s">
        <v>9289</v>
      </c>
      <c r="AT2682">
        <v>0.54</v>
      </c>
      <c r="AU2682" t="s">
        <v>43</v>
      </c>
      <c r="AV2682" t="s">
        <v>44</v>
      </c>
      <c r="AW2682" t="s">
        <v>45</v>
      </c>
      <c r="AX2682" t="s">
        <v>2481</v>
      </c>
      <c r="AY2682" t="s">
        <v>9290</v>
      </c>
      <c r="AZ2682">
        <v>1313.999999997905</v>
      </c>
      <c r="BA2682">
        <v>1</v>
      </c>
      <c r="BB2682">
        <v>0</v>
      </c>
      <c r="BC2682">
        <v>15</v>
      </c>
      <c r="BD2682">
        <v>0</v>
      </c>
      <c r="BE2682">
        <f t="shared" si="419"/>
        <v>1</v>
      </c>
    </row>
    <row r="2683" spans="1:57" x14ac:dyDescent="0.25">
      <c r="A2683" t="s">
        <v>39</v>
      </c>
      <c r="B2683" t="s">
        <v>9291</v>
      </c>
      <c r="C2683">
        <v>68</v>
      </c>
      <c r="D2683">
        <v>53.6</v>
      </c>
      <c r="G2683">
        <f t="shared" si="410"/>
        <v>0</v>
      </c>
      <c r="H2683">
        <f t="shared" si="411"/>
        <v>0</v>
      </c>
      <c r="I2683">
        <f t="shared" si="412"/>
        <v>0</v>
      </c>
      <c r="J2683">
        <v>62.2</v>
      </c>
      <c r="K2683">
        <v>68</v>
      </c>
      <c r="L2683">
        <v>53.6</v>
      </c>
      <c r="M2683">
        <v>62.2</v>
      </c>
      <c r="N2683">
        <v>53.4</v>
      </c>
      <c r="O2683">
        <v>72.900000000000006</v>
      </c>
      <c r="S2683">
        <f t="shared" si="413"/>
        <v>1</v>
      </c>
      <c r="T2683">
        <f t="shared" si="414"/>
        <v>1</v>
      </c>
      <c r="U2683">
        <f t="shared" si="415"/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21.7</v>
      </c>
      <c r="AC2683">
        <v>19.7</v>
      </c>
      <c r="AG2683">
        <f t="shared" si="416"/>
        <v>1</v>
      </c>
      <c r="AH2683">
        <f t="shared" si="417"/>
        <v>1</v>
      </c>
      <c r="AI2683">
        <f t="shared" si="418"/>
        <v>0</v>
      </c>
      <c r="AJ2683">
        <v>297.2</v>
      </c>
      <c r="AK2683">
        <v>1019.5</v>
      </c>
      <c r="AL2683">
        <v>22.6</v>
      </c>
      <c r="AM2683">
        <v>6.2</v>
      </c>
      <c r="AN2683">
        <v>289.3</v>
      </c>
      <c r="AO2683">
        <v>25</v>
      </c>
      <c r="AP2683">
        <v>9</v>
      </c>
      <c r="AQ2683">
        <v>0</v>
      </c>
      <c r="AR2683" t="s">
        <v>9292</v>
      </c>
      <c r="AS2683" t="s">
        <v>9293</v>
      </c>
      <c r="AT2683">
        <v>0.12</v>
      </c>
      <c r="AU2683" t="s">
        <v>43</v>
      </c>
      <c r="AV2683" t="s">
        <v>44</v>
      </c>
      <c r="AW2683" t="s">
        <v>45</v>
      </c>
      <c r="AX2683" t="s">
        <v>4316</v>
      </c>
      <c r="AY2683" t="s">
        <v>9294</v>
      </c>
      <c r="AZ2683">
        <v>45</v>
      </c>
      <c r="BA2683">
        <v>0</v>
      </c>
      <c r="BB2683">
        <v>0</v>
      </c>
      <c r="BC2683">
        <v>0.01</v>
      </c>
      <c r="BD2683">
        <v>0</v>
      </c>
      <c r="BE2683">
        <f t="shared" si="419"/>
        <v>0</v>
      </c>
    </row>
    <row r="2684" spans="1:57" x14ac:dyDescent="0.25">
      <c r="A2684" t="s">
        <v>39</v>
      </c>
      <c r="B2684" t="s">
        <v>9295</v>
      </c>
      <c r="C2684">
        <v>80.599999999999994</v>
      </c>
      <c r="D2684">
        <v>66.2</v>
      </c>
      <c r="G2684">
        <f t="shared" si="410"/>
        <v>1</v>
      </c>
      <c r="H2684">
        <f t="shared" si="411"/>
        <v>1</v>
      </c>
      <c r="I2684">
        <f t="shared" si="412"/>
        <v>0</v>
      </c>
      <c r="J2684">
        <v>74.099999999999994</v>
      </c>
      <c r="K2684">
        <v>80.3</v>
      </c>
      <c r="L2684">
        <v>66.2</v>
      </c>
      <c r="M2684">
        <v>74</v>
      </c>
      <c r="N2684">
        <v>53.7</v>
      </c>
      <c r="O2684">
        <v>51.3</v>
      </c>
      <c r="S2684">
        <f t="shared" si="413"/>
        <v>1</v>
      </c>
      <c r="T2684">
        <f t="shared" si="414"/>
        <v>0</v>
      </c>
      <c r="U2684">
        <f t="shared" si="415"/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35.6</v>
      </c>
      <c r="AC2684">
        <v>23</v>
      </c>
      <c r="AG2684">
        <f t="shared" si="416"/>
        <v>1</v>
      </c>
      <c r="AH2684">
        <f t="shared" si="417"/>
        <v>1</v>
      </c>
      <c r="AI2684">
        <f t="shared" si="418"/>
        <v>0</v>
      </c>
      <c r="AJ2684">
        <v>291.2</v>
      </c>
      <c r="AK2684">
        <v>1013</v>
      </c>
      <c r="AL2684">
        <v>25.2</v>
      </c>
      <c r="AM2684">
        <v>6.2</v>
      </c>
      <c r="AN2684">
        <v>336.9</v>
      </c>
      <c r="AO2684">
        <v>29.1</v>
      </c>
      <c r="AP2684">
        <v>10</v>
      </c>
      <c r="AQ2684">
        <v>0</v>
      </c>
      <c r="AR2684" t="s">
        <v>9296</v>
      </c>
      <c r="AS2684" t="s">
        <v>9297</v>
      </c>
      <c r="AT2684">
        <v>0.5</v>
      </c>
      <c r="AU2684" t="s">
        <v>43</v>
      </c>
      <c r="AV2684" t="s">
        <v>44</v>
      </c>
      <c r="AW2684" t="s">
        <v>45</v>
      </c>
      <c r="AX2684" t="s">
        <v>9298</v>
      </c>
      <c r="AY2684" t="s">
        <v>9299</v>
      </c>
      <c r="AZ2684">
        <v>2944.9999999918509</v>
      </c>
      <c r="BA2684">
        <v>1</v>
      </c>
      <c r="BB2684">
        <v>0</v>
      </c>
      <c r="BC2684">
        <v>20</v>
      </c>
      <c r="BD2684">
        <v>0</v>
      </c>
      <c r="BE2684">
        <f t="shared" si="419"/>
        <v>1</v>
      </c>
    </row>
    <row r="2685" spans="1:57" x14ac:dyDescent="0.25">
      <c r="A2685" t="s">
        <v>39</v>
      </c>
      <c r="B2685" t="s">
        <v>9295</v>
      </c>
      <c r="C2685">
        <v>80.599999999999994</v>
      </c>
      <c r="D2685">
        <v>66.2</v>
      </c>
      <c r="G2685">
        <f t="shared" si="410"/>
        <v>1</v>
      </c>
      <c r="H2685">
        <f t="shared" si="411"/>
        <v>1</v>
      </c>
      <c r="I2685">
        <f t="shared" si="412"/>
        <v>0</v>
      </c>
      <c r="J2685">
        <v>74.099999999999994</v>
      </c>
      <c r="K2685">
        <v>80.3</v>
      </c>
      <c r="L2685">
        <v>66.2</v>
      </c>
      <c r="M2685">
        <v>74</v>
      </c>
      <c r="N2685">
        <v>53.7</v>
      </c>
      <c r="O2685">
        <v>51.3</v>
      </c>
      <c r="S2685">
        <f t="shared" si="413"/>
        <v>1</v>
      </c>
      <c r="T2685">
        <f t="shared" si="414"/>
        <v>0</v>
      </c>
      <c r="U2685">
        <f t="shared" si="415"/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35.6</v>
      </c>
      <c r="AC2685">
        <v>23</v>
      </c>
      <c r="AG2685">
        <f t="shared" si="416"/>
        <v>1</v>
      </c>
      <c r="AH2685">
        <f t="shared" si="417"/>
        <v>1</v>
      </c>
      <c r="AI2685">
        <f t="shared" si="418"/>
        <v>0</v>
      </c>
      <c r="AJ2685">
        <v>291.2</v>
      </c>
      <c r="AK2685">
        <v>1013</v>
      </c>
      <c r="AL2685">
        <v>25.2</v>
      </c>
      <c r="AM2685">
        <v>6.2</v>
      </c>
      <c r="AN2685">
        <v>336.9</v>
      </c>
      <c r="AO2685">
        <v>29.1</v>
      </c>
      <c r="AP2685">
        <v>10</v>
      </c>
      <c r="AQ2685">
        <v>0</v>
      </c>
      <c r="AR2685" t="s">
        <v>9296</v>
      </c>
      <c r="AS2685" t="s">
        <v>9297</v>
      </c>
      <c r="AT2685">
        <v>0.5</v>
      </c>
      <c r="AU2685" t="s">
        <v>43</v>
      </c>
      <c r="AV2685" t="s">
        <v>44</v>
      </c>
      <c r="AW2685" t="s">
        <v>45</v>
      </c>
      <c r="AX2685" t="s">
        <v>6553</v>
      </c>
      <c r="AY2685" t="s">
        <v>9300</v>
      </c>
      <c r="AZ2685">
        <v>1167.000000000698</v>
      </c>
      <c r="BA2685">
        <v>1</v>
      </c>
      <c r="BB2685">
        <v>0</v>
      </c>
      <c r="BC2685">
        <v>1</v>
      </c>
      <c r="BD2685">
        <v>0</v>
      </c>
      <c r="BE2685">
        <f t="shared" si="419"/>
        <v>1</v>
      </c>
    </row>
    <row r="2686" spans="1:57" x14ac:dyDescent="0.25">
      <c r="A2686" t="s">
        <v>39</v>
      </c>
      <c r="B2686" t="s">
        <v>9301</v>
      </c>
      <c r="C2686">
        <v>84.2</v>
      </c>
      <c r="D2686">
        <v>78.8</v>
      </c>
      <c r="G2686">
        <f t="shared" si="410"/>
        <v>1</v>
      </c>
      <c r="H2686">
        <f t="shared" si="411"/>
        <v>1</v>
      </c>
      <c r="I2686">
        <f t="shared" si="412"/>
        <v>0</v>
      </c>
      <c r="J2686">
        <v>81.3</v>
      </c>
      <c r="K2686">
        <v>86.5</v>
      </c>
      <c r="L2686">
        <v>78.8</v>
      </c>
      <c r="M2686">
        <v>83</v>
      </c>
      <c r="N2686">
        <v>65.3</v>
      </c>
      <c r="O2686">
        <v>58.4</v>
      </c>
      <c r="S2686">
        <f t="shared" si="413"/>
        <v>1</v>
      </c>
      <c r="T2686">
        <f t="shared" si="414"/>
        <v>0</v>
      </c>
      <c r="U2686">
        <f t="shared" si="415"/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27.7</v>
      </c>
      <c r="AC2686">
        <v>21.9</v>
      </c>
      <c r="AG2686">
        <f t="shared" si="416"/>
        <v>1</v>
      </c>
      <c r="AH2686">
        <f t="shared" si="417"/>
        <v>1</v>
      </c>
      <c r="AI2686">
        <f t="shared" si="418"/>
        <v>0</v>
      </c>
      <c r="AJ2686">
        <v>302.60000000000002</v>
      </c>
      <c r="AK2686">
        <v>1010.9</v>
      </c>
      <c r="AL2686">
        <v>18.5</v>
      </c>
      <c r="AM2686">
        <v>6.2</v>
      </c>
      <c r="AN2686">
        <v>329.4</v>
      </c>
      <c r="AO2686">
        <v>28.6</v>
      </c>
      <c r="AP2686">
        <v>10</v>
      </c>
      <c r="AQ2686">
        <v>0</v>
      </c>
      <c r="AR2686" t="s">
        <v>9302</v>
      </c>
      <c r="AS2686" t="s">
        <v>9303</v>
      </c>
      <c r="AT2686">
        <v>0.45</v>
      </c>
      <c r="AU2686" t="s">
        <v>74</v>
      </c>
      <c r="AV2686" t="s">
        <v>2955</v>
      </c>
      <c r="AW2686" t="s">
        <v>75</v>
      </c>
      <c r="AX2686" t="s">
        <v>9298</v>
      </c>
      <c r="AY2686" t="s">
        <v>9304</v>
      </c>
      <c r="AZ2686">
        <v>232.9999999946449</v>
      </c>
      <c r="BA2686">
        <v>0</v>
      </c>
      <c r="BB2686">
        <v>0</v>
      </c>
      <c r="BC2686">
        <v>0.5</v>
      </c>
      <c r="BD2686">
        <v>0</v>
      </c>
      <c r="BE2686">
        <f t="shared" si="419"/>
        <v>1</v>
      </c>
    </row>
    <row r="2687" spans="1:57" x14ac:dyDescent="0.25">
      <c r="A2687" t="s">
        <v>39</v>
      </c>
      <c r="B2687" t="s">
        <v>9301</v>
      </c>
      <c r="C2687">
        <v>84.2</v>
      </c>
      <c r="D2687">
        <v>78.8</v>
      </c>
      <c r="G2687">
        <f t="shared" si="410"/>
        <v>1</v>
      </c>
      <c r="H2687">
        <f t="shared" si="411"/>
        <v>1</v>
      </c>
      <c r="I2687">
        <f t="shared" si="412"/>
        <v>0</v>
      </c>
      <c r="J2687">
        <v>81.3</v>
      </c>
      <c r="K2687">
        <v>86.5</v>
      </c>
      <c r="L2687">
        <v>78.8</v>
      </c>
      <c r="M2687">
        <v>83</v>
      </c>
      <c r="N2687">
        <v>65.3</v>
      </c>
      <c r="O2687">
        <v>58.4</v>
      </c>
      <c r="S2687">
        <f t="shared" si="413"/>
        <v>1</v>
      </c>
      <c r="T2687">
        <f t="shared" si="414"/>
        <v>0</v>
      </c>
      <c r="U2687">
        <f t="shared" si="415"/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27.7</v>
      </c>
      <c r="AC2687">
        <v>21.9</v>
      </c>
      <c r="AG2687">
        <f t="shared" si="416"/>
        <v>1</v>
      </c>
      <c r="AH2687">
        <f t="shared" si="417"/>
        <v>1</v>
      </c>
      <c r="AI2687">
        <f t="shared" si="418"/>
        <v>0</v>
      </c>
      <c r="AJ2687">
        <v>302.60000000000002</v>
      </c>
      <c r="AK2687">
        <v>1010.9</v>
      </c>
      <c r="AL2687">
        <v>18.5</v>
      </c>
      <c r="AM2687">
        <v>6.2</v>
      </c>
      <c r="AN2687">
        <v>329.4</v>
      </c>
      <c r="AO2687">
        <v>28.6</v>
      </c>
      <c r="AP2687">
        <v>10</v>
      </c>
      <c r="AQ2687">
        <v>0</v>
      </c>
      <c r="AR2687" t="s">
        <v>9302</v>
      </c>
      <c r="AS2687" t="s">
        <v>9303</v>
      </c>
      <c r="AT2687">
        <v>0.45</v>
      </c>
      <c r="AU2687" t="s">
        <v>74</v>
      </c>
      <c r="AV2687" t="s">
        <v>2955</v>
      </c>
      <c r="AW2687" t="s">
        <v>75</v>
      </c>
      <c r="AX2687" t="s">
        <v>6414</v>
      </c>
      <c r="AY2687" t="s">
        <v>9305</v>
      </c>
      <c r="AZ2687">
        <v>2958.9999999955762</v>
      </c>
      <c r="BA2687">
        <v>1</v>
      </c>
      <c r="BB2687">
        <v>0</v>
      </c>
      <c r="BC2687">
        <v>3</v>
      </c>
      <c r="BD2687">
        <v>0</v>
      </c>
      <c r="BE2687">
        <f t="shared" si="419"/>
        <v>1</v>
      </c>
    </row>
    <row r="2688" spans="1:57" x14ac:dyDescent="0.25">
      <c r="A2688" t="s">
        <v>39</v>
      </c>
      <c r="B2688" t="s">
        <v>9301</v>
      </c>
      <c r="C2688">
        <v>84.2</v>
      </c>
      <c r="D2688">
        <v>78.8</v>
      </c>
      <c r="G2688">
        <f t="shared" si="410"/>
        <v>1</v>
      </c>
      <c r="H2688">
        <f t="shared" si="411"/>
        <v>1</v>
      </c>
      <c r="I2688">
        <f t="shared" si="412"/>
        <v>0</v>
      </c>
      <c r="J2688">
        <v>81.3</v>
      </c>
      <c r="K2688">
        <v>86.5</v>
      </c>
      <c r="L2688">
        <v>78.8</v>
      </c>
      <c r="M2688">
        <v>83</v>
      </c>
      <c r="N2688">
        <v>65.3</v>
      </c>
      <c r="O2688">
        <v>58.4</v>
      </c>
      <c r="S2688">
        <f t="shared" si="413"/>
        <v>1</v>
      </c>
      <c r="T2688">
        <f t="shared" si="414"/>
        <v>0</v>
      </c>
      <c r="U2688">
        <f t="shared" si="415"/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27.7</v>
      </c>
      <c r="AC2688">
        <v>21.9</v>
      </c>
      <c r="AG2688">
        <f t="shared" si="416"/>
        <v>1</v>
      </c>
      <c r="AH2688">
        <f t="shared" si="417"/>
        <v>1</v>
      </c>
      <c r="AI2688">
        <f t="shared" si="418"/>
        <v>0</v>
      </c>
      <c r="AJ2688">
        <v>302.60000000000002</v>
      </c>
      <c r="AK2688">
        <v>1010.9</v>
      </c>
      <c r="AL2688">
        <v>18.5</v>
      </c>
      <c r="AM2688">
        <v>6.2</v>
      </c>
      <c r="AN2688">
        <v>329.4</v>
      </c>
      <c r="AO2688">
        <v>28.6</v>
      </c>
      <c r="AP2688">
        <v>10</v>
      </c>
      <c r="AQ2688">
        <v>0</v>
      </c>
      <c r="AR2688" t="s">
        <v>9302</v>
      </c>
      <c r="AS2688" t="s">
        <v>9303</v>
      </c>
      <c r="AT2688">
        <v>0.45</v>
      </c>
      <c r="AU2688" t="s">
        <v>74</v>
      </c>
      <c r="AV2688" t="s">
        <v>2955</v>
      </c>
      <c r="AW2688" t="s">
        <v>75</v>
      </c>
      <c r="AX2688" t="s">
        <v>9306</v>
      </c>
      <c r="AY2688" t="s">
        <v>9307</v>
      </c>
      <c r="AZ2688">
        <v>123.9999999955762</v>
      </c>
      <c r="BA2688">
        <v>0</v>
      </c>
      <c r="BB2688">
        <v>0</v>
      </c>
      <c r="BC2688">
        <v>0.5</v>
      </c>
      <c r="BD2688">
        <v>0</v>
      </c>
      <c r="BE2688">
        <f t="shared" si="419"/>
        <v>1</v>
      </c>
    </row>
    <row r="2689" spans="1:57" x14ac:dyDescent="0.25">
      <c r="A2689" t="s">
        <v>39</v>
      </c>
      <c r="B2689" t="s">
        <v>9308</v>
      </c>
      <c r="C2689">
        <v>66.2</v>
      </c>
      <c r="D2689">
        <v>51.8</v>
      </c>
      <c r="G2689">
        <f t="shared" si="410"/>
        <v>0</v>
      </c>
      <c r="H2689">
        <f t="shared" si="411"/>
        <v>0</v>
      </c>
      <c r="I2689">
        <f t="shared" si="412"/>
        <v>0</v>
      </c>
      <c r="J2689">
        <v>59.6</v>
      </c>
      <c r="K2689">
        <v>66.2</v>
      </c>
      <c r="L2689">
        <v>51.8</v>
      </c>
      <c r="M2689">
        <v>59.6</v>
      </c>
      <c r="N2689">
        <v>51.1</v>
      </c>
      <c r="O2689">
        <v>73.8</v>
      </c>
      <c r="S2689">
        <f t="shared" si="413"/>
        <v>1</v>
      </c>
      <c r="T2689">
        <f t="shared" si="414"/>
        <v>1</v>
      </c>
      <c r="U2689">
        <f t="shared" si="415"/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15</v>
      </c>
      <c r="AC2689">
        <v>9.1999999999999993</v>
      </c>
      <c r="AG2689">
        <f t="shared" si="416"/>
        <v>1</v>
      </c>
      <c r="AH2689">
        <f t="shared" si="417"/>
        <v>0</v>
      </c>
      <c r="AI2689">
        <f t="shared" si="418"/>
        <v>1</v>
      </c>
      <c r="AJ2689">
        <v>294.5</v>
      </c>
      <c r="AK2689">
        <v>1021</v>
      </c>
      <c r="AL2689">
        <v>36.1</v>
      </c>
      <c r="AM2689">
        <v>6.2</v>
      </c>
      <c r="AN2689">
        <v>150</v>
      </c>
      <c r="AO2689">
        <v>12.9</v>
      </c>
      <c r="AP2689">
        <v>6</v>
      </c>
      <c r="AQ2689">
        <v>0</v>
      </c>
      <c r="AR2689" t="s">
        <v>9309</v>
      </c>
      <c r="AS2689" t="s">
        <v>9310</v>
      </c>
      <c r="AT2689">
        <v>0.34</v>
      </c>
      <c r="AU2689" t="s">
        <v>43</v>
      </c>
      <c r="AV2689" t="s">
        <v>44</v>
      </c>
      <c r="AW2689" t="s">
        <v>45</v>
      </c>
      <c r="AX2689" t="s">
        <v>2582</v>
      </c>
      <c r="AY2689" t="s">
        <v>9311</v>
      </c>
      <c r="AZ2689">
        <v>255.00000000349249</v>
      </c>
      <c r="BA2689">
        <v>0</v>
      </c>
      <c r="BB2689">
        <v>0</v>
      </c>
      <c r="BC2689">
        <v>0.5</v>
      </c>
      <c r="BD2689">
        <v>0</v>
      </c>
      <c r="BE2689">
        <f t="shared" si="419"/>
        <v>0</v>
      </c>
    </row>
    <row r="2690" spans="1:57" x14ac:dyDescent="0.25">
      <c r="A2690" t="s">
        <v>39</v>
      </c>
      <c r="B2690" t="s">
        <v>9312</v>
      </c>
      <c r="C2690">
        <v>80.599999999999994</v>
      </c>
      <c r="D2690">
        <v>69.8</v>
      </c>
      <c r="G2690">
        <f t="shared" si="410"/>
        <v>0</v>
      </c>
      <c r="H2690">
        <f t="shared" si="411"/>
        <v>0</v>
      </c>
      <c r="I2690">
        <f t="shared" si="412"/>
        <v>0</v>
      </c>
      <c r="J2690">
        <v>75.5</v>
      </c>
      <c r="K2690">
        <v>82.8</v>
      </c>
      <c r="L2690">
        <v>69.8</v>
      </c>
      <c r="M2690">
        <v>75.900000000000006</v>
      </c>
      <c r="N2690">
        <v>61.7</v>
      </c>
      <c r="O2690">
        <v>62.5</v>
      </c>
      <c r="S2690">
        <f t="shared" si="413"/>
        <v>1</v>
      </c>
      <c r="T2690">
        <f t="shared" si="414"/>
        <v>0</v>
      </c>
      <c r="U2690">
        <f t="shared" si="415"/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23.7</v>
      </c>
      <c r="AC2690">
        <v>18.3</v>
      </c>
      <c r="AG2690">
        <f t="shared" si="416"/>
        <v>1</v>
      </c>
      <c r="AH2690">
        <f t="shared" si="417"/>
        <v>1</v>
      </c>
      <c r="AI2690">
        <f t="shared" si="418"/>
        <v>0</v>
      </c>
      <c r="AJ2690">
        <v>280.7</v>
      </c>
      <c r="AK2690">
        <v>1010.1</v>
      </c>
      <c r="AL2690">
        <v>40.299999999999997</v>
      </c>
      <c r="AM2690">
        <v>6.2</v>
      </c>
      <c r="AN2690">
        <v>195.8</v>
      </c>
      <c r="AO2690">
        <v>16.8</v>
      </c>
      <c r="AP2690">
        <v>7</v>
      </c>
      <c r="AQ2690">
        <v>0</v>
      </c>
      <c r="AR2690" t="s">
        <v>9313</v>
      </c>
      <c r="AS2690" t="s">
        <v>9314</v>
      </c>
      <c r="AT2690">
        <v>0.44</v>
      </c>
      <c r="AU2690" t="s">
        <v>43</v>
      </c>
      <c r="AV2690" t="s">
        <v>44</v>
      </c>
      <c r="AW2690" t="s">
        <v>45</v>
      </c>
      <c r="AX2690" t="s">
        <v>9315</v>
      </c>
      <c r="AY2690" t="s">
        <v>9316</v>
      </c>
      <c r="AZ2690">
        <v>5402.0000000065193</v>
      </c>
      <c r="BA2690">
        <v>1</v>
      </c>
      <c r="BB2690">
        <v>0</v>
      </c>
      <c r="BC2690">
        <v>30</v>
      </c>
      <c r="BD2690">
        <v>0</v>
      </c>
      <c r="BE2690">
        <f t="shared" si="419"/>
        <v>1</v>
      </c>
    </row>
    <row r="2691" spans="1:57" x14ac:dyDescent="0.25">
      <c r="A2691" t="s">
        <v>39</v>
      </c>
      <c r="B2691" t="s">
        <v>9317</v>
      </c>
      <c r="C2691">
        <v>71.599999999999994</v>
      </c>
      <c r="D2691">
        <v>57.2</v>
      </c>
      <c r="G2691">
        <f t="shared" ref="G2691:G2754" si="420">IF(ABS(C2691-INDEX($F$2:$F$13,MONTH(B2691)))&gt;1.8,1,0)</f>
        <v>1</v>
      </c>
      <c r="H2691">
        <f t="shared" ref="H2691:H2754" si="421">IF(C2691&gt;=INDEX($F$2:$F$13,MONTH(B2691))+1.8,1,0)</f>
        <v>1</v>
      </c>
      <c r="I2691">
        <f t="shared" ref="I2691:I2754" si="422">IF(C2691&lt;=INDEX($F$2:$F$13,MONTH(B2691))-1.8,1,0)</f>
        <v>0</v>
      </c>
      <c r="J2691">
        <v>65.8</v>
      </c>
      <c r="K2691">
        <v>71.599999999999994</v>
      </c>
      <c r="L2691">
        <v>57.2</v>
      </c>
      <c r="M2691">
        <v>65.8</v>
      </c>
      <c r="N2691">
        <v>50.6</v>
      </c>
      <c r="O2691">
        <v>59.4</v>
      </c>
      <c r="S2691">
        <f t="shared" ref="S2691:S2754" si="423">IF(OR(O2691&lt;INDEX($Q$2:$Q$13,MONTH(B2691)),O2691&gt;INDEX($R$2:$R$13,MONTH(B2691))),1,0)</f>
        <v>1</v>
      </c>
      <c r="T2691">
        <f t="shared" ref="T2691:T2754" si="424">IF(O2691&gt;INDEX($R$2:$R$13,MONTH(B2691)),1,0)</f>
        <v>0</v>
      </c>
      <c r="U2691">
        <f t="shared" ref="U2691:U2754" si="425">IF(O2691&lt;INDEX($Q$2:$Q$13,MONTH(B2691)),1,0)</f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34.700000000000003</v>
      </c>
      <c r="AC2691">
        <v>23</v>
      </c>
      <c r="AG2691">
        <f t="shared" ref="AG2691:AG2754" si="426">IF(OR(AC2691&lt;INDEX($AE$2:$AE$13,MONTH(B2691)),AC2691&gt;INDEX($AF$2:$AF$13,MONTH(B2691))),1,0)</f>
        <v>1</v>
      </c>
      <c r="AH2691">
        <f t="shared" ref="AH2691:AH2754" si="427">IF(AC2691&gt;INDEX($AF$2:$AF$13,MONTH(B2691)),1,0)</f>
        <v>1</v>
      </c>
      <c r="AI2691">
        <f t="shared" ref="AI2691:AI2754" si="428">IF(AC2691&lt;INDEX($AE$2:$AE$13,MONTH(B2691)),1,0)</f>
        <v>0</v>
      </c>
      <c r="AJ2691">
        <v>305.10000000000002</v>
      </c>
      <c r="AK2691">
        <v>1014.8</v>
      </c>
      <c r="AL2691">
        <v>53.4</v>
      </c>
      <c r="AM2691">
        <v>6.2</v>
      </c>
      <c r="AN2691">
        <v>246.7</v>
      </c>
      <c r="AO2691">
        <v>21.3</v>
      </c>
      <c r="AP2691">
        <v>9</v>
      </c>
      <c r="AQ2691">
        <v>0</v>
      </c>
      <c r="AR2691" t="s">
        <v>9318</v>
      </c>
      <c r="AS2691" t="s">
        <v>9319</v>
      </c>
      <c r="AT2691">
        <v>0.95</v>
      </c>
      <c r="AU2691" t="s">
        <v>43</v>
      </c>
      <c r="AV2691" t="s">
        <v>44</v>
      </c>
      <c r="AW2691" t="s">
        <v>45</v>
      </c>
      <c r="AX2691" t="s">
        <v>4401</v>
      </c>
      <c r="AY2691" t="s">
        <v>9320</v>
      </c>
      <c r="AZ2691">
        <v>222.00000000069849</v>
      </c>
      <c r="BA2691">
        <v>0</v>
      </c>
      <c r="BB2691">
        <v>0</v>
      </c>
      <c r="BC2691">
        <v>6</v>
      </c>
      <c r="BD2691">
        <v>0</v>
      </c>
      <c r="BE2691">
        <f t="shared" ref="BE2691:BE2754" si="429">IF((3*AH2691+3*H2691+2*U2691+2*BA2691-(2*(1-T2691)+2*(1-I2691)+2*(1-AI2691)))&gt;=1,1,0)</f>
        <v>1</v>
      </c>
    </row>
    <row r="2692" spans="1:57" x14ac:dyDescent="0.25">
      <c r="A2692" t="s">
        <v>39</v>
      </c>
      <c r="B2692" t="s">
        <v>9321</v>
      </c>
      <c r="C2692">
        <v>87.9</v>
      </c>
      <c r="D2692">
        <v>75.099999999999994</v>
      </c>
      <c r="G2692">
        <f t="shared" si="420"/>
        <v>1</v>
      </c>
      <c r="H2692">
        <f t="shared" si="421"/>
        <v>1</v>
      </c>
      <c r="I2692">
        <f t="shared" si="422"/>
        <v>0</v>
      </c>
      <c r="J2692">
        <v>82.2</v>
      </c>
      <c r="K2692">
        <v>102.2</v>
      </c>
      <c r="L2692">
        <v>75.099999999999994</v>
      </c>
      <c r="M2692">
        <v>86.3</v>
      </c>
      <c r="N2692">
        <v>68.099999999999994</v>
      </c>
      <c r="O2692">
        <v>63.1</v>
      </c>
      <c r="S2692">
        <f t="shared" si="423"/>
        <v>1</v>
      </c>
      <c r="T2692">
        <f t="shared" si="424"/>
        <v>1</v>
      </c>
      <c r="U2692">
        <f t="shared" si="425"/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25.3</v>
      </c>
      <c r="AC2692">
        <v>11.4</v>
      </c>
      <c r="AG2692">
        <f t="shared" si="426"/>
        <v>1</v>
      </c>
      <c r="AH2692">
        <f t="shared" si="427"/>
        <v>0</v>
      </c>
      <c r="AI2692">
        <f t="shared" si="428"/>
        <v>1</v>
      </c>
      <c r="AJ2692">
        <v>1.1000000000000001</v>
      </c>
      <c r="AK2692">
        <v>1009</v>
      </c>
      <c r="AL2692">
        <v>0.1</v>
      </c>
      <c r="AM2692">
        <v>6.2</v>
      </c>
      <c r="AN2692">
        <v>291.8</v>
      </c>
      <c r="AO2692">
        <v>25.2</v>
      </c>
      <c r="AP2692">
        <v>9</v>
      </c>
      <c r="AQ2692">
        <v>0</v>
      </c>
      <c r="AR2692" t="s">
        <v>9322</v>
      </c>
      <c r="AS2692" t="s">
        <v>9323</v>
      </c>
      <c r="AT2692">
        <v>0.52</v>
      </c>
      <c r="AU2692" t="s">
        <v>74</v>
      </c>
      <c r="AV2692" t="s">
        <v>2955</v>
      </c>
      <c r="AW2692" t="s">
        <v>75</v>
      </c>
      <c r="AX2692" t="s">
        <v>4039</v>
      </c>
      <c r="AY2692" t="s">
        <v>9324</v>
      </c>
      <c r="AZ2692">
        <v>1196.999999993714</v>
      </c>
      <c r="BA2692">
        <v>1</v>
      </c>
      <c r="BB2692">
        <v>0</v>
      </c>
      <c r="BC2692">
        <v>3</v>
      </c>
      <c r="BD2692">
        <v>0</v>
      </c>
      <c r="BE2692">
        <f t="shared" si="429"/>
        <v>1</v>
      </c>
    </row>
    <row r="2693" spans="1:57" x14ac:dyDescent="0.25">
      <c r="A2693" t="s">
        <v>39</v>
      </c>
      <c r="B2693" t="s">
        <v>9325</v>
      </c>
      <c r="C2693">
        <v>60.8</v>
      </c>
      <c r="D2693">
        <v>48.2</v>
      </c>
      <c r="G2693">
        <f t="shared" si="420"/>
        <v>0</v>
      </c>
      <c r="H2693">
        <f t="shared" si="421"/>
        <v>0</v>
      </c>
      <c r="I2693">
        <f t="shared" si="422"/>
        <v>0</v>
      </c>
      <c r="J2693">
        <v>56.6</v>
      </c>
      <c r="K2693">
        <v>60.8</v>
      </c>
      <c r="L2693">
        <v>44.6</v>
      </c>
      <c r="M2693">
        <v>56.3</v>
      </c>
      <c r="N2693">
        <v>40.6</v>
      </c>
      <c r="O2693">
        <v>55.3</v>
      </c>
      <c r="S2693">
        <f t="shared" si="423"/>
        <v>1</v>
      </c>
      <c r="T2693">
        <f t="shared" si="424"/>
        <v>0</v>
      </c>
      <c r="U2693">
        <f t="shared" si="425"/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38.5</v>
      </c>
      <c r="AC2693">
        <v>19.7</v>
      </c>
      <c r="AG2693">
        <f t="shared" si="426"/>
        <v>1</v>
      </c>
      <c r="AH2693">
        <f t="shared" si="427"/>
        <v>1</v>
      </c>
      <c r="AI2693">
        <f t="shared" si="428"/>
        <v>0</v>
      </c>
      <c r="AJ2693">
        <v>322.10000000000002</v>
      </c>
      <c r="AK2693">
        <v>1020.4</v>
      </c>
      <c r="AL2693">
        <v>45.2</v>
      </c>
      <c r="AM2693">
        <v>6.2</v>
      </c>
      <c r="AN2693">
        <v>228.8</v>
      </c>
      <c r="AO2693">
        <v>19.899999999999999</v>
      </c>
      <c r="AP2693">
        <v>7</v>
      </c>
      <c r="AQ2693">
        <v>0</v>
      </c>
      <c r="AR2693" t="s">
        <v>9326</v>
      </c>
      <c r="AS2693" t="s">
        <v>9327</v>
      </c>
      <c r="AT2693">
        <v>0.37</v>
      </c>
      <c r="AU2693" t="s">
        <v>43</v>
      </c>
      <c r="AV2693" t="s">
        <v>44</v>
      </c>
      <c r="AW2693" t="s">
        <v>45</v>
      </c>
      <c r="AX2693" t="s">
        <v>6584</v>
      </c>
      <c r="AY2693" t="s">
        <v>9328</v>
      </c>
      <c r="AZ2693">
        <v>1208.9999999909201</v>
      </c>
      <c r="BA2693">
        <v>1</v>
      </c>
      <c r="BB2693">
        <v>0</v>
      </c>
      <c r="BC2693">
        <v>10</v>
      </c>
      <c r="BD2693">
        <v>0</v>
      </c>
      <c r="BE2693">
        <f t="shared" si="429"/>
        <v>1</v>
      </c>
    </row>
    <row r="2694" spans="1:57" x14ac:dyDescent="0.25">
      <c r="A2694" t="s">
        <v>39</v>
      </c>
      <c r="B2694" t="s">
        <v>9259</v>
      </c>
      <c r="C2694">
        <v>73.400000000000006</v>
      </c>
      <c r="D2694">
        <v>64.400000000000006</v>
      </c>
      <c r="G2694">
        <f t="shared" si="420"/>
        <v>1</v>
      </c>
      <c r="H2694">
        <f t="shared" si="421"/>
        <v>1</v>
      </c>
      <c r="I2694">
        <f t="shared" si="422"/>
        <v>0</v>
      </c>
      <c r="J2694">
        <v>69.3</v>
      </c>
      <c r="K2694">
        <v>73.400000000000006</v>
      </c>
      <c r="L2694">
        <v>64.400000000000006</v>
      </c>
      <c r="M2694">
        <v>69.3</v>
      </c>
      <c r="N2694">
        <v>55.2</v>
      </c>
      <c r="O2694">
        <v>61.5</v>
      </c>
      <c r="S2694">
        <f t="shared" si="423"/>
        <v>1</v>
      </c>
      <c r="T2694">
        <f t="shared" si="424"/>
        <v>0</v>
      </c>
      <c r="U2694">
        <f t="shared" si="425"/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24.2</v>
      </c>
      <c r="AC2694">
        <v>13.9</v>
      </c>
      <c r="AG2694">
        <f t="shared" si="426"/>
        <v>1</v>
      </c>
      <c r="AH2694">
        <f t="shared" si="427"/>
        <v>0</v>
      </c>
      <c r="AI2694">
        <f t="shared" si="428"/>
        <v>1</v>
      </c>
      <c r="AJ2694">
        <v>308.8</v>
      </c>
      <c r="AK2694">
        <v>1019</v>
      </c>
      <c r="AL2694">
        <v>0.3</v>
      </c>
      <c r="AM2694">
        <v>6.2</v>
      </c>
      <c r="AN2694">
        <v>296.2</v>
      </c>
      <c r="AO2694">
        <v>25.5</v>
      </c>
      <c r="AP2694">
        <v>9</v>
      </c>
      <c r="AQ2694">
        <v>0</v>
      </c>
      <c r="AR2694" t="s">
        <v>9260</v>
      </c>
      <c r="AS2694" t="s">
        <v>9261</v>
      </c>
      <c r="AT2694">
        <v>0.25</v>
      </c>
      <c r="AU2694" t="s">
        <v>74</v>
      </c>
      <c r="AV2694" t="s">
        <v>2955</v>
      </c>
      <c r="AW2694" t="s">
        <v>75</v>
      </c>
      <c r="AX2694" t="s">
        <v>9329</v>
      </c>
      <c r="AY2694" t="s">
        <v>9330</v>
      </c>
      <c r="AZ2694">
        <v>117.9999999969732</v>
      </c>
      <c r="BA2694">
        <v>0</v>
      </c>
      <c r="BB2694">
        <v>0</v>
      </c>
      <c r="BC2694">
        <v>0.15</v>
      </c>
      <c r="BD2694">
        <v>0</v>
      </c>
      <c r="BE2694">
        <f t="shared" si="429"/>
        <v>1</v>
      </c>
    </row>
    <row r="2695" spans="1:57" x14ac:dyDescent="0.25">
      <c r="A2695" t="s">
        <v>39</v>
      </c>
      <c r="B2695" t="s">
        <v>9331</v>
      </c>
      <c r="C2695">
        <v>73.400000000000006</v>
      </c>
      <c r="D2695">
        <v>57.2</v>
      </c>
      <c r="G2695">
        <f t="shared" si="420"/>
        <v>1</v>
      </c>
      <c r="H2695">
        <f t="shared" si="421"/>
        <v>1</v>
      </c>
      <c r="I2695">
        <f t="shared" si="422"/>
        <v>0</v>
      </c>
      <c r="J2695">
        <v>65.2</v>
      </c>
      <c r="K2695">
        <v>73.400000000000006</v>
      </c>
      <c r="L2695">
        <v>57.2</v>
      </c>
      <c r="M2695">
        <v>65.2</v>
      </c>
      <c r="N2695">
        <v>51.1</v>
      </c>
      <c r="O2695">
        <v>60.9</v>
      </c>
      <c r="S2695">
        <f t="shared" si="423"/>
        <v>1</v>
      </c>
      <c r="T2695">
        <f t="shared" si="424"/>
        <v>0</v>
      </c>
      <c r="U2695">
        <f t="shared" si="425"/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23</v>
      </c>
      <c r="AC2695">
        <v>25.2</v>
      </c>
      <c r="AG2695">
        <f t="shared" si="426"/>
        <v>1</v>
      </c>
      <c r="AH2695">
        <f t="shared" si="427"/>
        <v>1</v>
      </c>
      <c r="AI2695">
        <f t="shared" si="428"/>
        <v>0</v>
      </c>
      <c r="AJ2695">
        <v>292.60000000000002</v>
      </c>
      <c r="AK2695">
        <v>1008.2</v>
      </c>
      <c r="AL2695">
        <v>49.4</v>
      </c>
      <c r="AM2695">
        <v>6.2</v>
      </c>
      <c r="AN2695">
        <v>290</v>
      </c>
      <c r="AO2695">
        <v>25.2</v>
      </c>
      <c r="AP2695">
        <v>10</v>
      </c>
      <c r="AQ2695">
        <v>0</v>
      </c>
      <c r="AR2695" t="s">
        <v>9332</v>
      </c>
      <c r="AS2695" t="s">
        <v>9333</v>
      </c>
      <c r="AT2695">
        <v>0.55000000000000004</v>
      </c>
      <c r="AU2695" t="s">
        <v>43</v>
      </c>
      <c r="AV2695" t="s">
        <v>80</v>
      </c>
      <c r="AW2695" t="s">
        <v>45</v>
      </c>
      <c r="AX2695" t="s">
        <v>8699</v>
      </c>
      <c r="AY2695" t="s">
        <v>9334</v>
      </c>
      <c r="AZ2695">
        <v>1660.0000000046571</v>
      </c>
      <c r="BA2695">
        <v>1</v>
      </c>
      <c r="BB2695">
        <v>0</v>
      </c>
      <c r="BC2695">
        <v>10</v>
      </c>
      <c r="BD2695">
        <v>0</v>
      </c>
      <c r="BE2695">
        <f t="shared" si="429"/>
        <v>1</v>
      </c>
    </row>
    <row r="2696" spans="1:57" x14ac:dyDescent="0.25">
      <c r="A2696" t="s">
        <v>39</v>
      </c>
      <c r="B2696" t="s">
        <v>9335</v>
      </c>
      <c r="C2696">
        <v>90.2</v>
      </c>
      <c r="D2696">
        <v>62.6</v>
      </c>
      <c r="G2696">
        <f t="shared" si="420"/>
        <v>1</v>
      </c>
      <c r="H2696">
        <f t="shared" si="421"/>
        <v>1</v>
      </c>
      <c r="I2696">
        <f t="shared" si="422"/>
        <v>0</v>
      </c>
      <c r="J2696">
        <v>74.400000000000006</v>
      </c>
      <c r="K2696">
        <v>87.2</v>
      </c>
      <c r="L2696">
        <v>62.6</v>
      </c>
      <c r="M2696">
        <v>74.5</v>
      </c>
      <c r="N2696">
        <v>58.2</v>
      </c>
      <c r="O2696">
        <v>58.7</v>
      </c>
      <c r="S2696">
        <f t="shared" si="423"/>
        <v>1</v>
      </c>
      <c r="T2696">
        <f t="shared" si="424"/>
        <v>0</v>
      </c>
      <c r="U2696">
        <f t="shared" si="425"/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15</v>
      </c>
      <c r="AC2696">
        <v>9.1999999999999993</v>
      </c>
      <c r="AG2696">
        <f t="shared" si="426"/>
        <v>1</v>
      </c>
      <c r="AH2696">
        <f t="shared" si="427"/>
        <v>0</v>
      </c>
      <c r="AI2696">
        <f t="shared" si="428"/>
        <v>1</v>
      </c>
      <c r="AJ2696">
        <v>249.4</v>
      </c>
      <c r="AK2696">
        <v>1014.3</v>
      </c>
      <c r="AL2696">
        <v>38.1</v>
      </c>
      <c r="AM2696">
        <v>6.2</v>
      </c>
      <c r="AN2696">
        <v>328.3</v>
      </c>
      <c r="AO2696">
        <v>28.3</v>
      </c>
      <c r="AP2696">
        <v>10</v>
      </c>
      <c r="AQ2696">
        <v>0</v>
      </c>
      <c r="AR2696" t="s">
        <v>9336</v>
      </c>
      <c r="AS2696" t="s">
        <v>9337</v>
      </c>
      <c r="AT2696">
        <v>0.89</v>
      </c>
      <c r="AU2696" t="s">
        <v>43</v>
      </c>
      <c r="AV2696" t="s">
        <v>44</v>
      </c>
      <c r="AW2696" t="s">
        <v>45</v>
      </c>
      <c r="AX2696" t="s">
        <v>4242</v>
      </c>
      <c r="AY2696" t="s">
        <v>9338</v>
      </c>
      <c r="AZ2696">
        <v>180</v>
      </c>
      <c r="BA2696">
        <v>0</v>
      </c>
      <c r="BB2696">
        <v>3</v>
      </c>
      <c r="BC2696">
        <v>0</v>
      </c>
      <c r="BD2696">
        <v>0</v>
      </c>
      <c r="BE2696">
        <f t="shared" si="429"/>
        <v>1</v>
      </c>
    </row>
    <row r="2697" spans="1:57" x14ac:dyDescent="0.25">
      <c r="A2697" t="s">
        <v>39</v>
      </c>
      <c r="B2697" t="s">
        <v>9339</v>
      </c>
      <c r="C2697">
        <v>87.8</v>
      </c>
      <c r="D2697">
        <v>77</v>
      </c>
      <c r="G2697">
        <f t="shared" si="420"/>
        <v>1</v>
      </c>
      <c r="H2697">
        <f t="shared" si="421"/>
        <v>1</v>
      </c>
      <c r="I2697">
        <f t="shared" si="422"/>
        <v>0</v>
      </c>
      <c r="J2697">
        <v>83.9</v>
      </c>
      <c r="K2697">
        <v>94.2</v>
      </c>
      <c r="L2697">
        <v>77</v>
      </c>
      <c r="M2697">
        <v>87.4</v>
      </c>
      <c r="N2697">
        <v>68.3</v>
      </c>
      <c r="O2697">
        <v>59.8</v>
      </c>
      <c r="S2697">
        <f t="shared" si="423"/>
        <v>0</v>
      </c>
      <c r="T2697">
        <f t="shared" si="424"/>
        <v>0</v>
      </c>
      <c r="U2697">
        <f t="shared" si="425"/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30</v>
      </c>
      <c r="AC2697">
        <v>20.8</v>
      </c>
      <c r="AG2697">
        <f t="shared" si="426"/>
        <v>1</v>
      </c>
      <c r="AH2697">
        <f t="shared" si="427"/>
        <v>1</v>
      </c>
      <c r="AI2697">
        <f t="shared" si="428"/>
        <v>0</v>
      </c>
      <c r="AJ2697">
        <v>296.5</v>
      </c>
      <c r="AK2697">
        <v>1009</v>
      </c>
      <c r="AL2697">
        <v>0</v>
      </c>
      <c r="AM2697">
        <v>6.2</v>
      </c>
      <c r="AN2697">
        <v>325.10000000000002</v>
      </c>
      <c r="AO2697">
        <v>27.9</v>
      </c>
      <c r="AP2697">
        <v>9</v>
      </c>
      <c r="AQ2697">
        <v>0</v>
      </c>
      <c r="AR2697" t="s">
        <v>9340</v>
      </c>
      <c r="AS2697" t="s">
        <v>9341</v>
      </c>
      <c r="AT2697">
        <v>0.4</v>
      </c>
      <c r="AU2697" t="s">
        <v>74</v>
      </c>
      <c r="AV2697" t="s">
        <v>2955</v>
      </c>
      <c r="AW2697" t="s">
        <v>75</v>
      </c>
      <c r="AX2697" t="s">
        <v>6830</v>
      </c>
      <c r="AY2697" t="s">
        <v>9342</v>
      </c>
      <c r="AZ2697">
        <v>3038.0000000016298</v>
      </c>
      <c r="BA2697">
        <v>1</v>
      </c>
      <c r="BB2697">
        <v>0</v>
      </c>
      <c r="BC2697">
        <v>300</v>
      </c>
      <c r="BD2697">
        <v>0</v>
      </c>
      <c r="BE2697">
        <f t="shared" si="429"/>
        <v>1</v>
      </c>
    </row>
    <row r="2698" spans="1:57" x14ac:dyDescent="0.25">
      <c r="A2698" t="s">
        <v>39</v>
      </c>
      <c r="B2698" t="s">
        <v>9339</v>
      </c>
      <c r="C2698">
        <v>87.8</v>
      </c>
      <c r="D2698">
        <v>77</v>
      </c>
      <c r="G2698">
        <f t="shared" si="420"/>
        <v>1</v>
      </c>
      <c r="H2698">
        <f t="shared" si="421"/>
        <v>1</v>
      </c>
      <c r="I2698">
        <f t="shared" si="422"/>
        <v>0</v>
      </c>
      <c r="J2698">
        <v>83.9</v>
      </c>
      <c r="K2698">
        <v>94.2</v>
      </c>
      <c r="L2698">
        <v>77</v>
      </c>
      <c r="M2698">
        <v>87.4</v>
      </c>
      <c r="N2698">
        <v>68.3</v>
      </c>
      <c r="O2698">
        <v>59.8</v>
      </c>
      <c r="S2698">
        <f t="shared" si="423"/>
        <v>0</v>
      </c>
      <c r="T2698">
        <f t="shared" si="424"/>
        <v>0</v>
      </c>
      <c r="U2698">
        <f t="shared" si="425"/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30</v>
      </c>
      <c r="AC2698">
        <v>20.8</v>
      </c>
      <c r="AG2698">
        <f t="shared" si="426"/>
        <v>1</v>
      </c>
      <c r="AH2698">
        <f t="shared" si="427"/>
        <v>1</v>
      </c>
      <c r="AI2698">
        <f t="shared" si="428"/>
        <v>0</v>
      </c>
      <c r="AJ2698">
        <v>296.5</v>
      </c>
      <c r="AK2698">
        <v>1009</v>
      </c>
      <c r="AL2698">
        <v>0</v>
      </c>
      <c r="AM2698">
        <v>6.2</v>
      </c>
      <c r="AN2698">
        <v>325.10000000000002</v>
      </c>
      <c r="AO2698">
        <v>27.9</v>
      </c>
      <c r="AP2698">
        <v>9</v>
      </c>
      <c r="AQ2698">
        <v>0</v>
      </c>
      <c r="AR2698" t="s">
        <v>9340</v>
      </c>
      <c r="AS2698" t="s">
        <v>9341</v>
      </c>
      <c r="AT2698">
        <v>0.4</v>
      </c>
      <c r="AU2698" t="s">
        <v>74</v>
      </c>
      <c r="AV2698" t="s">
        <v>2955</v>
      </c>
      <c r="AW2698" t="s">
        <v>75</v>
      </c>
      <c r="AX2698" t="s">
        <v>9343</v>
      </c>
      <c r="AY2698" t="s">
        <v>9344</v>
      </c>
      <c r="AZ2698">
        <v>2755.9999999939459</v>
      </c>
      <c r="BA2698">
        <v>1</v>
      </c>
      <c r="BB2698">
        <v>0</v>
      </c>
      <c r="BC2698">
        <v>5</v>
      </c>
      <c r="BD2698">
        <v>0</v>
      </c>
      <c r="BE2698">
        <f t="shared" si="429"/>
        <v>1</v>
      </c>
    </row>
    <row r="2699" spans="1:57" x14ac:dyDescent="0.25">
      <c r="A2699" t="s">
        <v>39</v>
      </c>
      <c r="B2699" t="s">
        <v>9339</v>
      </c>
      <c r="C2699">
        <v>87.8</v>
      </c>
      <c r="D2699">
        <v>77</v>
      </c>
      <c r="G2699">
        <f t="shared" si="420"/>
        <v>1</v>
      </c>
      <c r="H2699">
        <f t="shared" si="421"/>
        <v>1</v>
      </c>
      <c r="I2699">
        <f t="shared" si="422"/>
        <v>0</v>
      </c>
      <c r="J2699">
        <v>83.9</v>
      </c>
      <c r="K2699">
        <v>94.2</v>
      </c>
      <c r="L2699">
        <v>77</v>
      </c>
      <c r="M2699">
        <v>87.4</v>
      </c>
      <c r="N2699">
        <v>68.3</v>
      </c>
      <c r="O2699">
        <v>59.8</v>
      </c>
      <c r="S2699">
        <f t="shared" si="423"/>
        <v>0</v>
      </c>
      <c r="T2699">
        <f t="shared" si="424"/>
        <v>0</v>
      </c>
      <c r="U2699">
        <f t="shared" si="425"/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30</v>
      </c>
      <c r="AC2699">
        <v>20.8</v>
      </c>
      <c r="AG2699">
        <f t="shared" si="426"/>
        <v>1</v>
      </c>
      <c r="AH2699">
        <f t="shared" si="427"/>
        <v>1</v>
      </c>
      <c r="AI2699">
        <f t="shared" si="428"/>
        <v>0</v>
      </c>
      <c r="AJ2699">
        <v>296.5</v>
      </c>
      <c r="AK2699">
        <v>1009</v>
      </c>
      <c r="AL2699">
        <v>0</v>
      </c>
      <c r="AM2699">
        <v>6.2</v>
      </c>
      <c r="AN2699">
        <v>325.10000000000002</v>
      </c>
      <c r="AO2699">
        <v>27.9</v>
      </c>
      <c r="AP2699">
        <v>9</v>
      </c>
      <c r="AQ2699">
        <v>0</v>
      </c>
      <c r="AR2699" t="s">
        <v>9340</v>
      </c>
      <c r="AS2699" t="s">
        <v>9341</v>
      </c>
      <c r="AT2699">
        <v>0.4</v>
      </c>
      <c r="AU2699" t="s">
        <v>74</v>
      </c>
      <c r="AV2699" t="s">
        <v>2955</v>
      </c>
      <c r="AW2699" t="s">
        <v>75</v>
      </c>
      <c r="AX2699" t="s">
        <v>4726</v>
      </c>
      <c r="AY2699" t="s">
        <v>9345</v>
      </c>
      <c r="AZ2699">
        <v>46026.999999994878</v>
      </c>
      <c r="BA2699">
        <v>1</v>
      </c>
      <c r="BB2699">
        <v>0</v>
      </c>
      <c r="BC2699">
        <v>2</v>
      </c>
      <c r="BD2699">
        <v>0</v>
      </c>
      <c r="BE2699">
        <f t="shared" si="429"/>
        <v>1</v>
      </c>
    </row>
    <row r="2700" spans="1:57" x14ac:dyDescent="0.25">
      <c r="A2700" t="s">
        <v>39</v>
      </c>
      <c r="B2700" t="s">
        <v>9339</v>
      </c>
      <c r="C2700">
        <v>87.8</v>
      </c>
      <c r="D2700">
        <v>77</v>
      </c>
      <c r="G2700">
        <f t="shared" si="420"/>
        <v>1</v>
      </c>
      <c r="H2700">
        <f t="shared" si="421"/>
        <v>1</v>
      </c>
      <c r="I2700">
        <f t="shared" si="422"/>
        <v>0</v>
      </c>
      <c r="J2700">
        <v>83.9</v>
      </c>
      <c r="K2700">
        <v>94.2</v>
      </c>
      <c r="L2700">
        <v>77</v>
      </c>
      <c r="M2700">
        <v>87.4</v>
      </c>
      <c r="N2700">
        <v>68.3</v>
      </c>
      <c r="O2700">
        <v>59.8</v>
      </c>
      <c r="S2700">
        <f t="shared" si="423"/>
        <v>0</v>
      </c>
      <c r="T2700">
        <f t="shared" si="424"/>
        <v>0</v>
      </c>
      <c r="U2700">
        <f t="shared" si="425"/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30</v>
      </c>
      <c r="AC2700">
        <v>20.8</v>
      </c>
      <c r="AG2700">
        <f t="shared" si="426"/>
        <v>1</v>
      </c>
      <c r="AH2700">
        <f t="shared" si="427"/>
        <v>1</v>
      </c>
      <c r="AI2700">
        <f t="shared" si="428"/>
        <v>0</v>
      </c>
      <c r="AJ2700">
        <v>296.5</v>
      </c>
      <c r="AK2700">
        <v>1009</v>
      </c>
      <c r="AL2700">
        <v>0</v>
      </c>
      <c r="AM2700">
        <v>6.2</v>
      </c>
      <c r="AN2700">
        <v>325.10000000000002</v>
      </c>
      <c r="AO2700">
        <v>27.9</v>
      </c>
      <c r="AP2700">
        <v>9</v>
      </c>
      <c r="AQ2700">
        <v>0</v>
      </c>
      <c r="AR2700" t="s">
        <v>9340</v>
      </c>
      <c r="AS2700" t="s">
        <v>9341</v>
      </c>
      <c r="AT2700">
        <v>0.4</v>
      </c>
      <c r="AU2700" t="s">
        <v>74</v>
      </c>
      <c r="AV2700" t="s">
        <v>2955</v>
      </c>
      <c r="AW2700" t="s">
        <v>75</v>
      </c>
      <c r="AX2700" t="s">
        <v>4836</v>
      </c>
      <c r="AY2700" t="s">
        <v>9346</v>
      </c>
      <c r="AZ2700">
        <v>2551.9999999995339</v>
      </c>
      <c r="BA2700">
        <v>1</v>
      </c>
      <c r="BB2700">
        <v>0</v>
      </c>
      <c r="BC2700">
        <v>10</v>
      </c>
      <c r="BD2700">
        <v>0</v>
      </c>
      <c r="BE2700">
        <f t="shared" si="429"/>
        <v>1</v>
      </c>
    </row>
    <row r="2701" spans="1:57" x14ac:dyDescent="0.25">
      <c r="A2701" t="s">
        <v>39</v>
      </c>
      <c r="B2701" t="s">
        <v>9347</v>
      </c>
      <c r="C2701">
        <v>68</v>
      </c>
      <c r="D2701">
        <v>62.6</v>
      </c>
      <c r="G2701">
        <f t="shared" si="420"/>
        <v>0</v>
      </c>
      <c r="H2701">
        <f t="shared" si="421"/>
        <v>0</v>
      </c>
      <c r="I2701">
        <f t="shared" si="422"/>
        <v>0</v>
      </c>
      <c r="J2701">
        <v>64.400000000000006</v>
      </c>
      <c r="K2701">
        <v>68</v>
      </c>
      <c r="L2701">
        <v>62.6</v>
      </c>
      <c r="M2701">
        <v>64.400000000000006</v>
      </c>
      <c r="N2701">
        <v>54.8</v>
      </c>
      <c r="O2701">
        <v>71.099999999999994</v>
      </c>
      <c r="S2701">
        <f t="shared" si="423"/>
        <v>1</v>
      </c>
      <c r="T2701">
        <f t="shared" si="424"/>
        <v>1</v>
      </c>
      <c r="U2701">
        <f t="shared" si="425"/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25.1</v>
      </c>
      <c r="AC2701">
        <v>13.9</v>
      </c>
      <c r="AG2701">
        <f t="shared" si="426"/>
        <v>1</v>
      </c>
      <c r="AH2701">
        <f t="shared" si="427"/>
        <v>0</v>
      </c>
      <c r="AI2701">
        <f t="shared" si="428"/>
        <v>1</v>
      </c>
      <c r="AJ2701">
        <v>325.2</v>
      </c>
      <c r="AK2701">
        <v>1024.5999999999999</v>
      </c>
      <c r="AL2701">
        <v>64.7</v>
      </c>
      <c r="AM2701">
        <v>6.2</v>
      </c>
      <c r="AN2701">
        <v>138.4</v>
      </c>
      <c r="AO2701">
        <v>11.9</v>
      </c>
      <c r="AP2701">
        <v>5</v>
      </c>
      <c r="AQ2701">
        <v>0</v>
      </c>
      <c r="AR2701" t="s">
        <v>9348</v>
      </c>
      <c r="AS2701" t="s">
        <v>9349</v>
      </c>
      <c r="AT2701">
        <v>0.24</v>
      </c>
      <c r="AU2701" t="s">
        <v>43</v>
      </c>
      <c r="AV2701" t="s">
        <v>44</v>
      </c>
      <c r="AW2701" t="s">
        <v>45</v>
      </c>
      <c r="AX2701" t="s">
        <v>8332</v>
      </c>
      <c r="AY2701" t="s">
        <v>9350</v>
      </c>
      <c r="AZ2701">
        <v>0</v>
      </c>
      <c r="BA2701">
        <v>0</v>
      </c>
      <c r="BB2701">
        <v>0</v>
      </c>
      <c r="BC2701">
        <v>0.03</v>
      </c>
      <c r="BD2701">
        <v>0</v>
      </c>
      <c r="BE2701">
        <f t="shared" si="429"/>
        <v>0</v>
      </c>
    </row>
    <row r="2702" spans="1:57" x14ac:dyDescent="0.25">
      <c r="A2702" t="s">
        <v>39</v>
      </c>
      <c r="B2702" t="s">
        <v>9351</v>
      </c>
      <c r="C2702">
        <v>68</v>
      </c>
      <c r="D2702">
        <v>60.8</v>
      </c>
      <c r="G2702">
        <f t="shared" si="420"/>
        <v>1</v>
      </c>
      <c r="H2702">
        <f t="shared" si="421"/>
        <v>1</v>
      </c>
      <c r="I2702">
        <f t="shared" si="422"/>
        <v>0</v>
      </c>
      <c r="J2702">
        <v>64</v>
      </c>
      <c r="K2702">
        <v>68</v>
      </c>
      <c r="L2702">
        <v>60.8</v>
      </c>
      <c r="M2702">
        <v>64</v>
      </c>
      <c r="N2702">
        <v>56.1</v>
      </c>
      <c r="O2702">
        <v>75.8</v>
      </c>
      <c r="S2702">
        <f t="shared" si="423"/>
        <v>1</v>
      </c>
      <c r="T2702">
        <f t="shared" si="424"/>
        <v>1</v>
      </c>
      <c r="U2702">
        <f t="shared" si="425"/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18.3</v>
      </c>
      <c r="AC2702">
        <v>13.9</v>
      </c>
      <c r="AG2702">
        <f t="shared" si="426"/>
        <v>1</v>
      </c>
      <c r="AH2702">
        <f t="shared" si="427"/>
        <v>0</v>
      </c>
      <c r="AI2702">
        <f t="shared" si="428"/>
        <v>1</v>
      </c>
      <c r="AJ2702">
        <v>251.4</v>
      </c>
      <c r="AK2702">
        <v>1021.5</v>
      </c>
      <c r="AL2702">
        <v>36.9</v>
      </c>
      <c r="AM2702">
        <v>6.2</v>
      </c>
      <c r="AN2702">
        <v>93.7</v>
      </c>
      <c r="AO2702">
        <v>8.1999999999999993</v>
      </c>
      <c r="AP2702">
        <v>4</v>
      </c>
      <c r="AQ2702">
        <v>0</v>
      </c>
      <c r="AR2702" t="s">
        <v>9352</v>
      </c>
      <c r="AS2702" t="s">
        <v>9353</v>
      </c>
      <c r="AT2702">
        <v>0.36</v>
      </c>
      <c r="AU2702" t="s">
        <v>43</v>
      </c>
      <c r="AV2702" t="s">
        <v>2026</v>
      </c>
      <c r="AW2702" t="s">
        <v>45</v>
      </c>
      <c r="AX2702" t="s">
        <v>5742</v>
      </c>
      <c r="AY2702" t="s">
        <v>9354</v>
      </c>
      <c r="AZ2702">
        <v>281.00000000442378</v>
      </c>
      <c r="BA2702">
        <v>0</v>
      </c>
      <c r="BB2702">
        <v>0</v>
      </c>
      <c r="BC2702">
        <v>25</v>
      </c>
      <c r="BD2702">
        <v>0</v>
      </c>
      <c r="BE2702">
        <f t="shared" si="429"/>
        <v>1</v>
      </c>
    </row>
    <row r="2703" spans="1:57" x14ac:dyDescent="0.25">
      <c r="A2703" t="s">
        <v>39</v>
      </c>
      <c r="B2703" t="s">
        <v>9355</v>
      </c>
      <c r="C2703">
        <v>64.400000000000006</v>
      </c>
      <c r="D2703">
        <v>53.6</v>
      </c>
      <c r="G2703">
        <f t="shared" si="420"/>
        <v>1</v>
      </c>
      <c r="H2703">
        <f t="shared" si="421"/>
        <v>1</v>
      </c>
      <c r="I2703">
        <f t="shared" si="422"/>
        <v>0</v>
      </c>
      <c r="J2703">
        <v>60.7</v>
      </c>
      <c r="K2703">
        <v>64.400000000000006</v>
      </c>
      <c r="L2703">
        <v>53.6</v>
      </c>
      <c r="M2703">
        <v>60.7</v>
      </c>
      <c r="N2703">
        <v>54.1</v>
      </c>
      <c r="O2703">
        <v>79.099999999999994</v>
      </c>
      <c r="S2703">
        <f t="shared" si="423"/>
        <v>1</v>
      </c>
      <c r="T2703">
        <f t="shared" si="424"/>
        <v>1</v>
      </c>
      <c r="U2703">
        <f t="shared" si="425"/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17</v>
      </c>
      <c r="AC2703">
        <v>11.4</v>
      </c>
      <c r="AG2703">
        <f t="shared" si="426"/>
        <v>1</v>
      </c>
      <c r="AH2703">
        <f t="shared" si="427"/>
        <v>0</v>
      </c>
      <c r="AI2703">
        <f t="shared" si="428"/>
        <v>1</v>
      </c>
      <c r="AJ2703">
        <v>262.2</v>
      </c>
      <c r="AK2703">
        <v>1023.1</v>
      </c>
      <c r="AL2703">
        <v>40.799999999999997</v>
      </c>
      <c r="AM2703">
        <v>6.2</v>
      </c>
      <c r="AN2703">
        <v>115.4</v>
      </c>
      <c r="AO2703">
        <v>9.9</v>
      </c>
      <c r="AP2703">
        <v>5</v>
      </c>
      <c r="AQ2703">
        <v>0</v>
      </c>
      <c r="AR2703" t="s">
        <v>9356</v>
      </c>
      <c r="AS2703" t="s">
        <v>9357</v>
      </c>
      <c r="AT2703">
        <v>0.4</v>
      </c>
      <c r="AU2703" t="s">
        <v>43</v>
      </c>
      <c r="AV2703" t="s">
        <v>44</v>
      </c>
      <c r="AW2703" t="s">
        <v>45</v>
      </c>
      <c r="AX2703" t="s">
        <v>9098</v>
      </c>
      <c r="AY2703" t="s">
        <v>9358</v>
      </c>
      <c r="AZ2703">
        <v>342.00000000419101</v>
      </c>
      <c r="BA2703">
        <v>0</v>
      </c>
      <c r="BB2703">
        <v>0</v>
      </c>
      <c r="BC2703">
        <v>30</v>
      </c>
      <c r="BD2703">
        <v>0</v>
      </c>
      <c r="BE2703">
        <f t="shared" si="429"/>
        <v>1</v>
      </c>
    </row>
    <row r="2704" spans="1:57" x14ac:dyDescent="0.25">
      <c r="A2704" t="s">
        <v>39</v>
      </c>
      <c r="B2704" t="s">
        <v>9359</v>
      </c>
      <c r="C2704">
        <v>64.400000000000006</v>
      </c>
      <c r="D2704">
        <v>44.6</v>
      </c>
      <c r="G2704">
        <f t="shared" si="420"/>
        <v>1</v>
      </c>
      <c r="H2704">
        <f t="shared" si="421"/>
        <v>1</v>
      </c>
      <c r="I2704">
        <f t="shared" si="422"/>
        <v>0</v>
      </c>
      <c r="J2704">
        <v>55.6</v>
      </c>
      <c r="K2704">
        <v>64.400000000000006</v>
      </c>
      <c r="L2704">
        <v>39.700000000000003</v>
      </c>
      <c r="M2704">
        <v>54.9</v>
      </c>
      <c r="N2704">
        <v>44.3</v>
      </c>
      <c r="O2704">
        <v>66.400000000000006</v>
      </c>
      <c r="S2704">
        <f t="shared" si="423"/>
        <v>1</v>
      </c>
      <c r="T2704">
        <f t="shared" si="424"/>
        <v>1</v>
      </c>
      <c r="U2704">
        <f t="shared" si="425"/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19</v>
      </c>
      <c r="AC2704">
        <v>17.2</v>
      </c>
      <c r="AG2704">
        <f t="shared" si="426"/>
        <v>0</v>
      </c>
      <c r="AH2704">
        <f t="shared" si="427"/>
        <v>0</v>
      </c>
      <c r="AI2704">
        <f t="shared" si="428"/>
        <v>0</v>
      </c>
      <c r="AJ2704">
        <v>235.2</v>
      </c>
      <c r="AK2704">
        <v>1014.5</v>
      </c>
      <c r="AL2704">
        <v>28.5</v>
      </c>
      <c r="AM2704">
        <v>6.2</v>
      </c>
      <c r="AN2704">
        <v>263.60000000000002</v>
      </c>
      <c r="AO2704">
        <v>22.7</v>
      </c>
      <c r="AP2704">
        <v>9</v>
      </c>
      <c r="AQ2704">
        <v>0</v>
      </c>
      <c r="AR2704" t="s">
        <v>9360</v>
      </c>
      <c r="AS2704" t="s">
        <v>9361</v>
      </c>
      <c r="AT2704">
        <v>0.47</v>
      </c>
      <c r="AU2704" t="s">
        <v>43</v>
      </c>
      <c r="AV2704" t="s">
        <v>44</v>
      </c>
      <c r="AW2704" t="s">
        <v>45</v>
      </c>
      <c r="AX2704" t="s">
        <v>2366</v>
      </c>
      <c r="AY2704" t="s">
        <v>9362</v>
      </c>
      <c r="AZ2704">
        <v>47750.999999998603</v>
      </c>
      <c r="BA2704">
        <v>1</v>
      </c>
      <c r="BB2704">
        <v>0</v>
      </c>
      <c r="BC2704">
        <v>100</v>
      </c>
      <c r="BD2704">
        <v>0</v>
      </c>
      <c r="BE2704">
        <f t="shared" si="429"/>
        <v>1</v>
      </c>
    </row>
    <row r="2705" spans="1:57" x14ac:dyDescent="0.25">
      <c r="A2705" t="s">
        <v>39</v>
      </c>
      <c r="B2705" t="s">
        <v>9363</v>
      </c>
      <c r="C2705">
        <v>84.2</v>
      </c>
      <c r="D2705">
        <v>72.599999999999994</v>
      </c>
      <c r="G2705">
        <f t="shared" si="420"/>
        <v>1</v>
      </c>
      <c r="H2705">
        <f t="shared" si="421"/>
        <v>1</v>
      </c>
      <c r="I2705">
        <f t="shared" si="422"/>
        <v>0</v>
      </c>
      <c r="J2705">
        <v>80.2</v>
      </c>
      <c r="K2705">
        <v>89.6</v>
      </c>
      <c r="L2705">
        <v>72.599999999999994</v>
      </c>
      <c r="M2705">
        <v>82</v>
      </c>
      <c r="N2705">
        <v>67.2</v>
      </c>
      <c r="O2705">
        <v>64.900000000000006</v>
      </c>
      <c r="S2705">
        <f t="shared" si="423"/>
        <v>1</v>
      </c>
      <c r="T2705">
        <f t="shared" si="424"/>
        <v>1</v>
      </c>
      <c r="U2705">
        <f t="shared" si="425"/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28.9</v>
      </c>
      <c r="AC2705">
        <v>23</v>
      </c>
      <c r="AG2705">
        <f t="shared" si="426"/>
        <v>1</v>
      </c>
      <c r="AH2705">
        <f t="shared" si="427"/>
        <v>1</v>
      </c>
      <c r="AI2705">
        <f t="shared" si="428"/>
        <v>0</v>
      </c>
      <c r="AJ2705">
        <v>305.2</v>
      </c>
      <c r="AK2705">
        <v>1010.5</v>
      </c>
      <c r="AL2705">
        <v>7.1</v>
      </c>
      <c r="AM2705">
        <v>6.2</v>
      </c>
      <c r="AN2705">
        <v>338.9</v>
      </c>
      <c r="AO2705">
        <v>29.2</v>
      </c>
      <c r="AP2705">
        <v>10</v>
      </c>
      <c r="AQ2705">
        <v>0</v>
      </c>
      <c r="AR2705" t="s">
        <v>9364</v>
      </c>
      <c r="AS2705" t="s">
        <v>9365</v>
      </c>
      <c r="AT2705">
        <v>0.66</v>
      </c>
      <c r="AU2705" t="s">
        <v>74</v>
      </c>
      <c r="AV2705" t="s">
        <v>2955</v>
      </c>
      <c r="AW2705" t="s">
        <v>75</v>
      </c>
      <c r="AX2705" t="s">
        <v>9366</v>
      </c>
      <c r="AY2705" t="s">
        <v>9367</v>
      </c>
      <c r="AZ2705">
        <v>2861.999999993714</v>
      </c>
      <c r="BA2705">
        <v>1</v>
      </c>
      <c r="BB2705">
        <v>0</v>
      </c>
      <c r="BC2705">
        <v>800</v>
      </c>
      <c r="BD2705">
        <v>0</v>
      </c>
      <c r="BE2705">
        <f t="shared" si="429"/>
        <v>1</v>
      </c>
    </row>
    <row r="2706" spans="1:57" x14ac:dyDescent="0.25">
      <c r="A2706" t="s">
        <v>39</v>
      </c>
      <c r="B2706" t="s">
        <v>9368</v>
      </c>
      <c r="C2706">
        <v>86</v>
      </c>
      <c r="D2706">
        <v>77</v>
      </c>
      <c r="G2706">
        <f t="shared" si="420"/>
        <v>1</v>
      </c>
      <c r="H2706">
        <f t="shared" si="421"/>
        <v>1</v>
      </c>
      <c r="I2706">
        <f t="shared" si="422"/>
        <v>0</v>
      </c>
      <c r="J2706">
        <v>81.5</v>
      </c>
      <c r="K2706">
        <v>86.7</v>
      </c>
      <c r="L2706">
        <v>77</v>
      </c>
      <c r="M2706">
        <v>82.2</v>
      </c>
      <c r="N2706">
        <v>63</v>
      </c>
      <c r="O2706">
        <v>53.8</v>
      </c>
      <c r="S2706">
        <f t="shared" si="423"/>
        <v>1</v>
      </c>
      <c r="T2706">
        <f t="shared" si="424"/>
        <v>0</v>
      </c>
      <c r="U2706">
        <f t="shared" si="425"/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35.6</v>
      </c>
      <c r="AC2706">
        <v>19.7</v>
      </c>
      <c r="AG2706">
        <f t="shared" si="426"/>
        <v>1</v>
      </c>
      <c r="AH2706">
        <f t="shared" si="427"/>
        <v>1</v>
      </c>
      <c r="AI2706">
        <f t="shared" si="428"/>
        <v>0</v>
      </c>
      <c r="AJ2706">
        <v>297.5</v>
      </c>
      <c r="AK2706">
        <v>1010.6</v>
      </c>
      <c r="AL2706">
        <v>3.5</v>
      </c>
      <c r="AM2706">
        <v>6.2</v>
      </c>
      <c r="AN2706">
        <v>343.7</v>
      </c>
      <c r="AO2706">
        <v>29.7</v>
      </c>
      <c r="AP2706">
        <v>10</v>
      </c>
      <c r="AQ2706">
        <v>0</v>
      </c>
      <c r="AR2706" t="s">
        <v>9369</v>
      </c>
      <c r="AS2706" t="s">
        <v>9370</v>
      </c>
      <c r="AT2706">
        <v>0.84</v>
      </c>
      <c r="AU2706" t="s">
        <v>74</v>
      </c>
      <c r="AV2706" t="s">
        <v>2955</v>
      </c>
      <c r="AW2706" t="s">
        <v>75</v>
      </c>
      <c r="AX2706" t="s">
        <v>2534</v>
      </c>
      <c r="AY2706" t="s">
        <v>9371</v>
      </c>
      <c r="AZ2706">
        <v>3120.9999999997672</v>
      </c>
      <c r="BA2706">
        <v>1</v>
      </c>
      <c r="BB2706">
        <v>0</v>
      </c>
      <c r="BC2706">
        <v>150</v>
      </c>
      <c r="BD2706">
        <v>0</v>
      </c>
      <c r="BE2706">
        <f t="shared" si="429"/>
        <v>1</v>
      </c>
    </row>
    <row r="2707" spans="1:57" x14ac:dyDescent="0.25">
      <c r="A2707" t="s">
        <v>39</v>
      </c>
      <c r="B2707" t="s">
        <v>9368</v>
      </c>
      <c r="C2707">
        <v>86</v>
      </c>
      <c r="D2707">
        <v>77</v>
      </c>
      <c r="G2707">
        <f t="shared" si="420"/>
        <v>1</v>
      </c>
      <c r="H2707">
        <f t="shared" si="421"/>
        <v>1</v>
      </c>
      <c r="I2707">
        <f t="shared" si="422"/>
        <v>0</v>
      </c>
      <c r="J2707">
        <v>81.5</v>
      </c>
      <c r="K2707">
        <v>86.7</v>
      </c>
      <c r="L2707">
        <v>77</v>
      </c>
      <c r="M2707">
        <v>82.2</v>
      </c>
      <c r="N2707">
        <v>63</v>
      </c>
      <c r="O2707">
        <v>53.8</v>
      </c>
      <c r="S2707">
        <f t="shared" si="423"/>
        <v>1</v>
      </c>
      <c r="T2707">
        <f t="shared" si="424"/>
        <v>0</v>
      </c>
      <c r="U2707">
        <f t="shared" si="425"/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35.6</v>
      </c>
      <c r="AC2707">
        <v>19.7</v>
      </c>
      <c r="AG2707">
        <f t="shared" si="426"/>
        <v>1</v>
      </c>
      <c r="AH2707">
        <f t="shared" si="427"/>
        <v>1</v>
      </c>
      <c r="AI2707">
        <f t="shared" si="428"/>
        <v>0</v>
      </c>
      <c r="AJ2707">
        <v>297.5</v>
      </c>
      <c r="AK2707">
        <v>1010.6</v>
      </c>
      <c r="AL2707">
        <v>3.5</v>
      </c>
      <c r="AM2707">
        <v>6.2</v>
      </c>
      <c r="AN2707">
        <v>343.7</v>
      </c>
      <c r="AO2707">
        <v>29.7</v>
      </c>
      <c r="AP2707">
        <v>10</v>
      </c>
      <c r="AQ2707">
        <v>0</v>
      </c>
      <c r="AR2707" t="s">
        <v>9369</v>
      </c>
      <c r="AS2707" t="s">
        <v>9370</v>
      </c>
      <c r="AT2707">
        <v>0.84</v>
      </c>
      <c r="AU2707" t="s">
        <v>74</v>
      </c>
      <c r="AV2707" t="s">
        <v>2955</v>
      </c>
      <c r="AW2707" t="s">
        <v>75</v>
      </c>
      <c r="AX2707" t="s">
        <v>2534</v>
      </c>
      <c r="AY2707" t="s">
        <v>9371</v>
      </c>
      <c r="AZ2707">
        <v>3120.9999999997672</v>
      </c>
      <c r="BA2707">
        <v>1</v>
      </c>
      <c r="BB2707">
        <v>0</v>
      </c>
      <c r="BC2707">
        <v>150</v>
      </c>
      <c r="BD2707">
        <v>0</v>
      </c>
      <c r="BE2707">
        <f t="shared" si="429"/>
        <v>1</v>
      </c>
    </row>
    <row r="2708" spans="1:57" x14ac:dyDescent="0.25">
      <c r="A2708" t="s">
        <v>39</v>
      </c>
      <c r="B2708" t="s">
        <v>9372</v>
      </c>
      <c r="C2708">
        <v>69.8</v>
      </c>
      <c r="D2708">
        <v>55.4</v>
      </c>
      <c r="G2708">
        <f t="shared" si="420"/>
        <v>1</v>
      </c>
      <c r="H2708">
        <f t="shared" si="421"/>
        <v>1</v>
      </c>
      <c r="I2708">
        <f t="shared" si="422"/>
        <v>0</v>
      </c>
      <c r="J2708">
        <v>62.4</v>
      </c>
      <c r="K2708">
        <v>69.8</v>
      </c>
      <c r="L2708">
        <v>55.4</v>
      </c>
      <c r="M2708">
        <v>62.4</v>
      </c>
      <c r="N2708">
        <v>52.9</v>
      </c>
      <c r="O2708">
        <v>72.2</v>
      </c>
      <c r="S2708">
        <f t="shared" si="423"/>
        <v>1</v>
      </c>
      <c r="T2708">
        <f t="shared" si="424"/>
        <v>1</v>
      </c>
      <c r="U2708">
        <f t="shared" si="425"/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43.8</v>
      </c>
      <c r="AC2708">
        <v>20.8</v>
      </c>
      <c r="AG2708">
        <f t="shared" si="426"/>
        <v>1</v>
      </c>
      <c r="AH2708">
        <f t="shared" si="427"/>
        <v>1</v>
      </c>
      <c r="AI2708">
        <f t="shared" si="428"/>
        <v>0</v>
      </c>
      <c r="AJ2708">
        <v>173.8</v>
      </c>
      <c r="AK2708">
        <v>1016.4</v>
      </c>
      <c r="AL2708">
        <v>35.200000000000003</v>
      </c>
      <c r="AM2708">
        <v>6.2</v>
      </c>
      <c r="AN2708">
        <v>112</v>
      </c>
      <c r="AO2708">
        <v>9.5</v>
      </c>
      <c r="AP2708">
        <v>5</v>
      </c>
      <c r="AQ2708">
        <v>0</v>
      </c>
      <c r="AR2708" t="s">
        <v>9373</v>
      </c>
      <c r="AS2708" t="s">
        <v>9374</v>
      </c>
      <c r="AT2708">
        <v>0.84</v>
      </c>
      <c r="AU2708" t="s">
        <v>43</v>
      </c>
      <c r="AV2708" t="s">
        <v>44</v>
      </c>
      <c r="AW2708" t="s">
        <v>45</v>
      </c>
      <c r="AX2708" t="s">
        <v>7901</v>
      </c>
      <c r="AY2708" t="s">
        <v>9375</v>
      </c>
      <c r="AZ2708">
        <v>28.000000007450581</v>
      </c>
      <c r="BA2708">
        <v>0</v>
      </c>
      <c r="BB2708">
        <v>0</v>
      </c>
      <c r="BC2708">
        <v>0.02</v>
      </c>
      <c r="BD2708">
        <v>0</v>
      </c>
      <c r="BE2708">
        <f t="shared" si="429"/>
        <v>1</v>
      </c>
    </row>
    <row r="2709" spans="1:57" x14ac:dyDescent="0.25">
      <c r="A2709" t="s">
        <v>39</v>
      </c>
      <c r="B2709" t="s">
        <v>9376</v>
      </c>
      <c r="C2709">
        <v>71.599999999999994</v>
      </c>
      <c r="D2709">
        <v>59</v>
      </c>
      <c r="G2709">
        <f t="shared" si="420"/>
        <v>1</v>
      </c>
      <c r="H2709">
        <f t="shared" si="421"/>
        <v>1</v>
      </c>
      <c r="I2709">
        <f t="shared" si="422"/>
        <v>0</v>
      </c>
      <c r="J2709">
        <v>67</v>
      </c>
      <c r="K2709">
        <v>71.599999999999994</v>
      </c>
      <c r="L2709">
        <v>59</v>
      </c>
      <c r="M2709">
        <v>67</v>
      </c>
      <c r="N2709">
        <v>53.6</v>
      </c>
      <c r="O2709">
        <v>63.3</v>
      </c>
      <c r="S2709">
        <f t="shared" si="423"/>
        <v>0</v>
      </c>
      <c r="T2709">
        <f t="shared" si="424"/>
        <v>0</v>
      </c>
      <c r="U2709">
        <f t="shared" si="425"/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16.600000000000001</v>
      </c>
      <c r="AC2709">
        <v>12.8</v>
      </c>
      <c r="AG2709">
        <f t="shared" si="426"/>
        <v>1</v>
      </c>
      <c r="AH2709">
        <f t="shared" si="427"/>
        <v>0</v>
      </c>
      <c r="AI2709">
        <f t="shared" si="428"/>
        <v>1</v>
      </c>
      <c r="AJ2709">
        <v>263.5</v>
      </c>
      <c r="AK2709">
        <v>1015.5</v>
      </c>
      <c r="AL2709">
        <v>9.1</v>
      </c>
      <c r="AM2709">
        <v>6.2</v>
      </c>
      <c r="AN2709">
        <v>283.7</v>
      </c>
      <c r="AO2709">
        <v>24.5</v>
      </c>
      <c r="AP2709">
        <v>9</v>
      </c>
      <c r="AQ2709">
        <v>0</v>
      </c>
      <c r="AR2709" t="s">
        <v>9377</v>
      </c>
      <c r="AS2709" t="s">
        <v>9378</v>
      </c>
      <c r="AT2709">
        <v>0.81</v>
      </c>
      <c r="AU2709" t="s">
        <v>74</v>
      </c>
      <c r="AV2709" t="s">
        <v>2955</v>
      </c>
      <c r="AW2709" t="s">
        <v>75</v>
      </c>
      <c r="AX2709" t="s">
        <v>4381</v>
      </c>
      <c r="AY2709" t="s">
        <v>9379</v>
      </c>
      <c r="AZ2709">
        <v>263.9999999909196</v>
      </c>
      <c r="BA2709">
        <v>0</v>
      </c>
      <c r="BB2709">
        <v>0</v>
      </c>
      <c r="BC2709">
        <v>0.05</v>
      </c>
      <c r="BD2709">
        <v>0</v>
      </c>
      <c r="BE2709">
        <f t="shared" si="429"/>
        <v>0</v>
      </c>
    </row>
    <row r="2710" spans="1:57" x14ac:dyDescent="0.25">
      <c r="A2710" t="s">
        <v>39</v>
      </c>
      <c r="B2710" t="s">
        <v>9317</v>
      </c>
      <c r="C2710">
        <v>71.599999999999994</v>
      </c>
      <c r="D2710">
        <v>57.2</v>
      </c>
      <c r="G2710">
        <f t="shared" si="420"/>
        <v>1</v>
      </c>
      <c r="H2710">
        <f t="shared" si="421"/>
        <v>1</v>
      </c>
      <c r="I2710">
        <f t="shared" si="422"/>
        <v>0</v>
      </c>
      <c r="J2710">
        <v>65.8</v>
      </c>
      <c r="K2710">
        <v>71.599999999999994</v>
      </c>
      <c r="L2710">
        <v>57.2</v>
      </c>
      <c r="M2710">
        <v>65.8</v>
      </c>
      <c r="N2710">
        <v>50.6</v>
      </c>
      <c r="O2710">
        <v>59.4</v>
      </c>
      <c r="S2710">
        <f t="shared" si="423"/>
        <v>1</v>
      </c>
      <c r="T2710">
        <f t="shared" si="424"/>
        <v>0</v>
      </c>
      <c r="U2710">
        <f t="shared" si="425"/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34.700000000000003</v>
      </c>
      <c r="AC2710">
        <v>23</v>
      </c>
      <c r="AG2710">
        <f t="shared" si="426"/>
        <v>1</v>
      </c>
      <c r="AH2710">
        <f t="shared" si="427"/>
        <v>1</v>
      </c>
      <c r="AI2710">
        <f t="shared" si="428"/>
        <v>0</v>
      </c>
      <c r="AJ2710">
        <v>305.10000000000002</v>
      </c>
      <c r="AK2710">
        <v>1014.8</v>
      </c>
      <c r="AL2710">
        <v>53.4</v>
      </c>
      <c r="AM2710">
        <v>6.2</v>
      </c>
      <c r="AN2710">
        <v>246.7</v>
      </c>
      <c r="AO2710">
        <v>21.3</v>
      </c>
      <c r="AP2710">
        <v>9</v>
      </c>
      <c r="AQ2710">
        <v>0</v>
      </c>
      <c r="AR2710" t="s">
        <v>9318</v>
      </c>
      <c r="AS2710" t="s">
        <v>9319</v>
      </c>
      <c r="AT2710">
        <v>0.95</v>
      </c>
      <c r="AU2710" t="s">
        <v>43</v>
      </c>
      <c r="AV2710" t="s">
        <v>44</v>
      </c>
      <c r="AW2710" t="s">
        <v>45</v>
      </c>
      <c r="AX2710" t="s">
        <v>9113</v>
      </c>
      <c r="AY2710" t="s">
        <v>9380</v>
      </c>
      <c r="AZ2710">
        <v>369.0000000083819</v>
      </c>
      <c r="BA2710">
        <v>1</v>
      </c>
      <c r="BB2710">
        <v>0</v>
      </c>
      <c r="BC2710">
        <v>4</v>
      </c>
      <c r="BD2710">
        <v>0</v>
      </c>
      <c r="BE2710">
        <f t="shared" si="429"/>
        <v>1</v>
      </c>
    </row>
    <row r="2711" spans="1:57" x14ac:dyDescent="0.25">
      <c r="A2711" t="s">
        <v>39</v>
      </c>
      <c r="B2711" t="s">
        <v>9381</v>
      </c>
      <c r="C2711">
        <v>68</v>
      </c>
      <c r="D2711">
        <v>62.6</v>
      </c>
      <c r="G2711">
        <f t="shared" si="420"/>
        <v>0</v>
      </c>
      <c r="H2711">
        <f t="shared" si="421"/>
        <v>0</v>
      </c>
      <c r="I2711">
        <f t="shared" si="422"/>
        <v>0</v>
      </c>
      <c r="J2711">
        <v>64.8</v>
      </c>
      <c r="K2711">
        <v>68</v>
      </c>
      <c r="L2711">
        <v>62.6</v>
      </c>
      <c r="M2711">
        <v>64.8</v>
      </c>
      <c r="N2711">
        <v>52.5</v>
      </c>
      <c r="O2711">
        <v>65</v>
      </c>
      <c r="S2711">
        <f t="shared" si="423"/>
        <v>0</v>
      </c>
      <c r="T2711">
        <f t="shared" si="424"/>
        <v>0</v>
      </c>
      <c r="U2711">
        <f t="shared" si="425"/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32</v>
      </c>
      <c r="AC2711">
        <v>23</v>
      </c>
      <c r="AG2711">
        <f t="shared" si="426"/>
        <v>1</v>
      </c>
      <c r="AH2711">
        <f t="shared" si="427"/>
        <v>1</v>
      </c>
      <c r="AI2711">
        <f t="shared" si="428"/>
        <v>0</v>
      </c>
      <c r="AJ2711">
        <v>308.60000000000002</v>
      </c>
      <c r="AK2711">
        <v>1014.8</v>
      </c>
      <c r="AL2711">
        <v>42.6</v>
      </c>
      <c r="AM2711">
        <v>6.2</v>
      </c>
      <c r="AN2711">
        <v>257</v>
      </c>
      <c r="AO2711">
        <v>22.2</v>
      </c>
      <c r="AP2711">
        <v>8</v>
      </c>
      <c r="AQ2711">
        <v>0</v>
      </c>
      <c r="AR2711" t="s">
        <v>9382</v>
      </c>
      <c r="AS2711" t="s">
        <v>9383</v>
      </c>
      <c r="AT2711">
        <v>0.02</v>
      </c>
      <c r="AU2711" t="s">
        <v>43</v>
      </c>
      <c r="AV2711" t="s">
        <v>44</v>
      </c>
      <c r="AW2711" t="s">
        <v>45</v>
      </c>
      <c r="AX2711" t="s">
        <v>7931</v>
      </c>
      <c r="AY2711" t="s">
        <v>9384</v>
      </c>
      <c r="AZ2711">
        <v>1458.9999999990689</v>
      </c>
      <c r="BA2711">
        <v>1</v>
      </c>
      <c r="BB2711">
        <v>0</v>
      </c>
      <c r="BC2711">
        <v>10</v>
      </c>
      <c r="BD2711">
        <v>0</v>
      </c>
      <c r="BE2711">
        <f t="shared" si="429"/>
        <v>0</v>
      </c>
    </row>
    <row r="2712" spans="1:57" x14ac:dyDescent="0.25">
      <c r="A2712" t="s">
        <v>39</v>
      </c>
      <c r="B2712" t="s">
        <v>9385</v>
      </c>
      <c r="C2712">
        <v>69.8</v>
      </c>
      <c r="D2712">
        <v>53.6</v>
      </c>
      <c r="G2712">
        <f t="shared" si="420"/>
        <v>1</v>
      </c>
      <c r="H2712">
        <f t="shared" si="421"/>
        <v>1</v>
      </c>
      <c r="I2712">
        <f t="shared" si="422"/>
        <v>0</v>
      </c>
      <c r="J2712">
        <v>63.1</v>
      </c>
      <c r="K2712">
        <v>69.8</v>
      </c>
      <c r="L2712">
        <v>53.6</v>
      </c>
      <c r="M2712">
        <v>63.1</v>
      </c>
      <c r="N2712">
        <v>48.1</v>
      </c>
      <c r="O2712">
        <v>58.7</v>
      </c>
      <c r="S2712">
        <f t="shared" si="423"/>
        <v>1</v>
      </c>
      <c r="T2712">
        <f t="shared" si="424"/>
        <v>0</v>
      </c>
      <c r="U2712">
        <f t="shared" si="425"/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28.6</v>
      </c>
      <c r="AC2712">
        <v>18.3</v>
      </c>
      <c r="AG2712">
        <f t="shared" si="426"/>
        <v>0</v>
      </c>
      <c r="AH2712">
        <f t="shared" si="427"/>
        <v>0</v>
      </c>
      <c r="AI2712">
        <f t="shared" si="428"/>
        <v>0</v>
      </c>
      <c r="AJ2712">
        <v>283.5</v>
      </c>
      <c r="AK2712">
        <v>1015.7</v>
      </c>
      <c r="AL2712">
        <v>11.5</v>
      </c>
      <c r="AM2712">
        <v>6.2</v>
      </c>
      <c r="AN2712">
        <v>287</v>
      </c>
      <c r="AO2712">
        <v>24.8</v>
      </c>
      <c r="AP2712">
        <v>9</v>
      </c>
      <c r="AQ2712">
        <v>0</v>
      </c>
      <c r="AR2712" t="s">
        <v>9386</v>
      </c>
      <c r="AS2712" t="s">
        <v>9387</v>
      </c>
      <c r="AT2712">
        <v>0.05</v>
      </c>
      <c r="AU2712" t="s">
        <v>74</v>
      </c>
      <c r="AV2712" t="s">
        <v>2955</v>
      </c>
      <c r="AW2712" t="s">
        <v>75</v>
      </c>
      <c r="AX2712" t="s">
        <v>4555</v>
      </c>
      <c r="AY2712" t="s">
        <v>9388</v>
      </c>
      <c r="AZ2712">
        <v>143.9999999979045</v>
      </c>
      <c r="BA2712">
        <v>0</v>
      </c>
      <c r="BB2712">
        <v>0</v>
      </c>
      <c r="BC2712">
        <v>1</v>
      </c>
      <c r="BD2712">
        <v>0</v>
      </c>
      <c r="BE2712">
        <f t="shared" si="429"/>
        <v>0</v>
      </c>
    </row>
    <row r="2713" spans="1:57" x14ac:dyDescent="0.25">
      <c r="A2713" t="s">
        <v>39</v>
      </c>
      <c r="B2713" t="s">
        <v>9389</v>
      </c>
      <c r="C2713">
        <v>78.8</v>
      </c>
      <c r="D2713">
        <v>68</v>
      </c>
      <c r="G2713">
        <f t="shared" si="420"/>
        <v>1</v>
      </c>
      <c r="H2713">
        <f t="shared" si="421"/>
        <v>1</v>
      </c>
      <c r="I2713">
        <f t="shared" si="422"/>
        <v>0</v>
      </c>
      <c r="J2713">
        <v>73.599999999999994</v>
      </c>
      <c r="K2713">
        <v>78.8</v>
      </c>
      <c r="L2713">
        <v>68</v>
      </c>
      <c r="M2713">
        <v>73.599999999999994</v>
      </c>
      <c r="N2713">
        <v>45.3</v>
      </c>
      <c r="O2713">
        <v>37</v>
      </c>
      <c r="S2713">
        <f t="shared" si="423"/>
        <v>1</v>
      </c>
      <c r="T2713">
        <f t="shared" si="424"/>
        <v>0</v>
      </c>
      <c r="U2713">
        <f t="shared" si="425"/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42.5</v>
      </c>
      <c r="AC2713">
        <v>31.1</v>
      </c>
      <c r="AG2713">
        <f t="shared" si="426"/>
        <v>1</v>
      </c>
      <c r="AH2713">
        <f t="shared" si="427"/>
        <v>1</v>
      </c>
      <c r="AI2713">
        <f t="shared" si="428"/>
        <v>0</v>
      </c>
      <c r="AJ2713">
        <v>178.1</v>
      </c>
      <c r="AK2713">
        <v>1002.6</v>
      </c>
      <c r="AL2713">
        <v>29</v>
      </c>
      <c r="AM2713">
        <v>6.2</v>
      </c>
      <c r="AN2713">
        <v>276.10000000000002</v>
      </c>
      <c r="AO2713">
        <v>23.8</v>
      </c>
      <c r="AP2713">
        <v>9</v>
      </c>
      <c r="AQ2713">
        <v>0</v>
      </c>
      <c r="AR2713" t="s">
        <v>9390</v>
      </c>
      <c r="AS2713" t="s">
        <v>9391</v>
      </c>
      <c r="AT2713">
        <v>0.28000000000000003</v>
      </c>
      <c r="AU2713" t="s">
        <v>43</v>
      </c>
      <c r="AV2713" t="s">
        <v>44</v>
      </c>
      <c r="AW2713" t="s">
        <v>419</v>
      </c>
      <c r="AX2713" t="s">
        <v>7501</v>
      </c>
      <c r="AY2713" t="s">
        <v>9392</v>
      </c>
      <c r="AZ2713">
        <v>1098.9999999990689</v>
      </c>
      <c r="BA2713">
        <v>1</v>
      </c>
      <c r="BB2713">
        <v>0</v>
      </c>
      <c r="BC2713">
        <v>5</v>
      </c>
      <c r="BD2713">
        <v>0</v>
      </c>
      <c r="BE2713">
        <f t="shared" si="429"/>
        <v>1</v>
      </c>
    </row>
    <row r="2714" spans="1:57" x14ac:dyDescent="0.25">
      <c r="A2714" t="s">
        <v>39</v>
      </c>
      <c r="B2714" t="s">
        <v>9393</v>
      </c>
      <c r="C2714">
        <v>86</v>
      </c>
      <c r="D2714">
        <v>67.900000000000006</v>
      </c>
      <c r="G2714">
        <f t="shared" si="420"/>
        <v>1</v>
      </c>
      <c r="H2714">
        <f t="shared" si="421"/>
        <v>1</v>
      </c>
      <c r="I2714">
        <f t="shared" si="422"/>
        <v>0</v>
      </c>
      <c r="J2714">
        <v>75.8</v>
      </c>
      <c r="K2714">
        <v>82.7</v>
      </c>
      <c r="L2714">
        <v>67.900000000000006</v>
      </c>
      <c r="M2714">
        <v>75</v>
      </c>
      <c r="N2714">
        <v>36</v>
      </c>
      <c r="O2714">
        <v>26.2</v>
      </c>
      <c r="S2714">
        <f t="shared" si="423"/>
        <v>1</v>
      </c>
      <c r="T2714">
        <f t="shared" si="424"/>
        <v>0</v>
      </c>
      <c r="U2714">
        <f t="shared" si="425"/>
        <v>1</v>
      </c>
      <c r="V2714">
        <v>4.0000000000000001E-3</v>
      </c>
      <c r="W2714">
        <v>100</v>
      </c>
      <c r="X2714">
        <v>4.17</v>
      </c>
      <c r="Y2714" t="s">
        <v>103</v>
      </c>
      <c r="Z2714">
        <v>0</v>
      </c>
      <c r="AA2714">
        <v>0</v>
      </c>
      <c r="AB2714">
        <v>43.8</v>
      </c>
      <c r="AC2714">
        <v>31.1</v>
      </c>
      <c r="AG2714">
        <f t="shared" si="426"/>
        <v>1</v>
      </c>
      <c r="AH2714">
        <f t="shared" si="427"/>
        <v>1</v>
      </c>
      <c r="AI2714">
        <f t="shared" si="428"/>
        <v>0</v>
      </c>
      <c r="AJ2714">
        <v>174.2</v>
      </c>
      <c r="AK2714">
        <v>1009.8</v>
      </c>
      <c r="AL2714">
        <v>36.5</v>
      </c>
      <c r="AM2714">
        <v>6.2</v>
      </c>
      <c r="AN2714">
        <v>266</v>
      </c>
      <c r="AO2714">
        <v>22.9</v>
      </c>
      <c r="AP2714">
        <v>9</v>
      </c>
      <c r="AQ2714">
        <v>0</v>
      </c>
      <c r="AR2714" t="s">
        <v>9394</v>
      </c>
      <c r="AS2714" t="s">
        <v>9395</v>
      </c>
      <c r="AT2714">
        <v>0.56999999999999995</v>
      </c>
      <c r="AU2714" t="s">
        <v>106</v>
      </c>
      <c r="AV2714" t="s">
        <v>433</v>
      </c>
      <c r="AW2714" t="s">
        <v>103</v>
      </c>
      <c r="AX2714" t="s">
        <v>6414</v>
      </c>
      <c r="AY2714" t="s">
        <v>9396</v>
      </c>
      <c r="AZ2714">
        <v>1393.0000000039579</v>
      </c>
      <c r="BA2714">
        <v>1</v>
      </c>
      <c r="BB2714">
        <v>0</v>
      </c>
      <c r="BC2714">
        <v>0.5</v>
      </c>
      <c r="BD2714">
        <v>0</v>
      </c>
      <c r="BE2714">
        <f t="shared" si="429"/>
        <v>1</v>
      </c>
    </row>
    <row r="2715" spans="1:57" x14ac:dyDescent="0.25">
      <c r="A2715" t="s">
        <v>39</v>
      </c>
      <c r="B2715" t="s">
        <v>9376</v>
      </c>
      <c r="C2715">
        <v>71.599999999999994</v>
      </c>
      <c r="D2715">
        <v>59</v>
      </c>
      <c r="G2715">
        <f t="shared" si="420"/>
        <v>1</v>
      </c>
      <c r="H2715">
        <f t="shared" si="421"/>
        <v>1</v>
      </c>
      <c r="I2715">
        <f t="shared" si="422"/>
        <v>0</v>
      </c>
      <c r="J2715">
        <v>67</v>
      </c>
      <c r="K2715">
        <v>71.599999999999994</v>
      </c>
      <c r="L2715">
        <v>59</v>
      </c>
      <c r="M2715">
        <v>67</v>
      </c>
      <c r="N2715">
        <v>53.6</v>
      </c>
      <c r="O2715">
        <v>63.3</v>
      </c>
      <c r="S2715">
        <f t="shared" si="423"/>
        <v>0</v>
      </c>
      <c r="T2715">
        <f t="shared" si="424"/>
        <v>0</v>
      </c>
      <c r="U2715">
        <f t="shared" si="425"/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16.600000000000001</v>
      </c>
      <c r="AC2715">
        <v>12.8</v>
      </c>
      <c r="AG2715">
        <f t="shared" si="426"/>
        <v>1</v>
      </c>
      <c r="AH2715">
        <f t="shared" si="427"/>
        <v>0</v>
      </c>
      <c r="AI2715">
        <f t="shared" si="428"/>
        <v>1</v>
      </c>
      <c r="AJ2715">
        <v>263.5</v>
      </c>
      <c r="AK2715">
        <v>1015.5</v>
      </c>
      <c r="AL2715">
        <v>9.1</v>
      </c>
      <c r="AM2715">
        <v>6.2</v>
      </c>
      <c r="AN2715">
        <v>283.7</v>
      </c>
      <c r="AO2715">
        <v>24.5</v>
      </c>
      <c r="AP2715">
        <v>9</v>
      </c>
      <c r="AQ2715">
        <v>0</v>
      </c>
      <c r="AR2715" t="s">
        <v>9377</v>
      </c>
      <c r="AS2715" t="s">
        <v>9378</v>
      </c>
      <c r="AT2715">
        <v>0.81</v>
      </c>
      <c r="AU2715" t="s">
        <v>74</v>
      </c>
      <c r="AV2715" t="s">
        <v>2955</v>
      </c>
      <c r="AW2715" t="s">
        <v>75</v>
      </c>
      <c r="AX2715" t="s">
        <v>9397</v>
      </c>
      <c r="AY2715" t="s">
        <v>9398</v>
      </c>
      <c r="AZ2715">
        <v>486.00000000209548</v>
      </c>
      <c r="BA2715">
        <v>1</v>
      </c>
      <c r="BB2715">
        <v>0</v>
      </c>
      <c r="BC2715">
        <v>1.3</v>
      </c>
      <c r="BD2715">
        <v>0</v>
      </c>
      <c r="BE2715">
        <f t="shared" si="429"/>
        <v>1</v>
      </c>
    </row>
    <row r="2716" spans="1:57" x14ac:dyDescent="0.25">
      <c r="A2716" t="s">
        <v>39</v>
      </c>
      <c r="B2716" t="s">
        <v>9399</v>
      </c>
      <c r="C2716">
        <v>84.2</v>
      </c>
      <c r="D2716">
        <v>73.400000000000006</v>
      </c>
      <c r="G2716">
        <f t="shared" si="420"/>
        <v>1</v>
      </c>
      <c r="H2716">
        <f t="shared" si="421"/>
        <v>1</v>
      </c>
      <c r="I2716">
        <f t="shared" si="422"/>
        <v>0</v>
      </c>
      <c r="J2716">
        <v>78.8</v>
      </c>
      <c r="K2716">
        <v>87.4</v>
      </c>
      <c r="L2716">
        <v>73.400000000000006</v>
      </c>
      <c r="M2716">
        <v>79.900000000000006</v>
      </c>
      <c r="N2716">
        <v>68.5</v>
      </c>
      <c r="O2716">
        <v>71.5</v>
      </c>
      <c r="S2716">
        <f t="shared" si="423"/>
        <v>1</v>
      </c>
      <c r="T2716">
        <f t="shared" si="424"/>
        <v>1</v>
      </c>
      <c r="U2716">
        <f t="shared" si="425"/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21.3</v>
      </c>
      <c r="AC2716">
        <v>13.9</v>
      </c>
      <c r="AG2716">
        <f t="shared" si="426"/>
        <v>1</v>
      </c>
      <c r="AH2716">
        <f t="shared" si="427"/>
        <v>0</v>
      </c>
      <c r="AI2716">
        <f t="shared" si="428"/>
        <v>1</v>
      </c>
      <c r="AJ2716">
        <v>303.7</v>
      </c>
      <c r="AK2716">
        <v>1011</v>
      </c>
      <c r="AL2716">
        <v>27.2</v>
      </c>
      <c r="AM2716">
        <v>6.2</v>
      </c>
      <c r="AN2716">
        <v>319.89999999999998</v>
      </c>
      <c r="AO2716">
        <v>27.8</v>
      </c>
      <c r="AP2716">
        <v>10</v>
      </c>
      <c r="AQ2716">
        <v>0</v>
      </c>
      <c r="AR2716" t="s">
        <v>9400</v>
      </c>
      <c r="AS2716" t="s">
        <v>9401</v>
      </c>
      <c r="AT2716">
        <v>0.03</v>
      </c>
      <c r="AU2716" t="s">
        <v>43</v>
      </c>
      <c r="AV2716" t="s">
        <v>44</v>
      </c>
      <c r="AW2716" t="s">
        <v>45</v>
      </c>
      <c r="AX2716" t="s">
        <v>9402</v>
      </c>
      <c r="AY2716" t="s">
        <v>9403</v>
      </c>
      <c r="AZ2716">
        <v>290.00000000232831</v>
      </c>
      <c r="BA2716">
        <v>0</v>
      </c>
      <c r="BB2716">
        <v>0</v>
      </c>
      <c r="BC2716">
        <v>8.3000000000000007</v>
      </c>
      <c r="BD2716">
        <v>0</v>
      </c>
      <c r="BE2716">
        <f t="shared" si="429"/>
        <v>1</v>
      </c>
    </row>
    <row r="2717" spans="1:57" x14ac:dyDescent="0.25">
      <c r="A2717" t="s">
        <v>39</v>
      </c>
      <c r="B2717" t="s">
        <v>9404</v>
      </c>
      <c r="C2717">
        <v>73.400000000000006</v>
      </c>
      <c r="D2717">
        <v>60.2</v>
      </c>
      <c r="G2717">
        <f t="shared" si="420"/>
        <v>0</v>
      </c>
      <c r="H2717">
        <f t="shared" si="421"/>
        <v>0</v>
      </c>
      <c r="I2717">
        <f t="shared" si="422"/>
        <v>0</v>
      </c>
      <c r="J2717">
        <v>69</v>
      </c>
      <c r="K2717">
        <v>73.400000000000006</v>
      </c>
      <c r="L2717">
        <v>60.2</v>
      </c>
      <c r="M2717">
        <v>69</v>
      </c>
      <c r="N2717">
        <v>59.5</v>
      </c>
      <c r="O2717">
        <v>71.8</v>
      </c>
      <c r="S2717">
        <f t="shared" si="423"/>
        <v>1</v>
      </c>
      <c r="T2717">
        <f t="shared" si="424"/>
        <v>1</v>
      </c>
      <c r="U2717">
        <f t="shared" si="425"/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24.4</v>
      </c>
      <c r="AC2717">
        <v>15</v>
      </c>
      <c r="AG2717">
        <f t="shared" si="426"/>
        <v>1</v>
      </c>
      <c r="AH2717">
        <f t="shared" si="427"/>
        <v>0</v>
      </c>
      <c r="AI2717">
        <f t="shared" si="428"/>
        <v>1</v>
      </c>
      <c r="AJ2717">
        <v>321.60000000000002</v>
      </c>
      <c r="AK2717">
        <v>1025.3</v>
      </c>
      <c r="AL2717">
        <v>46.8</v>
      </c>
      <c r="AM2717">
        <v>6.2</v>
      </c>
      <c r="AN2717">
        <v>162.19999999999999</v>
      </c>
      <c r="AO2717">
        <v>13.9</v>
      </c>
      <c r="AP2717">
        <v>6</v>
      </c>
      <c r="AQ2717">
        <v>0</v>
      </c>
      <c r="AR2717" t="s">
        <v>9405</v>
      </c>
      <c r="AS2717" t="s">
        <v>9406</v>
      </c>
      <c r="AT2717">
        <v>0.75</v>
      </c>
      <c r="AU2717" t="s">
        <v>43</v>
      </c>
      <c r="AV2717" t="s">
        <v>44</v>
      </c>
      <c r="AW2717" t="s">
        <v>45</v>
      </c>
      <c r="AX2717" t="s">
        <v>5166</v>
      </c>
      <c r="AY2717" t="s">
        <v>9407</v>
      </c>
      <c r="AZ2717">
        <v>326.00000000442378</v>
      </c>
      <c r="BA2717">
        <v>0</v>
      </c>
      <c r="BB2717">
        <v>0</v>
      </c>
      <c r="BC2717">
        <v>0.03</v>
      </c>
      <c r="BD2717">
        <v>0</v>
      </c>
      <c r="BE2717">
        <f t="shared" si="429"/>
        <v>0</v>
      </c>
    </row>
    <row r="2718" spans="1:57" x14ac:dyDescent="0.25">
      <c r="A2718" t="s">
        <v>39</v>
      </c>
      <c r="B2718" t="s">
        <v>9275</v>
      </c>
      <c r="C2718">
        <v>60.8</v>
      </c>
      <c r="D2718">
        <v>53.6</v>
      </c>
      <c r="G2718">
        <f t="shared" si="420"/>
        <v>1</v>
      </c>
      <c r="H2718">
        <f t="shared" si="421"/>
        <v>0</v>
      </c>
      <c r="I2718">
        <f t="shared" si="422"/>
        <v>1</v>
      </c>
      <c r="J2718">
        <v>56.3</v>
      </c>
      <c r="K2718">
        <v>60.8</v>
      </c>
      <c r="L2718">
        <v>53.6</v>
      </c>
      <c r="M2718">
        <v>56.3</v>
      </c>
      <c r="N2718">
        <v>42.5</v>
      </c>
      <c r="O2718">
        <v>59.9</v>
      </c>
      <c r="S2718">
        <f t="shared" si="423"/>
        <v>1</v>
      </c>
      <c r="T2718">
        <f t="shared" si="424"/>
        <v>0</v>
      </c>
      <c r="U2718">
        <f t="shared" si="425"/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34.9</v>
      </c>
      <c r="AC2718">
        <v>17.2</v>
      </c>
      <c r="AG2718">
        <f t="shared" si="426"/>
        <v>0</v>
      </c>
      <c r="AH2718">
        <f t="shared" si="427"/>
        <v>0</v>
      </c>
      <c r="AI2718">
        <f t="shared" si="428"/>
        <v>0</v>
      </c>
      <c r="AJ2718">
        <v>350.4</v>
      </c>
      <c r="AK2718">
        <v>1026.9000000000001</v>
      </c>
      <c r="AL2718">
        <v>47</v>
      </c>
      <c r="AM2718">
        <v>6.2</v>
      </c>
      <c r="AN2718">
        <v>110.4</v>
      </c>
      <c r="AO2718">
        <v>9.4</v>
      </c>
      <c r="AP2718">
        <v>4</v>
      </c>
      <c r="AQ2718">
        <v>0</v>
      </c>
      <c r="AR2718" t="s">
        <v>9276</v>
      </c>
      <c r="AS2718" t="s">
        <v>9277</v>
      </c>
      <c r="AT2718">
        <v>0.81</v>
      </c>
      <c r="AU2718" t="s">
        <v>43</v>
      </c>
      <c r="AV2718" t="s">
        <v>44</v>
      </c>
      <c r="AW2718" t="s">
        <v>45</v>
      </c>
      <c r="AX2718" t="s">
        <v>9408</v>
      </c>
      <c r="AY2718" t="s">
        <v>9409</v>
      </c>
      <c r="AZ2718">
        <v>304.99999999883579</v>
      </c>
      <c r="BA2718">
        <v>0</v>
      </c>
      <c r="BB2718">
        <v>0</v>
      </c>
      <c r="BC2718">
        <v>0.3</v>
      </c>
      <c r="BD2718">
        <v>0</v>
      </c>
      <c r="BE2718">
        <f t="shared" si="429"/>
        <v>0</v>
      </c>
    </row>
    <row r="2719" spans="1:57" x14ac:dyDescent="0.25">
      <c r="A2719" t="s">
        <v>39</v>
      </c>
      <c r="B2719" t="s">
        <v>9410</v>
      </c>
      <c r="C2719">
        <v>87.8</v>
      </c>
      <c r="D2719">
        <v>82.4</v>
      </c>
      <c r="G2719">
        <f t="shared" si="420"/>
        <v>1</v>
      </c>
      <c r="H2719">
        <f t="shared" si="421"/>
        <v>1</v>
      </c>
      <c r="I2719">
        <f t="shared" si="422"/>
        <v>0</v>
      </c>
      <c r="J2719">
        <v>84.6</v>
      </c>
      <c r="K2719">
        <v>89.4</v>
      </c>
      <c r="L2719">
        <v>83.4</v>
      </c>
      <c r="M2719">
        <v>86.7</v>
      </c>
      <c r="N2719">
        <v>65.400000000000006</v>
      </c>
      <c r="O2719">
        <v>53.4</v>
      </c>
      <c r="S2719">
        <f t="shared" si="423"/>
        <v>1</v>
      </c>
      <c r="T2719">
        <f t="shared" si="424"/>
        <v>0</v>
      </c>
      <c r="U2719">
        <f t="shared" si="425"/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36.9</v>
      </c>
      <c r="AC2719">
        <v>25.3</v>
      </c>
      <c r="AG2719">
        <f t="shared" si="426"/>
        <v>1</v>
      </c>
      <c r="AH2719">
        <f t="shared" si="427"/>
        <v>1</v>
      </c>
      <c r="AI2719">
        <f t="shared" si="428"/>
        <v>0</v>
      </c>
      <c r="AJ2719">
        <v>302.3</v>
      </c>
      <c r="AK2719">
        <v>1009</v>
      </c>
      <c r="AL2719">
        <v>0.6</v>
      </c>
      <c r="AM2719">
        <v>6.2</v>
      </c>
      <c r="AN2719">
        <v>299.3</v>
      </c>
      <c r="AO2719">
        <v>25.7</v>
      </c>
      <c r="AP2719">
        <v>9</v>
      </c>
      <c r="AQ2719">
        <v>0</v>
      </c>
      <c r="AR2719" t="s">
        <v>9411</v>
      </c>
      <c r="AS2719" t="s">
        <v>9412</v>
      </c>
      <c r="AT2719">
        <v>0.42</v>
      </c>
      <c r="AU2719" t="s">
        <v>74</v>
      </c>
      <c r="AV2719" t="s">
        <v>2955</v>
      </c>
      <c r="AW2719" t="s">
        <v>75</v>
      </c>
      <c r="AX2719" t="s">
        <v>9413</v>
      </c>
      <c r="AY2719" t="s">
        <v>9414</v>
      </c>
      <c r="AZ2719">
        <v>6879.9999999941792</v>
      </c>
      <c r="BA2719">
        <v>1</v>
      </c>
      <c r="BB2719">
        <v>0</v>
      </c>
      <c r="BC2719">
        <v>2406.0500000000002</v>
      </c>
      <c r="BD2719">
        <v>0</v>
      </c>
      <c r="BE2719">
        <f t="shared" si="429"/>
        <v>1</v>
      </c>
    </row>
    <row r="2720" spans="1:57" x14ac:dyDescent="0.25">
      <c r="A2720" t="s">
        <v>39</v>
      </c>
      <c r="B2720" t="s">
        <v>9415</v>
      </c>
      <c r="C2720">
        <v>66.2</v>
      </c>
      <c r="D2720">
        <v>53.6</v>
      </c>
      <c r="G2720">
        <f t="shared" si="420"/>
        <v>1</v>
      </c>
      <c r="H2720">
        <f t="shared" si="421"/>
        <v>1</v>
      </c>
      <c r="I2720">
        <f t="shared" si="422"/>
        <v>0</v>
      </c>
      <c r="J2720">
        <v>59.3</v>
      </c>
      <c r="K2720">
        <v>66.2</v>
      </c>
      <c r="L2720">
        <v>53.6</v>
      </c>
      <c r="M2720">
        <v>59.3</v>
      </c>
      <c r="N2720">
        <v>49.8</v>
      </c>
      <c r="O2720">
        <v>71.2</v>
      </c>
      <c r="S2720">
        <f t="shared" si="423"/>
        <v>1</v>
      </c>
      <c r="T2720">
        <f t="shared" si="424"/>
        <v>1</v>
      </c>
      <c r="U2720">
        <f t="shared" si="425"/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24.2</v>
      </c>
      <c r="AC2720">
        <v>20.8</v>
      </c>
      <c r="AG2720">
        <f t="shared" si="426"/>
        <v>1</v>
      </c>
      <c r="AH2720">
        <f t="shared" si="427"/>
        <v>1</v>
      </c>
      <c r="AI2720">
        <f t="shared" si="428"/>
        <v>0</v>
      </c>
      <c r="AJ2720">
        <v>165.4</v>
      </c>
      <c r="AK2720">
        <v>1017.1</v>
      </c>
      <c r="AL2720">
        <v>35.200000000000003</v>
      </c>
      <c r="AM2720">
        <v>6.2</v>
      </c>
      <c r="AN2720">
        <v>175.8</v>
      </c>
      <c r="AO2720">
        <v>15.3</v>
      </c>
      <c r="AP2720">
        <v>6</v>
      </c>
      <c r="AQ2720">
        <v>0</v>
      </c>
      <c r="AR2720" t="s">
        <v>9416</v>
      </c>
      <c r="AS2720" t="s">
        <v>9417</v>
      </c>
      <c r="AT2720">
        <v>0</v>
      </c>
      <c r="AU2720" t="s">
        <v>43</v>
      </c>
      <c r="AV2720" t="s">
        <v>44</v>
      </c>
      <c r="AW2720" t="s">
        <v>45</v>
      </c>
      <c r="AX2720" t="s">
        <v>7442</v>
      </c>
      <c r="AY2720" t="s">
        <v>9418</v>
      </c>
      <c r="AZ2720">
        <v>477.9999999969732</v>
      </c>
      <c r="BA2720">
        <v>1</v>
      </c>
      <c r="BB2720">
        <v>0</v>
      </c>
      <c r="BC2720">
        <v>1</v>
      </c>
      <c r="BD2720">
        <v>0</v>
      </c>
      <c r="BE2720">
        <f t="shared" si="429"/>
        <v>1</v>
      </c>
    </row>
    <row r="2721" spans="1:57" x14ac:dyDescent="0.25">
      <c r="A2721" t="s">
        <v>39</v>
      </c>
      <c r="B2721" t="s">
        <v>9419</v>
      </c>
      <c r="C2721">
        <v>71.599999999999994</v>
      </c>
      <c r="D2721">
        <v>53.6</v>
      </c>
      <c r="G2721">
        <f t="shared" si="420"/>
        <v>1</v>
      </c>
      <c r="H2721">
        <f t="shared" si="421"/>
        <v>1</v>
      </c>
      <c r="I2721">
        <f t="shared" si="422"/>
        <v>0</v>
      </c>
      <c r="J2721">
        <v>63.1</v>
      </c>
      <c r="K2721">
        <v>71.599999999999994</v>
      </c>
      <c r="L2721">
        <v>53.6</v>
      </c>
      <c r="M2721">
        <v>63.1</v>
      </c>
      <c r="N2721">
        <v>49.9</v>
      </c>
      <c r="O2721">
        <v>63.4</v>
      </c>
      <c r="S2721">
        <f t="shared" si="423"/>
        <v>0</v>
      </c>
      <c r="T2721">
        <f t="shared" si="424"/>
        <v>0</v>
      </c>
      <c r="U2721">
        <f t="shared" si="425"/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25.9</v>
      </c>
      <c r="AC2721">
        <v>17.2</v>
      </c>
      <c r="AG2721">
        <f t="shared" si="426"/>
        <v>0</v>
      </c>
      <c r="AH2721">
        <f t="shared" si="427"/>
        <v>0</v>
      </c>
      <c r="AI2721">
        <f t="shared" si="428"/>
        <v>0</v>
      </c>
      <c r="AJ2721">
        <v>308</v>
      </c>
      <c r="AK2721">
        <v>1018.1</v>
      </c>
      <c r="AL2721">
        <v>49.2</v>
      </c>
      <c r="AM2721">
        <v>6.2</v>
      </c>
      <c r="AN2721">
        <v>279.5</v>
      </c>
      <c r="AO2721">
        <v>24.2</v>
      </c>
      <c r="AP2721">
        <v>9</v>
      </c>
      <c r="AQ2721">
        <v>0</v>
      </c>
      <c r="AR2721" t="s">
        <v>9420</v>
      </c>
      <c r="AS2721" t="s">
        <v>9421</v>
      </c>
      <c r="AT2721">
        <v>0.09</v>
      </c>
      <c r="AU2721" t="s">
        <v>43</v>
      </c>
      <c r="AV2721" t="s">
        <v>44</v>
      </c>
      <c r="AW2721" t="s">
        <v>45</v>
      </c>
      <c r="AX2721" t="s">
        <v>2592</v>
      </c>
      <c r="AY2721" t="s">
        <v>9422</v>
      </c>
      <c r="AZ2721">
        <v>305.00000000931323</v>
      </c>
      <c r="BA2721">
        <v>0</v>
      </c>
      <c r="BB2721">
        <v>0</v>
      </c>
      <c r="BC2721">
        <v>0.5</v>
      </c>
      <c r="BD2721">
        <v>0</v>
      </c>
      <c r="BE2721">
        <f t="shared" si="429"/>
        <v>0</v>
      </c>
    </row>
    <row r="2722" spans="1:57" x14ac:dyDescent="0.25">
      <c r="A2722" t="s">
        <v>39</v>
      </c>
      <c r="B2722" t="s">
        <v>9368</v>
      </c>
      <c r="C2722">
        <v>86</v>
      </c>
      <c r="D2722">
        <v>77</v>
      </c>
      <c r="G2722">
        <f t="shared" si="420"/>
        <v>1</v>
      </c>
      <c r="H2722">
        <f t="shared" si="421"/>
        <v>1</v>
      </c>
      <c r="I2722">
        <f t="shared" si="422"/>
        <v>0</v>
      </c>
      <c r="J2722">
        <v>81.5</v>
      </c>
      <c r="K2722">
        <v>86.7</v>
      </c>
      <c r="L2722">
        <v>77</v>
      </c>
      <c r="M2722">
        <v>82.2</v>
      </c>
      <c r="N2722">
        <v>63</v>
      </c>
      <c r="O2722">
        <v>53.8</v>
      </c>
      <c r="S2722">
        <f t="shared" si="423"/>
        <v>1</v>
      </c>
      <c r="T2722">
        <f t="shared" si="424"/>
        <v>0</v>
      </c>
      <c r="U2722">
        <f t="shared" si="425"/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35.6</v>
      </c>
      <c r="AC2722">
        <v>19.7</v>
      </c>
      <c r="AG2722">
        <f t="shared" si="426"/>
        <v>1</v>
      </c>
      <c r="AH2722">
        <f t="shared" si="427"/>
        <v>1</v>
      </c>
      <c r="AI2722">
        <f t="shared" si="428"/>
        <v>0</v>
      </c>
      <c r="AJ2722">
        <v>297.5</v>
      </c>
      <c r="AK2722">
        <v>1010.6</v>
      </c>
      <c r="AL2722">
        <v>3.5</v>
      </c>
      <c r="AM2722">
        <v>6.2</v>
      </c>
      <c r="AN2722">
        <v>343.7</v>
      </c>
      <c r="AO2722">
        <v>29.7</v>
      </c>
      <c r="AP2722">
        <v>10</v>
      </c>
      <c r="AQ2722">
        <v>0</v>
      </c>
      <c r="AR2722" t="s">
        <v>9369</v>
      </c>
      <c r="AS2722" t="s">
        <v>9370</v>
      </c>
      <c r="AT2722">
        <v>0.84</v>
      </c>
      <c r="AU2722" t="s">
        <v>74</v>
      </c>
      <c r="AV2722" t="s">
        <v>2955</v>
      </c>
      <c r="AW2722" t="s">
        <v>75</v>
      </c>
      <c r="AX2722" t="s">
        <v>7901</v>
      </c>
      <c r="AY2722" t="s">
        <v>9423</v>
      </c>
      <c r="AZ2722">
        <v>4136.0000000079162</v>
      </c>
      <c r="BA2722">
        <v>1</v>
      </c>
      <c r="BB2722">
        <v>0</v>
      </c>
      <c r="BC2722">
        <v>10</v>
      </c>
      <c r="BD2722">
        <v>0</v>
      </c>
      <c r="BE2722">
        <f t="shared" si="429"/>
        <v>1</v>
      </c>
    </row>
    <row r="2723" spans="1:57" x14ac:dyDescent="0.25">
      <c r="A2723" t="s">
        <v>39</v>
      </c>
      <c r="B2723" t="s">
        <v>9424</v>
      </c>
      <c r="C2723">
        <v>78.8</v>
      </c>
      <c r="D2723">
        <v>59</v>
      </c>
      <c r="G2723">
        <f t="shared" si="420"/>
        <v>1</v>
      </c>
      <c r="H2723">
        <f t="shared" si="421"/>
        <v>1</v>
      </c>
      <c r="I2723">
        <f t="shared" si="422"/>
        <v>0</v>
      </c>
      <c r="J2723">
        <v>68.400000000000006</v>
      </c>
      <c r="K2723">
        <v>78.8</v>
      </c>
      <c r="L2723">
        <v>59</v>
      </c>
      <c r="M2723">
        <v>68.400000000000006</v>
      </c>
      <c r="N2723">
        <v>59.7</v>
      </c>
      <c r="O2723">
        <v>75</v>
      </c>
      <c r="S2723">
        <f t="shared" si="423"/>
        <v>1</v>
      </c>
      <c r="T2723">
        <f t="shared" si="424"/>
        <v>1</v>
      </c>
      <c r="U2723">
        <f t="shared" si="425"/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34.200000000000003</v>
      </c>
      <c r="AC2723">
        <v>17.7</v>
      </c>
      <c r="AG2723">
        <f t="shared" si="426"/>
        <v>1</v>
      </c>
      <c r="AH2723">
        <f t="shared" si="427"/>
        <v>1</v>
      </c>
      <c r="AI2723">
        <f t="shared" si="428"/>
        <v>0</v>
      </c>
      <c r="AJ2723">
        <v>184.1</v>
      </c>
      <c r="AK2723">
        <v>1015</v>
      </c>
      <c r="AL2723">
        <v>27.8</v>
      </c>
      <c r="AM2723">
        <v>6.2</v>
      </c>
      <c r="AN2723">
        <v>0</v>
      </c>
      <c r="AO2723">
        <v>0</v>
      </c>
      <c r="AP2723">
        <v>0</v>
      </c>
      <c r="AQ2723">
        <v>0</v>
      </c>
      <c r="AR2723" t="s">
        <v>9425</v>
      </c>
      <c r="AS2723" t="s">
        <v>9426</v>
      </c>
      <c r="AT2723">
        <v>0.71</v>
      </c>
      <c r="AU2723" t="s">
        <v>43</v>
      </c>
      <c r="AV2723" t="s">
        <v>44</v>
      </c>
      <c r="AW2723" t="s">
        <v>45</v>
      </c>
      <c r="AX2723" t="s">
        <v>6087</v>
      </c>
      <c r="AY2723" t="s">
        <v>9427</v>
      </c>
      <c r="AZ2723">
        <v>581.00000000791624</v>
      </c>
      <c r="BA2723">
        <v>1</v>
      </c>
      <c r="BB2723">
        <v>0</v>
      </c>
      <c r="BC2723">
        <v>10</v>
      </c>
      <c r="BD2723">
        <v>0</v>
      </c>
      <c r="BE2723">
        <f t="shared" si="429"/>
        <v>1</v>
      </c>
    </row>
    <row r="2724" spans="1:57" x14ac:dyDescent="0.25">
      <c r="A2724" t="s">
        <v>39</v>
      </c>
      <c r="B2724" t="s">
        <v>9428</v>
      </c>
      <c r="C2724">
        <v>59</v>
      </c>
      <c r="D2724">
        <v>49</v>
      </c>
      <c r="G2724">
        <f t="shared" si="420"/>
        <v>1</v>
      </c>
      <c r="H2724">
        <f t="shared" si="421"/>
        <v>0</v>
      </c>
      <c r="I2724">
        <f t="shared" si="422"/>
        <v>1</v>
      </c>
      <c r="J2724">
        <v>54.8</v>
      </c>
      <c r="K2724">
        <v>59</v>
      </c>
      <c r="L2724">
        <v>43.3</v>
      </c>
      <c r="M2724">
        <v>54.6</v>
      </c>
      <c r="N2724">
        <v>42.2</v>
      </c>
      <c r="O2724">
        <v>62.5</v>
      </c>
      <c r="S2724">
        <f t="shared" si="423"/>
        <v>1</v>
      </c>
      <c r="T2724">
        <f t="shared" si="424"/>
        <v>0</v>
      </c>
      <c r="U2724">
        <f t="shared" si="425"/>
        <v>1</v>
      </c>
      <c r="V2724">
        <v>1E-3</v>
      </c>
      <c r="W2724">
        <v>100</v>
      </c>
      <c r="X2724">
        <v>4.17</v>
      </c>
      <c r="Y2724" t="s">
        <v>103</v>
      </c>
      <c r="Z2724">
        <v>0</v>
      </c>
      <c r="AA2724">
        <v>0</v>
      </c>
      <c r="AB2724">
        <v>47.6</v>
      </c>
      <c r="AC2724">
        <v>27.7</v>
      </c>
      <c r="AG2724">
        <f t="shared" si="426"/>
        <v>1</v>
      </c>
      <c r="AH2724">
        <f t="shared" si="427"/>
        <v>1</v>
      </c>
      <c r="AI2724">
        <f t="shared" si="428"/>
        <v>0</v>
      </c>
      <c r="AJ2724">
        <v>2.4</v>
      </c>
      <c r="AK2724">
        <v>1029.8</v>
      </c>
      <c r="AL2724">
        <v>56.2</v>
      </c>
      <c r="AM2724">
        <v>6.2</v>
      </c>
      <c r="AN2724">
        <v>106.2</v>
      </c>
      <c r="AO2724">
        <v>9.1999999999999993</v>
      </c>
      <c r="AP2724">
        <v>5</v>
      </c>
      <c r="AQ2724">
        <v>0</v>
      </c>
      <c r="AR2724" t="s">
        <v>9429</v>
      </c>
      <c r="AS2724" t="s">
        <v>9430</v>
      </c>
      <c r="AT2724">
        <v>0.78</v>
      </c>
      <c r="AU2724" t="s">
        <v>106</v>
      </c>
      <c r="AV2724" t="s">
        <v>433</v>
      </c>
      <c r="AW2724" t="s">
        <v>103</v>
      </c>
      <c r="AX2724" t="s">
        <v>9431</v>
      </c>
      <c r="AY2724" t="s">
        <v>9432</v>
      </c>
      <c r="AZ2724">
        <v>535.99999999743886</v>
      </c>
      <c r="BA2724">
        <v>1</v>
      </c>
      <c r="BB2724">
        <v>0</v>
      </c>
      <c r="BC2724">
        <v>1</v>
      </c>
      <c r="BD2724">
        <v>0</v>
      </c>
      <c r="BE2724">
        <f t="shared" si="429"/>
        <v>1</v>
      </c>
    </row>
    <row r="2725" spans="1:57" x14ac:dyDescent="0.25">
      <c r="A2725" t="s">
        <v>39</v>
      </c>
      <c r="B2725" t="s">
        <v>9433</v>
      </c>
      <c r="C2725">
        <v>78.8</v>
      </c>
      <c r="D2725">
        <v>64.400000000000006</v>
      </c>
      <c r="G2725">
        <f t="shared" si="420"/>
        <v>1</v>
      </c>
      <c r="H2725">
        <f t="shared" si="421"/>
        <v>1</v>
      </c>
      <c r="I2725">
        <f t="shared" si="422"/>
        <v>0</v>
      </c>
      <c r="J2725">
        <v>72.099999999999994</v>
      </c>
      <c r="K2725">
        <v>78.8</v>
      </c>
      <c r="L2725">
        <v>64.400000000000006</v>
      </c>
      <c r="M2725">
        <v>72.099999999999994</v>
      </c>
      <c r="N2725">
        <v>62.9</v>
      </c>
      <c r="O2725">
        <v>73.400000000000006</v>
      </c>
      <c r="S2725">
        <f t="shared" si="423"/>
        <v>1</v>
      </c>
      <c r="T2725">
        <f t="shared" si="424"/>
        <v>1</v>
      </c>
      <c r="U2725">
        <f t="shared" si="425"/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24.2</v>
      </c>
      <c r="AC2725">
        <v>9.1999999999999993</v>
      </c>
      <c r="AG2725">
        <f t="shared" si="426"/>
        <v>1</v>
      </c>
      <c r="AH2725">
        <f t="shared" si="427"/>
        <v>0</v>
      </c>
      <c r="AI2725">
        <f t="shared" si="428"/>
        <v>1</v>
      </c>
      <c r="AJ2725">
        <v>105.4</v>
      </c>
      <c r="AK2725">
        <v>1013.1</v>
      </c>
      <c r="AL2725">
        <v>44.9</v>
      </c>
      <c r="AM2725">
        <v>6.2</v>
      </c>
      <c r="AN2725">
        <v>321.2</v>
      </c>
      <c r="AO2725">
        <v>27.8</v>
      </c>
      <c r="AP2725">
        <v>10</v>
      </c>
      <c r="AQ2725">
        <v>0</v>
      </c>
      <c r="AR2725" t="s">
        <v>9434</v>
      </c>
      <c r="AS2725" t="s">
        <v>9435</v>
      </c>
      <c r="AT2725">
        <v>0.43</v>
      </c>
      <c r="AU2725" t="s">
        <v>43</v>
      </c>
      <c r="AV2725" t="s">
        <v>44</v>
      </c>
      <c r="AW2725" t="s">
        <v>45</v>
      </c>
      <c r="AX2725" t="s">
        <v>4203</v>
      </c>
      <c r="AY2725" t="s">
        <v>9436</v>
      </c>
      <c r="AZ2725">
        <v>2132.999999995809</v>
      </c>
      <c r="BA2725">
        <v>1</v>
      </c>
      <c r="BB2725">
        <v>0</v>
      </c>
      <c r="BC2725">
        <v>10</v>
      </c>
      <c r="BD2725">
        <v>0</v>
      </c>
      <c r="BE2725">
        <f t="shared" si="429"/>
        <v>1</v>
      </c>
    </row>
    <row r="2726" spans="1:57" x14ac:dyDescent="0.25">
      <c r="A2726" t="s">
        <v>39</v>
      </c>
      <c r="B2726" t="s">
        <v>9437</v>
      </c>
      <c r="C2726">
        <v>87.8</v>
      </c>
      <c r="D2726">
        <v>73.400000000000006</v>
      </c>
      <c r="G2726">
        <f t="shared" si="420"/>
        <v>1</v>
      </c>
      <c r="H2726">
        <f t="shared" si="421"/>
        <v>1</v>
      </c>
      <c r="I2726">
        <f t="shared" si="422"/>
        <v>0</v>
      </c>
      <c r="J2726">
        <v>81.8</v>
      </c>
      <c r="K2726">
        <v>91.5</v>
      </c>
      <c r="L2726">
        <v>73.400000000000006</v>
      </c>
      <c r="M2726">
        <v>84.4</v>
      </c>
      <c r="N2726">
        <v>65.7</v>
      </c>
      <c r="O2726">
        <v>58.5</v>
      </c>
      <c r="S2726">
        <f t="shared" si="423"/>
        <v>1</v>
      </c>
      <c r="T2726">
        <f t="shared" si="424"/>
        <v>0</v>
      </c>
      <c r="U2726">
        <f t="shared" si="425"/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26.4</v>
      </c>
      <c r="AC2726">
        <v>11.4</v>
      </c>
      <c r="AG2726">
        <f t="shared" si="426"/>
        <v>1</v>
      </c>
      <c r="AH2726">
        <f t="shared" si="427"/>
        <v>0</v>
      </c>
      <c r="AI2726">
        <f t="shared" si="428"/>
        <v>1</v>
      </c>
      <c r="AJ2726">
        <v>311.89999999999998</v>
      </c>
      <c r="AK2726">
        <v>1006.7</v>
      </c>
      <c r="AL2726">
        <v>0</v>
      </c>
      <c r="AM2726">
        <v>6.2</v>
      </c>
      <c r="AN2726">
        <v>339</v>
      </c>
      <c r="AO2726">
        <v>29.2</v>
      </c>
      <c r="AP2726">
        <v>10</v>
      </c>
      <c r="AQ2726">
        <v>0</v>
      </c>
      <c r="AR2726" t="s">
        <v>9438</v>
      </c>
      <c r="AS2726" t="s">
        <v>9439</v>
      </c>
      <c r="AT2726">
        <v>0.87</v>
      </c>
      <c r="AU2726" t="s">
        <v>74</v>
      </c>
      <c r="AV2726" t="s">
        <v>2955</v>
      </c>
      <c r="AW2726" t="s">
        <v>75</v>
      </c>
      <c r="AX2726" t="s">
        <v>9440</v>
      </c>
      <c r="AY2726" t="s">
        <v>9441</v>
      </c>
      <c r="AZ2726">
        <v>5488.0000000039581</v>
      </c>
      <c r="BA2726">
        <v>1</v>
      </c>
      <c r="BB2726">
        <v>0</v>
      </c>
      <c r="BC2726">
        <v>200</v>
      </c>
      <c r="BD2726">
        <v>0</v>
      </c>
      <c r="BE2726">
        <f t="shared" si="429"/>
        <v>1</v>
      </c>
    </row>
    <row r="2727" spans="1:57" x14ac:dyDescent="0.25">
      <c r="A2727" t="s">
        <v>39</v>
      </c>
      <c r="B2727" t="s">
        <v>9279</v>
      </c>
      <c r="C2727">
        <v>59</v>
      </c>
      <c r="D2727">
        <v>48.5</v>
      </c>
      <c r="G2727">
        <f t="shared" si="420"/>
        <v>1</v>
      </c>
      <c r="H2727">
        <f t="shared" si="421"/>
        <v>0</v>
      </c>
      <c r="I2727">
        <f t="shared" si="422"/>
        <v>1</v>
      </c>
      <c r="J2727">
        <v>55.9</v>
      </c>
      <c r="K2727">
        <v>59</v>
      </c>
      <c r="L2727">
        <v>43.7</v>
      </c>
      <c r="M2727">
        <v>55.7</v>
      </c>
      <c r="N2727">
        <v>45.3</v>
      </c>
      <c r="O2727">
        <v>67.7</v>
      </c>
      <c r="S2727">
        <f t="shared" si="423"/>
        <v>0</v>
      </c>
      <c r="T2727">
        <f t="shared" si="424"/>
        <v>0</v>
      </c>
      <c r="U2727">
        <f t="shared" si="425"/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25.9</v>
      </c>
      <c r="AC2727">
        <v>16.100000000000001</v>
      </c>
      <c r="AG2727">
        <f t="shared" si="426"/>
        <v>0</v>
      </c>
      <c r="AH2727">
        <f t="shared" si="427"/>
        <v>0</v>
      </c>
      <c r="AI2727">
        <f t="shared" si="428"/>
        <v>0</v>
      </c>
      <c r="AJ2727">
        <v>345</v>
      </c>
      <c r="AK2727">
        <v>1023.8</v>
      </c>
      <c r="AL2727">
        <v>50.6</v>
      </c>
      <c r="AM2727">
        <v>6.2</v>
      </c>
      <c r="AN2727">
        <v>110.1</v>
      </c>
      <c r="AO2727">
        <v>9.4</v>
      </c>
      <c r="AP2727">
        <v>5</v>
      </c>
      <c r="AQ2727">
        <v>0</v>
      </c>
      <c r="AR2727" t="s">
        <v>9280</v>
      </c>
      <c r="AS2727" t="s">
        <v>9281</v>
      </c>
      <c r="AT2727">
        <v>0.84</v>
      </c>
      <c r="AU2727" t="s">
        <v>43</v>
      </c>
      <c r="AV2727" t="s">
        <v>44</v>
      </c>
      <c r="AW2727" t="s">
        <v>45</v>
      </c>
      <c r="AX2727" t="s">
        <v>4927</v>
      </c>
      <c r="AY2727" t="s">
        <v>9442</v>
      </c>
      <c r="AZ2727">
        <v>177.00000000069849</v>
      </c>
      <c r="BA2727">
        <v>0</v>
      </c>
      <c r="BB2727">
        <v>0</v>
      </c>
      <c r="BC2727">
        <v>2</v>
      </c>
      <c r="BD2727">
        <v>0</v>
      </c>
      <c r="BE2727">
        <f t="shared" si="429"/>
        <v>0</v>
      </c>
    </row>
    <row r="2728" spans="1:57" x14ac:dyDescent="0.25">
      <c r="A2728" t="s">
        <v>39</v>
      </c>
      <c r="B2728" t="s">
        <v>9283</v>
      </c>
      <c r="C2728">
        <v>64.400000000000006</v>
      </c>
      <c r="D2728">
        <v>50</v>
      </c>
      <c r="G2728">
        <f t="shared" si="420"/>
        <v>1</v>
      </c>
      <c r="H2728">
        <f t="shared" si="421"/>
        <v>0</v>
      </c>
      <c r="I2728">
        <f t="shared" si="422"/>
        <v>1</v>
      </c>
      <c r="J2728">
        <v>56.6</v>
      </c>
      <c r="K2728">
        <v>64.400000000000006</v>
      </c>
      <c r="L2728">
        <v>50</v>
      </c>
      <c r="M2728">
        <v>56.6</v>
      </c>
      <c r="N2728">
        <v>51.4</v>
      </c>
      <c r="O2728">
        <v>83</v>
      </c>
      <c r="S2728">
        <f t="shared" si="423"/>
        <v>1</v>
      </c>
      <c r="T2728">
        <f t="shared" si="424"/>
        <v>1</v>
      </c>
      <c r="U2728">
        <f t="shared" si="425"/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16.100000000000001</v>
      </c>
      <c r="AC2728">
        <v>6.9</v>
      </c>
      <c r="AG2728">
        <f t="shared" si="426"/>
        <v>1</v>
      </c>
      <c r="AH2728">
        <f t="shared" si="427"/>
        <v>0</v>
      </c>
      <c r="AI2728">
        <f t="shared" si="428"/>
        <v>1</v>
      </c>
      <c r="AJ2728">
        <v>1.9</v>
      </c>
      <c r="AK2728">
        <v>1025.0999999999999</v>
      </c>
      <c r="AL2728">
        <v>36.200000000000003</v>
      </c>
      <c r="AM2728">
        <v>6.2</v>
      </c>
      <c r="AN2728">
        <v>131</v>
      </c>
      <c r="AO2728">
        <v>11.3</v>
      </c>
      <c r="AP2728">
        <v>5</v>
      </c>
      <c r="AQ2728">
        <v>0</v>
      </c>
      <c r="AR2728" t="s">
        <v>9284</v>
      </c>
      <c r="AS2728" t="s">
        <v>9285</v>
      </c>
      <c r="AT2728">
        <v>0.91</v>
      </c>
      <c r="AU2728" t="s">
        <v>43</v>
      </c>
      <c r="AV2728" t="s">
        <v>44</v>
      </c>
      <c r="AW2728" t="s">
        <v>45</v>
      </c>
      <c r="AX2728" t="s">
        <v>2428</v>
      </c>
      <c r="AY2728" t="s">
        <v>9443</v>
      </c>
      <c r="AZ2728">
        <v>400.99999999743892</v>
      </c>
      <c r="BA2728">
        <v>1</v>
      </c>
      <c r="BB2728">
        <v>0</v>
      </c>
      <c r="BC2728">
        <v>1</v>
      </c>
      <c r="BD2728">
        <v>0</v>
      </c>
      <c r="BE2728">
        <f t="shared" si="429"/>
        <v>1</v>
      </c>
    </row>
    <row r="2729" spans="1:57" x14ac:dyDescent="0.25">
      <c r="A2729" t="s">
        <v>39</v>
      </c>
      <c r="B2729" t="s">
        <v>9444</v>
      </c>
      <c r="C2729">
        <v>73.400000000000006</v>
      </c>
      <c r="D2729">
        <v>62.6</v>
      </c>
      <c r="G2729">
        <f t="shared" si="420"/>
        <v>0</v>
      </c>
      <c r="H2729">
        <f t="shared" si="421"/>
        <v>0</v>
      </c>
      <c r="I2729">
        <f t="shared" si="422"/>
        <v>0</v>
      </c>
      <c r="J2729">
        <v>67.900000000000006</v>
      </c>
      <c r="K2729">
        <v>73.400000000000006</v>
      </c>
      <c r="L2729">
        <v>62.6</v>
      </c>
      <c r="M2729">
        <v>67.900000000000006</v>
      </c>
      <c r="N2729">
        <v>46.2</v>
      </c>
      <c r="O2729">
        <v>46.6</v>
      </c>
      <c r="S2729">
        <f t="shared" si="423"/>
        <v>1</v>
      </c>
      <c r="T2729">
        <f t="shared" si="424"/>
        <v>0</v>
      </c>
      <c r="U2729">
        <f t="shared" si="425"/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38.9</v>
      </c>
      <c r="AC2729">
        <v>30</v>
      </c>
      <c r="AG2729">
        <f t="shared" si="426"/>
        <v>1</v>
      </c>
      <c r="AH2729">
        <f t="shared" si="427"/>
        <v>1</v>
      </c>
      <c r="AI2729">
        <f t="shared" si="428"/>
        <v>0</v>
      </c>
      <c r="AJ2729">
        <v>280.89999999999998</v>
      </c>
      <c r="AK2729">
        <v>1009.9</v>
      </c>
      <c r="AL2729">
        <v>28.7</v>
      </c>
      <c r="AM2729">
        <v>6.2</v>
      </c>
      <c r="AN2729">
        <v>301.5</v>
      </c>
      <c r="AO2729">
        <v>26</v>
      </c>
      <c r="AP2729">
        <v>9</v>
      </c>
      <c r="AQ2729">
        <v>0</v>
      </c>
      <c r="AR2729" t="s">
        <v>9445</v>
      </c>
      <c r="AS2729" t="s">
        <v>9446</v>
      </c>
      <c r="AT2729">
        <v>0.87</v>
      </c>
      <c r="AU2729" t="s">
        <v>43</v>
      </c>
      <c r="AV2729" t="s">
        <v>44</v>
      </c>
      <c r="AW2729" t="s">
        <v>45</v>
      </c>
      <c r="AX2729" t="s">
        <v>9447</v>
      </c>
      <c r="AY2729" t="s">
        <v>9448</v>
      </c>
      <c r="AZ2729">
        <v>29.000000000232831</v>
      </c>
      <c r="BA2729">
        <v>0</v>
      </c>
      <c r="BB2729">
        <v>0.05</v>
      </c>
      <c r="BC2729">
        <v>0</v>
      </c>
      <c r="BD2729">
        <v>0</v>
      </c>
      <c r="BE2729">
        <f t="shared" si="429"/>
        <v>0</v>
      </c>
    </row>
    <row r="2730" spans="1:57" x14ac:dyDescent="0.25">
      <c r="A2730" t="s">
        <v>39</v>
      </c>
      <c r="B2730" t="s">
        <v>9449</v>
      </c>
      <c r="C2730">
        <v>71.599999999999994</v>
      </c>
      <c r="D2730">
        <v>55.4</v>
      </c>
      <c r="G2730">
        <f t="shared" si="420"/>
        <v>0</v>
      </c>
      <c r="H2730">
        <f t="shared" si="421"/>
        <v>0</v>
      </c>
      <c r="I2730">
        <f t="shared" si="422"/>
        <v>0</v>
      </c>
      <c r="J2730">
        <v>65.099999999999994</v>
      </c>
      <c r="K2730">
        <v>71.599999999999994</v>
      </c>
      <c r="L2730">
        <v>55.4</v>
      </c>
      <c r="M2730">
        <v>65.099999999999994</v>
      </c>
      <c r="N2730">
        <v>50.8</v>
      </c>
      <c r="O2730">
        <v>60.7</v>
      </c>
      <c r="S2730">
        <f t="shared" si="423"/>
        <v>1</v>
      </c>
      <c r="T2730">
        <f t="shared" si="424"/>
        <v>0</v>
      </c>
      <c r="U2730">
        <f t="shared" si="425"/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24.2</v>
      </c>
      <c r="AC2730">
        <v>15</v>
      </c>
      <c r="AG2730">
        <f t="shared" si="426"/>
        <v>1</v>
      </c>
      <c r="AH2730">
        <f t="shared" si="427"/>
        <v>0</v>
      </c>
      <c r="AI2730">
        <f t="shared" si="428"/>
        <v>1</v>
      </c>
      <c r="AJ2730">
        <v>156.1</v>
      </c>
      <c r="AK2730">
        <v>1014.5</v>
      </c>
      <c r="AL2730">
        <v>37.200000000000003</v>
      </c>
      <c r="AM2730">
        <v>6.2</v>
      </c>
      <c r="AN2730">
        <v>291.39999999999998</v>
      </c>
      <c r="AO2730">
        <v>25.1</v>
      </c>
      <c r="AP2730">
        <v>9</v>
      </c>
      <c r="AQ2730">
        <v>0</v>
      </c>
      <c r="AR2730" t="s">
        <v>9450</v>
      </c>
      <c r="AS2730" t="s">
        <v>9451</v>
      </c>
      <c r="AT2730">
        <v>0</v>
      </c>
      <c r="AU2730" t="s">
        <v>43</v>
      </c>
      <c r="AV2730" t="s">
        <v>2026</v>
      </c>
      <c r="AW2730" t="s">
        <v>45</v>
      </c>
      <c r="AX2730" t="s">
        <v>8669</v>
      </c>
      <c r="AY2730" t="s">
        <v>9452</v>
      </c>
      <c r="AZ2730">
        <v>238.00000000046569</v>
      </c>
      <c r="BA2730">
        <v>0</v>
      </c>
      <c r="BB2730">
        <v>0.1</v>
      </c>
      <c r="BC2730">
        <v>0</v>
      </c>
      <c r="BD2730">
        <v>0</v>
      </c>
      <c r="BE2730">
        <f t="shared" si="429"/>
        <v>0</v>
      </c>
    </row>
    <row r="2731" spans="1:57" x14ac:dyDescent="0.25">
      <c r="A2731" t="s">
        <v>39</v>
      </c>
      <c r="B2731" t="s">
        <v>9453</v>
      </c>
      <c r="C2731">
        <v>91.4</v>
      </c>
      <c r="D2731">
        <v>69.8</v>
      </c>
      <c r="G2731">
        <f t="shared" si="420"/>
        <v>1</v>
      </c>
      <c r="H2731">
        <f t="shared" si="421"/>
        <v>1</v>
      </c>
      <c r="I2731">
        <f t="shared" si="422"/>
        <v>0</v>
      </c>
      <c r="J2731">
        <v>80.099999999999994</v>
      </c>
      <c r="K2731">
        <v>88.4</v>
      </c>
      <c r="L2731">
        <v>69.8</v>
      </c>
      <c r="M2731">
        <v>79.3</v>
      </c>
      <c r="N2731">
        <v>53.8</v>
      </c>
      <c r="O2731">
        <v>41.9</v>
      </c>
      <c r="S2731">
        <f t="shared" si="423"/>
        <v>1</v>
      </c>
      <c r="T2731">
        <f t="shared" si="424"/>
        <v>0</v>
      </c>
      <c r="U2731">
        <f t="shared" si="425"/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17.899999999999999</v>
      </c>
      <c r="AC2731">
        <v>10.199999999999999</v>
      </c>
      <c r="AG2731">
        <f t="shared" si="426"/>
        <v>1</v>
      </c>
      <c r="AH2731">
        <f t="shared" si="427"/>
        <v>0</v>
      </c>
      <c r="AI2731">
        <f t="shared" si="428"/>
        <v>1</v>
      </c>
      <c r="AJ2731">
        <v>164.7</v>
      </c>
      <c r="AK2731">
        <v>1012.2</v>
      </c>
      <c r="AL2731">
        <v>4.4000000000000004</v>
      </c>
      <c r="AM2731">
        <v>6.2</v>
      </c>
      <c r="AN2731">
        <v>337.5</v>
      </c>
      <c r="AO2731">
        <v>29.2</v>
      </c>
      <c r="AP2731">
        <v>10</v>
      </c>
      <c r="AQ2731">
        <v>0</v>
      </c>
      <c r="AR2731" t="s">
        <v>9454</v>
      </c>
      <c r="AS2731" t="s">
        <v>9455</v>
      </c>
      <c r="AT2731">
        <v>0.92</v>
      </c>
      <c r="AU2731" t="s">
        <v>74</v>
      </c>
      <c r="AV2731" t="s">
        <v>2955</v>
      </c>
      <c r="AW2731" t="s">
        <v>75</v>
      </c>
      <c r="AX2731" t="s">
        <v>9456</v>
      </c>
      <c r="AY2731" t="s">
        <v>9457</v>
      </c>
      <c r="AZ2731">
        <v>2025.999999992782</v>
      </c>
      <c r="BA2731">
        <v>1</v>
      </c>
      <c r="BB2731">
        <v>3</v>
      </c>
      <c r="BC2731">
        <v>0</v>
      </c>
      <c r="BD2731">
        <v>0</v>
      </c>
      <c r="BE2731">
        <f t="shared" si="429"/>
        <v>1</v>
      </c>
    </row>
    <row r="2732" spans="1:57" x14ac:dyDescent="0.25">
      <c r="A2732" t="s">
        <v>39</v>
      </c>
      <c r="B2732" t="s">
        <v>9458</v>
      </c>
      <c r="C2732">
        <v>87.8</v>
      </c>
      <c r="D2732">
        <v>80.599999999999994</v>
      </c>
      <c r="G2732">
        <f t="shared" si="420"/>
        <v>1</v>
      </c>
      <c r="H2732">
        <f t="shared" si="421"/>
        <v>1</v>
      </c>
      <c r="I2732">
        <f t="shared" si="422"/>
        <v>0</v>
      </c>
      <c r="J2732">
        <v>84.1</v>
      </c>
      <c r="K2732">
        <v>88.5</v>
      </c>
      <c r="L2732">
        <v>81.099999999999994</v>
      </c>
      <c r="M2732">
        <v>85.1</v>
      </c>
      <c r="N2732">
        <v>62.3</v>
      </c>
      <c r="O2732">
        <v>48.2</v>
      </c>
      <c r="S2732">
        <f t="shared" si="423"/>
        <v>1</v>
      </c>
      <c r="T2732">
        <f t="shared" si="424"/>
        <v>0</v>
      </c>
      <c r="U2732">
        <f t="shared" si="425"/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39.1</v>
      </c>
      <c r="AC2732">
        <v>24.1</v>
      </c>
      <c r="AG2732">
        <f t="shared" si="426"/>
        <v>1</v>
      </c>
      <c r="AH2732">
        <f t="shared" si="427"/>
        <v>1</v>
      </c>
      <c r="AI2732">
        <f t="shared" si="428"/>
        <v>0</v>
      </c>
      <c r="AJ2732">
        <v>296</v>
      </c>
      <c r="AK2732">
        <v>1007.8</v>
      </c>
      <c r="AL2732">
        <v>0.1</v>
      </c>
      <c r="AM2732">
        <v>6.2</v>
      </c>
      <c r="AN2732">
        <v>339.5</v>
      </c>
      <c r="AO2732">
        <v>29.4</v>
      </c>
      <c r="AP2732">
        <v>10</v>
      </c>
      <c r="AQ2732">
        <v>0</v>
      </c>
      <c r="AR2732" t="s">
        <v>9459</v>
      </c>
      <c r="AS2732" t="s">
        <v>9460</v>
      </c>
      <c r="AT2732">
        <v>0.3</v>
      </c>
      <c r="AU2732" t="s">
        <v>74</v>
      </c>
      <c r="AV2732" t="s">
        <v>2955</v>
      </c>
      <c r="AW2732" t="s">
        <v>75</v>
      </c>
      <c r="AX2732" t="s">
        <v>9461</v>
      </c>
      <c r="AY2732" t="s">
        <v>9462</v>
      </c>
      <c r="AZ2732">
        <v>4568.0000000016298</v>
      </c>
      <c r="BA2732">
        <v>1</v>
      </c>
      <c r="BB2732">
        <v>0</v>
      </c>
      <c r="BC2732">
        <v>7</v>
      </c>
      <c r="BD2732">
        <v>0</v>
      </c>
      <c r="BE2732">
        <f t="shared" si="429"/>
        <v>1</v>
      </c>
    </row>
    <row r="2733" spans="1:57" x14ac:dyDescent="0.25">
      <c r="A2733" t="s">
        <v>39</v>
      </c>
      <c r="B2733" t="s">
        <v>9463</v>
      </c>
      <c r="C2733">
        <v>85.9</v>
      </c>
      <c r="D2733">
        <v>80.5</v>
      </c>
      <c r="G2733">
        <f t="shared" si="420"/>
        <v>1</v>
      </c>
      <c r="H2733">
        <f t="shared" si="421"/>
        <v>1</v>
      </c>
      <c r="I2733">
        <f t="shared" si="422"/>
        <v>0</v>
      </c>
      <c r="J2733">
        <v>82.6</v>
      </c>
      <c r="K2733">
        <v>95</v>
      </c>
      <c r="L2733">
        <v>82.2</v>
      </c>
      <c r="M2733">
        <v>87.4</v>
      </c>
      <c r="N2733">
        <v>71</v>
      </c>
      <c r="O2733">
        <v>68.099999999999994</v>
      </c>
      <c r="S2733">
        <f t="shared" si="423"/>
        <v>1</v>
      </c>
      <c r="T2733">
        <f t="shared" si="424"/>
        <v>1</v>
      </c>
      <c r="U2733">
        <f t="shared" si="425"/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31.1</v>
      </c>
      <c r="AC2733">
        <v>21.9</v>
      </c>
      <c r="AG2733">
        <f t="shared" si="426"/>
        <v>1</v>
      </c>
      <c r="AH2733">
        <f t="shared" si="427"/>
        <v>1</v>
      </c>
      <c r="AI2733">
        <f t="shared" si="428"/>
        <v>0</v>
      </c>
      <c r="AJ2733">
        <v>302.39999999999998</v>
      </c>
      <c r="AK2733">
        <v>1009.3</v>
      </c>
      <c r="AL2733">
        <v>5.5</v>
      </c>
      <c r="AM2733">
        <v>6.2</v>
      </c>
      <c r="AN2733">
        <v>294.39999999999998</v>
      </c>
      <c r="AO2733">
        <v>25.4</v>
      </c>
      <c r="AP2733">
        <v>9</v>
      </c>
      <c r="AQ2733">
        <v>0</v>
      </c>
      <c r="AR2733" t="s">
        <v>9464</v>
      </c>
      <c r="AS2733" t="s">
        <v>9465</v>
      </c>
      <c r="AT2733">
        <v>0.25</v>
      </c>
      <c r="AU2733" t="s">
        <v>74</v>
      </c>
      <c r="AV2733" t="s">
        <v>2955</v>
      </c>
      <c r="AW2733" t="s">
        <v>75</v>
      </c>
      <c r="AX2733" t="s">
        <v>9466</v>
      </c>
      <c r="AY2733" t="s">
        <v>9467</v>
      </c>
      <c r="AZ2733">
        <v>4384.0000000095461</v>
      </c>
      <c r="BA2733">
        <v>1</v>
      </c>
      <c r="BB2733">
        <v>0</v>
      </c>
      <c r="BC2733">
        <v>1</v>
      </c>
      <c r="BD2733">
        <v>0</v>
      </c>
      <c r="BE2733">
        <f t="shared" si="429"/>
        <v>1</v>
      </c>
    </row>
    <row r="2734" spans="1:57" x14ac:dyDescent="0.25">
      <c r="A2734" t="s">
        <v>39</v>
      </c>
      <c r="B2734" t="s">
        <v>9468</v>
      </c>
      <c r="C2734">
        <v>84.2</v>
      </c>
      <c r="D2734">
        <v>73.400000000000006</v>
      </c>
      <c r="G2734">
        <f t="shared" si="420"/>
        <v>0</v>
      </c>
      <c r="H2734">
        <f t="shared" si="421"/>
        <v>0</v>
      </c>
      <c r="I2734">
        <f t="shared" si="422"/>
        <v>0</v>
      </c>
      <c r="J2734">
        <v>79.400000000000006</v>
      </c>
      <c r="K2734">
        <v>94.2</v>
      </c>
      <c r="L2734">
        <v>73.400000000000006</v>
      </c>
      <c r="M2734">
        <v>82.6</v>
      </c>
      <c r="N2734">
        <v>68.8</v>
      </c>
      <c r="O2734">
        <v>70.400000000000006</v>
      </c>
      <c r="S2734">
        <f t="shared" si="423"/>
        <v>1</v>
      </c>
      <c r="T2734">
        <f t="shared" si="424"/>
        <v>1</v>
      </c>
      <c r="U2734">
        <f t="shared" si="425"/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21.3</v>
      </c>
      <c r="AC2734">
        <v>13.8</v>
      </c>
      <c r="AG2734">
        <f t="shared" si="426"/>
        <v>1</v>
      </c>
      <c r="AH2734">
        <f t="shared" si="427"/>
        <v>0</v>
      </c>
      <c r="AI2734">
        <f t="shared" si="428"/>
        <v>1</v>
      </c>
      <c r="AJ2734">
        <v>281.10000000000002</v>
      </c>
      <c r="AK2734">
        <v>1012.1</v>
      </c>
      <c r="AL2734">
        <v>24.8</v>
      </c>
      <c r="AM2734">
        <v>6.2</v>
      </c>
      <c r="AN2734">
        <v>252.1</v>
      </c>
      <c r="AO2734">
        <v>21.8</v>
      </c>
      <c r="AP2734">
        <v>8</v>
      </c>
      <c r="AQ2734">
        <v>0</v>
      </c>
      <c r="AR2734" t="s">
        <v>9469</v>
      </c>
      <c r="AS2734" t="s">
        <v>9470</v>
      </c>
      <c r="AT2734">
        <v>0.87</v>
      </c>
      <c r="AU2734" t="s">
        <v>43</v>
      </c>
      <c r="AV2734" t="s">
        <v>44</v>
      </c>
      <c r="AW2734" t="s">
        <v>45</v>
      </c>
      <c r="AX2734" t="s">
        <v>5430</v>
      </c>
      <c r="AY2734" t="s">
        <v>9471</v>
      </c>
      <c r="AZ2734">
        <v>119.0000000002328</v>
      </c>
      <c r="BA2734">
        <v>0</v>
      </c>
      <c r="BB2734">
        <v>0.2</v>
      </c>
      <c r="BC2734">
        <v>0</v>
      </c>
      <c r="BD2734">
        <v>0</v>
      </c>
      <c r="BE2734">
        <f t="shared" si="429"/>
        <v>0</v>
      </c>
    </row>
    <row r="2735" spans="1:57" x14ac:dyDescent="0.25">
      <c r="A2735" t="s">
        <v>39</v>
      </c>
      <c r="B2735" t="s">
        <v>9472</v>
      </c>
      <c r="C2735">
        <v>73.400000000000006</v>
      </c>
      <c r="D2735">
        <v>61.6</v>
      </c>
      <c r="G2735">
        <f t="shared" si="420"/>
        <v>0</v>
      </c>
      <c r="H2735">
        <f t="shared" si="421"/>
        <v>0</v>
      </c>
      <c r="I2735">
        <f t="shared" si="422"/>
        <v>0</v>
      </c>
      <c r="J2735">
        <v>69.599999999999994</v>
      </c>
      <c r="K2735">
        <v>73.400000000000006</v>
      </c>
      <c r="L2735">
        <v>61.6</v>
      </c>
      <c r="M2735">
        <v>69.599999999999994</v>
      </c>
      <c r="N2735">
        <v>61.6</v>
      </c>
      <c r="O2735">
        <v>76</v>
      </c>
      <c r="S2735">
        <f t="shared" si="423"/>
        <v>1</v>
      </c>
      <c r="T2735">
        <f t="shared" si="424"/>
        <v>1</v>
      </c>
      <c r="U2735">
        <f t="shared" si="425"/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29.8</v>
      </c>
      <c r="AC2735">
        <v>18.3</v>
      </c>
      <c r="AG2735">
        <f t="shared" si="426"/>
        <v>1</v>
      </c>
      <c r="AH2735">
        <f t="shared" si="427"/>
        <v>1</v>
      </c>
      <c r="AI2735">
        <f t="shared" si="428"/>
        <v>0</v>
      </c>
      <c r="AJ2735">
        <v>309.39999999999998</v>
      </c>
      <c r="AK2735">
        <v>1017.9</v>
      </c>
      <c r="AL2735">
        <v>41.8</v>
      </c>
      <c r="AM2735">
        <v>6.2</v>
      </c>
      <c r="AN2735">
        <v>146.1</v>
      </c>
      <c r="AO2735">
        <v>12.6</v>
      </c>
      <c r="AP2735">
        <v>6</v>
      </c>
      <c r="AQ2735">
        <v>0</v>
      </c>
      <c r="AR2735" t="s">
        <v>9473</v>
      </c>
      <c r="AS2735" t="s">
        <v>9474</v>
      </c>
      <c r="AT2735">
        <v>0.93</v>
      </c>
      <c r="AU2735" t="s">
        <v>43</v>
      </c>
      <c r="AV2735" t="s">
        <v>44</v>
      </c>
      <c r="AW2735" t="s">
        <v>45</v>
      </c>
      <c r="AX2735" t="s">
        <v>8633</v>
      </c>
      <c r="AY2735" t="s">
        <v>9475</v>
      </c>
      <c r="AZ2735">
        <v>2346.0000000090799</v>
      </c>
      <c r="BA2735">
        <v>1</v>
      </c>
      <c r="BB2735">
        <v>2</v>
      </c>
      <c r="BC2735">
        <v>0</v>
      </c>
      <c r="BD2735">
        <v>0</v>
      </c>
      <c r="BE2735">
        <f t="shared" si="429"/>
        <v>1</v>
      </c>
    </row>
    <row r="2736" spans="1:57" x14ac:dyDescent="0.25">
      <c r="A2736" t="s">
        <v>39</v>
      </c>
      <c r="B2736" t="s">
        <v>9476</v>
      </c>
      <c r="C2736">
        <v>66.2</v>
      </c>
      <c r="D2736">
        <v>60.8</v>
      </c>
      <c r="G2736">
        <f t="shared" si="420"/>
        <v>0</v>
      </c>
      <c r="H2736">
        <f t="shared" si="421"/>
        <v>0</v>
      </c>
      <c r="I2736">
        <f t="shared" si="422"/>
        <v>0</v>
      </c>
      <c r="J2736">
        <v>63.7</v>
      </c>
      <c r="K2736">
        <v>66.2</v>
      </c>
      <c r="L2736">
        <v>60.8</v>
      </c>
      <c r="M2736">
        <v>63.7</v>
      </c>
      <c r="N2736">
        <v>53.8</v>
      </c>
      <c r="O2736">
        <v>70.5</v>
      </c>
      <c r="S2736">
        <f t="shared" si="423"/>
        <v>1</v>
      </c>
      <c r="T2736">
        <f t="shared" si="424"/>
        <v>1</v>
      </c>
      <c r="U2736">
        <f t="shared" si="425"/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25.5</v>
      </c>
      <c r="AC2736">
        <v>16.100000000000001</v>
      </c>
      <c r="AG2736">
        <f t="shared" si="426"/>
        <v>0</v>
      </c>
      <c r="AH2736">
        <f t="shared" si="427"/>
        <v>0</v>
      </c>
      <c r="AI2736">
        <f t="shared" si="428"/>
        <v>0</v>
      </c>
      <c r="AJ2736">
        <v>326.2</v>
      </c>
      <c r="AK2736">
        <v>1025.2</v>
      </c>
      <c r="AL2736">
        <v>54.9</v>
      </c>
      <c r="AM2736">
        <v>6.2</v>
      </c>
      <c r="AN2736">
        <v>125.1</v>
      </c>
      <c r="AO2736">
        <v>10.8</v>
      </c>
      <c r="AP2736">
        <v>5</v>
      </c>
      <c r="AQ2736">
        <v>0</v>
      </c>
      <c r="AR2736" t="s">
        <v>9477</v>
      </c>
      <c r="AS2736" t="s">
        <v>9478</v>
      </c>
      <c r="AT2736">
        <v>0.17</v>
      </c>
      <c r="AU2736" t="s">
        <v>43</v>
      </c>
      <c r="AV2736" t="s">
        <v>44</v>
      </c>
      <c r="AW2736" t="s">
        <v>45</v>
      </c>
      <c r="AX2736" t="s">
        <v>9479</v>
      </c>
      <c r="AY2736" t="s">
        <v>9480</v>
      </c>
      <c r="AZ2736">
        <v>549.0000000083819</v>
      </c>
      <c r="BA2736">
        <v>1</v>
      </c>
      <c r="BB2736">
        <v>0</v>
      </c>
      <c r="BC2736">
        <v>0.5</v>
      </c>
      <c r="BD2736">
        <v>0</v>
      </c>
      <c r="BE2736">
        <f t="shared" si="429"/>
        <v>0</v>
      </c>
    </row>
    <row r="2737" spans="1:57" x14ac:dyDescent="0.25">
      <c r="A2737" t="s">
        <v>39</v>
      </c>
      <c r="B2737" t="s">
        <v>9481</v>
      </c>
      <c r="C2737">
        <v>69.7</v>
      </c>
      <c r="D2737">
        <v>54.2</v>
      </c>
      <c r="G2737">
        <f t="shared" si="420"/>
        <v>1</v>
      </c>
      <c r="H2737">
        <f t="shared" si="421"/>
        <v>1</v>
      </c>
      <c r="I2737">
        <f t="shared" si="422"/>
        <v>0</v>
      </c>
      <c r="J2737">
        <v>62.2</v>
      </c>
      <c r="K2737">
        <v>69.7</v>
      </c>
      <c r="L2737">
        <v>54.2</v>
      </c>
      <c r="M2737">
        <v>62.2</v>
      </c>
      <c r="N2737">
        <v>55.3</v>
      </c>
      <c r="O2737">
        <v>78.400000000000006</v>
      </c>
      <c r="S2737">
        <f t="shared" si="423"/>
        <v>1</v>
      </c>
      <c r="T2737">
        <f t="shared" si="424"/>
        <v>1</v>
      </c>
      <c r="U2737">
        <f t="shared" si="425"/>
        <v>0</v>
      </c>
      <c r="V2737">
        <v>1.2E-2</v>
      </c>
      <c r="W2737">
        <v>100</v>
      </c>
      <c r="X2737">
        <v>12.5</v>
      </c>
      <c r="Y2737" t="s">
        <v>103</v>
      </c>
      <c r="Z2737">
        <v>0</v>
      </c>
      <c r="AA2737">
        <v>0</v>
      </c>
      <c r="AB2737">
        <v>17</v>
      </c>
      <c r="AC2737">
        <v>5.8</v>
      </c>
      <c r="AG2737">
        <f t="shared" si="426"/>
        <v>1</v>
      </c>
      <c r="AH2737">
        <f t="shared" si="427"/>
        <v>0</v>
      </c>
      <c r="AI2737">
        <f t="shared" si="428"/>
        <v>1</v>
      </c>
      <c r="AJ2737">
        <v>304.3</v>
      </c>
      <c r="AK2737">
        <v>1016.2</v>
      </c>
      <c r="AL2737">
        <v>35.1</v>
      </c>
      <c r="AM2737">
        <v>6.2</v>
      </c>
      <c r="AN2737">
        <v>118.2</v>
      </c>
      <c r="AO2737">
        <v>10.1</v>
      </c>
      <c r="AP2737">
        <v>5</v>
      </c>
      <c r="AQ2737">
        <v>0</v>
      </c>
      <c r="AR2737" t="s">
        <v>9482</v>
      </c>
      <c r="AS2737" t="s">
        <v>9483</v>
      </c>
      <c r="AT2737">
        <v>0.61</v>
      </c>
      <c r="AU2737" t="s">
        <v>106</v>
      </c>
      <c r="AV2737" t="s">
        <v>1180</v>
      </c>
      <c r="AW2737" t="s">
        <v>103</v>
      </c>
      <c r="AX2737" t="s">
        <v>9484</v>
      </c>
      <c r="AY2737" t="s">
        <v>9485</v>
      </c>
      <c r="AZ2737">
        <v>388.00000000745058</v>
      </c>
      <c r="BA2737">
        <v>1</v>
      </c>
      <c r="BB2737">
        <v>5</v>
      </c>
      <c r="BC2737">
        <v>0</v>
      </c>
      <c r="BD2737">
        <v>0</v>
      </c>
      <c r="BE2737">
        <f t="shared" si="429"/>
        <v>1</v>
      </c>
    </row>
    <row r="2738" spans="1:57" x14ac:dyDescent="0.25">
      <c r="A2738" t="s">
        <v>39</v>
      </c>
      <c r="B2738" t="s">
        <v>9486</v>
      </c>
      <c r="C2738">
        <v>75.2</v>
      </c>
      <c r="D2738">
        <v>56.2</v>
      </c>
      <c r="G2738">
        <f t="shared" si="420"/>
        <v>1</v>
      </c>
      <c r="H2738">
        <f t="shared" si="421"/>
        <v>1</v>
      </c>
      <c r="I2738">
        <f t="shared" si="422"/>
        <v>0</v>
      </c>
      <c r="J2738">
        <v>67.2</v>
      </c>
      <c r="K2738">
        <v>75.2</v>
      </c>
      <c r="L2738">
        <v>56.2</v>
      </c>
      <c r="M2738">
        <v>67.2</v>
      </c>
      <c r="N2738">
        <v>57.9</v>
      </c>
      <c r="O2738">
        <v>72.400000000000006</v>
      </c>
      <c r="S2738">
        <f t="shared" si="423"/>
        <v>1</v>
      </c>
      <c r="T2738">
        <f t="shared" si="424"/>
        <v>1</v>
      </c>
      <c r="U2738">
        <f t="shared" si="425"/>
        <v>0</v>
      </c>
      <c r="V2738">
        <v>1.2E-2</v>
      </c>
      <c r="W2738">
        <v>100</v>
      </c>
      <c r="X2738">
        <v>4.17</v>
      </c>
      <c r="Y2738" t="s">
        <v>103</v>
      </c>
      <c r="Z2738">
        <v>0</v>
      </c>
      <c r="AA2738">
        <v>0</v>
      </c>
      <c r="AB2738">
        <v>34.4</v>
      </c>
      <c r="AC2738">
        <v>21.9</v>
      </c>
      <c r="AG2738">
        <f t="shared" si="426"/>
        <v>1</v>
      </c>
      <c r="AH2738">
        <f t="shared" si="427"/>
        <v>1</v>
      </c>
      <c r="AI2738">
        <f t="shared" si="428"/>
        <v>0</v>
      </c>
      <c r="AJ2738">
        <v>297.3</v>
      </c>
      <c r="AK2738">
        <v>1017</v>
      </c>
      <c r="AL2738">
        <v>52.8</v>
      </c>
      <c r="AM2738">
        <v>6.2</v>
      </c>
      <c r="AN2738">
        <v>112.6</v>
      </c>
      <c r="AO2738">
        <v>9.6</v>
      </c>
      <c r="AP2738">
        <v>5</v>
      </c>
      <c r="AQ2738">
        <v>0</v>
      </c>
      <c r="AR2738" t="s">
        <v>9487</v>
      </c>
      <c r="AS2738" t="s">
        <v>9488</v>
      </c>
      <c r="AT2738">
        <v>0.75</v>
      </c>
      <c r="AU2738" t="s">
        <v>106</v>
      </c>
      <c r="AV2738" t="s">
        <v>438</v>
      </c>
      <c r="AW2738" t="s">
        <v>103</v>
      </c>
      <c r="AX2738" t="s">
        <v>2524</v>
      </c>
      <c r="AY2738" t="s">
        <v>9489</v>
      </c>
      <c r="AZ2738">
        <v>254.99999999301511</v>
      </c>
      <c r="BA2738">
        <v>0</v>
      </c>
      <c r="BB2738">
        <v>5</v>
      </c>
      <c r="BC2738">
        <v>0</v>
      </c>
      <c r="BD2738">
        <v>0</v>
      </c>
      <c r="BE2738">
        <f t="shared" si="429"/>
        <v>1</v>
      </c>
    </row>
    <row r="2739" spans="1:57" x14ac:dyDescent="0.25">
      <c r="A2739" t="s">
        <v>39</v>
      </c>
      <c r="B2739" t="s">
        <v>9490</v>
      </c>
      <c r="C2739">
        <v>66.2</v>
      </c>
      <c r="D2739">
        <v>55.4</v>
      </c>
      <c r="G2739">
        <f t="shared" si="420"/>
        <v>1</v>
      </c>
      <c r="H2739">
        <f t="shared" si="421"/>
        <v>1</v>
      </c>
      <c r="I2739">
        <f t="shared" si="422"/>
        <v>0</v>
      </c>
      <c r="J2739">
        <v>60.2</v>
      </c>
      <c r="K2739">
        <v>66.2</v>
      </c>
      <c r="L2739">
        <v>55.4</v>
      </c>
      <c r="M2739">
        <v>60.2</v>
      </c>
      <c r="N2739">
        <v>50.8</v>
      </c>
      <c r="O2739">
        <v>72</v>
      </c>
      <c r="S2739">
        <f t="shared" si="423"/>
        <v>1</v>
      </c>
      <c r="T2739">
        <f t="shared" si="424"/>
        <v>1</v>
      </c>
      <c r="U2739">
        <f t="shared" si="425"/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20.8</v>
      </c>
      <c r="AC2739">
        <v>12.8</v>
      </c>
      <c r="AG2739">
        <f t="shared" si="426"/>
        <v>1</v>
      </c>
      <c r="AH2739">
        <f t="shared" si="427"/>
        <v>0</v>
      </c>
      <c r="AI2739">
        <f t="shared" si="428"/>
        <v>1</v>
      </c>
      <c r="AJ2739">
        <v>192.3</v>
      </c>
      <c r="AK2739">
        <v>1018.4</v>
      </c>
      <c r="AL2739">
        <v>27.9</v>
      </c>
      <c r="AM2739">
        <v>6.2</v>
      </c>
      <c r="AN2739">
        <v>117</v>
      </c>
      <c r="AO2739">
        <v>9.9</v>
      </c>
      <c r="AP2739">
        <v>5</v>
      </c>
      <c r="AQ2739">
        <v>0</v>
      </c>
      <c r="AR2739" t="s">
        <v>9491</v>
      </c>
      <c r="AS2739" t="s">
        <v>9492</v>
      </c>
      <c r="AT2739">
        <v>0.74</v>
      </c>
      <c r="AU2739" t="s">
        <v>43</v>
      </c>
      <c r="AV2739" t="s">
        <v>44</v>
      </c>
      <c r="AW2739" t="s">
        <v>45</v>
      </c>
      <c r="AX2739" t="s">
        <v>4044</v>
      </c>
      <c r="AY2739" t="s">
        <v>9493</v>
      </c>
      <c r="AZ2739">
        <v>313.99999999674043</v>
      </c>
      <c r="BA2739">
        <v>0</v>
      </c>
      <c r="BB2739">
        <v>0</v>
      </c>
      <c r="BC2739">
        <v>1</v>
      </c>
      <c r="BD2739">
        <v>0</v>
      </c>
      <c r="BE2739">
        <f t="shared" si="429"/>
        <v>1</v>
      </c>
    </row>
    <row r="2740" spans="1:57" x14ac:dyDescent="0.25">
      <c r="A2740" t="s">
        <v>39</v>
      </c>
      <c r="B2740" t="s">
        <v>9368</v>
      </c>
      <c r="C2740">
        <v>86</v>
      </c>
      <c r="D2740">
        <v>77</v>
      </c>
      <c r="G2740">
        <f t="shared" si="420"/>
        <v>1</v>
      </c>
      <c r="H2740">
        <f t="shared" si="421"/>
        <v>1</v>
      </c>
      <c r="I2740">
        <f t="shared" si="422"/>
        <v>0</v>
      </c>
      <c r="J2740">
        <v>81.5</v>
      </c>
      <c r="K2740">
        <v>86.7</v>
      </c>
      <c r="L2740">
        <v>77</v>
      </c>
      <c r="M2740">
        <v>82.2</v>
      </c>
      <c r="N2740">
        <v>63</v>
      </c>
      <c r="O2740">
        <v>53.8</v>
      </c>
      <c r="S2740">
        <f t="shared" si="423"/>
        <v>1</v>
      </c>
      <c r="T2740">
        <f t="shared" si="424"/>
        <v>0</v>
      </c>
      <c r="U2740">
        <f t="shared" si="425"/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35.6</v>
      </c>
      <c r="AC2740">
        <v>19.7</v>
      </c>
      <c r="AG2740">
        <f t="shared" si="426"/>
        <v>1</v>
      </c>
      <c r="AH2740">
        <f t="shared" si="427"/>
        <v>1</v>
      </c>
      <c r="AI2740">
        <f t="shared" si="428"/>
        <v>0</v>
      </c>
      <c r="AJ2740">
        <v>297.5</v>
      </c>
      <c r="AK2740">
        <v>1010.6</v>
      </c>
      <c r="AL2740">
        <v>3.5</v>
      </c>
      <c r="AM2740">
        <v>6.2</v>
      </c>
      <c r="AN2740">
        <v>343.7</v>
      </c>
      <c r="AO2740">
        <v>29.7</v>
      </c>
      <c r="AP2740">
        <v>10</v>
      </c>
      <c r="AQ2740">
        <v>0</v>
      </c>
      <c r="AR2740" t="s">
        <v>9369</v>
      </c>
      <c r="AS2740" t="s">
        <v>9370</v>
      </c>
      <c r="AT2740">
        <v>0.84</v>
      </c>
      <c r="AU2740" t="s">
        <v>74</v>
      </c>
      <c r="AV2740" t="s">
        <v>2955</v>
      </c>
      <c r="AW2740" t="s">
        <v>75</v>
      </c>
      <c r="AX2740" t="s">
        <v>9494</v>
      </c>
      <c r="AY2740" t="s">
        <v>9495</v>
      </c>
      <c r="AZ2740">
        <v>2932.9999999946449</v>
      </c>
      <c r="BA2740">
        <v>1</v>
      </c>
      <c r="BB2740">
        <v>0</v>
      </c>
      <c r="BC2740">
        <v>7</v>
      </c>
      <c r="BD2740">
        <v>0</v>
      </c>
      <c r="BE2740">
        <f t="shared" si="429"/>
        <v>1</v>
      </c>
    </row>
    <row r="2741" spans="1:57" x14ac:dyDescent="0.25">
      <c r="A2741" t="s">
        <v>39</v>
      </c>
      <c r="B2741" t="s">
        <v>9496</v>
      </c>
      <c r="C2741">
        <v>64.400000000000006</v>
      </c>
      <c r="D2741">
        <v>46.4</v>
      </c>
      <c r="G2741">
        <f t="shared" si="420"/>
        <v>1</v>
      </c>
      <c r="H2741">
        <f t="shared" si="421"/>
        <v>1</v>
      </c>
      <c r="I2741">
        <f t="shared" si="422"/>
        <v>0</v>
      </c>
      <c r="J2741">
        <v>55.8</v>
      </c>
      <c r="K2741">
        <v>64.400000000000006</v>
      </c>
      <c r="L2741">
        <v>41.9</v>
      </c>
      <c r="M2741">
        <v>54.2</v>
      </c>
      <c r="N2741">
        <v>46.8</v>
      </c>
      <c r="O2741">
        <v>72.7</v>
      </c>
      <c r="S2741">
        <f t="shared" si="423"/>
        <v>1</v>
      </c>
      <c r="T2741">
        <f t="shared" si="424"/>
        <v>1</v>
      </c>
      <c r="U2741">
        <f t="shared" si="425"/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17.899999999999999</v>
      </c>
      <c r="AC2741">
        <v>12.8</v>
      </c>
      <c r="AG2741">
        <f t="shared" si="426"/>
        <v>1</v>
      </c>
      <c r="AH2741">
        <f t="shared" si="427"/>
        <v>0</v>
      </c>
      <c r="AI2741">
        <f t="shared" si="428"/>
        <v>1</v>
      </c>
      <c r="AJ2741">
        <v>180.5</v>
      </c>
      <c r="AK2741">
        <v>1023.3</v>
      </c>
      <c r="AL2741">
        <v>14.6</v>
      </c>
      <c r="AM2741">
        <v>6.2</v>
      </c>
      <c r="AN2741">
        <v>169.2</v>
      </c>
      <c r="AO2741">
        <v>14.6</v>
      </c>
      <c r="AP2741">
        <v>6</v>
      </c>
      <c r="AQ2741">
        <v>0</v>
      </c>
      <c r="AR2741" t="s">
        <v>9497</v>
      </c>
      <c r="AS2741" t="s">
        <v>9498</v>
      </c>
      <c r="AT2741">
        <v>0.85</v>
      </c>
      <c r="AU2741" t="s">
        <v>74</v>
      </c>
      <c r="AV2741" t="s">
        <v>2955</v>
      </c>
      <c r="AW2741" t="s">
        <v>75</v>
      </c>
      <c r="AX2741" t="s">
        <v>4143</v>
      </c>
      <c r="AY2741" t="s">
        <v>9499</v>
      </c>
      <c r="AZ2741">
        <v>6961.9999999995343</v>
      </c>
      <c r="BA2741">
        <v>1</v>
      </c>
      <c r="BB2741">
        <v>0</v>
      </c>
      <c r="BC2741">
        <v>0.2</v>
      </c>
      <c r="BD2741">
        <v>0</v>
      </c>
      <c r="BE2741">
        <f t="shared" si="429"/>
        <v>1</v>
      </c>
    </row>
    <row r="2742" spans="1:57" x14ac:dyDescent="0.25">
      <c r="A2742" t="s">
        <v>39</v>
      </c>
      <c r="B2742" t="s">
        <v>9500</v>
      </c>
      <c r="C2742">
        <v>66.2</v>
      </c>
      <c r="D2742">
        <v>48.2</v>
      </c>
      <c r="G2742">
        <f t="shared" si="420"/>
        <v>1</v>
      </c>
      <c r="H2742">
        <f t="shared" si="421"/>
        <v>1</v>
      </c>
      <c r="I2742">
        <f t="shared" si="422"/>
        <v>0</v>
      </c>
      <c r="J2742">
        <v>58.3</v>
      </c>
      <c r="K2742">
        <v>66.2</v>
      </c>
      <c r="L2742">
        <v>43.3</v>
      </c>
      <c r="M2742">
        <v>58</v>
      </c>
      <c r="N2742">
        <v>49.2</v>
      </c>
      <c r="O2742">
        <v>72</v>
      </c>
      <c r="S2742">
        <f t="shared" si="423"/>
        <v>1</v>
      </c>
      <c r="T2742">
        <f t="shared" si="424"/>
        <v>1</v>
      </c>
      <c r="U2742">
        <f t="shared" si="425"/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28.6</v>
      </c>
      <c r="AC2742">
        <v>21.8</v>
      </c>
      <c r="AG2742">
        <f t="shared" si="426"/>
        <v>1</v>
      </c>
      <c r="AH2742">
        <f t="shared" si="427"/>
        <v>1</v>
      </c>
      <c r="AI2742">
        <f t="shared" si="428"/>
        <v>0</v>
      </c>
      <c r="AJ2742">
        <v>272.89999999999998</v>
      </c>
      <c r="AK2742">
        <v>1012.5</v>
      </c>
      <c r="AL2742">
        <v>46.6</v>
      </c>
      <c r="AM2742">
        <v>6.2</v>
      </c>
      <c r="AN2742">
        <v>204.4</v>
      </c>
      <c r="AO2742">
        <v>17.8</v>
      </c>
      <c r="AP2742">
        <v>8</v>
      </c>
      <c r="AQ2742">
        <v>0</v>
      </c>
      <c r="AR2742" t="s">
        <v>9501</v>
      </c>
      <c r="AS2742" t="s">
        <v>9502</v>
      </c>
      <c r="AT2742">
        <v>0.3</v>
      </c>
      <c r="AU2742" t="s">
        <v>43</v>
      </c>
      <c r="AV2742" t="s">
        <v>44</v>
      </c>
      <c r="AW2742" t="s">
        <v>45</v>
      </c>
      <c r="AX2742" t="s">
        <v>2346</v>
      </c>
      <c r="AY2742" t="s">
        <v>9503</v>
      </c>
      <c r="AZ2742">
        <v>190.00000000116421</v>
      </c>
      <c r="BA2742">
        <v>0</v>
      </c>
      <c r="BB2742">
        <v>0</v>
      </c>
      <c r="BC2742">
        <v>0.5</v>
      </c>
      <c r="BD2742">
        <v>0</v>
      </c>
      <c r="BE2742">
        <f t="shared" si="429"/>
        <v>1</v>
      </c>
    </row>
    <row r="2743" spans="1:57" x14ac:dyDescent="0.25">
      <c r="A2743" t="s">
        <v>39</v>
      </c>
      <c r="B2743" t="s">
        <v>9504</v>
      </c>
      <c r="C2743">
        <v>71.599999999999994</v>
      </c>
      <c r="D2743">
        <v>59</v>
      </c>
      <c r="G2743">
        <f t="shared" si="420"/>
        <v>1</v>
      </c>
      <c r="H2743">
        <f t="shared" si="421"/>
        <v>1</v>
      </c>
      <c r="I2743">
        <f t="shared" si="422"/>
        <v>0</v>
      </c>
      <c r="J2743">
        <v>66.5</v>
      </c>
      <c r="K2743">
        <v>71.599999999999994</v>
      </c>
      <c r="L2743">
        <v>59</v>
      </c>
      <c r="M2743">
        <v>66.5</v>
      </c>
      <c r="N2743">
        <v>47.7</v>
      </c>
      <c r="O2743">
        <v>51.2</v>
      </c>
      <c r="S2743">
        <f t="shared" si="423"/>
        <v>1</v>
      </c>
      <c r="T2743">
        <f t="shared" si="424"/>
        <v>0</v>
      </c>
      <c r="U2743">
        <f t="shared" si="425"/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34.4</v>
      </c>
      <c r="AC2743">
        <v>18.3</v>
      </c>
      <c r="AG2743">
        <f t="shared" si="426"/>
        <v>0</v>
      </c>
      <c r="AH2743">
        <f t="shared" si="427"/>
        <v>0</v>
      </c>
      <c r="AI2743">
        <f t="shared" si="428"/>
        <v>0</v>
      </c>
      <c r="AJ2743">
        <v>302.10000000000002</v>
      </c>
      <c r="AK2743">
        <v>1019.6</v>
      </c>
      <c r="AL2743">
        <v>3.5</v>
      </c>
      <c r="AM2743">
        <v>6.2</v>
      </c>
      <c r="AN2743">
        <v>280.89999999999998</v>
      </c>
      <c r="AO2743">
        <v>24.3</v>
      </c>
      <c r="AP2743">
        <v>9</v>
      </c>
      <c r="AQ2743">
        <v>0</v>
      </c>
      <c r="AR2743" t="s">
        <v>9505</v>
      </c>
      <c r="AS2743" t="s">
        <v>9506</v>
      </c>
      <c r="AT2743">
        <v>0.92</v>
      </c>
      <c r="AU2743" t="s">
        <v>74</v>
      </c>
      <c r="AV2743" t="s">
        <v>2955</v>
      </c>
      <c r="AW2743" t="s">
        <v>75</v>
      </c>
      <c r="AX2743" t="s">
        <v>7728</v>
      </c>
      <c r="AY2743" t="s">
        <v>9507</v>
      </c>
      <c r="AZ2743">
        <v>937.99999999813735</v>
      </c>
      <c r="BA2743">
        <v>1</v>
      </c>
      <c r="BB2743">
        <v>0</v>
      </c>
      <c r="BC2743">
        <v>15</v>
      </c>
      <c r="BD2743">
        <v>0</v>
      </c>
      <c r="BE2743">
        <f t="shared" si="429"/>
        <v>1</v>
      </c>
    </row>
    <row r="2744" spans="1:57" x14ac:dyDescent="0.25">
      <c r="A2744" t="s">
        <v>39</v>
      </c>
      <c r="B2744" t="s">
        <v>9291</v>
      </c>
      <c r="C2744">
        <v>68</v>
      </c>
      <c r="D2744">
        <v>53.6</v>
      </c>
      <c r="G2744">
        <f t="shared" si="420"/>
        <v>0</v>
      </c>
      <c r="H2744">
        <f t="shared" si="421"/>
        <v>0</v>
      </c>
      <c r="I2744">
        <f t="shared" si="422"/>
        <v>0</v>
      </c>
      <c r="J2744">
        <v>62.2</v>
      </c>
      <c r="K2744">
        <v>68</v>
      </c>
      <c r="L2744">
        <v>53.6</v>
      </c>
      <c r="M2744">
        <v>62.2</v>
      </c>
      <c r="N2744">
        <v>53.4</v>
      </c>
      <c r="O2744">
        <v>72.900000000000006</v>
      </c>
      <c r="S2744">
        <f t="shared" si="423"/>
        <v>1</v>
      </c>
      <c r="T2744">
        <f t="shared" si="424"/>
        <v>1</v>
      </c>
      <c r="U2744">
        <f t="shared" si="425"/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21.7</v>
      </c>
      <c r="AC2744">
        <v>19.7</v>
      </c>
      <c r="AG2744">
        <f t="shared" si="426"/>
        <v>1</v>
      </c>
      <c r="AH2744">
        <f t="shared" si="427"/>
        <v>1</v>
      </c>
      <c r="AI2744">
        <f t="shared" si="428"/>
        <v>0</v>
      </c>
      <c r="AJ2744">
        <v>297.2</v>
      </c>
      <c r="AK2744">
        <v>1019.5</v>
      </c>
      <c r="AL2744">
        <v>22.6</v>
      </c>
      <c r="AM2744">
        <v>6.2</v>
      </c>
      <c r="AN2744">
        <v>289.3</v>
      </c>
      <c r="AO2744">
        <v>25</v>
      </c>
      <c r="AP2744">
        <v>9</v>
      </c>
      <c r="AQ2744">
        <v>0</v>
      </c>
      <c r="AR2744" t="s">
        <v>9292</v>
      </c>
      <c r="AS2744" t="s">
        <v>9293</v>
      </c>
      <c r="AT2744">
        <v>0.12</v>
      </c>
      <c r="AU2744" t="s">
        <v>43</v>
      </c>
      <c r="AV2744" t="s">
        <v>44</v>
      </c>
      <c r="AW2744" t="s">
        <v>45</v>
      </c>
      <c r="AX2744" t="s">
        <v>5043</v>
      </c>
      <c r="AY2744" t="s">
        <v>9508</v>
      </c>
      <c r="AZ2744">
        <v>290.99999999511061</v>
      </c>
      <c r="BA2744">
        <v>0</v>
      </c>
      <c r="BB2744">
        <v>0</v>
      </c>
      <c r="BC2744">
        <v>5</v>
      </c>
      <c r="BD2744">
        <v>0</v>
      </c>
      <c r="BE2744">
        <f t="shared" si="429"/>
        <v>0</v>
      </c>
    </row>
    <row r="2745" spans="1:57" x14ac:dyDescent="0.25">
      <c r="A2745" t="s">
        <v>39</v>
      </c>
      <c r="B2745" t="s">
        <v>9509</v>
      </c>
      <c r="C2745">
        <v>75.2</v>
      </c>
      <c r="D2745">
        <v>59</v>
      </c>
      <c r="G2745">
        <f t="shared" si="420"/>
        <v>1</v>
      </c>
      <c r="H2745">
        <f t="shared" si="421"/>
        <v>1</v>
      </c>
      <c r="I2745">
        <f t="shared" si="422"/>
        <v>0</v>
      </c>
      <c r="J2745">
        <v>68.400000000000006</v>
      </c>
      <c r="K2745">
        <v>75.2</v>
      </c>
      <c r="L2745">
        <v>59</v>
      </c>
      <c r="M2745">
        <v>68.400000000000006</v>
      </c>
      <c r="N2745">
        <v>54.4</v>
      </c>
      <c r="O2745">
        <v>63</v>
      </c>
      <c r="S2745">
        <f t="shared" si="423"/>
        <v>0</v>
      </c>
      <c r="T2745">
        <f t="shared" si="424"/>
        <v>0</v>
      </c>
      <c r="U2745">
        <f t="shared" si="425"/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30.2</v>
      </c>
      <c r="AC2745">
        <v>24.2</v>
      </c>
      <c r="AG2745">
        <f t="shared" si="426"/>
        <v>1</v>
      </c>
      <c r="AH2745">
        <f t="shared" si="427"/>
        <v>1</v>
      </c>
      <c r="AI2745">
        <f t="shared" si="428"/>
        <v>0</v>
      </c>
      <c r="AJ2745">
        <v>288.3</v>
      </c>
      <c r="AK2745">
        <v>1011.8</v>
      </c>
      <c r="AL2745">
        <v>5.8</v>
      </c>
      <c r="AM2745">
        <v>6.2</v>
      </c>
      <c r="AN2745">
        <v>316.8</v>
      </c>
      <c r="AO2745">
        <v>27.4</v>
      </c>
      <c r="AP2745">
        <v>10</v>
      </c>
      <c r="AQ2745">
        <v>0</v>
      </c>
      <c r="AR2745" t="s">
        <v>9510</v>
      </c>
      <c r="AS2745" t="s">
        <v>9511</v>
      </c>
      <c r="AT2745">
        <v>0.83</v>
      </c>
      <c r="AU2745" t="s">
        <v>74</v>
      </c>
      <c r="AV2745" t="s">
        <v>2955</v>
      </c>
      <c r="AW2745" t="s">
        <v>75</v>
      </c>
      <c r="AX2745" t="s">
        <v>9512</v>
      </c>
      <c r="AY2745" t="s">
        <v>9513</v>
      </c>
      <c r="AZ2745">
        <v>1129.0000000025609</v>
      </c>
      <c r="BA2745">
        <v>1</v>
      </c>
      <c r="BB2745">
        <v>0</v>
      </c>
      <c r="BC2745">
        <v>0.5</v>
      </c>
      <c r="BD2745">
        <v>0</v>
      </c>
      <c r="BE2745">
        <f t="shared" si="429"/>
        <v>1</v>
      </c>
    </row>
    <row r="2746" spans="1:57" x14ac:dyDescent="0.25">
      <c r="A2746" t="s">
        <v>39</v>
      </c>
      <c r="B2746" t="s">
        <v>9514</v>
      </c>
      <c r="C2746">
        <v>91.4</v>
      </c>
      <c r="D2746">
        <v>71.599999999999994</v>
      </c>
      <c r="G2746">
        <f t="shared" si="420"/>
        <v>1</v>
      </c>
      <c r="H2746">
        <f t="shared" si="421"/>
        <v>1</v>
      </c>
      <c r="I2746">
        <f t="shared" si="422"/>
        <v>0</v>
      </c>
      <c r="J2746">
        <v>82.1</v>
      </c>
      <c r="K2746">
        <v>90.1</v>
      </c>
      <c r="L2746">
        <v>71.599999999999994</v>
      </c>
      <c r="M2746">
        <v>82.3</v>
      </c>
      <c r="N2746">
        <v>57.6</v>
      </c>
      <c r="O2746">
        <v>44.1</v>
      </c>
      <c r="S2746">
        <f t="shared" si="423"/>
        <v>1</v>
      </c>
      <c r="T2746">
        <f t="shared" si="424"/>
        <v>0</v>
      </c>
      <c r="U2746">
        <f t="shared" si="425"/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18.3</v>
      </c>
      <c r="AC2746">
        <v>9.1999999999999993</v>
      </c>
      <c r="AG2746">
        <f t="shared" si="426"/>
        <v>1</v>
      </c>
      <c r="AH2746">
        <f t="shared" si="427"/>
        <v>0</v>
      </c>
      <c r="AI2746">
        <f t="shared" si="428"/>
        <v>1</v>
      </c>
      <c r="AJ2746">
        <v>147.80000000000001</v>
      </c>
      <c r="AK2746">
        <v>1012.3</v>
      </c>
      <c r="AL2746">
        <v>2.7</v>
      </c>
      <c r="AM2746">
        <v>6.2</v>
      </c>
      <c r="AN2746">
        <v>337.1</v>
      </c>
      <c r="AO2746">
        <v>29.2</v>
      </c>
      <c r="AP2746">
        <v>10</v>
      </c>
      <c r="AQ2746">
        <v>0</v>
      </c>
      <c r="AR2746" t="s">
        <v>9515</v>
      </c>
      <c r="AS2746" t="s">
        <v>9516</v>
      </c>
      <c r="AT2746">
        <v>0.96</v>
      </c>
      <c r="AU2746" t="s">
        <v>74</v>
      </c>
      <c r="AV2746" t="s">
        <v>2955</v>
      </c>
      <c r="AW2746" t="s">
        <v>75</v>
      </c>
      <c r="AX2746" t="s">
        <v>2670</v>
      </c>
      <c r="AY2746" t="s">
        <v>9517</v>
      </c>
      <c r="AZ2746">
        <v>1726.999999992549</v>
      </c>
      <c r="BA2746">
        <v>1</v>
      </c>
      <c r="BB2746">
        <v>0</v>
      </c>
      <c r="BC2746">
        <v>1</v>
      </c>
      <c r="BD2746">
        <v>0</v>
      </c>
      <c r="BE2746">
        <f t="shared" si="429"/>
        <v>1</v>
      </c>
    </row>
    <row r="2747" spans="1:57" x14ac:dyDescent="0.25">
      <c r="A2747" t="s">
        <v>39</v>
      </c>
      <c r="B2747" t="s">
        <v>9518</v>
      </c>
      <c r="C2747">
        <v>87.8</v>
      </c>
      <c r="D2747">
        <v>78.8</v>
      </c>
      <c r="G2747">
        <f t="shared" si="420"/>
        <v>1</v>
      </c>
      <c r="H2747">
        <f t="shared" si="421"/>
        <v>1</v>
      </c>
      <c r="I2747">
        <f t="shared" si="422"/>
        <v>0</v>
      </c>
      <c r="J2747">
        <v>81.8</v>
      </c>
      <c r="K2747">
        <v>89.4</v>
      </c>
      <c r="L2747">
        <v>78.8</v>
      </c>
      <c r="M2747">
        <v>83.2</v>
      </c>
      <c r="N2747">
        <v>65.400000000000006</v>
      </c>
      <c r="O2747">
        <v>58.1</v>
      </c>
      <c r="S2747">
        <f t="shared" si="423"/>
        <v>1</v>
      </c>
      <c r="T2747">
        <f t="shared" si="424"/>
        <v>0</v>
      </c>
      <c r="U2747">
        <f t="shared" si="425"/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28.9</v>
      </c>
      <c r="AC2747">
        <v>21.9</v>
      </c>
      <c r="AG2747">
        <f t="shared" si="426"/>
        <v>1</v>
      </c>
      <c r="AH2747">
        <f t="shared" si="427"/>
        <v>1</v>
      </c>
      <c r="AI2747">
        <f t="shared" si="428"/>
        <v>0</v>
      </c>
      <c r="AJ2747">
        <v>306.39999999999998</v>
      </c>
      <c r="AK2747">
        <v>1009.5</v>
      </c>
      <c r="AL2747">
        <v>26.1</v>
      </c>
      <c r="AM2747">
        <v>6.2</v>
      </c>
      <c r="AN2747">
        <v>337.5</v>
      </c>
      <c r="AO2747">
        <v>29</v>
      </c>
      <c r="AP2747">
        <v>10</v>
      </c>
      <c r="AQ2747">
        <v>0</v>
      </c>
      <c r="AR2747" t="s">
        <v>9519</v>
      </c>
      <c r="AS2747" t="s">
        <v>9520</v>
      </c>
      <c r="AT2747">
        <v>0.48</v>
      </c>
      <c r="AU2747" t="s">
        <v>43</v>
      </c>
      <c r="AV2747" t="s">
        <v>44</v>
      </c>
      <c r="AW2747" t="s">
        <v>45</v>
      </c>
      <c r="AX2747" t="s">
        <v>9521</v>
      </c>
      <c r="AY2747" t="s">
        <v>9522</v>
      </c>
      <c r="AZ2747">
        <v>423.00000000628643</v>
      </c>
      <c r="BA2747">
        <v>1</v>
      </c>
      <c r="BB2747">
        <v>0</v>
      </c>
      <c r="BC2747">
        <v>2</v>
      </c>
      <c r="BD2747">
        <v>0</v>
      </c>
      <c r="BE2747">
        <f t="shared" si="429"/>
        <v>1</v>
      </c>
    </row>
    <row r="2748" spans="1:57" x14ac:dyDescent="0.25">
      <c r="A2748" t="s">
        <v>39</v>
      </c>
      <c r="B2748" t="s">
        <v>9523</v>
      </c>
      <c r="C2748">
        <v>84.2</v>
      </c>
      <c r="D2748">
        <v>68</v>
      </c>
      <c r="G2748">
        <f t="shared" si="420"/>
        <v>1</v>
      </c>
      <c r="H2748">
        <f t="shared" si="421"/>
        <v>1</v>
      </c>
      <c r="I2748">
        <f t="shared" si="422"/>
        <v>0</v>
      </c>
      <c r="J2748">
        <v>77.8</v>
      </c>
      <c r="K2748">
        <v>86.5</v>
      </c>
      <c r="L2748">
        <v>68</v>
      </c>
      <c r="M2748">
        <v>78.7</v>
      </c>
      <c r="N2748">
        <v>63.5</v>
      </c>
      <c r="O2748">
        <v>62.3</v>
      </c>
      <c r="S2748">
        <f t="shared" si="423"/>
        <v>1</v>
      </c>
      <c r="T2748">
        <f t="shared" si="424"/>
        <v>1</v>
      </c>
      <c r="U2748">
        <f t="shared" si="425"/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25.7</v>
      </c>
      <c r="AC2748">
        <v>19.600000000000001</v>
      </c>
      <c r="AG2748">
        <f t="shared" si="426"/>
        <v>1</v>
      </c>
      <c r="AH2748">
        <f t="shared" si="427"/>
        <v>1</v>
      </c>
      <c r="AI2748">
        <f t="shared" si="428"/>
        <v>0</v>
      </c>
      <c r="AJ2748">
        <v>308.7</v>
      </c>
      <c r="AK2748">
        <v>1006.3</v>
      </c>
      <c r="AL2748">
        <v>0</v>
      </c>
      <c r="AM2748">
        <v>6.2</v>
      </c>
      <c r="AN2748">
        <v>350.5</v>
      </c>
      <c r="AO2748">
        <v>30.2</v>
      </c>
      <c r="AP2748">
        <v>10</v>
      </c>
      <c r="AQ2748">
        <v>0</v>
      </c>
      <c r="AR2748" t="s">
        <v>9524</v>
      </c>
      <c r="AS2748" t="s">
        <v>9525</v>
      </c>
      <c r="AT2748">
        <v>0.55000000000000004</v>
      </c>
      <c r="AU2748" t="s">
        <v>74</v>
      </c>
      <c r="AV2748" t="s">
        <v>2955</v>
      </c>
      <c r="AW2748" t="s">
        <v>75</v>
      </c>
      <c r="AX2748" t="s">
        <v>6082</v>
      </c>
      <c r="AY2748" t="s">
        <v>9526</v>
      </c>
      <c r="AZ2748">
        <v>3251.999999997206</v>
      </c>
      <c r="BA2748">
        <v>1</v>
      </c>
      <c r="BB2748">
        <v>6</v>
      </c>
      <c r="BC2748">
        <v>0</v>
      </c>
      <c r="BD2748">
        <v>0</v>
      </c>
      <c r="BE2748">
        <f t="shared" si="429"/>
        <v>1</v>
      </c>
    </row>
    <row r="2749" spans="1:57" x14ac:dyDescent="0.25">
      <c r="A2749" t="s">
        <v>39</v>
      </c>
      <c r="B2749" t="s">
        <v>9527</v>
      </c>
      <c r="C2749">
        <v>84.2</v>
      </c>
      <c r="D2749">
        <v>71.7</v>
      </c>
      <c r="G2749">
        <f t="shared" si="420"/>
        <v>1</v>
      </c>
      <c r="H2749">
        <f t="shared" si="421"/>
        <v>1</v>
      </c>
      <c r="I2749">
        <f t="shared" si="422"/>
        <v>0</v>
      </c>
      <c r="J2749">
        <v>79.099999999999994</v>
      </c>
      <c r="K2749">
        <v>88.5</v>
      </c>
      <c r="L2749">
        <v>71.7</v>
      </c>
      <c r="M2749">
        <v>80.7</v>
      </c>
      <c r="N2749">
        <v>67</v>
      </c>
      <c r="O2749">
        <v>67.099999999999994</v>
      </c>
      <c r="S2749">
        <f t="shared" si="423"/>
        <v>1</v>
      </c>
      <c r="T2749">
        <f t="shared" si="424"/>
        <v>1</v>
      </c>
      <c r="U2749">
        <f t="shared" si="425"/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27.7</v>
      </c>
      <c r="AC2749">
        <v>18.3</v>
      </c>
      <c r="AG2749">
        <f t="shared" si="426"/>
        <v>0</v>
      </c>
      <c r="AH2749">
        <f t="shared" si="427"/>
        <v>0</v>
      </c>
      <c r="AI2749">
        <f t="shared" si="428"/>
        <v>0</v>
      </c>
      <c r="AJ2749">
        <v>296.3</v>
      </c>
      <c r="AK2749">
        <v>1010.6</v>
      </c>
      <c r="AL2749">
        <v>0</v>
      </c>
      <c r="AM2749">
        <v>6.2</v>
      </c>
      <c r="AN2749">
        <v>340.8</v>
      </c>
      <c r="AO2749">
        <v>29.6</v>
      </c>
      <c r="AP2749">
        <v>10</v>
      </c>
      <c r="AQ2749">
        <v>0</v>
      </c>
      <c r="AR2749" t="s">
        <v>9528</v>
      </c>
      <c r="AS2749" t="s">
        <v>9529</v>
      </c>
      <c r="AT2749">
        <v>0.62</v>
      </c>
      <c r="AU2749" t="s">
        <v>74</v>
      </c>
      <c r="AV2749" t="s">
        <v>2955</v>
      </c>
      <c r="AW2749" t="s">
        <v>75</v>
      </c>
      <c r="AX2749" t="s">
        <v>4970</v>
      </c>
      <c r="AY2749" t="s">
        <v>9530</v>
      </c>
      <c r="AZ2749">
        <v>406.00000000325957</v>
      </c>
      <c r="BA2749">
        <v>1</v>
      </c>
      <c r="BB2749">
        <v>0</v>
      </c>
      <c r="BC2749">
        <v>17</v>
      </c>
      <c r="BD2749">
        <v>0</v>
      </c>
      <c r="BE2749">
        <f t="shared" si="429"/>
        <v>1</v>
      </c>
    </row>
    <row r="2750" spans="1:57" x14ac:dyDescent="0.25">
      <c r="A2750" t="s">
        <v>39</v>
      </c>
      <c r="B2750" t="s">
        <v>9458</v>
      </c>
      <c r="C2750">
        <v>87.8</v>
      </c>
      <c r="D2750">
        <v>80.599999999999994</v>
      </c>
      <c r="G2750">
        <f t="shared" si="420"/>
        <v>1</v>
      </c>
      <c r="H2750">
        <f t="shared" si="421"/>
        <v>1</v>
      </c>
      <c r="I2750">
        <f t="shared" si="422"/>
        <v>0</v>
      </c>
      <c r="J2750">
        <v>84.1</v>
      </c>
      <c r="K2750">
        <v>88.5</v>
      </c>
      <c r="L2750">
        <v>81.099999999999994</v>
      </c>
      <c r="M2750">
        <v>85.1</v>
      </c>
      <c r="N2750">
        <v>62.3</v>
      </c>
      <c r="O2750">
        <v>48.2</v>
      </c>
      <c r="S2750">
        <f t="shared" si="423"/>
        <v>1</v>
      </c>
      <c r="T2750">
        <f t="shared" si="424"/>
        <v>0</v>
      </c>
      <c r="U2750">
        <f t="shared" si="425"/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39.1</v>
      </c>
      <c r="AC2750">
        <v>24.1</v>
      </c>
      <c r="AG2750">
        <f t="shared" si="426"/>
        <v>1</v>
      </c>
      <c r="AH2750">
        <f t="shared" si="427"/>
        <v>1</v>
      </c>
      <c r="AI2750">
        <f t="shared" si="428"/>
        <v>0</v>
      </c>
      <c r="AJ2750">
        <v>296</v>
      </c>
      <c r="AK2750">
        <v>1007.8</v>
      </c>
      <c r="AL2750">
        <v>0.1</v>
      </c>
      <c r="AM2750">
        <v>6.2</v>
      </c>
      <c r="AN2750">
        <v>339.5</v>
      </c>
      <c r="AO2750">
        <v>29.4</v>
      </c>
      <c r="AP2750">
        <v>10</v>
      </c>
      <c r="AQ2750">
        <v>0</v>
      </c>
      <c r="AR2750" t="s">
        <v>9459</v>
      </c>
      <c r="AS2750" t="s">
        <v>9460</v>
      </c>
      <c r="AT2750">
        <v>0.3</v>
      </c>
      <c r="AU2750" t="s">
        <v>74</v>
      </c>
      <c r="AV2750" t="s">
        <v>2955</v>
      </c>
      <c r="AW2750" t="s">
        <v>75</v>
      </c>
      <c r="AX2750" t="s">
        <v>9531</v>
      </c>
      <c r="AY2750" t="s">
        <v>9532</v>
      </c>
      <c r="AZ2750">
        <v>3438.9999999990691</v>
      </c>
      <c r="BA2750">
        <v>1</v>
      </c>
      <c r="BB2750">
        <v>0</v>
      </c>
      <c r="BC2750">
        <v>170</v>
      </c>
      <c r="BD2750">
        <v>0</v>
      </c>
      <c r="BE2750">
        <f t="shared" si="429"/>
        <v>1</v>
      </c>
    </row>
    <row r="2751" spans="1:57" x14ac:dyDescent="0.25">
      <c r="A2751" t="s">
        <v>39</v>
      </c>
      <c r="B2751" t="s">
        <v>9410</v>
      </c>
      <c r="C2751">
        <v>87.8</v>
      </c>
      <c r="D2751">
        <v>82.4</v>
      </c>
      <c r="G2751">
        <f t="shared" si="420"/>
        <v>1</v>
      </c>
      <c r="H2751">
        <f t="shared" si="421"/>
        <v>1</v>
      </c>
      <c r="I2751">
        <f t="shared" si="422"/>
        <v>0</v>
      </c>
      <c r="J2751">
        <v>84.6</v>
      </c>
      <c r="K2751">
        <v>89.4</v>
      </c>
      <c r="L2751">
        <v>83.4</v>
      </c>
      <c r="M2751">
        <v>86.7</v>
      </c>
      <c r="N2751">
        <v>65.400000000000006</v>
      </c>
      <c r="O2751">
        <v>53.4</v>
      </c>
      <c r="S2751">
        <f t="shared" si="423"/>
        <v>1</v>
      </c>
      <c r="T2751">
        <f t="shared" si="424"/>
        <v>0</v>
      </c>
      <c r="U2751">
        <f t="shared" si="425"/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36.9</v>
      </c>
      <c r="AC2751">
        <v>25.3</v>
      </c>
      <c r="AG2751">
        <f t="shared" si="426"/>
        <v>1</v>
      </c>
      <c r="AH2751">
        <f t="shared" si="427"/>
        <v>1</v>
      </c>
      <c r="AI2751">
        <f t="shared" si="428"/>
        <v>0</v>
      </c>
      <c r="AJ2751">
        <v>302.3</v>
      </c>
      <c r="AK2751">
        <v>1009</v>
      </c>
      <c r="AL2751">
        <v>0.6</v>
      </c>
      <c r="AM2751">
        <v>6.2</v>
      </c>
      <c r="AN2751">
        <v>299.3</v>
      </c>
      <c r="AO2751">
        <v>25.7</v>
      </c>
      <c r="AP2751">
        <v>9</v>
      </c>
      <c r="AQ2751">
        <v>0</v>
      </c>
      <c r="AR2751" t="s">
        <v>9411</v>
      </c>
      <c r="AS2751" t="s">
        <v>9412</v>
      </c>
      <c r="AT2751">
        <v>0.42</v>
      </c>
      <c r="AU2751" t="s">
        <v>74</v>
      </c>
      <c r="AV2751" t="s">
        <v>2955</v>
      </c>
      <c r="AW2751" t="s">
        <v>75</v>
      </c>
      <c r="AX2751" t="s">
        <v>6913</v>
      </c>
      <c r="AY2751" t="s">
        <v>9533</v>
      </c>
      <c r="AZ2751">
        <v>342.9999999969732</v>
      </c>
      <c r="BA2751">
        <v>0</v>
      </c>
      <c r="BB2751">
        <v>0</v>
      </c>
      <c r="BC2751">
        <v>2</v>
      </c>
      <c r="BD2751">
        <v>0</v>
      </c>
      <c r="BE2751">
        <f t="shared" si="429"/>
        <v>1</v>
      </c>
    </row>
    <row r="2752" spans="1:57" x14ac:dyDescent="0.25">
      <c r="A2752" t="s">
        <v>39</v>
      </c>
      <c r="B2752" t="s">
        <v>9534</v>
      </c>
      <c r="C2752">
        <v>86</v>
      </c>
      <c r="D2752">
        <v>71.599999999999994</v>
      </c>
      <c r="G2752">
        <f t="shared" si="420"/>
        <v>1</v>
      </c>
      <c r="H2752">
        <f t="shared" si="421"/>
        <v>1</v>
      </c>
      <c r="I2752">
        <f t="shared" si="422"/>
        <v>0</v>
      </c>
      <c r="J2752">
        <v>80.5</v>
      </c>
      <c r="K2752">
        <v>92</v>
      </c>
      <c r="L2752">
        <v>71.599999999999994</v>
      </c>
      <c r="M2752">
        <v>83.2</v>
      </c>
      <c r="N2752">
        <v>69.7</v>
      </c>
      <c r="O2752">
        <v>70.8</v>
      </c>
      <c r="S2752">
        <f t="shared" si="423"/>
        <v>1</v>
      </c>
      <c r="T2752">
        <f t="shared" si="424"/>
        <v>1</v>
      </c>
      <c r="U2752">
        <f t="shared" si="425"/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28</v>
      </c>
      <c r="AC2752">
        <v>13.9</v>
      </c>
      <c r="AG2752">
        <f t="shared" si="426"/>
        <v>1</v>
      </c>
      <c r="AH2752">
        <f t="shared" si="427"/>
        <v>0</v>
      </c>
      <c r="AI2752">
        <f t="shared" si="428"/>
        <v>1</v>
      </c>
      <c r="AJ2752">
        <v>298.10000000000002</v>
      </c>
      <c r="AK2752">
        <v>1012.8</v>
      </c>
      <c r="AL2752">
        <v>20.9</v>
      </c>
      <c r="AM2752">
        <v>6.2</v>
      </c>
      <c r="AN2752">
        <v>261.39999999999998</v>
      </c>
      <c r="AO2752">
        <v>22.6</v>
      </c>
      <c r="AP2752">
        <v>8</v>
      </c>
      <c r="AQ2752">
        <v>0</v>
      </c>
      <c r="AR2752" t="s">
        <v>9535</v>
      </c>
      <c r="AS2752" t="s">
        <v>9536</v>
      </c>
      <c r="AT2752">
        <v>0.04</v>
      </c>
      <c r="AU2752" t="s">
        <v>43</v>
      </c>
      <c r="AV2752" t="s">
        <v>44</v>
      </c>
      <c r="AW2752" t="s">
        <v>45</v>
      </c>
      <c r="AX2752" t="s">
        <v>7501</v>
      </c>
      <c r="AY2752" t="s">
        <v>9537</v>
      </c>
      <c r="AZ2752">
        <v>71.999999993713573</v>
      </c>
      <c r="BA2752">
        <v>0</v>
      </c>
      <c r="BB2752">
        <v>0</v>
      </c>
      <c r="BC2752">
        <v>0.1</v>
      </c>
      <c r="BD2752">
        <v>0</v>
      </c>
      <c r="BE2752">
        <f t="shared" si="429"/>
        <v>1</v>
      </c>
    </row>
    <row r="2753" spans="1:57" x14ac:dyDescent="0.25">
      <c r="A2753" t="s">
        <v>39</v>
      </c>
      <c r="B2753" t="s">
        <v>9538</v>
      </c>
      <c r="C2753">
        <v>69.8</v>
      </c>
      <c r="D2753">
        <v>57.2</v>
      </c>
      <c r="G2753">
        <f t="shared" si="420"/>
        <v>1</v>
      </c>
      <c r="H2753">
        <f t="shared" si="421"/>
        <v>1</v>
      </c>
      <c r="I2753">
        <f t="shared" si="422"/>
        <v>0</v>
      </c>
      <c r="J2753">
        <v>63.5</v>
      </c>
      <c r="K2753">
        <v>69.8</v>
      </c>
      <c r="L2753">
        <v>57.2</v>
      </c>
      <c r="M2753">
        <v>63.5</v>
      </c>
      <c r="N2753">
        <v>49.8</v>
      </c>
      <c r="O2753">
        <v>61.3</v>
      </c>
      <c r="S2753">
        <f t="shared" si="423"/>
        <v>1</v>
      </c>
      <c r="T2753">
        <f t="shared" si="424"/>
        <v>0</v>
      </c>
      <c r="U2753">
        <f t="shared" si="425"/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23</v>
      </c>
      <c r="AC2753">
        <v>19.7</v>
      </c>
      <c r="AG2753">
        <f t="shared" si="426"/>
        <v>0</v>
      </c>
      <c r="AH2753">
        <f t="shared" si="427"/>
        <v>0</v>
      </c>
      <c r="AI2753">
        <f t="shared" si="428"/>
        <v>0</v>
      </c>
      <c r="AJ2753">
        <v>158</v>
      </c>
      <c r="AK2753">
        <v>1014.2</v>
      </c>
      <c r="AL2753">
        <v>42.2</v>
      </c>
      <c r="AM2753">
        <v>6.2</v>
      </c>
      <c r="AN2753">
        <v>126.4</v>
      </c>
      <c r="AO2753">
        <v>10.7</v>
      </c>
      <c r="AP2753">
        <v>6</v>
      </c>
      <c r="AQ2753">
        <v>0</v>
      </c>
      <c r="AR2753" t="s">
        <v>9539</v>
      </c>
      <c r="AS2753" t="s">
        <v>9540</v>
      </c>
      <c r="AT2753">
        <v>0.31</v>
      </c>
      <c r="AU2753" t="s">
        <v>43</v>
      </c>
      <c r="AV2753" t="s">
        <v>44</v>
      </c>
      <c r="AW2753" t="s">
        <v>45</v>
      </c>
      <c r="AX2753" t="s">
        <v>9541</v>
      </c>
      <c r="AY2753" t="s">
        <v>9542</v>
      </c>
      <c r="AZ2753">
        <v>659.00000000023283</v>
      </c>
      <c r="BA2753">
        <v>1</v>
      </c>
      <c r="BB2753">
        <v>0</v>
      </c>
      <c r="BC2753">
        <v>1</v>
      </c>
      <c r="BD2753">
        <v>0</v>
      </c>
      <c r="BE2753">
        <f t="shared" si="429"/>
        <v>1</v>
      </c>
    </row>
    <row r="2754" spans="1:57" x14ac:dyDescent="0.25">
      <c r="A2754" t="s">
        <v>39</v>
      </c>
      <c r="B2754" t="s">
        <v>9543</v>
      </c>
      <c r="C2754">
        <v>69.8</v>
      </c>
      <c r="D2754">
        <v>55.4</v>
      </c>
      <c r="G2754">
        <f t="shared" si="420"/>
        <v>1</v>
      </c>
      <c r="H2754">
        <f t="shared" si="421"/>
        <v>1</v>
      </c>
      <c r="I2754">
        <f t="shared" si="422"/>
        <v>0</v>
      </c>
      <c r="J2754">
        <v>61.2</v>
      </c>
      <c r="K2754">
        <v>69.8</v>
      </c>
      <c r="L2754">
        <v>55.4</v>
      </c>
      <c r="M2754">
        <v>61.2</v>
      </c>
      <c r="N2754">
        <v>48.4</v>
      </c>
      <c r="O2754">
        <v>64.400000000000006</v>
      </c>
      <c r="S2754">
        <f t="shared" si="423"/>
        <v>1</v>
      </c>
      <c r="T2754">
        <f t="shared" si="424"/>
        <v>0</v>
      </c>
      <c r="U2754">
        <f t="shared" si="425"/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28.9</v>
      </c>
      <c r="AC2754">
        <v>18.3</v>
      </c>
      <c r="AG2754">
        <f t="shared" si="426"/>
        <v>1</v>
      </c>
      <c r="AH2754">
        <f t="shared" si="427"/>
        <v>0</v>
      </c>
      <c r="AI2754">
        <f t="shared" si="428"/>
        <v>1</v>
      </c>
      <c r="AJ2754">
        <v>175.7</v>
      </c>
      <c r="AK2754">
        <v>1016.5</v>
      </c>
      <c r="AL2754">
        <v>35.700000000000003</v>
      </c>
      <c r="AM2754">
        <v>6.2</v>
      </c>
      <c r="AN2754">
        <v>162.5</v>
      </c>
      <c r="AO2754">
        <v>14</v>
      </c>
      <c r="AP2754">
        <v>6</v>
      </c>
      <c r="AQ2754">
        <v>0</v>
      </c>
      <c r="AR2754" t="s">
        <v>9544</v>
      </c>
      <c r="AS2754" t="s">
        <v>9545</v>
      </c>
      <c r="AT2754">
        <v>0.95</v>
      </c>
      <c r="AU2754" t="s">
        <v>43</v>
      </c>
      <c r="AV2754" t="s">
        <v>44</v>
      </c>
      <c r="AW2754" t="s">
        <v>45</v>
      </c>
      <c r="AX2754" t="s">
        <v>5499</v>
      </c>
      <c r="AY2754" t="s">
        <v>9546</v>
      </c>
      <c r="AZ2754">
        <v>415.00000000116421</v>
      </c>
      <c r="BA2754">
        <v>1</v>
      </c>
      <c r="BB2754">
        <v>0</v>
      </c>
      <c r="BC2754">
        <v>10</v>
      </c>
      <c r="BD2754">
        <v>0</v>
      </c>
      <c r="BE2754">
        <f t="shared" si="429"/>
        <v>1</v>
      </c>
    </row>
    <row r="2755" spans="1:57" x14ac:dyDescent="0.25">
      <c r="A2755" t="s">
        <v>39</v>
      </c>
      <c r="B2755" t="s">
        <v>9547</v>
      </c>
      <c r="C2755">
        <v>66.2</v>
      </c>
      <c r="D2755">
        <v>50</v>
      </c>
      <c r="G2755">
        <f t="shared" ref="G2755:G2818" si="430">IF(ABS(C2755-INDEX($F$2:$F$13,MONTH(B2755)))&gt;1.8,1,0)</f>
        <v>1</v>
      </c>
      <c r="H2755">
        <f t="shared" ref="H2755:H2818" si="431">IF(C2755&gt;=INDEX($F$2:$F$13,MONTH(B2755))+1.8,1,0)</f>
        <v>1</v>
      </c>
      <c r="I2755">
        <f t="shared" ref="I2755:I2818" si="432">IF(C2755&lt;=INDEX($F$2:$F$13,MONTH(B2755))-1.8,1,0)</f>
        <v>0</v>
      </c>
      <c r="J2755">
        <v>57.4</v>
      </c>
      <c r="K2755">
        <v>66.2</v>
      </c>
      <c r="L2755">
        <v>50</v>
      </c>
      <c r="M2755">
        <v>57.4</v>
      </c>
      <c r="N2755">
        <v>48.5</v>
      </c>
      <c r="O2755">
        <v>72.900000000000006</v>
      </c>
      <c r="S2755">
        <f t="shared" ref="S2755:S2818" si="433">IF(OR(O2755&lt;INDEX($Q$2:$Q$13,MONTH(B2755)),O2755&gt;INDEX($R$2:$R$13,MONTH(B2755))),1,0)</f>
        <v>1</v>
      </c>
      <c r="T2755">
        <f t="shared" ref="T2755:T2818" si="434">IF(O2755&gt;INDEX($R$2:$R$13,MONTH(B2755)),1,0)</f>
        <v>1</v>
      </c>
      <c r="U2755">
        <f t="shared" ref="U2755:U2818" si="435">IF(O2755&lt;INDEX($Q$2:$Q$13,MONTH(B2755)),1,0)</f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12.8</v>
      </c>
      <c r="AC2755">
        <v>12.8</v>
      </c>
      <c r="AG2755">
        <f t="shared" ref="AG2755:AG2818" si="436">IF(OR(AC2755&lt;INDEX($AE$2:$AE$13,MONTH(B2755)),AC2755&gt;INDEX($AF$2:$AF$13,MONTH(B2755))),1,0)</f>
        <v>1</v>
      </c>
      <c r="AH2755">
        <f t="shared" ref="AH2755:AH2818" si="437">IF(AC2755&gt;INDEX($AF$2:$AF$13,MONTH(B2755)),1,0)</f>
        <v>0</v>
      </c>
      <c r="AI2755">
        <f t="shared" ref="AI2755:AI2818" si="438">IF(AC2755&lt;INDEX($AE$2:$AE$13,MONTH(B2755)),1,0)</f>
        <v>1</v>
      </c>
      <c r="AJ2755">
        <v>140</v>
      </c>
      <c r="AK2755">
        <v>1020.6</v>
      </c>
      <c r="AL2755">
        <v>36.4</v>
      </c>
      <c r="AM2755">
        <v>6.2</v>
      </c>
      <c r="AN2755">
        <v>195.7</v>
      </c>
      <c r="AO2755">
        <v>17</v>
      </c>
      <c r="AP2755">
        <v>7</v>
      </c>
      <c r="AQ2755">
        <v>0</v>
      </c>
      <c r="AR2755" t="s">
        <v>9548</v>
      </c>
      <c r="AS2755" t="s">
        <v>9549</v>
      </c>
      <c r="AT2755">
        <v>0.46</v>
      </c>
      <c r="AU2755" t="s">
        <v>43</v>
      </c>
      <c r="AV2755" t="s">
        <v>44</v>
      </c>
      <c r="AW2755" t="s">
        <v>45</v>
      </c>
      <c r="AX2755" t="s">
        <v>2609</v>
      </c>
      <c r="AY2755" t="s">
        <v>9550</v>
      </c>
      <c r="AZ2755">
        <v>155.00000000232831</v>
      </c>
      <c r="BA2755">
        <v>0</v>
      </c>
      <c r="BB2755">
        <v>0</v>
      </c>
      <c r="BC2755">
        <v>1.5</v>
      </c>
      <c r="BD2755">
        <v>0</v>
      </c>
      <c r="BE2755">
        <f t="shared" ref="BE2755:BE2818" si="439">IF((3*AH2755+3*H2755+2*U2755+2*BA2755-(2*(1-T2755)+2*(1-I2755)+2*(1-AI2755)))&gt;=1,1,0)</f>
        <v>1</v>
      </c>
    </row>
    <row r="2756" spans="1:57" x14ac:dyDescent="0.25">
      <c r="A2756" t="s">
        <v>39</v>
      </c>
      <c r="B2756" t="s">
        <v>9551</v>
      </c>
      <c r="C2756">
        <v>68</v>
      </c>
      <c r="D2756">
        <v>59</v>
      </c>
      <c r="G2756">
        <f t="shared" si="430"/>
        <v>1</v>
      </c>
      <c r="H2756">
        <f t="shared" si="431"/>
        <v>1</v>
      </c>
      <c r="I2756">
        <f t="shared" si="432"/>
        <v>0</v>
      </c>
      <c r="J2756">
        <v>62.7</v>
      </c>
      <c r="K2756">
        <v>68</v>
      </c>
      <c r="L2756">
        <v>59</v>
      </c>
      <c r="M2756">
        <v>62.7</v>
      </c>
      <c r="N2756">
        <v>46.7</v>
      </c>
      <c r="O2756">
        <v>56.9</v>
      </c>
      <c r="S2756">
        <f t="shared" si="433"/>
        <v>1</v>
      </c>
      <c r="T2756">
        <f t="shared" si="434"/>
        <v>0</v>
      </c>
      <c r="U2756">
        <f t="shared" si="435"/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32.4</v>
      </c>
      <c r="AC2756">
        <v>24.2</v>
      </c>
      <c r="AG2756">
        <f t="shared" si="436"/>
        <v>1</v>
      </c>
      <c r="AH2756">
        <f t="shared" si="437"/>
        <v>1</v>
      </c>
      <c r="AI2756">
        <f t="shared" si="438"/>
        <v>0</v>
      </c>
      <c r="AJ2756">
        <v>164.7</v>
      </c>
      <c r="AK2756">
        <v>1016.1</v>
      </c>
      <c r="AL2756">
        <v>40.799999999999997</v>
      </c>
      <c r="AM2756">
        <v>6.2</v>
      </c>
      <c r="AN2756">
        <v>168.8</v>
      </c>
      <c r="AO2756">
        <v>14.8</v>
      </c>
      <c r="AP2756">
        <v>6</v>
      </c>
      <c r="AQ2756">
        <v>0</v>
      </c>
      <c r="AR2756" t="s">
        <v>9552</v>
      </c>
      <c r="AS2756" t="s">
        <v>9553</v>
      </c>
      <c r="AT2756">
        <v>0.66</v>
      </c>
      <c r="AU2756" t="s">
        <v>43</v>
      </c>
      <c r="AV2756" t="s">
        <v>44</v>
      </c>
      <c r="AW2756" t="s">
        <v>45</v>
      </c>
      <c r="AX2756" t="s">
        <v>2572</v>
      </c>
      <c r="AY2756" t="s">
        <v>9554</v>
      </c>
      <c r="AZ2756">
        <v>1679.999999996508</v>
      </c>
      <c r="BA2756">
        <v>1</v>
      </c>
      <c r="BB2756">
        <v>0</v>
      </c>
      <c r="BC2756">
        <v>230</v>
      </c>
      <c r="BD2756">
        <v>0</v>
      </c>
      <c r="BE2756">
        <f t="shared" si="439"/>
        <v>1</v>
      </c>
    </row>
    <row r="2757" spans="1:57" x14ac:dyDescent="0.25">
      <c r="A2757" t="s">
        <v>39</v>
      </c>
      <c r="B2757" t="s">
        <v>9555</v>
      </c>
      <c r="C2757">
        <v>69.8</v>
      </c>
      <c r="D2757">
        <v>57.2</v>
      </c>
      <c r="G2757">
        <f t="shared" si="430"/>
        <v>1</v>
      </c>
      <c r="H2757">
        <f t="shared" si="431"/>
        <v>1</v>
      </c>
      <c r="I2757">
        <f t="shared" si="432"/>
        <v>0</v>
      </c>
      <c r="J2757">
        <v>64.5</v>
      </c>
      <c r="K2757">
        <v>69.8</v>
      </c>
      <c r="L2757">
        <v>57.2</v>
      </c>
      <c r="M2757">
        <v>64.5</v>
      </c>
      <c r="N2757">
        <v>54.4</v>
      </c>
      <c r="O2757">
        <v>70.900000000000006</v>
      </c>
      <c r="S2757">
        <f t="shared" si="433"/>
        <v>1</v>
      </c>
      <c r="T2757">
        <f t="shared" si="434"/>
        <v>1</v>
      </c>
      <c r="U2757">
        <f t="shared" si="435"/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28.9</v>
      </c>
      <c r="AC2757">
        <v>18.3</v>
      </c>
      <c r="AG2757">
        <f t="shared" si="436"/>
        <v>0</v>
      </c>
      <c r="AH2757">
        <f t="shared" si="437"/>
        <v>0</v>
      </c>
      <c r="AI2757">
        <f t="shared" si="438"/>
        <v>0</v>
      </c>
      <c r="AJ2757">
        <v>136.4</v>
      </c>
      <c r="AK2757">
        <v>1010.3</v>
      </c>
      <c r="AL2757">
        <v>36.6</v>
      </c>
      <c r="AM2757">
        <v>6.2</v>
      </c>
      <c r="AN2757">
        <v>270.2</v>
      </c>
      <c r="AO2757">
        <v>23.4</v>
      </c>
      <c r="AP2757">
        <v>8</v>
      </c>
      <c r="AQ2757">
        <v>0</v>
      </c>
      <c r="AR2757" t="s">
        <v>9556</v>
      </c>
      <c r="AS2757" t="s">
        <v>9557</v>
      </c>
      <c r="AT2757">
        <v>0.35</v>
      </c>
      <c r="AU2757" t="s">
        <v>43</v>
      </c>
      <c r="AV2757" t="s">
        <v>80</v>
      </c>
      <c r="AW2757" t="s">
        <v>45</v>
      </c>
      <c r="AX2757" t="s">
        <v>8418</v>
      </c>
      <c r="AY2757" t="s">
        <v>9558</v>
      </c>
      <c r="AZ2757">
        <v>116.00000000093129</v>
      </c>
      <c r="BA2757">
        <v>0</v>
      </c>
      <c r="BB2757">
        <v>0</v>
      </c>
      <c r="BC2757">
        <v>1.5</v>
      </c>
      <c r="BD2757">
        <v>0</v>
      </c>
      <c r="BE2757">
        <f t="shared" si="439"/>
        <v>0</v>
      </c>
    </row>
    <row r="2758" spans="1:57" x14ac:dyDescent="0.25">
      <c r="A2758" t="s">
        <v>39</v>
      </c>
      <c r="B2758" t="s">
        <v>9559</v>
      </c>
      <c r="C2758">
        <v>87.8</v>
      </c>
      <c r="D2758">
        <v>77</v>
      </c>
      <c r="G2758">
        <f t="shared" si="430"/>
        <v>1</v>
      </c>
      <c r="H2758">
        <f t="shared" si="431"/>
        <v>1</v>
      </c>
      <c r="I2758">
        <f t="shared" si="432"/>
        <v>0</v>
      </c>
      <c r="J2758">
        <v>83.8</v>
      </c>
      <c r="K2758">
        <v>94.2</v>
      </c>
      <c r="L2758">
        <v>77</v>
      </c>
      <c r="M2758">
        <v>87</v>
      </c>
      <c r="N2758">
        <v>68.099999999999994</v>
      </c>
      <c r="O2758">
        <v>59.8</v>
      </c>
      <c r="S2758">
        <f t="shared" si="433"/>
        <v>0</v>
      </c>
      <c r="T2758">
        <f t="shared" si="434"/>
        <v>0</v>
      </c>
      <c r="U2758">
        <f t="shared" si="435"/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36</v>
      </c>
      <c r="AC2758">
        <v>20.8</v>
      </c>
      <c r="AG2758">
        <f t="shared" si="436"/>
        <v>1</v>
      </c>
      <c r="AH2758">
        <f t="shared" si="437"/>
        <v>1</v>
      </c>
      <c r="AI2758">
        <f t="shared" si="438"/>
        <v>0</v>
      </c>
      <c r="AJ2758">
        <v>295.89999999999998</v>
      </c>
      <c r="AK2758">
        <v>1004.9</v>
      </c>
      <c r="AL2758">
        <v>0.1</v>
      </c>
      <c r="AM2758">
        <v>6.2</v>
      </c>
      <c r="AN2758">
        <v>321.60000000000002</v>
      </c>
      <c r="AO2758">
        <v>27.8</v>
      </c>
      <c r="AP2758">
        <v>9</v>
      </c>
      <c r="AQ2758">
        <v>0</v>
      </c>
      <c r="AR2758" t="s">
        <v>9560</v>
      </c>
      <c r="AS2758" t="s">
        <v>9561</v>
      </c>
      <c r="AT2758">
        <v>0.64</v>
      </c>
      <c r="AU2758" t="s">
        <v>74</v>
      </c>
      <c r="AV2758" t="s">
        <v>2955</v>
      </c>
      <c r="AW2758" t="s">
        <v>75</v>
      </c>
      <c r="AX2758" t="s">
        <v>4296</v>
      </c>
      <c r="AY2758" t="s">
        <v>9562</v>
      </c>
      <c r="AZ2758">
        <v>5734.9999999918509</v>
      </c>
      <c r="BA2758">
        <v>1</v>
      </c>
      <c r="BB2758">
        <v>0</v>
      </c>
      <c r="BC2758">
        <v>15</v>
      </c>
      <c r="BD2758">
        <v>0</v>
      </c>
      <c r="BE2758">
        <f t="shared" si="439"/>
        <v>1</v>
      </c>
    </row>
    <row r="2759" spans="1:57" x14ac:dyDescent="0.25">
      <c r="A2759" t="s">
        <v>39</v>
      </c>
      <c r="B2759" t="s">
        <v>9563</v>
      </c>
      <c r="C2759">
        <v>80.599999999999994</v>
      </c>
      <c r="D2759">
        <v>64.400000000000006</v>
      </c>
      <c r="G2759">
        <f t="shared" si="430"/>
        <v>0</v>
      </c>
      <c r="H2759">
        <f t="shared" si="431"/>
        <v>0</v>
      </c>
      <c r="I2759">
        <f t="shared" si="432"/>
        <v>0</v>
      </c>
      <c r="J2759">
        <v>72</v>
      </c>
      <c r="K2759">
        <v>84.6</v>
      </c>
      <c r="L2759">
        <v>64.400000000000006</v>
      </c>
      <c r="M2759">
        <v>72.400000000000006</v>
      </c>
      <c r="N2759">
        <v>63.6</v>
      </c>
      <c r="O2759">
        <v>75.8</v>
      </c>
      <c r="S2759">
        <f t="shared" si="433"/>
        <v>1</v>
      </c>
      <c r="T2759">
        <f t="shared" si="434"/>
        <v>1</v>
      </c>
      <c r="U2759">
        <f t="shared" si="435"/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20.8</v>
      </c>
      <c r="AC2759">
        <v>9.1999999999999993</v>
      </c>
      <c r="AG2759">
        <f t="shared" si="436"/>
        <v>1</v>
      </c>
      <c r="AH2759">
        <f t="shared" si="437"/>
        <v>0</v>
      </c>
      <c r="AI2759">
        <f t="shared" si="438"/>
        <v>1</v>
      </c>
      <c r="AJ2759">
        <v>248.2</v>
      </c>
      <c r="AK2759">
        <v>1017.2</v>
      </c>
      <c r="AL2759">
        <v>12.2</v>
      </c>
      <c r="AM2759">
        <v>6.2</v>
      </c>
      <c r="AN2759">
        <v>235.4</v>
      </c>
      <c r="AO2759">
        <v>20.5</v>
      </c>
      <c r="AP2759">
        <v>8</v>
      </c>
      <c r="AQ2759">
        <v>0</v>
      </c>
      <c r="AR2759" t="s">
        <v>9564</v>
      </c>
      <c r="AS2759" t="s">
        <v>9565</v>
      </c>
      <c r="AT2759">
        <v>0.75</v>
      </c>
      <c r="AU2759" t="s">
        <v>74</v>
      </c>
      <c r="AV2759" t="s">
        <v>2955</v>
      </c>
      <c r="AW2759" t="s">
        <v>75</v>
      </c>
      <c r="AX2759" t="s">
        <v>9566</v>
      </c>
      <c r="AY2759" t="s">
        <v>9567</v>
      </c>
      <c r="AZ2759">
        <v>587.99999999930151</v>
      </c>
      <c r="BA2759">
        <v>1</v>
      </c>
      <c r="BB2759">
        <v>0</v>
      </c>
      <c r="BC2759">
        <v>1</v>
      </c>
      <c r="BD2759">
        <v>0</v>
      </c>
      <c r="BE2759">
        <f t="shared" si="439"/>
        <v>0</v>
      </c>
    </row>
    <row r="2760" spans="1:57" x14ac:dyDescent="0.25">
      <c r="A2760" t="s">
        <v>39</v>
      </c>
      <c r="B2760" t="s">
        <v>9568</v>
      </c>
      <c r="C2760">
        <v>80.599999999999994</v>
      </c>
      <c r="D2760">
        <v>64.400000000000006</v>
      </c>
      <c r="G2760">
        <f t="shared" si="430"/>
        <v>1</v>
      </c>
      <c r="H2760">
        <f t="shared" si="431"/>
        <v>1</v>
      </c>
      <c r="I2760">
        <f t="shared" si="432"/>
        <v>0</v>
      </c>
      <c r="J2760">
        <v>72.099999999999994</v>
      </c>
      <c r="K2760">
        <v>83.3</v>
      </c>
      <c r="L2760">
        <v>64.400000000000006</v>
      </c>
      <c r="M2760">
        <v>72.400000000000006</v>
      </c>
      <c r="N2760">
        <v>62.7</v>
      </c>
      <c r="O2760">
        <v>72.8</v>
      </c>
      <c r="S2760">
        <f t="shared" si="433"/>
        <v>1</v>
      </c>
      <c r="T2760">
        <f t="shared" si="434"/>
        <v>1</v>
      </c>
      <c r="U2760">
        <f t="shared" si="435"/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16.100000000000001</v>
      </c>
      <c r="AC2760">
        <v>11.4</v>
      </c>
      <c r="AG2760">
        <f t="shared" si="436"/>
        <v>1</v>
      </c>
      <c r="AH2760">
        <f t="shared" si="437"/>
        <v>0</v>
      </c>
      <c r="AI2760">
        <f t="shared" si="438"/>
        <v>1</v>
      </c>
      <c r="AJ2760">
        <v>135.5</v>
      </c>
      <c r="AK2760">
        <v>1016</v>
      </c>
      <c r="AL2760">
        <v>2.4</v>
      </c>
      <c r="AM2760">
        <v>6.2</v>
      </c>
      <c r="AN2760">
        <v>215.2</v>
      </c>
      <c r="AO2760">
        <v>18.8</v>
      </c>
      <c r="AP2760">
        <v>7</v>
      </c>
      <c r="AQ2760">
        <v>0</v>
      </c>
      <c r="AR2760" t="s">
        <v>9569</v>
      </c>
      <c r="AS2760" t="s">
        <v>9570</v>
      </c>
      <c r="AT2760">
        <v>0.05</v>
      </c>
      <c r="AU2760" t="s">
        <v>74</v>
      </c>
      <c r="AV2760" t="s">
        <v>2955</v>
      </c>
      <c r="AW2760" t="s">
        <v>75</v>
      </c>
      <c r="AX2760" t="s">
        <v>9571</v>
      </c>
      <c r="AY2760" t="s">
        <v>9572</v>
      </c>
      <c r="AZ2760">
        <v>175.99999999743889</v>
      </c>
      <c r="BA2760">
        <v>0</v>
      </c>
      <c r="BB2760">
        <v>0</v>
      </c>
      <c r="BC2760">
        <v>0.01</v>
      </c>
      <c r="BD2760">
        <v>0</v>
      </c>
      <c r="BE2760">
        <f t="shared" si="439"/>
        <v>1</v>
      </c>
    </row>
    <row r="2761" spans="1:57" x14ac:dyDescent="0.25">
      <c r="A2761" t="s">
        <v>39</v>
      </c>
      <c r="B2761" t="s">
        <v>9573</v>
      </c>
      <c r="C2761">
        <v>66.2</v>
      </c>
      <c r="D2761">
        <v>55.4</v>
      </c>
      <c r="G2761">
        <f t="shared" si="430"/>
        <v>1</v>
      </c>
      <c r="H2761">
        <f t="shared" si="431"/>
        <v>1</v>
      </c>
      <c r="I2761">
        <f t="shared" si="432"/>
        <v>0</v>
      </c>
      <c r="J2761">
        <v>60.4</v>
      </c>
      <c r="K2761">
        <v>66.2</v>
      </c>
      <c r="L2761">
        <v>55.4</v>
      </c>
      <c r="M2761">
        <v>60.4</v>
      </c>
      <c r="N2761">
        <v>53.8</v>
      </c>
      <c r="O2761">
        <v>79.400000000000006</v>
      </c>
      <c r="S2761">
        <f t="shared" si="433"/>
        <v>1</v>
      </c>
      <c r="T2761">
        <f t="shared" si="434"/>
        <v>1</v>
      </c>
      <c r="U2761">
        <f t="shared" si="435"/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15</v>
      </c>
      <c r="AC2761">
        <v>8.1</v>
      </c>
      <c r="AG2761">
        <f t="shared" si="436"/>
        <v>1</v>
      </c>
      <c r="AH2761">
        <f t="shared" si="437"/>
        <v>0</v>
      </c>
      <c r="AI2761">
        <f t="shared" si="438"/>
        <v>1</v>
      </c>
      <c r="AJ2761">
        <v>212</v>
      </c>
      <c r="AK2761">
        <v>1018.5</v>
      </c>
      <c r="AL2761">
        <v>28.7</v>
      </c>
      <c r="AM2761">
        <v>6.2</v>
      </c>
      <c r="AN2761">
        <v>123.8</v>
      </c>
      <c r="AO2761">
        <v>10.5</v>
      </c>
      <c r="AP2761">
        <v>5</v>
      </c>
      <c r="AQ2761">
        <v>0</v>
      </c>
      <c r="AR2761" t="s">
        <v>9574</v>
      </c>
      <c r="AS2761" t="s">
        <v>9575</v>
      </c>
      <c r="AT2761">
        <v>0.8</v>
      </c>
      <c r="AU2761" t="s">
        <v>43</v>
      </c>
      <c r="AV2761" t="s">
        <v>44</v>
      </c>
      <c r="AW2761" t="s">
        <v>45</v>
      </c>
      <c r="AX2761" t="s">
        <v>2587</v>
      </c>
      <c r="AY2761" t="s">
        <v>9576</v>
      </c>
      <c r="AZ2761">
        <v>34.999999998835847</v>
      </c>
      <c r="BA2761">
        <v>0</v>
      </c>
      <c r="BB2761">
        <v>0</v>
      </c>
      <c r="BC2761">
        <v>1</v>
      </c>
      <c r="BD2761">
        <v>0</v>
      </c>
      <c r="BE2761">
        <f t="shared" si="439"/>
        <v>1</v>
      </c>
    </row>
    <row r="2762" spans="1:57" x14ac:dyDescent="0.25">
      <c r="A2762" t="s">
        <v>39</v>
      </c>
      <c r="B2762" t="s">
        <v>9577</v>
      </c>
      <c r="C2762">
        <v>73.400000000000006</v>
      </c>
      <c r="D2762">
        <v>62.6</v>
      </c>
      <c r="G2762">
        <f t="shared" si="430"/>
        <v>1</v>
      </c>
      <c r="H2762">
        <f t="shared" si="431"/>
        <v>1</v>
      </c>
      <c r="I2762">
        <f t="shared" si="432"/>
        <v>0</v>
      </c>
      <c r="J2762">
        <v>65.400000000000006</v>
      </c>
      <c r="K2762">
        <v>73.400000000000006</v>
      </c>
      <c r="L2762">
        <v>62.6</v>
      </c>
      <c r="M2762">
        <v>65.400000000000006</v>
      </c>
      <c r="N2762">
        <v>47.5</v>
      </c>
      <c r="O2762">
        <v>53.5</v>
      </c>
      <c r="S2762">
        <f t="shared" si="433"/>
        <v>1</v>
      </c>
      <c r="T2762">
        <f t="shared" si="434"/>
        <v>0</v>
      </c>
      <c r="U2762">
        <f t="shared" si="435"/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31.1</v>
      </c>
      <c r="AC2762">
        <v>20.8</v>
      </c>
      <c r="AG2762">
        <f t="shared" si="436"/>
        <v>1</v>
      </c>
      <c r="AH2762">
        <f t="shared" si="437"/>
        <v>1</v>
      </c>
      <c r="AI2762">
        <f t="shared" si="438"/>
        <v>0</v>
      </c>
      <c r="AJ2762">
        <v>168.3</v>
      </c>
      <c r="AK2762">
        <v>1014.6</v>
      </c>
      <c r="AL2762">
        <v>37.4</v>
      </c>
      <c r="AM2762">
        <v>6.2</v>
      </c>
      <c r="AN2762">
        <v>124.7</v>
      </c>
      <c r="AO2762">
        <v>10.7</v>
      </c>
      <c r="AP2762">
        <v>5</v>
      </c>
      <c r="AQ2762">
        <v>0</v>
      </c>
      <c r="AR2762" t="s">
        <v>9578</v>
      </c>
      <c r="AS2762" t="s">
        <v>9579</v>
      </c>
      <c r="AT2762">
        <v>0.28000000000000003</v>
      </c>
      <c r="AU2762" t="s">
        <v>43</v>
      </c>
      <c r="AV2762" t="s">
        <v>44</v>
      </c>
      <c r="AW2762" t="s">
        <v>45</v>
      </c>
      <c r="AX2762" t="s">
        <v>4404</v>
      </c>
      <c r="AY2762" t="s">
        <v>9580</v>
      </c>
      <c r="AZ2762">
        <v>40.000000004656613</v>
      </c>
      <c r="BA2762">
        <v>0</v>
      </c>
      <c r="BB2762">
        <v>0</v>
      </c>
      <c r="BC2762">
        <v>0.2</v>
      </c>
      <c r="BD2762">
        <v>0</v>
      </c>
      <c r="BE2762">
        <f t="shared" si="439"/>
        <v>1</v>
      </c>
    </row>
    <row r="2763" spans="1:57" x14ac:dyDescent="0.25">
      <c r="A2763" t="s">
        <v>39</v>
      </c>
      <c r="B2763" t="s">
        <v>9538</v>
      </c>
      <c r="C2763">
        <v>69.8</v>
      </c>
      <c r="D2763">
        <v>57.2</v>
      </c>
      <c r="G2763">
        <f t="shared" si="430"/>
        <v>1</v>
      </c>
      <c r="H2763">
        <f t="shared" si="431"/>
        <v>1</v>
      </c>
      <c r="I2763">
        <f t="shared" si="432"/>
        <v>0</v>
      </c>
      <c r="J2763">
        <v>63.5</v>
      </c>
      <c r="K2763">
        <v>69.8</v>
      </c>
      <c r="L2763">
        <v>57.2</v>
      </c>
      <c r="M2763">
        <v>63.5</v>
      </c>
      <c r="N2763">
        <v>49.8</v>
      </c>
      <c r="O2763">
        <v>61.3</v>
      </c>
      <c r="S2763">
        <f t="shared" si="433"/>
        <v>1</v>
      </c>
      <c r="T2763">
        <f t="shared" si="434"/>
        <v>0</v>
      </c>
      <c r="U2763">
        <f t="shared" si="435"/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23</v>
      </c>
      <c r="AC2763">
        <v>19.7</v>
      </c>
      <c r="AG2763">
        <f t="shared" si="436"/>
        <v>0</v>
      </c>
      <c r="AH2763">
        <f t="shared" si="437"/>
        <v>0</v>
      </c>
      <c r="AI2763">
        <f t="shared" si="438"/>
        <v>0</v>
      </c>
      <c r="AJ2763">
        <v>158</v>
      </c>
      <c r="AK2763">
        <v>1014.2</v>
      </c>
      <c r="AL2763">
        <v>42.2</v>
      </c>
      <c r="AM2763">
        <v>6.2</v>
      </c>
      <c r="AN2763">
        <v>126.4</v>
      </c>
      <c r="AO2763">
        <v>10.7</v>
      </c>
      <c r="AP2763">
        <v>6</v>
      </c>
      <c r="AQ2763">
        <v>0</v>
      </c>
      <c r="AR2763" t="s">
        <v>9539</v>
      </c>
      <c r="AS2763" t="s">
        <v>9540</v>
      </c>
      <c r="AT2763">
        <v>0.31</v>
      </c>
      <c r="AU2763" t="s">
        <v>43</v>
      </c>
      <c r="AV2763" t="s">
        <v>44</v>
      </c>
      <c r="AW2763" t="s">
        <v>45</v>
      </c>
      <c r="AX2763" t="s">
        <v>5946</v>
      </c>
      <c r="AY2763" t="s">
        <v>9581</v>
      </c>
      <c r="AZ2763">
        <v>59.99999999650754</v>
      </c>
      <c r="BA2763">
        <v>0</v>
      </c>
      <c r="BB2763">
        <v>0</v>
      </c>
      <c r="BC2763">
        <v>0.15</v>
      </c>
      <c r="BD2763">
        <v>0</v>
      </c>
      <c r="BE2763">
        <f t="shared" si="439"/>
        <v>0</v>
      </c>
    </row>
    <row r="2764" spans="1:57" x14ac:dyDescent="0.25">
      <c r="A2764" t="s">
        <v>39</v>
      </c>
      <c r="B2764" t="s">
        <v>9393</v>
      </c>
      <c r="C2764">
        <v>86</v>
      </c>
      <c r="D2764">
        <v>67.900000000000006</v>
      </c>
      <c r="G2764">
        <f t="shared" si="430"/>
        <v>1</v>
      </c>
      <c r="H2764">
        <f t="shared" si="431"/>
        <v>1</v>
      </c>
      <c r="I2764">
        <f t="shared" si="432"/>
        <v>0</v>
      </c>
      <c r="J2764">
        <v>75.8</v>
      </c>
      <c r="K2764">
        <v>82.7</v>
      </c>
      <c r="L2764">
        <v>67.900000000000006</v>
      </c>
      <c r="M2764">
        <v>75</v>
      </c>
      <c r="N2764">
        <v>36</v>
      </c>
      <c r="O2764">
        <v>26.2</v>
      </c>
      <c r="S2764">
        <f t="shared" si="433"/>
        <v>1</v>
      </c>
      <c r="T2764">
        <f t="shared" si="434"/>
        <v>0</v>
      </c>
      <c r="U2764">
        <f t="shared" si="435"/>
        <v>1</v>
      </c>
      <c r="V2764">
        <v>4.0000000000000001E-3</v>
      </c>
      <c r="W2764">
        <v>100</v>
      </c>
      <c r="X2764">
        <v>4.17</v>
      </c>
      <c r="Y2764" t="s">
        <v>103</v>
      </c>
      <c r="Z2764">
        <v>0</v>
      </c>
      <c r="AA2764">
        <v>0</v>
      </c>
      <c r="AB2764">
        <v>43.8</v>
      </c>
      <c r="AC2764">
        <v>31.1</v>
      </c>
      <c r="AG2764">
        <f t="shared" si="436"/>
        <v>1</v>
      </c>
      <c r="AH2764">
        <f t="shared" si="437"/>
        <v>1</v>
      </c>
      <c r="AI2764">
        <f t="shared" si="438"/>
        <v>0</v>
      </c>
      <c r="AJ2764">
        <v>174.2</v>
      </c>
      <c r="AK2764">
        <v>1009.8</v>
      </c>
      <c r="AL2764">
        <v>36.5</v>
      </c>
      <c r="AM2764">
        <v>6.2</v>
      </c>
      <c r="AN2764">
        <v>266</v>
      </c>
      <c r="AO2764">
        <v>22.9</v>
      </c>
      <c r="AP2764">
        <v>9</v>
      </c>
      <c r="AQ2764">
        <v>0</v>
      </c>
      <c r="AR2764" t="s">
        <v>9394</v>
      </c>
      <c r="AS2764" t="s">
        <v>9395</v>
      </c>
      <c r="AT2764">
        <v>0.56999999999999995</v>
      </c>
      <c r="AU2764" t="s">
        <v>106</v>
      </c>
      <c r="AV2764" t="s">
        <v>433</v>
      </c>
      <c r="AW2764" t="s">
        <v>103</v>
      </c>
      <c r="AX2764" t="s">
        <v>9582</v>
      </c>
      <c r="AY2764" t="s">
        <v>9583</v>
      </c>
      <c r="AZ2764">
        <v>393.00000000279402</v>
      </c>
      <c r="BA2764">
        <v>1</v>
      </c>
      <c r="BB2764">
        <v>0</v>
      </c>
      <c r="BC2764">
        <v>2</v>
      </c>
      <c r="BD2764">
        <v>0</v>
      </c>
      <c r="BE2764">
        <f t="shared" si="439"/>
        <v>1</v>
      </c>
    </row>
    <row r="2765" spans="1:57" x14ac:dyDescent="0.25">
      <c r="A2765" t="s">
        <v>39</v>
      </c>
      <c r="B2765" t="s">
        <v>9584</v>
      </c>
      <c r="C2765">
        <v>67.900000000000006</v>
      </c>
      <c r="D2765">
        <v>53.5</v>
      </c>
      <c r="G2765">
        <f t="shared" si="430"/>
        <v>1</v>
      </c>
      <c r="H2765">
        <f t="shared" si="431"/>
        <v>1</v>
      </c>
      <c r="I2765">
        <f t="shared" si="432"/>
        <v>0</v>
      </c>
      <c r="J2765">
        <v>61.5</v>
      </c>
      <c r="K2765">
        <v>67.900000000000006</v>
      </c>
      <c r="L2765">
        <v>53.5</v>
      </c>
      <c r="M2765">
        <v>61.5</v>
      </c>
      <c r="N2765">
        <v>54.7</v>
      </c>
      <c r="O2765">
        <v>78.900000000000006</v>
      </c>
      <c r="S2765">
        <f t="shared" si="433"/>
        <v>1</v>
      </c>
      <c r="T2765">
        <f t="shared" si="434"/>
        <v>1</v>
      </c>
      <c r="U2765">
        <f t="shared" si="435"/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11</v>
      </c>
      <c r="AC2765">
        <v>11.4</v>
      </c>
      <c r="AG2765">
        <f t="shared" si="436"/>
        <v>1</v>
      </c>
      <c r="AH2765">
        <f t="shared" si="437"/>
        <v>0</v>
      </c>
      <c r="AI2765">
        <f t="shared" si="438"/>
        <v>1</v>
      </c>
      <c r="AJ2765">
        <v>137.5</v>
      </c>
      <c r="AK2765">
        <v>1019.2</v>
      </c>
      <c r="AL2765">
        <v>20.7</v>
      </c>
      <c r="AM2765">
        <v>6.2</v>
      </c>
      <c r="AN2765">
        <v>269.39999999999998</v>
      </c>
      <c r="AO2765">
        <v>23.3</v>
      </c>
      <c r="AP2765">
        <v>9</v>
      </c>
      <c r="AQ2765">
        <v>0</v>
      </c>
      <c r="AR2765" t="s">
        <v>9585</v>
      </c>
      <c r="AS2765" t="s">
        <v>9586</v>
      </c>
      <c r="AT2765">
        <v>0.68</v>
      </c>
      <c r="AU2765" t="s">
        <v>43</v>
      </c>
      <c r="AV2765" t="s">
        <v>44</v>
      </c>
      <c r="AW2765" t="s">
        <v>45</v>
      </c>
      <c r="AX2765" t="s">
        <v>8773</v>
      </c>
      <c r="AY2765" t="s">
        <v>9587</v>
      </c>
      <c r="AZ2765">
        <v>368.99999999790452</v>
      </c>
      <c r="BA2765">
        <v>1</v>
      </c>
      <c r="BB2765">
        <v>0</v>
      </c>
      <c r="BC2765">
        <v>0.3</v>
      </c>
      <c r="BD2765">
        <v>0</v>
      </c>
      <c r="BE2765">
        <f t="shared" si="439"/>
        <v>1</v>
      </c>
    </row>
    <row r="2766" spans="1:57" x14ac:dyDescent="0.25">
      <c r="A2766" t="s">
        <v>39</v>
      </c>
      <c r="B2766" t="s">
        <v>9588</v>
      </c>
      <c r="C2766">
        <v>69.7</v>
      </c>
      <c r="D2766">
        <v>53.5</v>
      </c>
      <c r="G2766">
        <f t="shared" si="430"/>
        <v>1</v>
      </c>
      <c r="H2766">
        <f t="shared" si="431"/>
        <v>1</v>
      </c>
      <c r="I2766">
        <f t="shared" si="432"/>
        <v>0</v>
      </c>
      <c r="J2766">
        <v>62.2</v>
      </c>
      <c r="K2766">
        <v>69.7</v>
      </c>
      <c r="L2766">
        <v>53.5</v>
      </c>
      <c r="M2766">
        <v>62.2</v>
      </c>
      <c r="N2766">
        <v>55.8</v>
      </c>
      <c r="O2766">
        <v>80</v>
      </c>
      <c r="S2766">
        <f t="shared" si="433"/>
        <v>1</v>
      </c>
      <c r="T2766">
        <f t="shared" si="434"/>
        <v>1</v>
      </c>
      <c r="U2766">
        <f t="shared" si="435"/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10.7</v>
      </c>
      <c r="AC2766">
        <v>8.1</v>
      </c>
      <c r="AG2766">
        <f t="shared" si="436"/>
        <v>1</v>
      </c>
      <c r="AH2766">
        <f t="shared" si="437"/>
        <v>0</v>
      </c>
      <c r="AI2766">
        <f t="shared" si="438"/>
        <v>1</v>
      </c>
      <c r="AJ2766">
        <v>348.4</v>
      </c>
      <c r="AK2766">
        <v>1020.3</v>
      </c>
      <c r="AL2766">
        <v>35.200000000000003</v>
      </c>
      <c r="AM2766">
        <v>6.1</v>
      </c>
      <c r="AN2766">
        <v>281.8</v>
      </c>
      <c r="AO2766">
        <v>23.4</v>
      </c>
      <c r="AP2766">
        <v>9</v>
      </c>
      <c r="AQ2766">
        <v>0</v>
      </c>
      <c r="AR2766" t="s">
        <v>9589</v>
      </c>
      <c r="AS2766" t="s">
        <v>9590</v>
      </c>
      <c r="AT2766">
        <v>0.71</v>
      </c>
      <c r="AU2766" t="s">
        <v>43</v>
      </c>
      <c r="AV2766" t="s">
        <v>44</v>
      </c>
      <c r="AW2766" t="s">
        <v>45</v>
      </c>
      <c r="AX2766" t="s">
        <v>9591</v>
      </c>
      <c r="AY2766" t="s">
        <v>9592</v>
      </c>
      <c r="AZ2766">
        <v>207.9999999969732</v>
      </c>
      <c r="BA2766">
        <v>0</v>
      </c>
      <c r="BB2766">
        <v>0</v>
      </c>
      <c r="BC2766">
        <v>2</v>
      </c>
      <c r="BD2766">
        <v>0</v>
      </c>
      <c r="BE2766">
        <f t="shared" si="439"/>
        <v>1</v>
      </c>
    </row>
    <row r="2767" spans="1:57" x14ac:dyDescent="0.25">
      <c r="A2767" t="s">
        <v>39</v>
      </c>
      <c r="B2767" t="s">
        <v>9593</v>
      </c>
      <c r="C2767">
        <v>86</v>
      </c>
      <c r="D2767">
        <v>73.400000000000006</v>
      </c>
      <c r="G2767">
        <f t="shared" si="430"/>
        <v>1</v>
      </c>
      <c r="H2767">
        <f t="shared" si="431"/>
        <v>1</v>
      </c>
      <c r="I2767">
        <f t="shared" si="432"/>
        <v>0</v>
      </c>
      <c r="J2767">
        <v>81.2</v>
      </c>
      <c r="K2767">
        <v>90.6</v>
      </c>
      <c r="L2767">
        <v>73.400000000000006</v>
      </c>
      <c r="M2767">
        <v>83.9</v>
      </c>
      <c r="N2767">
        <v>68</v>
      </c>
      <c r="O2767">
        <v>64.599999999999994</v>
      </c>
      <c r="S2767">
        <f t="shared" si="433"/>
        <v>1</v>
      </c>
      <c r="T2767">
        <f t="shared" si="434"/>
        <v>1</v>
      </c>
      <c r="U2767">
        <f t="shared" si="435"/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26.8</v>
      </c>
      <c r="AC2767">
        <v>18.3</v>
      </c>
      <c r="AG2767">
        <f t="shared" si="436"/>
        <v>0</v>
      </c>
      <c r="AH2767">
        <f t="shared" si="437"/>
        <v>0</v>
      </c>
      <c r="AI2767">
        <f t="shared" si="438"/>
        <v>0</v>
      </c>
      <c r="AJ2767">
        <v>306.10000000000002</v>
      </c>
      <c r="AK2767">
        <v>1008.2</v>
      </c>
      <c r="AL2767">
        <v>15.1</v>
      </c>
      <c r="AM2767">
        <v>6.2</v>
      </c>
      <c r="AN2767">
        <v>275.89999999999998</v>
      </c>
      <c r="AO2767">
        <v>23.8</v>
      </c>
      <c r="AP2767">
        <v>8</v>
      </c>
      <c r="AQ2767">
        <v>0</v>
      </c>
      <c r="AR2767" t="s">
        <v>9594</v>
      </c>
      <c r="AS2767" t="s">
        <v>9595</v>
      </c>
      <c r="AT2767">
        <v>0.75</v>
      </c>
      <c r="AU2767" t="s">
        <v>74</v>
      </c>
      <c r="AV2767" t="s">
        <v>2955</v>
      </c>
      <c r="AW2767" t="s">
        <v>75</v>
      </c>
      <c r="AX2767" t="s">
        <v>9479</v>
      </c>
      <c r="AY2767" t="s">
        <v>9596</v>
      </c>
      <c r="AZ2767">
        <v>100.0000000011642</v>
      </c>
      <c r="BA2767">
        <v>0</v>
      </c>
      <c r="BB2767">
        <v>0.01</v>
      </c>
      <c r="BC2767">
        <v>0</v>
      </c>
      <c r="BD2767">
        <v>0</v>
      </c>
      <c r="BE2767">
        <f t="shared" si="439"/>
        <v>0</v>
      </c>
    </row>
    <row r="2768" spans="1:57" x14ac:dyDescent="0.25">
      <c r="A2768" t="s">
        <v>39</v>
      </c>
      <c r="B2768" t="s">
        <v>9504</v>
      </c>
      <c r="C2768">
        <v>71.599999999999994</v>
      </c>
      <c r="D2768">
        <v>59</v>
      </c>
      <c r="G2768">
        <f t="shared" si="430"/>
        <v>1</v>
      </c>
      <c r="H2768">
        <f t="shared" si="431"/>
        <v>1</v>
      </c>
      <c r="I2768">
        <f t="shared" si="432"/>
        <v>0</v>
      </c>
      <c r="J2768">
        <v>66.5</v>
      </c>
      <c r="K2768">
        <v>71.599999999999994</v>
      </c>
      <c r="L2768">
        <v>59</v>
      </c>
      <c r="M2768">
        <v>66.5</v>
      </c>
      <c r="N2768">
        <v>47.7</v>
      </c>
      <c r="O2768">
        <v>51.2</v>
      </c>
      <c r="S2768">
        <f t="shared" si="433"/>
        <v>1</v>
      </c>
      <c r="T2768">
        <f t="shared" si="434"/>
        <v>0</v>
      </c>
      <c r="U2768">
        <f t="shared" si="435"/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34.4</v>
      </c>
      <c r="AC2768">
        <v>18.3</v>
      </c>
      <c r="AG2768">
        <f t="shared" si="436"/>
        <v>0</v>
      </c>
      <c r="AH2768">
        <f t="shared" si="437"/>
        <v>0</v>
      </c>
      <c r="AI2768">
        <f t="shared" si="438"/>
        <v>0</v>
      </c>
      <c r="AJ2768">
        <v>302.10000000000002</v>
      </c>
      <c r="AK2768">
        <v>1019.6</v>
      </c>
      <c r="AL2768">
        <v>3.5</v>
      </c>
      <c r="AM2768">
        <v>6.2</v>
      </c>
      <c r="AN2768">
        <v>280.89999999999998</v>
      </c>
      <c r="AO2768">
        <v>24.3</v>
      </c>
      <c r="AP2768">
        <v>9</v>
      </c>
      <c r="AQ2768">
        <v>0</v>
      </c>
      <c r="AR2768" t="s">
        <v>9505</v>
      </c>
      <c r="AS2768" t="s">
        <v>9506</v>
      </c>
      <c r="AT2768">
        <v>0.92</v>
      </c>
      <c r="AU2768" t="s">
        <v>74</v>
      </c>
      <c r="AV2768" t="s">
        <v>2955</v>
      </c>
      <c r="AW2768" t="s">
        <v>75</v>
      </c>
      <c r="AX2768" t="s">
        <v>9597</v>
      </c>
      <c r="AY2768" t="s">
        <v>9598</v>
      </c>
      <c r="AZ2768">
        <v>13815</v>
      </c>
      <c r="BA2768">
        <v>1</v>
      </c>
      <c r="BB2768">
        <v>320</v>
      </c>
      <c r="BC2768">
        <v>250</v>
      </c>
      <c r="BD2768">
        <v>0</v>
      </c>
      <c r="BE2768">
        <f t="shared" si="439"/>
        <v>1</v>
      </c>
    </row>
    <row r="2769" spans="1:57" x14ac:dyDescent="0.25">
      <c r="A2769" t="s">
        <v>39</v>
      </c>
      <c r="B2769" t="s">
        <v>9599</v>
      </c>
      <c r="C2769">
        <v>62.6</v>
      </c>
      <c r="D2769">
        <v>50</v>
      </c>
      <c r="G2769">
        <f t="shared" si="430"/>
        <v>1</v>
      </c>
      <c r="H2769">
        <f t="shared" si="431"/>
        <v>1</v>
      </c>
      <c r="I2769">
        <f t="shared" si="432"/>
        <v>0</v>
      </c>
      <c r="J2769">
        <v>56.4</v>
      </c>
      <c r="K2769">
        <v>62.6</v>
      </c>
      <c r="L2769">
        <v>50</v>
      </c>
      <c r="M2769">
        <v>56.4</v>
      </c>
      <c r="N2769">
        <v>50.7</v>
      </c>
      <c r="O2769">
        <v>81.7</v>
      </c>
      <c r="S2769">
        <f t="shared" si="433"/>
        <v>1</v>
      </c>
      <c r="T2769">
        <f t="shared" si="434"/>
        <v>1</v>
      </c>
      <c r="U2769">
        <f t="shared" si="435"/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13</v>
      </c>
      <c r="AC2769">
        <v>11.4</v>
      </c>
      <c r="AG2769">
        <f t="shared" si="436"/>
        <v>1</v>
      </c>
      <c r="AH2769">
        <f t="shared" si="437"/>
        <v>0</v>
      </c>
      <c r="AI2769">
        <f t="shared" si="438"/>
        <v>1</v>
      </c>
      <c r="AJ2769">
        <v>182.1</v>
      </c>
      <c r="AK2769">
        <v>1022.5</v>
      </c>
      <c r="AL2769">
        <v>39.9</v>
      </c>
      <c r="AM2769">
        <v>6.2</v>
      </c>
      <c r="AN2769">
        <v>131.30000000000001</v>
      </c>
      <c r="AO2769">
        <v>11.4</v>
      </c>
      <c r="AP2769">
        <v>5</v>
      </c>
      <c r="AQ2769">
        <v>0</v>
      </c>
      <c r="AR2769" t="s">
        <v>9600</v>
      </c>
      <c r="AS2769" t="s">
        <v>9601</v>
      </c>
      <c r="AT2769">
        <v>0.23</v>
      </c>
      <c r="AU2769" t="s">
        <v>43</v>
      </c>
      <c r="AV2769" t="s">
        <v>44</v>
      </c>
      <c r="AW2769" t="s">
        <v>45</v>
      </c>
      <c r="AX2769" s="1">
        <v>0.57847222222222228</v>
      </c>
      <c r="AY2769" s="2">
        <v>45663.578472222223</v>
      </c>
      <c r="AZ2769">
        <v>39.999999994179227</v>
      </c>
      <c r="BA2769">
        <v>0</v>
      </c>
      <c r="BB2769">
        <v>0</v>
      </c>
      <c r="BC2769">
        <v>0.03</v>
      </c>
      <c r="BD2769">
        <v>0</v>
      </c>
      <c r="BE2769">
        <f t="shared" si="439"/>
        <v>1</v>
      </c>
    </row>
    <row r="2770" spans="1:57" x14ac:dyDescent="0.25">
      <c r="A2770" t="s">
        <v>39</v>
      </c>
      <c r="B2770" t="s">
        <v>9602</v>
      </c>
      <c r="C2770">
        <v>68</v>
      </c>
      <c r="D2770">
        <v>53.6</v>
      </c>
      <c r="G2770">
        <f t="shared" si="430"/>
        <v>1</v>
      </c>
      <c r="H2770">
        <f t="shared" si="431"/>
        <v>1</v>
      </c>
      <c r="I2770">
        <f t="shared" si="432"/>
        <v>0</v>
      </c>
      <c r="J2770">
        <v>59.8</v>
      </c>
      <c r="K2770">
        <v>68</v>
      </c>
      <c r="L2770">
        <v>53.6</v>
      </c>
      <c r="M2770">
        <v>59.8</v>
      </c>
      <c r="N2770">
        <v>53.9</v>
      </c>
      <c r="O2770">
        <v>81.5</v>
      </c>
      <c r="S2770">
        <f t="shared" si="433"/>
        <v>1</v>
      </c>
      <c r="T2770">
        <f t="shared" si="434"/>
        <v>1</v>
      </c>
      <c r="U2770">
        <f t="shared" si="435"/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27.7</v>
      </c>
      <c r="AC2770">
        <v>11.4</v>
      </c>
      <c r="AG2770">
        <f t="shared" si="436"/>
        <v>1</v>
      </c>
      <c r="AH2770">
        <f t="shared" si="437"/>
        <v>0</v>
      </c>
      <c r="AI2770">
        <f t="shared" si="438"/>
        <v>1</v>
      </c>
      <c r="AJ2770">
        <v>168.6</v>
      </c>
      <c r="AK2770">
        <v>1016.5</v>
      </c>
      <c r="AL2770">
        <v>32</v>
      </c>
      <c r="AM2770">
        <v>6.2</v>
      </c>
      <c r="AN2770">
        <v>106.2</v>
      </c>
      <c r="AO2770">
        <v>9.1</v>
      </c>
      <c r="AP2770">
        <v>4</v>
      </c>
      <c r="AQ2770">
        <v>0</v>
      </c>
      <c r="AR2770" t="s">
        <v>9603</v>
      </c>
      <c r="AS2770" t="s">
        <v>9604</v>
      </c>
      <c r="AT2770">
        <v>0.41</v>
      </c>
      <c r="AU2770" t="s">
        <v>43</v>
      </c>
      <c r="AV2770" t="s">
        <v>44</v>
      </c>
      <c r="AW2770" t="s">
        <v>45</v>
      </c>
      <c r="AX2770" s="1">
        <v>0.57638888888888884</v>
      </c>
      <c r="AY2770" s="2">
        <v>45668.576388888891</v>
      </c>
      <c r="AZ2770">
        <v>1656.000000002095</v>
      </c>
      <c r="BA2770">
        <v>1</v>
      </c>
      <c r="BB2770">
        <v>0</v>
      </c>
      <c r="BC2770">
        <v>17</v>
      </c>
      <c r="BD2770">
        <v>0</v>
      </c>
      <c r="BE2770">
        <f t="shared" si="439"/>
        <v>1</v>
      </c>
    </row>
    <row r="2771" spans="1:57" x14ac:dyDescent="0.25">
      <c r="A2771" t="s">
        <v>39</v>
      </c>
      <c r="B2771" t="s">
        <v>9605</v>
      </c>
      <c r="C2771">
        <v>62.6</v>
      </c>
      <c r="D2771">
        <v>51.8</v>
      </c>
      <c r="G2771">
        <f t="shared" si="430"/>
        <v>1</v>
      </c>
      <c r="H2771">
        <f t="shared" si="431"/>
        <v>1</v>
      </c>
      <c r="I2771">
        <f t="shared" si="432"/>
        <v>0</v>
      </c>
      <c r="J2771">
        <v>57.1</v>
      </c>
      <c r="K2771">
        <v>62.6</v>
      </c>
      <c r="L2771">
        <v>51.8</v>
      </c>
      <c r="M2771">
        <v>57.1</v>
      </c>
      <c r="N2771">
        <v>52.5</v>
      </c>
      <c r="O2771">
        <v>84.8</v>
      </c>
      <c r="S2771">
        <f t="shared" si="433"/>
        <v>1</v>
      </c>
      <c r="T2771">
        <f t="shared" si="434"/>
        <v>1</v>
      </c>
      <c r="U2771">
        <f t="shared" si="435"/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17.899999999999999</v>
      </c>
      <c r="AC2771">
        <v>9.1999999999999993</v>
      </c>
      <c r="AG2771">
        <f t="shared" si="436"/>
        <v>1</v>
      </c>
      <c r="AH2771">
        <f t="shared" si="437"/>
        <v>0</v>
      </c>
      <c r="AI2771">
        <f t="shared" si="438"/>
        <v>1</v>
      </c>
      <c r="AJ2771">
        <v>249.7</v>
      </c>
      <c r="AK2771">
        <v>1021.6</v>
      </c>
      <c r="AL2771">
        <v>46.9</v>
      </c>
      <c r="AM2771">
        <v>6.2</v>
      </c>
      <c r="AN2771">
        <v>123</v>
      </c>
      <c r="AO2771">
        <v>10.6</v>
      </c>
      <c r="AP2771">
        <v>6</v>
      </c>
      <c r="AQ2771">
        <v>0</v>
      </c>
      <c r="AR2771" t="s">
        <v>9606</v>
      </c>
      <c r="AS2771" t="s">
        <v>9607</v>
      </c>
      <c r="AT2771">
        <v>0.71</v>
      </c>
      <c r="AU2771" t="s">
        <v>43</v>
      </c>
      <c r="AV2771" t="s">
        <v>44</v>
      </c>
      <c r="AW2771" t="s">
        <v>45</v>
      </c>
      <c r="AX2771" s="1">
        <v>4.1666666666666666E-3</v>
      </c>
      <c r="AY2771" s="2">
        <v>45677.004166666673</v>
      </c>
      <c r="AZ2771">
        <v>3575.0000000023279</v>
      </c>
      <c r="BA2771">
        <v>1</v>
      </c>
      <c r="BB2771">
        <v>0</v>
      </c>
      <c r="BC2771">
        <v>1</v>
      </c>
      <c r="BD2771">
        <v>0</v>
      </c>
      <c r="BE2771">
        <f t="shared" si="439"/>
        <v>1</v>
      </c>
    </row>
    <row r="2772" spans="1:57" x14ac:dyDescent="0.25">
      <c r="A2772" t="s">
        <v>39</v>
      </c>
      <c r="B2772" t="s">
        <v>9608</v>
      </c>
      <c r="C2772">
        <v>66.2</v>
      </c>
      <c r="D2772">
        <v>50.3</v>
      </c>
      <c r="G2772">
        <f t="shared" si="430"/>
        <v>1</v>
      </c>
      <c r="H2772">
        <f t="shared" si="431"/>
        <v>1</v>
      </c>
      <c r="I2772">
        <f t="shared" si="432"/>
        <v>0</v>
      </c>
      <c r="J2772">
        <v>56.8</v>
      </c>
      <c r="K2772">
        <v>66.2</v>
      </c>
      <c r="L2772">
        <v>50.3</v>
      </c>
      <c r="M2772">
        <v>56.8</v>
      </c>
      <c r="N2772">
        <v>50.5</v>
      </c>
      <c r="O2772">
        <v>80.400000000000006</v>
      </c>
      <c r="S2772">
        <f t="shared" si="433"/>
        <v>1</v>
      </c>
      <c r="T2772">
        <f t="shared" si="434"/>
        <v>1</v>
      </c>
      <c r="U2772">
        <f t="shared" si="435"/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22.8</v>
      </c>
      <c r="AC2772">
        <v>18.3</v>
      </c>
      <c r="AG2772">
        <f t="shared" si="436"/>
        <v>1</v>
      </c>
      <c r="AH2772">
        <f t="shared" si="437"/>
        <v>0</v>
      </c>
      <c r="AI2772">
        <f t="shared" si="438"/>
        <v>1</v>
      </c>
      <c r="AJ2772">
        <v>225.1</v>
      </c>
      <c r="AK2772">
        <v>1020.3</v>
      </c>
      <c r="AL2772">
        <v>47.6</v>
      </c>
      <c r="AM2772">
        <v>6.2</v>
      </c>
      <c r="AN2772">
        <v>132.30000000000001</v>
      </c>
      <c r="AO2772">
        <v>11.2</v>
      </c>
      <c r="AP2772">
        <v>5</v>
      </c>
      <c r="AQ2772">
        <v>0</v>
      </c>
      <c r="AR2772" t="s">
        <v>9609</v>
      </c>
      <c r="AS2772" t="s">
        <v>9610</v>
      </c>
      <c r="AT2772">
        <v>0.77</v>
      </c>
      <c r="AU2772" t="s">
        <v>43</v>
      </c>
      <c r="AV2772" t="s">
        <v>44</v>
      </c>
      <c r="AW2772" t="s">
        <v>45</v>
      </c>
      <c r="AX2772" s="1">
        <v>0.79236111111111107</v>
      </c>
      <c r="AY2772" s="2">
        <v>45679.792361111111</v>
      </c>
      <c r="AZ2772">
        <v>438.99999999557622</v>
      </c>
      <c r="BA2772">
        <v>1</v>
      </c>
      <c r="BB2772">
        <v>0</v>
      </c>
      <c r="BC2772">
        <v>1</v>
      </c>
      <c r="BD2772">
        <v>0</v>
      </c>
      <c r="BE2772">
        <f t="shared" si="439"/>
        <v>1</v>
      </c>
    </row>
    <row r="2773" spans="1:57" x14ac:dyDescent="0.25">
      <c r="A2773" t="s">
        <v>39</v>
      </c>
      <c r="B2773" t="s">
        <v>9611</v>
      </c>
      <c r="C2773">
        <v>64.400000000000006</v>
      </c>
      <c r="D2773">
        <v>51.8</v>
      </c>
      <c r="G2773">
        <f t="shared" si="430"/>
        <v>1</v>
      </c>
      <c r="H2773">
        <f t="shared" si="431"/>
        <v>1</v>
      </c>
      <c r="I2773">
        <f t="shared" si="432"/>
        <v>0</v>
      </c>
      <c r="J2773">
        <v>58.9</v>
      </c>
      <c r="K2773">
        <v>64.400000000000006</v>
      </c>
      <c r="L2773">
        <v>51.8</v>
      </c>
      <c r="M2773">
        <v>58.9</v>
      </c>
      <c r="N2773">
        <v>53.7</v>
      </c>
      <c r="O2773">
        <v>83.1</v>
      </c>
      <c r="S2773">
        <f t="shared" si="433"/>
        <v>1</v>
      </c>
      <c r="T2773">
        <f t="shared" si="434"/>
        <v>1</v>
      </c>
      <c r="U2773">
        <f t="shared" si="435"/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14.8</v>
      </c>
      <c r="AC2773">
        <v>13.9</v>
      </c>
      <c r="AG2773">
        <f t="shared" si="436"/>
        <v>1</v>
      </c>
      <c r="AH2773">
        <f t="shared" si="437"/>
        <v>0</v>
      </c>
      <c r="AI2773">
        <f t="shared" si="438"/>
        <v>1</v>
      </c>
      <c r="AJ2773">
        <v>241.6</v>
      </c>
      <c r="AK2773">
        <v>1019.7</v>
      </c>
      <c r="AL2773">
        <v>29.6</v>
      </c>
      <c r="AM2773">
        <v>6.2</v>
      </c>
      <c r="AN2773">
        <v>144.4</v>
      </c>
      <c r="AO2773">
        <v>12.5</v>
      </c>
      <c r="AP2773">
        <v>6</v>
      </c>
      <c r="AQ2773">
        <v>0</v>
      </c>
      <c r="AR2773" t="s">
        <v>9612</v>
      </c>
      <c r="AS2773" t="s">
        <v>9613</v>
      </c>
      <c r="AT2773">
        <v>0.87</v>
      </c>
      <c r="AU2773" t="s">
        <v>43</v>
      </c>
      <c r="AV2773" t="s">
        <v>44</v>
      </c>
      <c r="AW2773" t="s">
        <v>45</v>
      </c>
      <c r="AX2773" s="1">
        <v>0.51041666666666663</v>
      </c>
      <c r="AY2773" s="2">
        <v>45682.510416666657</v>
      </c>
      <c r="AZ2773">
        <v>1262.000000006519</v>
      </c>
      <c r="BA2773">
        <v>1</v>
      </c>
      <c r="BB2773">
        <v>0</v>
      </c>
      <c r="BC2773">
        <v>2</v>
      </c>
      <c r="BD2773">
        <v>0</v>
      </c>
      <c r="BE2773">
        <f t="shared" si="439"/>
        <v>1</v>
      </c>
    </row>
    <row r="2774" spans="1:57" x14ac:dyDescent="0.25">
      <c r="A2774" t="s">
        <v>39</v>
      </c>
      <c r="B2774" t="s">
        <v>9614</v>
      </c>
      <c r="C2774">
        <v>60.8</v>
      </c>
      <c r="D2774">
        <v>46.4</v>
      </c>
      <c r="G2774">
        <f t="shared" si="430"/>
        <v>1</v>
      </c>
      <c r="H2774">
        <f t="shared" si="431"/>
        <v>1</v>
      </c>
      <c r="I2774">
        <f t="shared" si="432"/>
        <v>0</v>
      </c>
      <c r="J2774">
        <v>53.4</v>
      </c>
      <c r="K2774">
        <v>60.8</v>
      </c>
      <c r="L2774">
        <v>41.9</v>
      </c>
      <c r="M2774">
        <v>51.9</v>
      </c>
      <c r="N2774">
        <v>47.9</v>
      </c>
      <c r="O2774">
        <v>82.2</v>
      </c>
      <c r="S2774">
        <f t="shared" si="433"/>
        <v>1</v>
      </c>
      <c r="T2774">
        <f t="shared" si="434"/>
        <v>1</v>
      </c>
      <c r="U2774">
        <f t="shared" si="435"/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11.4</v>
      </c>
      <c r="AC2774">
        <v>9.1999999999999993</v>
      </c>
      <c r="AG2774">
        <f t="shared" si="436"/>
        <v>1</v>
      </c>
      <c r="AH2774">
        <f t="shared" si="437"/>
        <v>0</v>
      </c>
      <c r="AI2774">
        <f t="shared" si="438"/>
        <v>1</v>
      </c>
      <c r="AJ2774">
        <v>174.2</v>
      </c>
      <c r="AK2774">
        <v>1023.1</v>
      </c>
      <c r="AL2774">
        <v>26.7</v>
      </c>
      <c r="AM2774">
        <v>6.2</v>
      </c>
      <c r="AN2774">
        <v>143.4</v>
      </c>
      <c r="AO2774">
        <v>12.4</v>
      </c>
      <c r="AP2774">
        <v>6</v>
      </c>
      <c r="AQ2774">
        <v>0</v>
      </c>
      <c r="AR2774" t="s">
        <v>9615</v>
      </c>
      <c r="AS2774" t="s">
        <v>9616</v>
      </c>
      <c r="AT2774">
        <v>0.93</v>
      </c>
      <c r="AU2774" t="s">
        <v>43</v>
      </c>
      <c r="AV2774" t="s">
        <v>44</v>
      </c>
      <c r="AW2774" t="s">
        <v>45</v>
      </c>
      <c r="AX2774" s="1">
        <v>0.5083333333333333</v>
      </c>
      <c r="AY2774" s="2">
        <v>45684.508333333331</v>
      </c>
      <c r="AZ2774">
        <v>311.00000000791619</v>
      </c>
      <c r="BA2774">
        <v>0</v>
      </c>
      <c r="BB2774">
        <v>0</v>
      </c>
      <c r="BC2774">
        <v>0.02</v>
      </c>
      <c r="BD2774">
        <v>0</v>
      </c>
      <c r="BE2774">
        <f t="shared" si="439"/>
        <v>1</v>
      </c>
    </row>
    <row r="2775" spans="1:57" x14ac:dyDescent="0.25">
      <c r="A2775" t="s">
        <v>39</v>
      </c>
      <c r="B2775" t="s">
        <v>9617</v>
      </c>
      <c r="C2775">
        <v>55.4</v>
      </c>
      <c r="D2775">
        <v>51.8</v>
      </c>
      <c r="G2775">
        <f t="shared" si="430"/>
        <v>1</v>
      </c>
      <c r="H2775">
        <f t="shared" si="431"/>
        <v>0</v>
      </c>
      <c r="I2775">
        <f t="shared" si="432"/>
        <v>1</v>
      </c>
      <c r="J2775">
        <v>52.3</v>
      </c>
      <c r="K2775">
        <v>55.4</v>
      </c>
      <c r="L2775">
        <v>51.8</v>
      </c>
      <c r="M2775">
        <v>52.3</v>
      </c>
      <c r="N2775">
        <v>40.9</v>
      </c>
      <c r="O2775">
        <v>65.5</v>
      </c>
      <c r="S2775">
        <f t="shared" si="433"/>
        <v>1</v>
      </c>
      <c r="T2775">
        <f t="shared" si="434"/>
        <v>0</v>
      </c>
      <c r="U2775">
        <f t="shared" si="435"/>
        <v>1</v>
      </c>
      <c r="V2775">
        <v>4.0000000000000001E-3</v>
      </c>
      <c r="W2775">
        <v>100</v>
      </c>
      <c r="X2775">
        <v>4.17</v>
      </c>
      <c r="Y2775" t="s">
        <v>103</v>
      </c>
      <c r="Z2775">
        <v>0</v>
      </c>
      <c r="AA2775">
        <v>0</v>
      </c>
      <c r="AB2775">
        <v>40.299999999999997</v>
      </c>
      <c r="AC2775">
        <v>28.9</v>
      </c>
      <c r="AG2775">
        <f t="shared" si="436"/>
        <v>1</v>
      </c>
      <c r="AH2775">
        <f t="shared" si="437"/>
        <v>1</v>
      </c>
      <c r="AI2775">
        <f t="shared" si="438"/>
        <v>0</v>
      </c>
      <c r="AJ2775">
        <v>335.5</v>
      </c>
      <c r="AK2775">
        <v>1023.1</v>
      </c>
      <c r="AL2775">
        <v>89</v>
      </c>
      <c r="AM2775">
        <v>6.2</v>
      </c>
      <c r="AN2775">
        <v>137</v>
      </c>
      <c r="AO2775">
        <v>11.8</v>
      </c>
      <c r="AP2775">
        <v>6</v>
      </c>
      <c r="AQ2775">
        <v>0</v>
      </c>
      <c r="AR2775" t="s">
        <v>9618</v>
      </c>
      <c r="AS2775" t="s">
        <v>9619</v>
      </c>
      <c r="AT2775">
        <v>0.25</v>
      </c>
      <c r="AU2775" t="s">
        <v>106</v>
      </c>
      <c r="AV2775" t="s">
        <v>433</v>
      </c>
      <c r="AW2775" t="s">
        <v>103</v>
      </c>
      <c r="AX2775" s="1">
        <v>0.72222222222222221</v>
      </c>
      <c r="AY2775" s="2">
        <v>45693.722222222219</v>
      </c>
      <c r="AZ2775">
        <v>251.00000000093129</v>
      </c>
      <c r="BA2775">
        <v>0</v>
      </c>
      <c r="BB2775">
        <v>0</v>
      </c>
      <c r="BC2775">
        <v>1</v>
      </c>
      <c r="BD2775">
        <v>0</v>
      </c>
      <c r="BE2775">
        <f t="shared" si="439"/>
        <v>1</v>
      </c>
    </row>
    <row r="2776" spans="1:57" x14ac:dyDescent="0.25">
      <c r="A2776" t="s">
        <v>39</v>
      </c>
      <c r="B2776" t="s">
        <v>9620</v>
      </c>
      <c r="C2776">
        <v>51.8</v>
      </c>
      <c r="D2776">
        <v>48.2</v>
      </c>
      <c r="G2776">
        <f t="shared" si="430"/>
        <v>1</v>
      </c>
      <c r="H2776">
        <f t="shared" si="431"/>
        <v>0</v>
      </c>
      <c r="I2776">
        <f t="shared" si="432"/>
        <v>1</v>
      </c>
      <c r="J2776">
        <v>50.2</v>
      </c>
      <c r="K2776">
        <v>51.8</v>
      </c>
      <c r="L2776">
        <v>41.4</v>
      </c>
      <c r="M2776">
        <v>49.9</v>
      </c>
      <c r="N2776">
        <v>42.2</v>
      </c>
      <c r="O2776">
        <v>74.099999999999994</v>
      </c>
      <c r="S2776">
        <f t="shared" si="433"/>
        <v>1</v>
      </c>
      <c r="T2776">
        <f t="shared" si="434"/>
        <v>1</v>
      </c>
      <c r="U2776">
        <f t="shared" si="435"/>
        <v>0</v>
      </c>
      <c r="V2776">
        <v>1.7999999999999999E-2</v>
      </c>
      <c r="W2776">
        <v>100</v>
      </c>
      <c r="X2776">
        <v>8.33</v>
      </c>
      <c r="Y2776" t="s">
        <v>103</v>
      </c>
      <c r="Z2776">
        <v>0</v>
      </c>
      <c r="AA2776">
        <v>0</v>
      </c>
      <c r="AB2776">
        <v>33.6</v>
      </c>
      <c r="AC2776">
        <v>25.3</v>
      </c>
      <c r="AG2776">
        <f t="shared" si="436"/>
        <v>1</v>
      </c>
      <c r="AH2776">
        <f t="shared" si="437"/>
        <v>1</v>
      </c>
      <c r="AI2776">
        <f t="shared" si="438"/>
        <v>0</v>
      </c>
      <c r="AJ2776">
        <v>335.7</v>
      </c>
      <c r="AK2776">
        <v>1026.7</v>
      </c>
      <c r="AL2776">
        <v>89.9</v>
      </c>
      <c r="AM2776">
        <v>5.9</v>
      </c>
      <c r="AN2776">
        <v>77.7</v>
      </c>
      <c r="AO2776">
        <v>6.6</v>
      </c>
      <c r="AP2776">
        <v>3</v>
      </c>
      <c r="AQ2776">
        <v>0</v>
      </c>
      <c r="AR2776" t="s">
        <v>9621</v>
      </c>
      <c r="AS2776" t="s">
        <v>9622</v>
      </c>
      <c r="AT2776">
        <v>0.35</v>
      </c>
      <c r="AU2776" t="s">
        <v>106</v>
      </c>
      <c r="AV2776" t="s">
        <v>257</v>
      </c>
      <c r="AW2776" t="s">
        <v>103</v>
      </c>
      <c r="AX2776" s="1">
        <v>0.63541666666666663</v>
      </c>
      <c r="AY2776" s="2">
        <v>45696.635416666657</v>
      </c>
      <c r="AZ2776">
        <v>533.00000000861473</v>
      </c>
      <c r="BA2776">
        <v>1</v>
      </c>
      <c r="BB2776">
        <v>0</v>
      </c>
      <c r="BC2776">
        <v>10</v>
      </c>
      <c r="BD2776">
        <v>0</v>
      </c>
      <c r="BE2776">
        <f t="shared" si="439"/>
        <v>1</v>
      </c>
    </row>
    <row r="2777" spans="1:57" x14ac:dyDescent="0.25">
      <c r="A2777" t="s">
        <v>39</v>
      </c>
      <c r="B2777" t="s">
        <v>9623</v>
      </c>
      <c r="C2777">
        <v>51.8</v>
      </c>
      <c r="D2777">
        <v>48.2</v>
      </c>
      <c r="G2777">
        <f t="shared" si="430"/>
        <v>1</v>
      </c>
      <c r="H2777">
        <f t="shared" si="431"/>
        <v>0</v>
      </c>
      <c r="I2777">
        <f t="shared" si="432"/>
        <v>1</v>
      </c>
      <c r="J2777">
        <v>50.6</v>
      </c>
      <c r="K2777">
        <v>51.8</v>
      </c>
      <c r="L2777">
        <v>41.4</v>
      </c>
      <c r="M2777">
        <v>50</v>
      </c>
      <c r="N2777">
        <v>42.1</v>
      </c>
      <c r="O2777">
        <v>72.900000000000006</v>
      </c>
      <c r="S2777">
        <f t="shared" si="433"/>
        <v>1</v>
      </c>
      <c r="T2777">
        <f t="shared" si="434"/>
        <v>1</v>
      </c>
      <c r="U2777">
        <f t="shared" si="435"/>
        <v>0</v>
      </c>
      <c r="V2777">
        <v>6.3E-2</v>
      </c>
      <c r="W2777">
        <v>100</v>
      </c>
      <c r="X2777">
        <v>16.670000000000002</v>
      </c>
      <c r="Y2777" t="s">
        <v>103</v>
      </c>
      <c r="Z2777">
        <v>0</v>
      </c>
      <c r="AA2777">
        <v>0</v>
      </c>
      <c r="AB2777">
        <v>37.6</v>
      </c>
      <c r="AC2777">
        <v>24.2</v>
      </c>
      <c r="AG2777">
        <f t="shared" si="436"/>
        <v>1</v>
      </c>
      <c r="AH2777">
        <f t="shared" si="437"/>
        <v>1</v>
      </c>
      <c r="AI2777">
        <f t="shared" si="438"/>
        <v>0</v>
      </c>
      <c r="AJ2777">
        <v>335.1</v>
      </c>
      <c r="AK2777">
        <v>1024.3</v>
      </c>
      <c r="AL2777">
        <v>90.1</v>
      </c>
      <c r="AM2777">
        <v>6.2</v>
      </c>
      <c r="AN2777">
        <v>100.1</v>
      </c>
      <c r="AO2777">
        <v>8.6999999999999993</v>
      </c>
      <c r="AP2777">
        <v>4</v>
      </c>
      <c r="AQ2777">
        <v>0</v>
      </c>
      <c r="AR2777" t="s">
        <v>9624</v>
      </c>
      <c r="AS2777" t="s">
        <v>9625</v>
      </c>
      <c r="AT2777">
        <v>0.39</v>
      </c>
      <c r="AU2777" t="s">
        <v>1357</v>
      </c>
      <c r="AV2777" t="s">
        <v>9626</v>
      </c>
      <c r="AW2777" t="s">
        <v>103</v>
      </c>
      <c r="AX2777" s="1">
        <v>0.54374999999999996</v>
      </c>
      <c r="AY2777" s="2">
        <v>45697.543749999997</v>
      </c>
      <c r="AZ2777">
        <v>306.00000000209548</v>
      </c>
      <c r="BA2777">
        <v>0</v>
      </c>
      <c r="BB2777">
        <v>0</v>
      </c>
      <c r="BC2777">
        <v>10</v>
      </c>
      <c r="BD2777">
        <v>0</v>
      </c>
      <c r="BE2777">
        <f t="shared" si="439"/>
        <v>1</v>
      </c>
    </row>
    <row r="2778" spans="1:57" x14ac:dyDescent="0.25">
      <c r="A2778" t="s">
        <v>39</v>
      </c>
      <c r="B2778" t="s">
        <v>9627</v>
      </c>
      <c r="C2778">
        <v>55.4</v>
      </c>
      <c r="D2778">
        <v>46.4</v>
      </c>
      <c r="G2778">
        <f t="shared" si="430"/>
        <v>1</v>
      </c>
      <c r="H2778">
        <f t="shared" si="431"/>
        <v>0</v>
      </c>
      <c r="I2778">
        <f t="shared" si="432"/>
        <v>1</v>
      </c>
      <c r="J2778">
        <v>50.3</v>
      </c>
      <c r="K2778">
        <v>55.4</v>
      </c>
      <c r="L2778">
        <v>41.5</v>
      </c>
      <c r="M2778">
        <v>48.5</v>
      </c>
      <c r="N2778">
        <v>39.1</v>
      </c>
      <c r="O2778">
        <v>65.400000000000006</v>
      </c>
      <c r="S2778">
        <f t="shared" si="433"/>
        <v>1</v>
      </c>
      <c r="T2778">
        <f t="shared" si="434"/>
        <v>0</v>
      </c>
      <c r="U2778">
        <f t="shared" si="435"/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21.5</v>
      </c>
      <c r="AC2778">
        <v>16.100000000000001</v>
      </c>
      <c r="AG2778">
        <f t="shared" si="436"/>
        <v>1</v>
      </c>
      <c r="AH2778">
        <f t="shared" si="437"/>
        <v>0</v>
      </c>
      <c r="AI2778">
        <f t="shared" si="438"/>
        <v>1</v>
      </c>
      <c r="AJ2778">
        <v>6.5</v>
      </c>
      <c r="AK2778">
        <v>1030.3</v>
      </c>
      <c r="AL2778">
        <v>74</v>
      </c>
      <c r="AM2778">
        <v>6.2</v>
      </c>
      <c r="AN2778">
        <v>136.30000000000001</v>
      </c>
      <c r="AO2778">
        <v>11.8</v>
      </c>
      <c r="AP2778">
        <v>5</v>
      </c>
      <c r="AQ2778">
        <v>0</v>
      </c>
      <c r="AR2778" t="s">
        <v>9628</v>
      </c>
      <c r="AS2778" t="s">
        <v>9629</v>
      </c>
      <c r="AT2778">
        <v>0.88</v>
      </c>
      <c r="AU2778" t="s">
        <v>43</v>
      </c>
      <c r="AV2778" t="s">
        <v>44</v>
      </c>
      <c r="AW2778" t="s">
        <v>45</v>
      </c>
      <c r="AX2778" s="1">
        <v>0.74513888888888891</v>
      </c>
      <c r="AY2778" s="2">
        <v>45712.745138888888</v>
      </c>
      <c r="AZ2778">
        <v>66.999999998370185</v>
      </c>
      <c r="BA2778">
        <v>0</v>
      </c>
      <c r="BB2778">
        <v>0</v>
      </c>
      <c r="BC2778">
        <v>0.5</v>
      </c>
      <c r="BD2778">
        <v>0</v>
      </c>
      <c r="BE2778">
        <f t="shared" si="439"/>
        <v>0</v>
      </c>
    </row>
    <row r="2779" spans="1:57" x14ac:dyDescent="0.25">
      <c r="A2779" t="s">
        <v>39</v>
      </c>
      <c r="B2779" t="s">
        <v>9627</v>
      </c>
      <c r="C2779">
        <v>55.4</v>
      </c>
      <c r="D2779">
        <v>46.4</v>
      </c>
      <c r="G2779">
        <f t="shared" si="430"/>
        <v>1</v>
      </c>
      <c r="H2779">
        <f t="shared" si="431"/>
        <v>0</v>
      </c>
      <c r="I2779">
        <f t="shared" si="432"/>
        <v>1</v>
      </c>
      <c r="J2779">
        <v>50.3</v>
      </c>
      <c r="K2779">
        <v>55.4</v>
      </c>
      <c r="L2779">
        <v>41.5</v>
      </c>
      <c r="M2779">
        <v>48.5</v>
      </c>
      <c r="N2779">
        <v>39.1</v>
      </c>
      <c r="O2779">
        <v>65.400000000000006</v>
      </c>
      <c r="S2779">
        <f t="shared" si="433"/>
        <v>1</v>
      </c>
      <c r="T2779">
        <f t="shared" si="434"/>
        <v>0</v>
      </c>
      <c r="U2779">
        <f t="shared" si="435"/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21.5</v>
      </c>
      <c r="AC2779">
        <v>16.100000000000001</v>
      </c>
      <c r="AG2779">
        <f t="shared" si="436"/>
        <v>1</v>
      </c>
      <c r="AH2779">
        <f t="shared" si="437"/>
        <v>0</v>
      </c>
      <c r="AI2779">
        <f t="shared" si="438"/>
        <v>1</v>
      </c>
      <c r="AJ2779">
        <v>6.5</v>
      </c>
      <c r="AK2779">
        <v>1030.3</v>
      </c>
      <c r="AL2779">
        <v>74</v>
      </c>
      <c r="AM2779">
        <v>6.2</v>
      </c>
      <c r="AN2779">
        <v>136.30000000000001</v>
      </c>
      <c r="AO2779">
        <v>11.8</v>
      </c>
      <c r="AP2779">
        <v>5</v>
      </c>
      <c r="AQ2779">
        <v>0</v>
      </c>
      <c r="AR2779" t="s">
        <v>9628</v>
      </c>
      <c r="AS2779" t="s">
        <v>9629</v>
      </c>
      <c r="AT2779">
        <v>0.88</v>
      </c>
      <c r="AU2779" t="s">
        <v>43</v>
      </c>
      <c r="AV2779" t="s">
        <v>44</v>
      </c>
      <c r="AW2779" t="s">
        <v>45</v>
      </c>
      <c r="AX2779" s="1">
        <v>0.80555555555555558</v>
      </c>
      <c r="AY2779" s="2">
        <v>45712.805555555547</v>
      </c>
      <c r="AZ2779">
        <v>119.0000000002328</v>
      </c>
      <c r="BA2779">
        <v>0</v>
      </c>
      <c r="BB2779">
        <v>0</v>
      </c>
      <c r="BC2779">
        <v>0.7</v>
      </c>
      <c r="BD2779">
        <v>0</v>
      </c>
      <c r="BE2779">
        <f t="shared" si="439"/>
        <v>0</v>
      </c>
    </row>
    <row r="2780" spans="1:57" x14ac:dyDescent="0.25">
      <c r="A2780" t="s">
        <v>39</v>
      </c>
      <c r="B2780" t="s">
        <v>9627</v>
      </c>
      <c r="C2780">
        <v>55.4</v>
      </c>
      <c r="D2780">
        <v>46.4</v>
      </c>
      <c r="G2780">
        <f t="shared" si="430"/>
        <v>1</v>
      </c>
      <c r="H2780">
        <f t="shared" si="431"/>
        <v>0</v>
      </c>
      <c r="I2780">
        <f t="shared" si="432"/>
        <v>1</v>
      </c>
      <c r="J2780">
        <v>50.3</v>
      </c>
      <c r="K2780">
        <v>55.4</v>
      </c>
      <c r="L2780">
        <v>41.5</v>
      </c>
      <c r="M2780">
        <v>48.5</v>
      </c>
      <c r="N2780">
        <v>39.1</v>
      </c>
      <c r="O2780">
        <v>65.400000000000006</v>
      </c>
      <c r="S2780">
        <f t="shared" si="433"/>
        <v>1</v>
      </c>
      <c r="T2780">
        <f t="shared" si="434"/>
        <v>0</v>
      </c>
      <c r="U2780">
        <f t="shared" si="435"/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21.5</v>
      </c>
      <c r="AC2780">
        <v>16.100000000000001</v>
      </c>
      <c r="AG2780">
        <f t="shared" si="436"/>
        <v>1</v>
      </c>
      <c r="AH2780">
        <f t="shared" si="437"/>
        <v>0</v>
      </c>
      <c r="AI2780">
        <f t="shared" si="438"/>
        <v>1</v>
      </c>
      <c r="AJ2780">
        <v>6.5</v>
      </c>
      <c r="AK2780">
        <v>1030.3</v>
      </c>
      <c r="AL2780">
        <v>74</v>
      </c>
      <c r="AM2780">
        <v>6.2</v>
      </c>
      <c r="AN2780">
        <v>136.30000000000001</v>
      </c>
      <c r="AO2780">
        <v>11.8</v>
      </c>
      <c r="AP2780">
        <v>5</v>
      </c>
      <c r="AQ2780">
        <v>0</v>
      </c>
      <c r="AR2780" t="s">
        <v>9628</v>
      </c>
      <c r="AS2780" t="s">
        <v>9629</v>
      </c>
      <c r="AT2780">
        <v>0.88</v>
      </c>
      <c r="AU2780" t="s">
        <v>43</v>
      </c>
      <c r="AV2780" t="s">
        <v>44</v>
      </c>
      <c r="AW2780" t="s">
        <v>45</v>
      </c>
      <c r="AX2780" s="1">
        <v>0.50972222222222219</v>
      </c>
      <c r="AY2780" s="2">
        <v>45712.509722222218</v>
      </c>
      <c r="AZ2780">
        <v>566.00000000093132</v>
      </c>
      <c r="BA2780">
        <v>1</v>
      </c>
      <c r="BB2780">
        <v>0</v>
      </c>
      <c r="BC2780">
        <v>0.1</v>
      </c>
      <c r="BD2780">
        <v>0</v>
      </c>
      <c r="BE2780">
        <f t="shared" si="439"/>
        <v>1</v>
      </c>
    </row>
    <row r="2781" spans="1:57" x14ac:dyDescent="0.25">
      <c r="A2781" t="s">
        <v>39</v>
      </c>
      <c r="B2781" t="s">
        <v>9630</v>
      </c>
      <c r="C2781">
        <v>62.6</v>
      </c>
      <c r="D2781">
        <v>48.2</v>
      </c>
      <c r="G2781">
        <f t="shared" si="430"/>
        <v>0</v>
      </c>
      <c r="H2781">
        <f t="shared" si="431"/>
        <v>0</v>
      </c>
      <c r="I2781">
        <f t="shared" si="432"/>
        <v>0</v>
      </c>
      <c r="J2781">
        <v>55.8</v>
      </c>
      <c r="K2781">
        <v>62.6</v>
      </c>
      <c r="L2781">
        <v>44.1</v>
      </c>
      <c r="M2781">
        <v>55.3</v>
      </c>
      <c r="N2781">
        <v>51.4</v>
      </c>
      <c r="O2781">
        <v>85.9</v>
      </c>
      <c r="S2781">
        <f t="shared" si="433"/>
        <v>1</v>
      </c>
      <c r="T2781">
        <f t="shared" si="434"/>
        <v>1</v>
      </c>
      <c r="U2781">
        <f t="shared" si="435"/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17.2</v>
      </c>
      <c r="AC2781">
        <v>10.3</v>
      </c>
      <c r="AG2781">
        <f t="shared" si="436"/>
        <v>1</v>
      </c>
      <c r="AH2781">
        <f t="shared" si="437"/>
        <v>0</v>
      </c>
      <c r="AI2781">
        <f t="shared" si="438"/>
        <v>1</v>
      </c>
      <c r="AJ2781">
        <v>133.19999999999999</v>
      </c>
      <c r="AK2781">
        <v>1022</v>
      </c>
      <c r="AL2781">
        <v>32</v>
      </c>
      <c r="AM2781">
        <v>6.2</v>
      </c>
      <c r="AN2781">
        <v>138.4</v>
      </c>
      <c r="AO2781">
        <v>12</v>
      </c>
      <c r="AP2781">
        <v>5</v>
      </c>
      <c r="AQ2781">
        <v>0</v>
      </c>
      <c r="AR2781" t="s">
        <v>9631</v>
      </c>
      <c r="AS2781" t="s">
        <v>9632</v>
      </c>
      <c r="AT2781">
        <v>0.08</v>
      </c>
      <c r="AU2781" t="s">
        <v>43</v>
      </c>
      <c r="AV2781" t="s">
        <v>44</v>
      </c>
      <c r="AW2781" t="s">
        <v>45</v>
      </c>
      <c r="AX2781" s="1">
        <v>0.61111111111111116</v>
      </c>
      <c r="AY2781" s="2">
        <v>45718.611111111109</v>
      </c>
      <c r="AZ2781">
        <v>110.00000000232831</v>
      </c>
      <c r="BA2781">
        <v>0</v>
      </c>
      <c r="BB2781">
        <v>0</v>
      </c>
      <c r="BC2781">
        <v>0</v>
      </c>
      <c r="BD2781">
        <v>0.35</v>
      </c>
      <c r="BE2781">
        <f t="shared" si="439"/>
        <v>0</v>
      </c>
    </row>
    <row r="2782" spans="1:57" x14ac:dyDescent="0.25">
      <c r="A2782" t="s">
        <v>39</v>
      </c>
      <c r="B2782" t="s">
        <v>9630</v>
      </c>
      <c r="C2782">
        <v>62.6</v>
      </c>
      <c r="D2782">
        <v>48.2</v>
      </c>
      <c r="G2782">
        <f t="shared" si="430"/>
        <v>0</v>
      </c>
      <c r="H2782">
        <f t="shared" si="431"/>
        <v>0</v>
      </c>
      <c r="I2782">
        <f t="shared" si="432"/>
        <v>0</v>
      </c>
      <c r="J2782">
        <v>55.8</v>
      </c>
      <c r="K2782">
        <v>62.6</v>
      </c>
      <c r="L2782">
        <v>44.1</v>
      </c>
      <c r="M2782">
        <v>55.3</v>
      </c>
      <c r="N2782">
        <v>51.4</v>
      </c>
      <c r="O2782">
        <v>85.9</v>
      </c>
      <c r="S2782">
        <f t="shared" si="433"/>
        <v>1</v>
      </c>
      <c r="T2782">
        <f t="shared" si="434"/>
        <v>1</v>
      </c>
      <c r="U2782">
        <f t="shared" si="435"/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17.2</v>
      </c>
      <c r="AC2782">
        <v>10.3</v>
      </c>
      <c r="AG2782">
        <f t="shared" si="436"/>
        <v>1</v>
      </c>
      <c r="AH2782">
        <f t="shared" si="437"/>
        <v>0</v>
      </c>
      <c r="AI2782">
        <f t="shared" si="438"/>
        <v>1</v>
      </c>
      <c r="AJ2782">
        <v>133.19999999999999</v>
      </c>
      <c r="AK2782">
        <v>1022</v>
      </c>
      <c r="AL2782">
        <v>32</v>
      </c>
      <c r="AM2782">
        <v>6.2</v>
      </c>
      <c r="AN2782">
        <v>138.4</v>
      </c>
      <c r="AO2782">
        <v>12</v>
      </c>
      <c r="AP2782">
        <v>5</v>
      </c>
      <c r="AQ2782">
        <v>0</v>
      </c>
      <c r="AR2782" t="s">
        <v>9631</v>
      </c>
      <c r="AS2782" t="s">
        <v>9632</v>
      </c>
      <c r="AT2782">
        <v>0.08</v>
      </c>
      <c r="AU2782" t="s">
        <v>43</v>
      </c>
      <c r="AV2782" t="s">
        <v>44</v>
      </c>
      <c r="AW2782" t="s">
        <v>45</v>
      </c>
      <c r="AX2782" s="1">
        <v>0.71458333333333335</v>
      </c>
      <c r="AY2782" s="2">
        <v>45718.714583333327</v>
      </c>
      <c r="AZ2782">
        <v>113.99999999441209</v>
      </c>
      <c r="BA2782">
        <v>0</v>
      </c>
      <c r="BB2782">
        <v>0</v>
      </c>
      <c r="BC2782">
        <v>1</v>
      </c>
      <c r="BD2782">
        <v>0</v>
      </c>
      <c r="BE2782">
        <f t="shared" si="439"/>
        <v>0</v>
      </c>
    </row>
    <row r="2783" spans="1:57" x14ac:dyDescent="0.25">
      <c r="A2783" t="s">
        <v>39</v>
      </c>
      <c r="B2783" t="s">
        <v>9633</v>
      </c>
      <c r="C2783">
        <v>64.400000000000006</v>
      </c>
      <c r="D2783">
        <v>46.4</v>
      </c>
      <c r="G2783">
        <f t="shared" si="430"/>
        <v>1</v>
      </c>
      <c r="H2783">
        <f t="shared" si="431"/>
        <v>1</v>
      </c>
      <c r="I2783">
        <f t="shared" si="432"/>
        <v>0</v>
      </c>
      <c r="J2783">
        <v>54.8</v>
      </c>
      <c r="K2783">
        <v>64.400000000000006</v>
      </c>
      <c r="L2783">
        <v>44.2</v>
      </c>
      <c r="M2783">
        <v>54.3</v>
      </c>
      <c r="N2783">
        <v>49.6</v>
      </c>
      <c r="O2783">
        <v>83.4</v>
      </c>
      <c r="S2783">
        <f t="shared" si="433"/>
        <v>1</v>
      </c>
      <c r="T2783">
        <f t="shared" si="434"/>
        <v>1</v>
      </c>
      <c r="U2783">
        <f t="shared" si="435"/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16.100000000000001</v>
      </c>
      <c r="AC2783">
        <v>10.3</v>
      </c>
      <c r="AG2783">
        <f t="shared" si="436"/>
        <v>1</v>
      </c>
      <c r="AH2783">
        <f t="shared" si="437"/>
        <v>0</v>
      </c>
      <c r="AI2783">
        <f t="shared" si="438"/>
        <v>1</v>
      </c>
      <c r="AJ2783">
        <v>229.8</v>
      </c>
      <c r="AK2783">
        <v>1020.7</v>
      </c>
      <c r="AL2783">
        <v>13.4</v>
      </c>
      <c r="AM2783">
        <v>6.2</v>
      </c>
      <c r="AN2783">
        <v>232.3</v>
      </c>
      <c r="AO2783">
        <v>19.899999999999999</v>
      </c>
      <c r="AP2783">
        <v>8</v>
      </c>
      <c r="AQ2783">
        <v>0</v>
      </c>
      <c r="AR2783" t="s">
        <v>9634</v>
      </c>
      <c r="AS2783" t="s">
        <v>9635</v>
      </c>
      <c r="AT2783">
        <v>0.26</v>
      </c>
      <c r="AU2783" t="s">
        <v>74</v>
      </c>
      <c r="AV2783" t="s">
        <v>2955</v>
      </c>
      <c r="AW2783" t="s">
        <v>75</v>
      </c>
      <c r="AX2783" s="1">
        <v>0.56458333333333333</v>
      </c>
      <c r="AY2783" s="2">
        <v>45723.564583333333</v>
      </c>
      <c r="AZ2783">
        <v>278.99999999790452</v>
      </c>
      <c r="BA2783">
        <v>0</v>
      </c>
      <c r="BB2783">
        <v>0</v>
      </c>
      <c r="BC2783">
        <v>4</v>
      </c>
      <c r="BD2783">
        <v>0</v>
      </c>
      <c r="BE2783">
        <f t="shared" si="439"/>
        <v>1</v>
      </c>
    </row>
    <row r="2784" spans="1:57" x14ac:dyDescent="0.25">
      <c r="A2784" t="s">
        <v>39</v>
      </c>
      <c r="B2784" t="s">
        <v>9636</v>
      </c>
      <c r="C2784">
        <v>64.400000000000006</v>
      </c>
      <c r="D2784">
        <v>48.2</v>
      </c>
      <c r="G2784">
        <f t="shared" si="430"/>
        <v>1</v>
      </c>
      <c r="H2784">
        <f t="shared" si="431"/>
        <v>1</v>
      </c>
      <c r="I2784">
        <f t="shared" si="432"/>
        <v>0</v>
      </c>
      <c r="J2784">
        <v>56.6</v>
      </c>
      <c r="K2784">
        <v>64.400000000000006</v>
      </c>
      <c r="L2784">
        <v>44.2</v>
      </c>
      <c r="M2784">
        <v>55.9</v>
      </c>
      <c r="N2784">
        <v>50.4</v>
      </c>
      <c r="O2784">
        <v>80.599999999999994</v>
      </c>
      <c r="S2784">
        <f t="shared" si="433"/>
        <v>1</v>
      </c>
      <c r="T2784">
        <f t="shared" si="434"/>
        <v>1</v>
      </c>
      <c r="U2784">
        <f t="shared" si="435"/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17.2</v>
      </c>
      <c r="AC2784">
        <v>11.4</v>
      </c>
      <c r="AG2784">
        <f t="shared" si="436"/>
        <v>1</v>
      </c>
      <c r="AH2784">
        <f t="shared" si="437"/>
        <v>0</v>
      </c>
      <c r="AI2784">
        <f t="shared" si="438"/>
        <v>1</v>
      </c>
      <c r="AJ2784">
        <v>141.9</v>
      </c>
      <c r="AK2784">
        <v>1018.3</v>
      </c>
      <c r="AL2784">
        <v>23.3</v>
      </c>
      <c r="AM2784">
        <v>6.2</v>
      </c>
      <c r="AN2784">
        <v>235.9</v>
      </c>
      <c r="AO2784">
        <v>20.3</v>
      </c>
      <c r="AP2784">
        <v>8</v>
      </c>
      <c r="AQ2784">
        <v>0</v>
      </c>
      <c r="AR2784" t="s">
        <v>9637</v>
      </c>
      <c r="AS2784" t="s">
        <v>9638</v>
      </c>
      <c r="AT2784">
        <v>0.36</v>
      </c>
      <c r="AU2784" t="s">
        <v>43</v>
      </c>
      <c r="AV2784" t="s">
        <v>44</v>
      </c>
      <c r="AW2784" t="s">
        <v>45</v>
      </c>
      <c r="AX2784" s="1">
        <v>0.58333333333333337</v>
      </c>
      <c r="AY2784" s="2">
        <v>45726.583333333343</v>
      </c>
      <c r="AZ2784">
        <v>233.9999999979045</v>
      </c>
      <c r="BA2784">
        <v>0</v>
      </c>
      <c r="BB2784">
        <v>0</v>
      </c>
      <c r="BC2784">
        <v>0.3</v>
      </c>
      <c r="BD2784">
        <v>0</v>
      </c>
      <c r="BE2784">
        <f t="shared" si="439"/>
        <v>1</v>
      </c>
    </row>
    <row r="2785" spans="1:57" x14ac:dyDescent="0.25">
      <c r="A2785" t="s">
        <v>39</v>
      </c>
      <c r="B2785" t="s">
        <v>9636</v>
      </c>
      <c r="C2785">
        <v>64.400000000000006</v>
      </c>
      <c r="D2785">
        <v>48.2</v>
      </c>
      <c r="G2785">
        <f t="shared" si="430"/>
        <v>1</v>
      </c>
      <c r="H2785">
        <f t="shared" si="431"/>
        <v>1</v>
      </c>
      <c r="I2785">
        <f t="shared" si="432"/>
        <v>0</v>
      </c>
      <c r="J2785">
        <v>56.6</v>
      </c>
      <c r="K2785">
        <v>64.400000000000006</v>
      </c>
      <c r="L2785">
        <v>44.2</v>
      </c>
      <c r="M2785">
        <v>55.9</v>
      </c>
      <c r="N2785">
        <v>50.4</v>
      </c>
      <c r="O2785">
        <v>80.599999999999994</v>
      </c>
      <c r="S2785">
        <f t="shared" si="433"/>
        <v>1</v>
      </c>
      <c r="T2785">
        <f t="shared" si="434"/>
        <v>1</v>
      </c>
      <c r="U2785">
        <f t="shared" si="435"/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17.2</v>
      </c>
      <c r="AC2785">
        <v>11.4</v>
      </c>
      <c r="AG2785">
        <f t="shared" si="436"/>
        <v>1</v>
      </c>
      <c r="AH2785">
        <f t="shared" si="437"/>
        <v>0</v>
      </c>
      <c r="AI2785">
        <f t="shared" si="438"/>
        <v>1</v>
      </c>
      <c r="AJ2785">
        <v>141.9</v>
      </c>
      <c r="AK2785">
        <v>1018.3</v>
      </c>
      <c r="AL2785">
        <v>23.3</v>
      </c>
      <c r="AM2785">
        <v>6.2</v>
      </c>
      <c r="AN2785">
        <v>235.9</v>
      </c>
      <c r="AO2785">
        <v>20.3</v>
      </c>
      <c r="AP2785">
        <v>8</v>
      </c>
      <c r="AQ2785">
        <v>0</v>
      </c>
      <c r="AR2785" t="s">
        <v>9637</v>
      </c>
      <c r="AS2785" t="s">
        <v>9638</v>
      </c>
      <c r="AT2785">
        <v>0.36</v>
      </c>
      <c r="AU2785" t="s">
        <v>43</v>
      </c>
      <c r="AV2785" t="s">
        <v>44</v>
      </c>
      <c r="AW2785" t="s">
        <v>45</v>
      </c>
      <c r="AX2785" s="1">
        <v>0.52569444444444446</v>
      </c>
      <c r="AY2785" s="2">
        <v>45726.525694444441</v>
      </c>
      <c r="AZ2785">
        <v>260.00000000931323</v>
      </c>
      <c r="BA2785">
        <v>0</v>
      </c>
      <c r="BB2785">
        <v>0</v>
      </c>
      <c r="BC2785">
        <v>0.01</v>
      </c>
      <c r="BD2785">
        <v>0</v>
      </c>
      <c r="BE2785">
        <f t="shared" si="439"/>
        <v>1</v>
      </c>
    </row>
    <row r="2786" spans="1:57" x14ac:dyDescent="0.25">
      <c r="A2786" t="s">
        <v>39</v>
      </c>
      <c r="B2786" t="s">
        <v>9639</v>
      </c>
      <c r="C2786">
        <v>77</v>
      </c>
      <c r="D2786">
        <v>66.099999999999994</v>
      </c>
      <c r="G2786">
        <f t="shared" si="430"/>
        <v>1</v>
      </c>
      <c r="H2786">
        <f t="shared" si="431"/>
        <v>1</v>
      </c>
      <c r="I2786">
        <f t="shared" si="432"/>
        <v>0</v>
      </c>
      <c r="J2786">
        <v>69.099999999999994</v>
      </c>
      <c r="K2786">
        <v>77</v>
      </c>
      <c r="L2786">
        <v>66.099999999999994</v>
      </c>
      <c r="M2786">
        <v>69.099999999999994</v>
      </c>
      <c r="N2786">
        <v>54.8</v>
      </c>
      <c r="O2786">
        <v>60.7</v>
      </c>
      <c r="S2786">
        <f t="shared" si="433"/>
        <v>1</v>
      </c>
      <c r="T2786">
        <f t="shared" si="434"/>
        <v>0</v>
      </c>
      <c r="U2786">
        <f t="shared" si="435"/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47.2</v>
      </c>
      <c r="AC2786">
        <v>35.799999999999997</v>
      </c>
      <c r="AG2786">
        <f t="shared" si="436"/>
        <v>1</v>
      </c>
      <c r="AH2786">
        <f t="shared" si="437"/>
        <v>1</v>
      </c>
      <c r="AI2786">
        <f t="shared" si="438"/>
        <v>0</v>
      </c>
      <c r="AJ2786">
        <v>169.9</v>
      </c>
      <c r="AK2786">
        <v>1014.3</v>
      </c>
      <c r="AL2786">
        <v>4.5</v>
      </c>
      <c r="AM2786">
        <v>6.2</v>
      </c>
      <c r="AN2786">
        <v>216.4</v>
      </c>
      <c r="AO2786">
        <v>18.5</v>
      </c>
      <c r="AP2786">
        <v>8</v>
      </c>
      <c r="AQ2786">
        <v>0</v>
      </c>
      <c r="AR2786" t="s">
        <v>9640</v>
      </c>
      <c r="AS2786" t="s">
        <v>9641</v>
      </c>
      <c r="AT2786">
        <v>0.43</v>
      </c>
      <c r="AU2786" t="s">
        <v>74</v>
      </c>
      <c r="AV2786" t="s">
        <v>2955</v>
      </c>
      <c r="AW2786" t="s">
        <v>419</v>
      </c>
      <c r="AX2786" s="1">
        <v>0.83194444444444449</v>
      </c>
      <c r="AY2786" s="2">
        <v>45728.831944444442</v>
      </c>
      <c r="AZ2786">
        <v>108.99999999906871</v>
      </c>
      <c r="BA2786">
        <v>0</v>
      </c>
      <c r="BB2786">
        <v>0</v>
      </c>
      <c r="BC2786">
        <v>0.02</v>
      </c>
      <c r="BD2786">
        <v>0</v>
      </c>
      <c r="BE2786">
        <f t="shared" si="439"/>
        <v>1</v>
      </c>
    </row>
    <row r="2787" spans="1:57" x14ac:dyDescent="0.25">
      <c r="A2787" t="s">
        <v>39</v>
      </c>
      <c r="B2787" t="s">
        <v>9642</v>
      </c>
      <c r="C2787">
        <v>89.6</v>
      </c>
      <c r="D2787">
        <v>64.400000000000006</v>
      </c>
      <c r="G2787">
        <f t="shared" si="430"/>
        <v>1</v>
      </c>
      <c r="H2787">
        <f t="shared" si="431"/>
        <v>1</v>
      </c>
      <c r="I2787">
        <f t="shared" si="432"/>
        <v>0</v>
      </c>
      <c r="J2787">
        <v>76.8</v>
      </c>
      <c r="K2787">
        <v>88.9</v>
      </c>
      <c r="L2787">
        <v>64.400000000000006</v>
      </c>
      <c r="M2787">
        <v>76.5</v>
      </c>
      <c r="N2787">
        <v>51.1</v>
      </c>
      <c r="O2787">
        <v>43.4</v>
      </c>
      <c r="S2787">
        <f t="shared" si="433"/>
        <v>1</v>
      </c>
      <c r="T2787">
        <f t="shared" si="434"/>
        <v>0</v>
      </c>
      <c r="U2787">
        <f t="shared" si="435"/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43.8</v>
      </c>
      <c r="AC2787">
        <v>33.299999999999997</v>
      </c>
      <c r="AG2787">
        <f t="shared" si="436"/>
        <v>1</v>
      </c>
      <c r="AH2787">
        <f t="shared" si="437"/>
        <v>1</v>
      </c>
      <c r="AI2787">
        <f t="shared" si="438"/>
        <v>0</v>
      </c>
      <c r="AJ2787">
        <v>188.7</v>
      </c>
      <c r="AK2787">
        <v>1014.1</v>
      </c>
      <c r="AL2787">
        <v>22.7</v>
      </c>
      <c r="AM2787">
        <v>6.2</v>
      </c>
      <c r="AN2787">
        <v>219.5</v>
      </c>
      <c r="AO2787">
        <v>18.8</v>
      </c>
      <c r="AP2787">
        <v>7</v>
      </c>
      <c r="AQ2787">
        <v>0</v>
      </c>
      <c r="AR2787" t="s">
        <v>9643</v>
      </c>
      <c r="AS2787" t="s">
        <v>9644</v>
      </c>
      <c r="AT2787">
        <v>0.56999999999999995</v>
      </c>
      <c r="AU2787" t="s">
        <v>43</v>
      </c>
      <c r="AV2787" t="s">
        <v>44</v>
      </c>
      <c r="AW2787" t="s">
        <v>419</v>
      </c>
      <c r="AX2787" s="1">
        <v>0.41111111111111109</v>
      </c>
      <c r="AY2787" s="2">
        <v>45732.411111111112</v>
      </c>
      <c r="AZ2787">
        <v>712.99999999813735</v>
      </c>
      <c r="BA2787">
        <v>1</v>
      </c>
      <c r="BB2787">
        <v>0</v>
      </c>
      <c r="BC2787">
        <v>1</v>
      </c>
      <c r="BD2787">
        <v>0</v>
      </c>
      <c r="BE2787">
        <f t="shared" si="439"/>
        <v>1</v>
      </c>
    </row>
    <row r="2788" spans="1:57" x14ac:dyDescent="0.25">
      <c r="A2788" t="s">
        <v>39</v>
      </c>
      <c r="B2788" t="s">
        <v>9642</v>
      </c>
      <c r="C2788">
        <v>89.6</v>
      </c>
      <c r="D2788">
        <v>64.400000000000006</v>
      </c>
      <c r="G2788">
        <f t="shared" si="430"/>
        <v>1</v>
      </c>
      <c r="H2788">
        <f t="shared" si="431"/>
        <v>1</v>
      </c>
      <c r="I2788">
        <f t="shared" si="432"/>
        <v>0</v>
      </c>
      <c r="J2788">
        <v>76.8</v>
      </c>
      <c r="K2788">
        <v>88.9</v>
      </c>
      <c r="L2788">
        <v>64.400000000000006</v>
      </c>
      <c r="M2788">
        <v>76.5</v>
      </c>
      <c r="N2788">
        <v>51.1</v>
      </c>
      <c r="O2788">
        <v>43.4</v>
      </c>
      <c r="S2788">
        <f t="shared" si="433"/>
        <v>1</v>
      </c>
      <c r="T2788">
        <f t="shared" si="434"/>
        <v>0</v>
      </c>
      <c r="U2788">
        <f t="shared" si="435"/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43.8</v>
      </c>
      <c r="AC2788">
        <v>33.299999999999997</v>
      </c>
      <c r="AG2788">
        <f t="shared" si="436"/>
        <v>1</v>
      </c>
      <c r="AH2788">
        <f t="shared" si="437"/>
        <v>1</v>
      </c>
      <c r="AI2788">
        <f t="shared" si="438"/>
        <v>0</v>
      </c>
      <c r="AJ2788">
        <v>188.7</v>
      </c>
      <c r="AK2788">
        <v>1014.1</v>
      </c>
      <c r="AL2788">
        <v>22.7</v>
      </c>
      <c r="AM2788">
        <v>6.2</v>
      </c>
      <c r="AN2788">
        <v>219.5</v>
      </c>
      <c r="AO2788">
        <v>18.8</v>
      </c>
      <c r="AP2788">
        <v>7</v>
      </c>
      <c r="AQ2788">
        <v>0</v>
      </c>
      <c r="AR2788" t="s">
        <v>9643</v>
      </c>
      <c r="AS2788" t="s">
        <v>9644</v>
      </c>
      <c r="AT2788">
        <v>0.56999999999999995</v>
      </c>
      <c r="AU2788" t="s">
        <v>43</v>
      </c>
      <c r="AV2788" t="s">
        <v>44</v>
      </c>
      <c r="AW2788" t="s">
        <v>419</v>
      </c>
      <c r="AX2788" s="1">
        <v>0.39652777777777781</v>
      </c>
      <c r="AY2788" s="2">
        <v>45732.396527777782</v>
      </c>
      <c r="AZ2788">
        <v>1962.000000004191</v>
      </c>
      <c r="BA2788">
        <v>1</v>
      </c>
      <c r="BB2788">
        <v>0</v>
      </c>
      <c r="BC2788">
        <v>10</v>
      </c>
      <c r="BD2788">
        <v>0</v>
      </c>
      <c r="BE2788">
        <f t="shared" si="439"/>
        <v>1</v>
      </c>
    </row>
    <row r="2789" spans="1:57" x14ac:dyDescent="0.25">
      <c r="A2789" t="s">
        <v>39</v>
      </c>
      <c r="B2789" t="s">
        <v>9645</v>
      </c>
      <c r="C2789">
        <v>87.8</v>
      </c>
      <c r="D2789">
        <v>64.400000000000006</v>
      </c>
      <c r="G2789">
        <f t="shared" si="430"/>
        <v>1</v>
      </c>
      <c r="H2789">
        <f t="shared" si="431"/>
        <v>1</v>
      </c>
      <c r="I2789">
        <f t="shared" si="432"/>
        <v>0</v>
      </c>
      <c r="J2789">
        <v>75.7</v>
      </c>
      <c r="K2789">
        <v>84.7</v>
      </c>
      <c r="L2789">
        <v>64.400000000000006</v>
      </c>
      <c r="M2789">
        <v>75.099999999999994</v>
      </c>
      <c r="N2789">
        <v>46.5</v>
      </c>
      <c r="O2789">
        <v>36.6</v>
      </c>
      <c r="S2789">
        <f t="shared" si="433"/>
        <v>1</v>
      </c>
      <c r="T2789">
        <f t="shared" si="434"/>
        <v>0</v>
      </c>
      <c r="U2789">
        <f t="shared" si="435"/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28.9</v>
      </c>
      <c r="AC2789">
        <v>31</v>
      </c>
      <c r="AG2789">
        <f t="shared" si="436"/>
        <v>1</v>
      </c>
      <c r="AH2789">
        <f t="shared" si="437"/>
        <v>1</v>
      </c>
      <c r="AI2789">
        <f t="shared" si="438"/>
        <v>0</v>
      </c>
      <c r="AJ2789">
        <v>167.5</v>
      </c>
      <c r="AK2789">
        <v>1017.3</v>
      </c>
      <c r="AL2789">
        <v>0</v>
      </c>
      <c r="AM2789">
        <v>6.2</v>
      </c>
      <c r="AN2789">
        <v>250.5</v>
      </c>
      <c r="AO2789">
        <v>21.5</v>
      </c>
      <c r="AP2789">
        <v>8</v>
      </c>
      <c r="AQ2789">
        <v>0</v>
      </c>
      <c r="AR2789" t="s">
        <v>9646</v>
      </c>
      <c r="AS2789" t="s">
        <v>9647</v>
      </c>
      <c r="AT2789">
        <v>0.54</v>
      </c>
      <c r="AU2789" t="s">
        <v>74</v>
      </c>
      <c r="AV2789" t="s">
        <v>2955</v>
      </c>
      <c r="AW2789" t="s">
        <v>419</v>
      </c>
      <c r="AX2789" s="1">
        <v>0.60069444444444442</v>
      </c>
      <c r="AY2789" s="2">
        <v>45731.600694444453</v>
      </c>
      <c r="AZ2789">
        <v>428.00000000162981</v>
      </c>
      <c r="BA2789">
        <v>1</v>
      </c>
      <c r="BB2789">
        <v>0</v>
      </c>
      <c r="BC2789">
        <v>2</v>
      </c>
      <c r="BD2789">
        <v>0</v>
      </c>
      <c r="BE2789">
        <f t="shared" si="439"/>
        <v>1</v>
      </c>
    </row>
    <row r="2790" spans="1:57" x14ac:dyDescent="0.25">
      <c r="A2790" t="s">
        <v>39</v>
      </c>
      <c r="B2790" t="s">
        <v>9648</v>
      </c>
      <c r="C2790">
        <v>57.2</v>
      </c>
      <c r="D2790">
        <v>53.6</v>
      </c>
      <c r="G2790">
        <f t="shared" si="430"/>
        <v>1</v>
      </c>
      <c r="H2790">
        <f t="shared" si="431"/>
        <v>0</v>
      </c>
      <c r="I2790">
        <f t="shared" si="432"/>
        <v>1</v>
      </c>
      <c r="J2790">
        <v>55.2</v>
      </c>
      <c r="K2790">
        <v>57.2</v>
      </c>
      <c r="L2790">
        <v>53.6</v>
      </c>
      <c r="M2790">
        <v>55.2</v>
      </c>
      <c r="N2790">
        <v>41.4</v>
      </c>
      <c r="O2790">
        <v>59.8</v>
      </c>
      <c r="S2790">
        <f t="shared" si="433"/>
        <v>1</v>
      </c>
      <c r="T2790">
        <f t="shared" si="434"/>
        <v>0</v>
      </c>
      <c r="U2790">
        <f t="shared" si="435"/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43.6</v>
      </c>
      <c r="AC2790">
        <v>20.8</v>
      </c>
      <c r="AG2790">
        <f t="shared" si="436"/>
        <v>1</v>
      </c>
      <c r="AH2790">
        <f t="shared" si="437"/>
        <v>1</v>
      </c>
      <c r="AI2790">
        <f t="shared" si="438"/>
        <v>0</v>
      </c>
      <c r="AJ2790">
        <v>327.39999999999998</v>
      </c>
      <c r="AK2790">
        <v>1025.8</v>
      </c>
      <c r="AL2790">
        <v>85.5</v>
      </c>
      <c r="AM2790">
        <v>6.2</v>
      </c>
      <c r="AN2790">
        <v>199.7</v>
      </c>
      <c r="AO2790">
        <v>17</v>
      </c>
      <c r="AP2790">
        <v>7</v>
      </c>
      <c r="AQ2790">
        <v>0</v>
      </c>
      <c r="AR2790" t="s">
        <v>9649</v>
      </c>
      <c r="AS2790" t="s">
        <v>9650</v>
      </c>
      <c r="AT2790">
        <v>0.73</v>
      </c>
      <c r="AU2790" t="s">
        <v>43</v>
      </c>
      <c r="AV2790" t="s">
        <v>44</v>
      </c>
      <c r="AW2790" t="s">
        <v>45</v>
      </c>
      <c r="AX2790" s="1">
        <v>0.36458333333333331</v>
      </c>
      <c r="AY2790" s="2">
        <v>45737.364583333343</v>
      </c>
      <c r="AZ2790">
        <v>342.9999999969732</v>
      </c>
      <c r="BA2790">
        <v>0</v>
      </c>
      <c r="BB2790">
        <v>0</v>
      </c>
      <c r="BC2790">
        <v>3</v>
      </c>
      <c r="BD2790">
        <v>0</v>
      </c>
      <c r="BE2790">
        <f t="shared" si="439"/>
        <v>1</v>
      </c>
    </row>
    <row r="2791" spans="1:57" x14ac:dyDescent="0.25">
      <c r="A2791" t="s">
        <v>39</v>
      </c>
      <c r="B2791" t="s">
        <v>9651</v>
      </c>
      <c r="C2791">
        <v>62.6</v>
      </c>
      <c r="D2791">
        <v>50</v>
      </c>
      <c r="G2791">
        <f t="shared" si="430"/>
        <v>0</v>
      </c>
      <c r="H2791">
        <f t="shared" si="431"/>
        <v>0</v>
      </c>
      <c r="I2791">
        <f t="shared" si="432"/>
        <v>0</v>
      </c>
      <c r="J2791">
        <v>55.6</v>
      </c>
      <c r="K2791">
        <v>62.6</v>
      </c>
      <c r="L2791">
        <v>50</v>
      </c>
      <c r="M2791">
        <v>55.6</v>
      </c>
      <c r="N2791">
        <v>46.6</v>
      </c>
      <c r="O2791">
        <v>72.2</v>
      </c>
      <c r="S2791">
        <f t="shared" si="433"/>
        <v>1</v>
      </c>
      <c r="T2791">
        <f t="shared" si="434"/>
        <v>1</v>
      </c>
      <c r="U2791">
        <f t="shared" si="435"/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21.3</v>
      </c>
      <c r="AC2791">
        <v>12.8</v>
      </c>
      <c r="AG2791">
        <f t="shared" si="436"/>
        <v>1</v>
      </c>
      <c r="AH2791">
        <f t="shared" si="437"/>
        <v>0</v>
      </c>
      <c r="AI2791">
        <f t="shared" si="438"/>
        <v>1</v>
      </c>
      <c r="AJ2791">
        <v>310.2</v>
      </c>
      <c r="AK2791">
        <v>1024.2</v>
      </c>
      <c r="AL2791">
        <v>23</v>
      </c>
      <c r="AM2791">
        <v>6.2</v>
      </c>
      <c r="AN2791">
        <v>259.39999999999998</v>
      </c>
      <c r="AO2791">
        <v>22.4</v>
      </c>
      <c r="AP2791">
        <v>9</v>
      </c>
      <c r="AQ2791">
        <v>0</v>
      </c>
      <c r="AR2791" t="s">
        <v>9652</v>
      </c>
      <c r="AS2791" t="s">
        <v>9653</v>
      </c>
      <c r="AT2791">
        <v>0.75</v>
      </c>
      <c r="AU2791" t="s">
        <v>43</v>
      </c>
      <c r="AV2791" t="s">
        <v>44</v>
      </c>
      <c r="AW2791" t="s">
        <v>45</v>
      </c>
      <c r="AX2791" s="1">
        <v>0.78402777777777777</v>
      </c>
      <c r="AY2791" s="2">
        <v>45738.78402777778</v>
      </c>
      <c r="AZ2791">
        <v>309.99999999417918</v>
      </c>
      <c r="BA2791">
        <v>0</v>
      </c>
      <c r="BB2791">
        <v>0</v>
      </c>
      <c r="BC2791">
        <v>4</v>
      </c>
      <c r="BD2791">
        <v>0</v>
      </c>
      <c r="BE2791">
        <f t="shared" si="439"/>
        <v>0</v>
      </c>
    </row>
    <row r="2792" spans="1:57" x14ac:dyDescent="0.25">
      <c r="A2792" t="s">
        <v>39</v>
      </c>
      <c r="B2792" t="s">
        <v>9654</v>
      </c>
      <c r="C2792">
        <v>77</v>
      </c>
      <c r="D2792">
        <v>64.400000000000006</v>
      </c>
      <c r="G2792">
        <f t="shared" si="430"/>
        <v>1</v>
      </c>
      <c r="H2792">
        <f t="shared" si="431"/>
        <v>1</v>
      </c>
      <c r="I2792">
        <f t="shared" si="432"/>
        <v>0</v>
      </c>
      <c r="J2792">
        <v>70.400000000000006</v>
      </c>
      <c r="K2792">
        <v>77</v>
      </c>
      <c r="L2792">
        <v>64.400000000000006</v>
      </c>
      <c r="M2792">
        <v>70.400000000000006</v>
      </c>
      <c r="N2792">
        <v>39.700000000000003</v>
      </c>
      <c r="O2792">
        <v>34.4</v>
      </c>
      <c r="S2792">
        <f t="shared" si="433"/>
        <v>1</v>
      </c>
      <c r="T2792">
        <f t="shared" si="434"/>
        <v>0</v>
      </c>
      <c r="U2792">
        <f t="shared" si="435"/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21.9</v>
      </c>
      <c r="AC2792">
        <v>24.2</v>
      </c>
      <c r="AG2792">
        <f t="shared" si="436"/>
        <v>1</v>
      </c>
      <c r="AH2792">
        <f t="shared" si="437"/>
        <v>1</v>
      </c>
      <c r="AI2792">
        <f t="shared" si="438"/>
        <v>0</v>
      </c>
      <c r="AJ2792">
        <v>168.7</v>
      </c>
      <c r="AK2792">
        <v>1021.9</v>
      </c>
      <c r="AL2792">
        <v>17.8</v>
      </c>
      <c r="AM2792">
        <v>6.2</v>
      </c>
      <c r="AN2792">
        <v>207.4</v>
      </c>
      <c r="AO2792">
        <v>17.899999999999999</v>
      </c>
      <c r="AP2792">
        <v>8</v>
      </c>
      <c r="AQ2792">
        <v>0</v>
      </c>
      <c r="AR2792" t="s">
        <v>9655</v>
      </c>
      <c r="AS2792" t="s">
        <v>9656</v>
      </c>
      <c r="AT2792">
        <v>0.87</v>
      </c>
      <c r="AU2792" t="s">
        <v>74</v>
      </c>
      <c r="AV2792" t="s">
        <v>2955</v>
      </c>
      <c r="AW2792" t="s">
        <v>75</v>
      </c>
      <c r="AX2792" s="1">
        <v>0.78541666666666665</v>
      </c>
      <c r="AY2792" s="2">
        <v>45741.785416666673</v>
      </c>
      <c r="AZ2792">
        <v>148.00000000046569</v>
      </c>
      <c r="BA2792">
        <v>0</v>
      </c>
      <c r="BB2792">
        <v>0</v>
      </c>
      <c r="BC2792">
        <v>0.03</v>
      </c>
      <c r="BD2792">
        <v>0</v>
      </c>
      <c r="BE2792">
        <f t="shared" si="439"/>
        <v>1</v>
      </c>
    </row>
    <row r="2793" spans="1:57" x14ac:dyDescent="0.25">
      <c r="A2793" t="s">
        <v>39</v>
      </c>
      <c r="B2793" t="s">
        <v>9657</v>
      </c>
      <c r="C2793">
        <v>84.2</v>
      </c>
      <c r="D2793">
        <v>59</v>
      </c>
      <c r="G2793">
        <f t="shared" si="430"/>
        <v>1</v>
      </c>
      <c r="H2793">
        <f t="shared" si="431"/>
        <v>1</v>
      </c>
      <c r="I2793">
        <f t="shared" si="432"/>
        <v>0</v>
      </c>
      <c r="J2793">
        <v>71.8</v>
      </c>
      <c r="K2793">
        <v>84.5</v>
      </c>
      <c r="L2793">
        <v>59</v>
      </c>
      <c r="M2793">
        <v>71.8</v>
      </c>
      <c r="N2793">
        <v>46.5</v>
      </c>
      <c r="O2793">
        <v>43.6</v>
      </c>
      <c r="S2793">
        <f t="shared" si="433"/>
        <v>1</v>
      </c>
      <c r="T2793">
        <f t="shared" si="434"/>
        <v>0</v>
      </c>
      <c r="U2793">
        <f t="shared" si="435"/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28.9</v>
      </c>
      <c r="AC2793">
        <v>21.9</v>
      </c>
      <c r="AG2793">
        <f t="shared" si="436"/>
        <v>1</v>
      </c>
      <c r="AH2793">
        <f t="shared" si="437"/>
        <v>1</v>
      </c>
      <c r="AI2793">
        <f t="shared" si="438"/>
        <v>0</v>
      </c>
      <c r="AJ2793">
        <v>169.4</v>
      </c>
      <c r="AK2793">
        <v>1014.3</v>
      </c>
      <c r="AL2793">
        <v>33.4</v>
      </c>
      <c r="AM2793">
        <v>6.2</v>
      </c>
      <c r="AN2793">
        <v>188.6</v>
      </c>
      <c r="AO2793">
        <v>16.399999999999999</v>
      </c>
      <c r="AP2793">
        <v>7</v>
      </c>
      <c r="AQ2793">
        <v>0</v>
      </c>
      <c r="AR2793" t="s">
        <v>9658</v>
      </c>
      <c r="AS2793" t="s">
        <v>9659</v>
      </c>
      <c r="AT2793">
        <v>0.9</v>
      </c>
      <c r="AU2793" t="s">
        <v>43</v>
      </c>
      <c r="AV2793" t="s">
        <v>44</v>
      </c>
      <c r="AW2793" t="s">
        <v>45</v>
      </c>
      <c r="AX2793" s="1">
        <v>0.8979166666666667</v>
      </c>
      <c r="AY2793" s="2">
        <v>45742.897916666669</v>
      </c>
      <c r="AZ2793">
        <v>180</v>
      </c>
      <c r="BA2793">
        <v>0</v>
      </c>
      <c r="BB2793">
        <v>0</v>
      </c>
      <c r="BC2793">
        <v>0.5</v>
      </c>
      <c r="BD2793">
        <v>0</v>
      </c>
      <c r="BE2793">
        <f t="shared" si="439"/>
        <v>1</v>
      </c>
    </row>
    <row r="2794" spans="1:57" x14ac:dyDescent="0.25">
      <c r="A2794" t="s">
        <v>39</v>
      </c>
      <c r="B2794" t="s">
        <v>9660</v>
      </c>
      <c r="C2794">
        <v>84.2</v>
      </c>
      <c r="D2794">
        <v>67.900000000000006</v>
      </c>
      <c r="G2794">
        <f t="shared" si="430"/>
        <v>1</v>
      </c>
      <c r="H2794">
        <f t="shared" si="431"/>
        <v>1</v>
      </c>
      <c r="I2794">
        <f t="shared" si="432"/>
        <v>0</v>
      </c>
      <c r="J2794">
        <v>74.900000000000006</v>
      </c>
      <c r="K2794">
        <v>85.8</v>
      </c>
      <c r="L2794">
        <v>67.900000000000006</v>
      </c>
      <c r="M2794">
        <v>75.3</v>
      </c>
      <c r="N2794">
        <v>58.5</v>
      </c>
      <c r="O2794">
        <v>57.2</v>
      </c>
      <c r="S2794">
        <f t="shared" si="433"/>
        <v>1</v>
      </c>
      <c r="T2794">
        <f t="shared" si="434"/>
        <v>0</v>
      </c>
      <c r="U2794">
        <f t="shared" si="435"/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44.9</v>
      </c>
      <c r="AC2794">
        <v>33.299999999999997</v>
      </c>
      <c r="AG2794">
        <f t="shared" si="436"/>
        <v>1</v>
      </c>
      <c r="AH2794">
        <f t="shared" si="437"/>
        <v>1</v>
      </c>
      <c r="AI2794">
        <f t="shared" si="438"/>
        <v>0</v>
      </c>
      <c r="AJ2794">
        <v>172.7</v>
      </c>
      <c r="AK2794">
        <v>1004.3</v>
      </c>
      <c r="AL2794">
        <v>50.4</v>
      </c>
      <c r="AM2794">
        <v>6.2</v>
      </c>
      <c r="AN2794">
        <v>239.4</v>
      </c>
      <c r="AO2794">
        <v>20.6</v>
      </c>
      <c r="AP2794">
        <v>9</v>
      </c>
      <c r="AQ2794">
        <v>0</v>
      </c>
      <c r="AR2794" t="s">
        <v>9661</v>
      </c>
      <c r="AS2794" t="s">
        <v>9662</v>
      </c>
      <c r="AT2794">
        <v>0.93</v>
      </c>
      <c r="AU2794" t="s">
        <v>43</v>
      </c>
      <c r="AV2794" t="s">
        <v>44</v>
      </c>
      <c r="AW2794" t="s">
        <v>419</v>
      </c>
      <c r="AX2794" s="1">
        <v>0.51875000000000004</v>
      </c>
      <c r="AY2794" s="2">
        <v>45743.518750000003</v>
      </c>
      <c r="AZ2794">
        <v>399.99999999417918</v>
      </c>
      <c r="BA2794">
        <v>1</v>
      </c>
      <c r="BB2794">
        <v>0</v>
      </c>
      <c r="BC2794">
        <v>1</v>
      </c>
      <c r="BD2794">
        <v>0</v>
      </c>
      <c r="BE2794">
        <f t="shared" si="439"/>
        <v>1</v>
      </c>
    </row>
    <row r="2795" spans="1:57" x14ac:dyDescent="0.25">
      <c r="A2795" t="s">
        <v>39</v>
      </c>
      <c r="B2795" t="s">
        <v>9663</v>
      </c>
      <c r="C2795">
        <v>73.400000000000006</v>
      </c>
      <c r="D2795">
        <v>48.2</v>
      </c>
      <c r="G2795">
        <f t="shared" si="430"/>
        <v>1</v>
      </c>
      <c r="H2795">
        <f t="shared" si="431"/>
        <v>1</v>
      </c>
      <c r="I2795">
        <f t="shared" si="432"/>
        <v>0</v>
      </c>
      <c r="J2795">
        <v>60.1</v>
      </c>
      <c r="K2795">
        <v>73.400000000000006</v>
      </c>
      <c r="L2795">
        <v>45.1</v>
      </c>
      <c r="M2795">
        <v>59.8</v>
      </c>
      <c r="N2795">
        <v>49.2</v>
      </c>
      <c r="O2795">
        <v>68.3</v>
      </c>
      <c r="S2795">
        <f t="shared" si="433"/>
        <v>1</v>
      </c>
      <c r="T2795">
        <f t="shared" si="434"/>
        <v>1</v>
      </c>
      <c r="U2795">
        <f t="shared" si="435"/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25.3</v>
      </c>
      <c r="AC2795">
        <v>21.9</v>
      </c>
      <c r="AG2795">
        <f t="shared" si="436"/>
        <v>1</v>
      </c>
      <c r="AH2795">
        <f t="shared" si="437"/>
        <v>1</v>
      </c>
      <c r="AI2795">
        <f t="shared" si="438"/>
        <v>0</v>
      </c>
      <c r="AJ2795">
        <v>163.5</v>
      </c>
      <c r="AK2795">
        <v>1023.9</v>
      </c>
      <c r="AL2795">
        <v>10.1</v>
      </c>
      <c r="AM2795">
        <v>6.2</v>
      </c>
      <c r="AN2795">
        <v>258.2</v>
      </c>
      <c r="AO2795">
        <v>22.3</v>
      </c>
      <c r="AP2795">
        <v>9</v>
      </c>
      <c r="AQ2795">
        <v>0</v>
      </c>
      <c r="AR2795" t="s">
        <v>9664</v>
      </c>
      <c r="AS2795" t="s">
        <v>9665</v>
      </c>
      <c r="AT2795">
        <v>0.8</v>
      </c>
      <c r="AU2795" t="s">
        <v>74</v>
      </c>
      <c r="AV2795" t="s">
        <v>2955</v>
      </c>
      <c r="AW2795" t="s">
        <v>75</v>
      </c>
      <c r="AX2795" s="1">
        <v>0.62361111111111112</v>
      </c>
      <c r="AY2795" s="2">
        <v>45739.623611111107</v>
      </c>
      <c r="AZ2795">
        <v>225.99999999278231</v>
      </c>
      <c r="BA2795">
        <v>0</v>
      </c>
      <c r="BB2795">
        <v>0</v>
      </c>
      <c r="BC2795">
        <v>0.2</v>
      </c>
      <c r="BD2795">
        <v>0</v>
      </c>
      <c r="BE2795">
        <f t="shared" si="439"/>
        <v>1</v>
      </c>
    </row>
    <row r="2796" spans="1:57" x14ac:dyDescent="0.25">
      <c r="A2796" t="s">
        <v>39</v>
      </c>
      <c r="B2796" t="s">
        <v>9666</v>
      </c>
      <c r="C2796">
        <v>64.400000000000006</v>
      </c>
      <c r="D2796">
        <v>55.4</v>
      </c>
      <c r="G2796">
        <f t="shared" si="430"/>
        <v>1</v>
      </c>
      <c r="H2796">
        <f t="shared" si="431"/>
        <v>0</v>
      </c>
      <c r="I2796">
        <f t="shared" si="432"/>
        <v>1</v>
      </c>
      <c r="J2796">
        <v>59.2</v>
      </c>
      <c r="K2796">
        <v>64.400000000000006</v>
      </c>
      <c r="L2796">
        <v>55.4</v>
      </c>
      <c r="M2796">
        <v>59.2</v>
      </c>
      <c r="N2796">
        <v>54.4</v>
      </c>
      <c r="O2796">
        <v>84.3</v>
      </c>
      <c r="S2796">
        <f t="shared" si="433"/>
        <v>1</v>
      </c>
      <c r="T2796">
        <f t="shared" si="434"/>
        <v>1</v>
      </c>
      <c r="U2796">
        <f t="shared" si="435"/>
        <v>0</v>
      </c>
      <c r="V2796">
        <v>9.1999999999999998E-2</v>
      </c>
      <c r="W2796">
        <v>100</v>
      </c>
      <c r="X2796">
        <v>12.5</v>
      </c>
      <c r="Y2796" t="s">
        <v>103</v>
      </c>
      <c r="Z2796">
        <v>0</v>
      </c>
      <c r="AA2796">
        <v>0</v>
      </c>
      <c r="AB2796">
        <v>33.299999999999997</v>
      </c>
      <c r="AC2796">
        <v>17.2</v>
      </c>
      <c r="AG2796">
        <f t="shared" si="436"/>
        <v>0</v>
      </c>
      <c r="AH2796">
        <f t="shared" si="437"/>
        <v>0</v>
      </c>
      <c r="AI2796">
        <f t="shared" si="438"/>
        <v>0</v>
      </c>
      <c r="AJ2796">
        <v>223.1</v>
      </c>
      <c r="AK2796">
        <v>1000.4</v>
      </c>
      <c r="AL2796">
        <v>67.099999999999994</v>
      </c>
      <c r="AM2796">
        <v>5.9</v>
      </c>
      <c r="AN2796">
        <v>182.3</v>
      </c>
      <c r="AO2796">
        <v>15.9</v>
      </c>
      <c r="AP2796">
        <v>6</v>
      </c>
      <c r="AQ2796">
        <v>0</v>
      </c>
      <c r="AR2796" t="s">
        <v>9667</v>
      </c>
      <c r="AS2796" t="s">
        <v>9668</v>
      </c>
      <c r="AT2796">
        <v>0.1</v>
      </c>
      <c r="AU2796" t="s">
        <v>106</v>
      </c>
      <c r="AV2796" t="s">
        <v>257</v>
      </c>
      <c r="AW2796" t="s">
        <v>103</v>
      </c>
      <c r="AX2796" s="1">
        <v>0.87638888888888888</v>
      </c>
      <c r="AY2796" s="2">
        <v>45748.876388888893</v>
      </c>
      <c r="AZ2796">
        <v>113.0000000016298</v>
      </c>
      <c r="BA2796">
        <v>0</v>
      </c>
      <c r="BB2796">
        <v>0</v>
      </c>
      <c r="BC2796">
        <v>0.15</v>
      </c>
      <c r="BD2796">
        <v>0</v>
      </c>
      <c r="BE2796">
        <f t="shared" si="439"/>
        <v>0</v>
      </c>
    </row>
    <row r="2797" spans="1:57" x14ac:dyDescent="0.25">
      <c r="A2797" t="s">
        <v>39</v>
      </c>
      <c r="B2797" t="s">
        <v>9669</v>
      </c>
      <c r="C2797">
        <v>66.2</v>
      </c>
      <c r="D2797">
        <v>57.2</v>
      </c>
      <c r="G2797">
        <f t="shared" si="430"/>
        <v>1</v>
      </c>
      <c r="H2797">
        <f t="shared" si="431"/>
        <v>1</v>
      </c>
      <c r="I2797">
        <f t="shared" si="432"/>
        <v>0</v>
      </c>
      <c r="J2797">
        <v>63.5</v>
      </c>
      <c r="K2797">
        <v>66.2</v>
      </c>
      <c r="L2797">
        <v>57.2</v>
      </c>
      <c r="M2797">
        <v>63.5</v>
      </c>
      <c r="N2797">
        <v>55.1</v>
      </c>
      <c r="O2797">
        <v>74.400000000000006</v>
      </c>
      <c r="S2797">
        <f t="shared" si="433"/>
        <v>1</v>
      </c>
      <c r="T2797">
        <f t="shared" si="434"/>
        <v>1</v>
      </c>
      <c r="U2797">
        <f t="shared" si="435"/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27.7</v>
      </c>
      <c r="AC2797">
        <v>21.9</v>
      </c>
      <c r="AG2797">
        <f t="shared" si="436"/>
        <v>1</v>
      </c>
      <c r="AH2797">
        <f t="shared" si="437"/>
        <v>1</v>
      </c>
      <c r="AI2797">
        <f t="shared" si="438"/>
        <v>0</v>
      </c>
      <c r="AJ2797">
        <v>289.8</v>
      </c>
      <c r="AK2797">
        <v>1006.3</v>
      </c>
      <c r="AL2797">
        <v>39.299999999999997</v>
      </c>
      <c r="AM2797">
        <v>6.2</v>
      </c>
      <c r="AN2797">
        <v>250.3</v>
      </c>
      <c r="AO2797">
        <v>21.7</v>
      </c>
      <c r="AP2797">
        <v>8</v>
      </c>
      <c r="AQ2797">
        <v>0</v>
      </c>
      <c r="AR2797" t="s">
        <v>9670</v>
      </c>
      <c r="AS2797" t="s">
        <v>9671</v>
      </c>
      <c r="AT2797">
        <v>0.97</v>
      </c>
      <c r="AU2797" t="s">
        <v>43</v>
      </c>
      <c r="AV2797" t="s">
        <v>44</v>
      </c>
      <c r="AW2797" t="s">
        <v>45</v>
      </c>
      <c r="AX2797" s="1">
        <v>0.81874999999999998</v>
      </c>
      <c r="AY2797" s="2">
        <v>45744.818749999999</v>
      </c>
      <c r="AZ2797">
        <v>214.99999999883579</v>
      </c>
      <c r="BA2797">
        <v>0</v>
      </c>
      <c r="BB2797">
        <v>0</v>
      </c>
      <c r="BC2797">
        <v>2</v>
      </c>
      <c r="BD2797">
        <v>0</v>
      </c>
      <c r="BE2797">
        <f t="shared" si="439"/>
        <v>1</v>
      </c>
    </row>
    <row r="2798" spans="1:57" x14ac:dyDescent="0.25">
      <c r="A2798" t="s">
        <v>39</v>
      </c>
      <c r="B2798" t="s">
        <v>9672</v>
      </c>
      <c r="C2798">
        <v>73.400000000000006</v>
      </c>
      <c r="D2798">
        <v>53.6</v>
      </c>
      <c r="G2798">
        <f t="shared" si="430"/>
        <v>1</v>
      </c>
      <c r="H2798">
        <f t="shared" si="431"/>
        <v>1</v>
      </c>
      <c r="I2798">
        <f t="shared" si="432"/>
        <v>0</v>
      </c>
      <c r="J2798">
        <v>63.2</v>
      </c>
      <c r="K2798">
        <v>73.400000000000006</v>
      </c>
      <c r="L2798">
        <v>53.6</v>
      </c>
      <c r="M2798">
        <v>63.2</v>
      </c>
      <c r="N2798">
        <v>54.7</v>
      </c>
      <c r="O2798">
        <v>75.3</v>
      </c>
      <c r="S2798">
        <f t="shared" si="433"/>
        <v>1</v>
      </c>
      <c r="T2798">
        <f t="shared" si="434"/>
        <v>1</v>
      </c>
      <c r="U2798">
        <f t="shared" si="435"/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32.200000000000003</v>
      </c>
      <c r="AC2798">
        <v>20.8</v>
      </c>
      <c r="AG2798">
        <f t="shared" si="436"/>
        <v>1</v>
      </c>
      <c r="AH2798">
        <f t="shared" si="437"/>
        <v>1</v>
      </c>
      <c r="AI2798">
        <f t="shared" si="438"/>
        <v>0</v>
      </c>
      <c r="AJ2798">
        <v>175.8</v>
      </c>
      <c r="AK2798">
        <v>1011.2</v>
      </c>
      <c r="AL2798">
        <v>46.7</v>
      </c>
      <c r="AM2798">
        <v>6.2</v>
      </c>
      <c r="AN2798">
        <v>231.6</v>
      </c>
      <c r="AO2798">
        <v>20.100000000000001</v>
      </c>
      <c r="AP2798">
        <v>8</v>
      </c>
      <c r="AQ2798">
        <v>0</v>
      </c>
      <c r="AR2798" t="s">
        <v>9673</v>
      </c>
      <c r="AS2798" t="s">
        <v>9674</v>
      </c>
      <c r="AT2798">
        <v>0.31</v>
      </c>
      <c r="AU2798" t="s">
        <v>43</v>
      </c>
      <c r="AV2798" t="s">
        <v>44</v>
      </c>
      <c r="AW2798" t="s">
        <v>45</v>
      </c>
      <c r="AX2798" s="1">
        <v>0.62777777777777777</v>
      </c>
      <c r="AY2798" s="2">
        <v>45754.62777777778</v>
      </c>
      <c r="AZ2798">
        <v>399.99999999417918</v>
      </c>
      <c r="BA2798">
        <v>1</v>
      </c>
      <c r="BB2798">
        <v>0</v>
      </c>
      <c r="BC2798">
        <v>0.2</v>
      </c>
      <c r="BD2798">
        <v>0</v>
      </c>
      <c r="BE2798">
        <f t="shared" si="439"/>
        <v>1</v>
      </c>
    </row>
    <row r="2799" spans="1:57" x14ac:dyDescent="0.25">
      <c r="A2799" t="s">
        <v>39</v>
      </c>
      <c r="B2799" t="s">
        <v>9675</v>
      </c>
      <c r="C2799">
        <v>68</v>
      </c>
      <c r="D2799">
        <v>50</v>
      </c>
      <c r="G2799">
        <f t="shared" si="430"/>
        <v>0</v>
      </c>
      <c r="H2799">
        <f t="shared" si="431"/>
        <v>0</v>
      </c>
      <c r="I2799">
        <f t="shared" si="432"/>
        <v>0</v>
      </c>
      <c r="J2799">
        <v>59.5</v>
      </c>
      <c r="K2799">
        <v>68</v>
      </c>
      <c r="L2799">
        <v>50</v>
      </c>
      <c r="M2799">
        <v>59.5</v>
      </c>
      <c r="N2799">
        <v>50.9</v>
      </c>
      <c r="O2799">
        <v>74.400000000000006</v>
      </c>
      <c r="S2799">
        <f t="shared" si="433"/>
        <v>1</v>
      </c>
      <c r="T2799">
        <f t="shared" si="434"/>
        <v>1</v>
      </c>
      <c r="U2799">
        <f t="shared" si="435"/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20.8</v>
      </c>
      <c r="AC2799">
        <v>11.4</v>
      </c>
      <c r="AG2799">
        <f t="shared" si="436"/>
        <v>1</v>
      </c>
      <c r="AH2799">
        <f t="shared" si="437"/>
        <v>0</v>
      </c>
      <c r="AI2799">
        <f t="shared" si="438"/>
        <v>1</v>
      </c>
      <c r="AJ2799">
        <v>159.5</v>
      </c>
      <c r="AK2799">
        <v>1009.7</v>
      </c>
      <c r="AL2799">
        <v>30.6</v>
      </c>
      <c r="AM2799">
        <v>6.2</v>
      </c>
      <c r="AN2799">
        <v>241.2</v>
      </c>
      <c r="AO2799">
        <v>20.9</v>
      </c>
      <c r="AP2799">
        <v>7</v>
      </c>
      <c r="AQ2799">
        <v>0</v>
      </c>
      <c r="AR2799" t="s">
        <v>9676</v>
      </c>
      <c r="AS2799" t="s">
        <v>9677</v>
      </c>
      <c r="AT2799">
        <v>0.27</v>
      </c>
      <c r="AU2799" t="s">
        <v>43</v>
      </c>
      <c r="AV2799" t="s">
        <v>44</v>
      </c>
      <c r="AW2799" t="s">
        <v>45</v>
      </c>
      <c r="AX2799" s="1">
        <v>0.35694444444444451</v>
      </c>
      <c r="AY2799" s="2">
        <v>45753.356944444437</v>
      </c>
      <c r="AZ2799">
        <v>248.00000000162979</v>
      </c>
      <c r="BA2799">
        <v>0</v>
      </c>
      <c r="BB2799">
        <v>0</v>
      </c>
      <c r="BC2799">
        <v>0.05</v>
      </c>
      <c r="BD2799">
        <v>0</v>
      </c>
      <c r="BE2799">
        <f t="shared" si="439"/>
        <v>0</v>
      </c>
    </row>
    <row r="2800" spans="1:57" x14ac:dyDescent="0.25">
      <c r="A2800" t="s">
        <v>39</v>
      </c>
      <c r="B2800" t="s">
        <v>9678</v>
      </c>
      <c r="C2800">
        <v>69.900000000000006</v>
      </c>
      <c r="D2800">
        <v>53.6</v>
      </c>
      <c r="G2800">
        <f t="shared" si="430"/>
        <v>1</v>
      </c>
      <c r="H2800">
        <f t="shared" si="431"/>
        <v>1</v>
      </c>
      <c r="I2800">
        <f t="shared" si="432"/>
        <v>0</v>
      </c>
      <c r="J2800">
        <v>62.9</v>
      </c>
      <c r="K2800">
        <v>69.900000000000006</v>
      </c>
      <c r="L2800">
        <v>53.6</v>
      </c>
      <c r="M2800">
        <v>62.9</v>
      </c>
      <c r="N2800">
        <v>52.1</v>
      </c>
      <c r="O2800">
        <v>68.8</v>
      </c>
      <c r="S2800">
        <f t="shared" si="433"/>
        <v>1</v>
      </c>
      <c r="T2800">
        <f t="shared" si="434"/>
        <v>1</v>
      </c>
      <c r="U2800">
        <f t="shared" si="435"/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16.100000000000001</v>
      </c>
      <c r="AC2800">
        <v>9.1999999999999993</v>
      </c>
      <c r="AG2800">
        <f t="shared" si="436"/>
        <v>1</v>
      </c>
      <c r="AH2800">
        <f t="shared" si="437"/>
        <v>0</v>
      </c>
      <c r="AI2800">
        <f t="shared" si="438"/>
        <v>1</v>
      </c>
      <c r="AJ2800">
        <v>155</v>
      </c>
      <c r="AK2800">
        <v>1019.8</v>
      </c>
      <c r="AL2800">
        <v>13.5</v>
      </c>
      <c r="AM2800">
        <v>6.2</v>
      </c>
      <c r="AN2800">
        <v>282.3</v>
      </c>
      <c r="AO2800">
        <v>24.3</v>
      </c>
      <c r="AP2800">
        <v>9</v>
      </c>
      <c r="AQ2800">
        <v>0</v>
      </c>
      <c r="AR2800" t="s">
        <v>9679</v>
      </c>
      <c r="AS2800" t="s">
        <v>9680</v>
      </c>
      <c r="AT2800">
        <v>0.65</v>
      </c>
      <c r="AU2800" t="s">
        <v>74</v>
      </c>
      <c r="AV2800" t="s">
        <v>2955</v>
      </c>
      <c r="AW2800" t="s">
        <v>75</v>
      </c>
      <c r="AX2800" s="1">
        <v>0.37916666666666671</v>
      </c>
      <c r="AY2800" s="2">
        <v>45764.379166666673</v>
      </c>
      <c r="AZ2800">
        <v>18.000000006286431</v>
      </c>
      <c r="BA2800">
        <v>0</v>
      </c>
      <c r="BB2800">
        <v>0.19</v>
      </c>
      <c r="BC2800">
        <v>0</v>
      </c>
      <c r="BD2800">
        <v>0</v>
      </c>
      <c r="BE2800">
        <f t="shared" si="439"/>
        <v>1</v>
      </c>
    </row>
    <row r="2801" spans="1:57" x14ac:dyDescent="0.25">
      <c r="A2801" t="s">
        <v>39</v>
      </c>
      <c r="B2801" t="s">
        <v>9681</v>
      </c>
      <c r="C2801">
        <v>68</v>
      </c>
      <c r="D2801">
        <v>51.8</v>
      </c>
      <c r="G2801">
        <f t="shared" si="430"/>
        <v>0</v>
      </c>
      <c r="H2801">
        <f t="shared" si="431"/>
        <v>0</v>
      </c>
      <c r="I2801">
        <f t="shared" si="432"/>
        <v>0</v>
      </c>
      <c r="J2801">
        <v>61.8</v>
      </c>
      <c r="K2801">
        <v>68</v>
      </c>
      <c r="L2801">
        <v>51.8</v>
      </c>
      <c r="M2801">
        <v>61.8</v>
      </c>
      <c r="N2801">
        <v>52.4</v>
      </c>
      <c r="O2801">
        <v>73.5</v>
      </c>
      <c r="S2801">
        <f t="shared" si="433"/>
        <v>1</v>
      </c>
      <c r="T2801">
        <f t="shared" si="434"/>
        <v>1</v>
      </c>
      <c r="U2801">
        <f t="shared" si="435"/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18.3</v>
      </c>
      <c r="AC2801">
        <v>16.100000000000001</v>
      </c>
      <c r="AG2801">
        <f t="shared" si="436"/>
        <v>0</v>
      </c>
      <c r="AH2801">
        <f t="shared" si="437"/>
        <v>0</v>
      </c>
      <c r="AI2801">
        <f t="shared" si="438"/>
        <v>0</v>
      </c>
      <c r="AJ2801">
        <v>304.8</v>
      </c>
      <c r="AK2801">
        <v>1013.5</v>
      </c>
      <c r="AL2801">
        <v>7.9</v>
      </c>
      <c r="AM2801">
        <v>6.2</v>
      </c>
      <c r="AN2801">
        <v>300.5</v>
      </c>
      <c r="AO2801">
        <v>25.9</v>
      </c>
      <c r="AP2801">
        <v>9</v>
      </c>
      <c r="AQ2801">
        <v>0</v>
      </c>
      <c r="AR2801" t="s">
        <v>9682</v>
      </c>
      <c r="AS2801" t="s">
        <v>9683</v>
      </c>
      <c r="AT2801">
        <v>0.71</v>
      </c>
      <c r="AU2801" t="s">
        <v>74</v>
      </c>
      <c r="AV2801" t="s">
        <v>2955</v>
      </c>
      <c r="AW2801" t="s">
        <v>75</v>
      </c>
      <c r="AX2801" s="1">
        <v>0.66527777777777775</v>
      </c>
      <c r="AY2801" s="2">
        <v>45766.665277777778</v>
      </c>
      <c r="AZ2801">
        <v>201.99999999837021</v>
      </c>
      <c r="BA2801">
        <v>0</v>
      </c>
      <c r="BB2801">
        <v>0</v>
      </c>
      <c r="BC2801">
        <v>6</v>
      </c>
      <c r="BD2801">
        <v>0</v>
      </c>
      <c r="BE2801">
        <f t="shared" si="439"/>
        <v>0</v>
      </c>
    </row>
    <row r="2802" spans="1:57" x14ac:dyDescent="0.25">
      <c r="A2802" t="s">
        <v>39</v>
      </c>
      <c r="B2802" t="s">
        <v>9684</v>
      </c>
      <c r="C2802">
        <v>69.8</v>
      </c>
      <c r="D2802">
        <v>53.6</v>
      </c>
      <c r="G2802">
        <f t="shared" si="430"/>
        <v>1</v>
      </c>
      <c r="H2802">
        <f t="shared" si="431"/>
        <v>1</v>
      </c>
      <c r="I2802">
        <f t="shared" si="432"/>
        <v>0</v>
      </c>
      <c r="J2802">
        <v>62.7</v>
      </c>
      <c r="K2802">
        <v>69.8</v>
      </c>
      <c r="L2802">
        <v>53.6</v>
      </c>
      <c r="M2802">
        <v>62.7</v>
      </c>
      <c r="N2802">
        <v>55.9</v>
      </c>
      <c r="O2802">
        <v>79.099999999999994</v>
      </c>
      <c r="S2802">
        <f t="shared" si="433"/>
        <v>1</v>
      </c>
      <c r="T2802">
        <f t="shared" si="434"/>
        <v>1</v>
      </c>
      <c r="U2802">
        <f t="shared" si="435"/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20.8</v>
      </c>
      <c r="AC2802">
        <v>8.1</v>
      </c>
      <c r="AG2802">
        <f t="shared" si="436"/>
        <v>1</v>
      </c>
      <c r="AH2802">
        <f t="shared" si="437"/>
        <v>0</v>
      </c>
      <c r="AI2802">
        <f t="shared" si="438"/>
        <v>1</v>
      </c>
      <c r="AJ2802">
        <v>16.7</v>
      </c>
      <c r="AK2802">
        <v>1013.1</v>
      </c>
      <c r="AL2802">
        <v>3.4</v>
      </c>
      <c r="AM2802">
        <v>6.2</v>
      </c>
      <c r="AN2802">
        <v>300</v>
      </c>
      <c r="AO2802">
        <v>26</v>
      </c>
      <c r="AP2802">
        <v>9</v>
      </c>
      <c r="AQ2802">
        <v>0</v>
      </c>
      <c r="AR2802" t="s">
        <v>9685</v>
      </c>
      <c r="AS2802" t="s">
        <v>9686</v>
      </c>
      <c r="AT2802">
        <v>0.75</v>
      </c>
      <c r="AU2802" t="s">
        <v>74</v>
      </c>
      <c r="AV2802" t="s">
        <v>2955</v>
      </c>
      <c r="AW2802" t="s">
        <v>75</v>
      </c>
      <c r="AX2802" s="1">
        <v>0.4826388888888889</v>
      </c>
      <c r="AY2802" s="2">
        <v>45767.482638888891</v>
      </c>
      <c r="AZ2802">
        <v>1656.000000002095</v>
      </c>
      <c r="BA2802">
        <v>1</v>
      </c>
      <c r="BB2802">
        <v>0</v>
      </c>
      <c r="BC2802">
        <v>15</v>
      </c>
      <c r="BD2802">
        <v>0</v>
      </c>
      <c r="BE2802">
        <f t="shared" si="439"/>
        <v>1</v>
      </c>
    </row>
    <row r="2803" spans="1:57" x14ac:dyDescent="0.25">
      <c r="A2803" t="s">
        <v>39</v>
      </c>
      <c r="B2803" t="s">
        <v>9687</v>
      </c>
      <c r="C2803">
        <v>66.2</v>
      </c>
      <c r="D2803">
        <v>55.4</v>
      </c>
      <c r="G2803">
        <f t="shared" si="430"/>
        <v>1</v>
      </c>
      <c r="H2803">
        <f t="shared" si="431"/>
        <v>1</v>
      </c>
      <c r="I2803">
        <f t="shared" si="432"/>
        <v>0</v>
      </c>
      <c r="J2803">
        <v>60.4</v>
      </c>
      <c r="K2803">
        <v>66.2</v>
      </c>
      <c r="L2803">
        <v>55.4</v>
      </c>
      <c r="M2803">
        <v>60.4</v>
      </c>
      <c r="N2803">
        <v>48.4</v>
      </c>
      <c r="O2803">
        <v>65.099999999999994</v>
      </c>
      <c r="S2803">
        <f t="shared" si="433"/>
        <v>0</v>
      </c>
      <c r="T2803">
        <f t="shared" si="434"/>
        <v>0</v>
      </c>
      <c r="U2803">
        <f t="shared" si="435"/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26.4</v>
      </c>
      <c r="AC2803">
        <v>13.9</v>
      </c>
      <c r="AG2803">
        <f t="shared" si="436"/>
        <v>1</v>
      </c>
      <c r="AH2803">
        <f t="shared" si="437"/>
        <v>0</v>
      </c>
      <c r="AI2803">
        <f t="shared" si="438"/>
        <v>1</v>
      </c>
      <c r="AJ2803">
        <v>295.5</v>
      </c>
      <c r="AK2803">
        <v>1015.3</v>
      </c>
      <c r="AL2803">
        <v>39.5</v>
      </c>
      <c r="AM2803">
        <v>6.2</v>
      </c>
      <c r="AN2803">
        <v>246.7</v>
      </c>
      <c r="AO2803">
        <v>21.2</v>
      </c>
      <c r="AP2803">
        <v>8</v>
      </c>
      <c r="AQ2803">
        <v>0</v>
      </c>
      <c r="AR2803" t="s">
        <v>9688</v>
      </c>
      <c r="AS2803" t="s">
        <v>9689</v>
      </c>
      <c r="AT2803">
        <v>0.64</v>
      </c>
      <c r="AU2803" t="s">
        <v>43</v>
      </c>
      <c r="AV2803" t="s">
        <v>44</v>
      </c>
      <c r="AW2803" t="s">
        <v>45</v>
      </c>
      <c r="AX2803" s="1">
        <v>0.53125</v>
      </c>
      <c r="AY2803" s="2">
        <v>45734.53125</v>
      </c>
      <c r="AZ2803">
        <v>364.00000000256108</v>
      </c>
      <c r="BA2803">
        <v>1</v>
      </c>
      <c r="BB2803">
        <v>0</v>
      </c>
      <c r="BC2803">
        <v>2</v>
      </c>
      <c r="BD2803">
        <v>0</v>
      </c>
      <c r="BE2803">
        <f t="shared" si="439"/>
        <v>1</v>
      </c>
    </row>
    <row r="2804" spans="1:57" x14ac:dyDescent="0.25">
      <c r="A2804" t="s">
        <v>39</v>
      </c>
      <c r="B2804" t="s">
        <v>9690</v>
      </c>
      <c r="C2804">
        <v>62.6</v>
      </c>
      <c r="D2804">
        <v>59</v>
      </c>
      <c r="G2804">
        <f t="shared" si="430"/>
        <v>1</v>
      </c>
      <c r="H2804">
        <f t="shared" si="431"/>
        <v>0</v>
      </c>
      <c r="I2804">
        <f t="shared" si="432"/>
        <v>1</v>
      </c>
      <c r="J2804">
        <v>60.4</v>
      </c>
      <c r="K2804">
        <v>62.6</v>
      </c>
      <c r="L2804">
        <v>59</v>
      </c>
      <c r="M2804">
        <v>60.4</v>
      </c>
      <c r="N2804">
        <v>53</v>
      </c>
      <c r="O2804">
        <v>76.7</v>
      </c>
      <c r="S2804">
        <f t="shared" si="433"/>
        <v>1</v>
      </c>
      <c r="T2804">
        <f t="shared" si="434"/>
        <v>1</v>
      </c>
      <c r="U2804">
        <f t="shared" si="435"/>
        <v>0</v>
      </c>
      <c r="V2804">
        <v>1E-3</v>
      </c>
      <c r="W2804">
        <v>100</v>
      </c>
      <c r="X2804">
        <v>4.17</v>
      </c>
      <c r="Y2804" t="s">
        <v>103</v>
      </c>
      <c r="Z2804">
        <v>0</v>
      </c>
      <c r="AA2804">
        <v>0</v>
      </c>
      <c r="AB2804">
        <v>26.8</v>
      </c>
      <c r="AC2804">
        <v>21.9</v>
      </c>
      <c r="AG2804">
        <f t="shared" si="436"/>
        <v>1</v>
      </c>
      <c r="AH2804">
        <f t="shared" si="437"/>
        <v>1</v>
      </c>
      <c r="AI2804">
        <f t="shared" si="438"/>
        <v>0</v>
      </c>
      <c r="AJ2804">
        <v>310.10000000000002</v>
      </c>
      <c r="AK2804">
        <v>1012.5</v>
      </c>
      <c r="AL2804">
        <v>92</v>
      </c>
      <c r="AM2804">
        <v>6.2</v>
      </c>
      <c r="AN2804">
        <v>244.6</v>
      </c>
      <c r="AO2804">
        <v>21.1</v>
      </c>
      <c r="AP2804">
        <v>8</v>
      </c>
      <c r="AQ2804">
        <v>0</v>
      </c>
      <c r="AR2804" t="s">
        <v>9691</v>
      </c>
      <c r="AS2804" t="s">
        <v>9692</v>
      </c>
      <c r="AT2804">
        <v>0.09</v>
      </c>
      <c r="AU2804" t="s">
        <v>1357</v>
      </c>
      <c r="AV2804" t="s">
        <v>1694</v>
      </c>
      <c r="AW2804" t="s">
        <v>103</v>
      </c>
      <c r="AX2804" s="1">
        <v>0.39652777777777781</v>
      </c>
      <c r="AY2804" s="2">
        <v>45777.396527777782</v>
      </c>
      <c r="AZ2804">
        <v>172.0000000053551</v>
      </c>
      <c r="BA2804">
        <v>0</v>
      </c>
      <c r="BB2804">
        <v>0</v>
      </c>
      <c r="BC2804">
        <v>1</v>
      </c>
      <c r="BD2804">
        <v>0</v>
      </c>
      <c r="BE2804">
        <f t="shared" si="439"/>
        <v>1</v>
      </c>
    </row>
    <row r="2805" spans="1:57" x14ac:dyDescent="0.25">
      <c r="A2805" t="s">
        <v>39</v>
      </c>
      <c r="B2805" t="s">
        <v>9690</v>
      </c>
      <c r="C2805">
        <v>62.6</v>
      </c>
      <c r="D2805">
        <v>59</v>
      </c>
      <c r="G2805">
        <f t="shared" si="430"/>
        <v>1</v>
      </c>
      <c r="H2805">
        <f t="shared" si="431"/>
        <v>0</v>
      </c>
      <c r="I2805">
        <f t="shared" si="432"/>
        <v>1</v>
      </c>
      <c r="J2805">
        <v>60.4</v>
      </c>
      <c r="K2805">
        <v>62.6</v>
      </c>
      <c r="L2805">
        <v>59</v>
      </c>
      <c r="M2805">
        <v>60.4</v>
      </c>
      <c r="N2805">
        <v>53</v>
      </c>
      <c r="O2805">
        <v>76.7</v>
      </c>
      <c r="S2805">
        <f t="shared" si="433"/>
        <v>1</v>
      </c>
      <c r="T2805">
        <f t="shared" si="434"/>
        <v>1</v>
      </c>
      <c r="U2805">
        <f t="shared" si="435"/>
        <v>0</v>
      </c>
      <c r="V2805">
        <v>1E-3</v>
      </c>
      <c r="W2805">
        <v>100</v>
      </c>
      <c r="X2805">
        <v>4.17</v>
      </c>
      <c r="Y2805" t="s">
        <v>103</v>
      </c>
      <c r="Z2805">
        <v>0</v>
      </c>
      <c r="AA2805">
        <v>0</v>
      </c>
      <c r="AB2805">
        <v>26.8</v>
      </c>
      <c r="AC2805">
        <v>21.9</v>
      </c>
      <c r="AG2805">
        <f t="shared" si="436"/>
        <v>1</v>
      </c>
      <c r="AH2805">
        <f t="shared" si="437"/>
        <v>1</v>
      </c>
      <c r="AI2805">
        <f t="shared" si="438"/>
        <v>0</v>
      </c>
      <c r="AJ2805">
        <v>310.10000000000002</v>
      </c>
      <c r="AK2805">
        <v>1012.5</v>
      </c>
      <c r="AL2805">
        <v>92</v>
      </c>
      <c r="AM2805">
        <v>6.2</v>
      </c>
      <c r="AN2805">
        <v>244.6</v>
      </c>
      <c r="AO2805">
        <v>21.1</v>
      </c>
      <c r="AP2805">
        <v>8</v>
      </c>
      <c r="AQ2805">
        <v>0</v>
      </c>
      <c r="AR2805" t="s">
        <v>9691</v>
      </c>
      <c r="AS2805" t="s">
        <v>9692</v>
      </c>
      <c r="AT2805">
        <v>0.09</v>
      </c>
      <c r="AU2805" t="s">
        <v>1357</v>
      </c>
      <c r="AV2805" t="s">
        <v>1694</v>
      </c>
      <c r="AW2805" t="s">
        <v>103</v>
      </c>
      <c r="AX2805" s="1">
        <v>0.88680555555555551</v>
      </c>
      <c r="AY2805" s="2">
        <v>45777.886805555558</v>
      </c>
      <c r="AZ2805">
        <v>137.99999999930151</v>
      </c>
      <c r="BA2805">
        <v>0</v>
      </c>
      <c r="BB2805">
        <v>0</v>
      </c>
      <c r="BC2805">
        <v>7.0000000000000007E-2</v>
      </c>
      <c r="BD2805">
        <v>0</v>
      </c>
      <c r="BE2805">
        <f t="shared" si="439"/>
        <v>1</v>
      </c>
    </row>
    <row r="2806" spans="1:57" x14ac:dyDescent="0.25">
      <c r="A2806" t="s">
        <v>39</v>
      </c>
      <c r="B2806" t="s">
        <v>9693</v>
      </c>
      <c r="C2806">
        <v>68</v>
      </c>
      <c r="D2806">
        <v>59</v>
      </c>
      <c r="G2806">
        <f t="shared" si="430"/>
        <v>1</v>
      </c>
      <c r="H2806">
        <f t="shared" si="431"/>
        <v>0</v>
      </c>
      <c r="I2806">
        <f t="shared" si="432"/>
        <v>1</v>
      </c>
      <c r="J2806">
        <v>64.599999999999994</v>
      </c>
      <c r="K2806">
        <v>68</v>
      </c>
      <c r="L2806">
        <v>59</v>
      </c>
      <c r="M2806">
        <v>64.599999999999994</v>
      </c>
      <c r="N2806">
        <v>54.5</v>
      </c>
      <c r="O2806">
        <v>70.099999999999994</v>
      </c>
      <c r="S2806">
        <f t="shared" si="433"/>
        <v>1</v>
      </c>
      <c r="T2806">
        <f t="shared" si="434"/>
        <v>1</v>
      </c>
      <c r="U2806">
        <f t="shared" si="435"/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36</v>
      </c>
      <c r="AC2806">
        <v>20.8</v>
      </c>
      <c r="AG2806">
        <f t="shared" si="436"/>
        <v>1</v>
      </c>
      <c r="AH2806">
        <f t="shared" si="437"/>
        <v>1</v>
      </c>
      <c r="AI2806">
        <f t="shared" si="438"/>
        <v>0</v>
      </c>
      <c r="AJ2806">
        <v>308.60000000000002</v>
      </c>
      <c r="AK2806">
        <v>1015.9</v>
      </c>
      <c r="AL2806">
        <v>34.200000000000003</v>
      </c>
      <c r="AM2806">
        <v>6.2</v>
      </c>
      <c r="AN2806">
        <v>294.8</v>
      </c>
      <c r="AO2806">
        <v>25.3</v>
      </c>
      <c r="AP2806">
        <v>9</v>
      </c>
      <c r="AQ2806">
        <v>0</v>
      </c>
      <c r="AR2806" t="s">
        <v>9694</v>
      </c>
      <c r="AS2806" t="s">
        <v>9695</v>
      </c>
      <c r="AT2806">
        <v>0.19</v>
      </c>
      <c r="AU2806" t="s">
        <v>43</v>
      </c>
      <c r="AV2806" t="s">
        <v>44</v>
      </c>
      <c r="AW2806" t="s">
        <v>45</v>
      </c>
      <c r="AX2806" s="1">
        <v>0.86041666666666672</v>
      </c>
      <c r="AY2806" s="2">
        <v>45780.86041666667</v>
      </c>
      <c r="AZ2806">
        <v>53.999999997904517</v>
      </c>
      <c r="BA2806">
        <v>0</v>
      </c>
      <c r="BB2806">
        <v>0</v>
      </c>
      <c r="BC2806">
        <v>0.01</v>
      </c>
      <c r="BD2806">
        <v>0</v>
      </c>
      <c r="BE2806">
        <f t="shared" si="439"/>
        <v>1</v>
      </c>
    </row>
    <row r="2807" spans="1:57" x14ac:dyDescent="0.25">
      <c r="A2807" t="s">
        <v>39</v>
      </c>
      <c r="B2807" t="s">
        <v>9696</v>
      </c>
      <c r="C2807">
        <v>73.400000000000006</v>
      </c>
      <c r="D2807">
        <v>51.8</v>
      </c>
      <c r="G2807">
        <f t="shared" si="430"/>
        <v>0</v>
      </c>
      <c r="H2807">
        <f t="shared" si="431"/>
        <v>0</v>
      </c>
      <c r="I2807">
        <f t="shared" si="432"/>
        <v>0</v>
      </c>
      <c r="J2807">
        <v>64.5</v>
      </c>
      <c r="K2807">
        <v>73.400000000000006</v>
      </c>
      <c r="L2807">
        <v>51.8</v>
      </c>
      <c r="M2807">
        <v>64.5</v>
      </c>
      <c r="N2807">
        <v>48.7</v>
      </c>
      <c r="O2807">
        <v>58.8</v>
      </c>
      <c r="S2807">
        <f t="shared" si="433"/>
        <v>1</v>
      </c>
      <c r="T2807">
        <f t="shared" si="434"/>
        <v>0</v>
      </c>
      <c r="U2807">
        <f t="shared" si="435"/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19.899999999999999</v>
      </c>
      <c r="AC2807">
        <v>11.4</v>
      </c>
      <c r="AG2807">
        <f t="shared" si="436"/>
        <v>1</v>
      </c>
      <c r="AH2807">
        <f t="shared" si="437"/>
        <v>0</v>
      </c>
      <c r="AI2807">
        <f t="shared" si="438"/>
        <v>1</v>
      </c>
      <c r="AJ2807">
        <v>150.9</v>
      </c>
      <c r="AK2807">
        <v>1014.1</v>
      </c>
      <c r="AL2807">
        <v>26.7</v>
      </c>
      <c r="AM2807">
        <v>6.2</v>
      </c>
      <c r="AN2807">
        <v>318.10000000000002</v>
      </c>
      <c r="AO2807">
        <v>27.4</v>
      </c>
      <c r="AP2807">
        <v>10</v>
      </c>
      <c r="AQ2807">
        <v>0</v>
      </c>
      <c r="AR2807" t="s">
        <v>9697</v>
      </c>
      <c r="AS2807" t="s">
        <v>9698</v>
      </c>
      <c r="AT2807">
        <v>0.25</v>
      </c>
      <c r="AU2807" t="s">
        <v>43</v>
      </c>
      <c r="AV2807" t="s">
        <v>44</v>
      </c>
      <c r="AW2807" t="s">
        <v>45</v>
      </c>
      <c r="AX2807" s="1">
        <v>0.62083333333333335</v>
      </c>
      <c r="AY2807" s="2">
        <v>45781.620833333327</v>
      </c>
      <c r="AZ2807">
        <v>490.99999999743892</v>
      </c>
      <c r="BA2807">
        <v>1</v>
      </c>
      <c r="BB2807">
        <v>0</v>
      </c>
      <c r="BC2807">
        <v>0.5</v>
      </c>
      <c r="BD2807">
        <v>0</v>
      </c>
      <c r="BE2807">
        <f t="shared" si="439"/>
        <v>0</v>
      </c>
    </row>
    <row r="2808" spans="1:57" x14ac:dyDescent="0.25">
      <c r="A2808" t="s">
        <v>39</v>
      </c>
      <c r="B2808" t="s">
        <v>9699</v>
      </c>
      <c r="C2808">
        <v>84.2</v>
      </c>
      <c r="D2808">
        <v>62.6</v>
      </c>
      <c r="G2808">
        <f t="shared" si="430"/>
        <v>1</v>
      </c>
      <c r="H2808">
        <f t="shared" si="431"/>
        <v>1</v>
      </c>
      <c r="I2808">
        <f t="shared" si="432"/>
        <v>0</v>
      </c>
      <c r="J2808">
        <v>73</v>
      </c>
      <c r="K2808">
        <v>84</v>
      </c>
      <c r="L2808">
        <v>62.6</v>
      </c>
      <c r="M2808">
        <v>73</v>
      </c>
      <c r="N2808">
        <v>57.6</v>
      </c>
      <c r="O2808">
        <v>60.2</v>
      </c>
      <c r="S2808">
        <f t="shared" si="433"/>
        <v>0</v>
      </c>
      <c r="T2808">
        <f t="shared" si="434"/>
        <v>0</v>
      </c>
      <c r="U2808">
        <f t="shared" si="435"/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18.3</v>
      </c>
      <c r="AC2808">
        <v>9.1999999999999993</v>
      </c>
      <c r="AG2808">
        <f t="shared" si="436"/>
        <v>1</v>
      </c>
      <c r="AH2808">
        <f t="shared" si="437"/>
        <v>0</v>
      </c>
      <c r="AI2808">
        <f t="shared" si="438"/>
        <v>1</v>
      </c>
      <c r="AJ2808">
        <v>187.4</v>
      </c>
      <c r="AK2808">
        <v>1017.8</v>
      </c>
      <c r="AL2808">
        <v>7.8</v>
      </c>
      <c r="AM2808">
        <v>6.2</v>
      </c>
      <c r="AN2808">
        <v>341.5</v>
      </c>
      <c r="AO2808">
        <v>29.5</v>
      </c>
      <c r="AP2808">
        <v>10</v>
      </c>
      <c r="AQ2808">
        <v>0</v>
      </c>
      <c r="AR2808" t="s">
        <v>9700</v>
      </c>
      <c r="AS2808" t="s">
        <v>9701</v>
      </c>
      <c r="AT2808">
        <v>0.27</v>
      </c>
      <c r="AU2808" t="s">
        <v>74</v>
      </c>
      <c r="AV2808" t="s">
        <v>2955</v>
      </c>
      <c r="AW2808" t="s">
        <v>75</v>
      </c>
      <c r="AX2808" s="1">
        <v>0.66736111111111107</v>
      </c>
      <c r="AY2808" s="2">
        <v>45812.667361111111</v>
      </c>
      <c r="AZ2808">
        <v>197.0000000030268</v>
      </c>
      <c r="BA2808">
        <v>0</v>
      </c>
      <c r="BB2808">
        <v>0</v>
      </c>
      <c r="BC2808">
        <v>0.05</v>
      </c>
      <c r="BD2808">
        <v>0</v>
      </c>
      <c r="BE2808">
        <f t="shared" si="439"/>
        <v>0</v>
      </c>
    </row>
    <row r="2809" spans="1:57" x14ac:dyDescent="0.25">
      <c r="A2809" t="s">
        <v>39</v>
      </c>
      <c r="B2809" t="s">
        <v>9702</v>
      </c>
      <c r="C2809">
        <v>82.4</v>
      </c>
      <c r="D2809">
        <v>66.2</v>
      </c>
      <c r="G2809">
        <f t="shared" si="430"/>
        <v>1</v>
      </c>
      <c r="H2809">
        <f t="shared" si="431"/>
        <v>1</v>
      </c>
      <c r="I2809">
        <f t="shared" si="432"/>
        <v>0</v>
      </c>
      <c r="J2809">
        <v>74.400000000000006</v>
      </c>
      <c r="K2809">
        <v>83</v>
      </c>
      <c r="L2809">
        <v>66.2</v>
      </c>
      <c r="M2809">
        <v>74.7</v>
      </c>
      <c r="N2809">
        <v>59.2</v>
      </c>
      <c r="O2809">
        <v>59.6</v>
      </c>
      <c r="S2809">
        <f t="shared" si="433"/>
        <v>0</v>
      </c>
      <c r="T2809">
        <f t="shared" si="434"/>
        <v>0</v>
      </c>
      <c r="U2809">
        <f t="shared" si="435"/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18.8</v>
      </c>
      <c r="AC2809">
        <v>10.3</v>
      </c>
      <c r="AG2809">
        <f t="shared" si="436"/>
        <v>1</v>
      </c>
      <c r="AH2809">
        <f t="shared" si="437"/>
        <v>0</v>
      </c>
      <c r="AI2809">
        <f t="shared" si="438"/>
        <v>1</v>
      </c>
      <c r="AJ2809">
        <v>198.4</v>
      </c>
      <c r="AK2809">
        <v>1015.9</v>
      </c>
      <c r="AL2809">
        <v>7.8</v>
      </c>
      <c r="AM2809">
        <v>6.2</v>
      </c>
      <c r="AN2809">
        <v>340</v>
      </c>
      <c r="AO2809">
        <v>29.4</v>
      </c>
      <c r="AP2809">
        <v>10</v>
      </c>
      <c r="AQ2809">
        <v>0</v>
      </c>
      <c r="AR2809" t="s">
        <v>9703</v>
      </c>
      <c r="AS2809" t="s">
        <v>9704</v>
      </c>
      <c r="AT2809">
        <v>0.3</v>
      </c>
      <c r="AU2809" t="s">
        <v>74</v>
      </c>
      <c r="AV2809" t="s">
        <v>2955</v>
      </c>
      <c r="AW2809" t="s">
        <v>75</v>
      </c>
      <c r="AX2809" s="1">
        <v>0.5541666666666667</v>
      </c>
      <c r="AY2809" s="2">
        <v>45813.554166666669</v>
      </c>
      <c r="AZ2809">
        <v>345.99999999627471</v>
      </c>
      <c r="BA2809">
        <v>0</v>
      </c>
      <c r="BB2809">
        <v>0</v>
      </c>
      <c r="BC2809">
        <v>2</v>
      </c>
      <c r="BD2809">
        <v>0</v>
      </c>
      <c r="BE2809">
        <f t="shared" si="439"/>
        <v>0</v>
      </c>
    </row>
    <row r="2810" spans="1:57" x14ac:dyDescent="0.25">
      <c r="A2810" t="s">
        <v>39</v>
      </c>
      <c r="B2810" t="s">
        <v>9705</v>
      </c>
      <c r="C2810">
        <v>84.2</v>
      </c>
      <c r="D2810">
        <v>71.599999999999994</v>
      </c>
      <c r="G2810">
        <f t="shared" si="430"/>
        <v>1</v>
      </c>
      <c r="H2810">
        <f t="shared" si="431"/>
        <v>1</v>
      </c>
      <c r="I2810">
        <f t="shared" si="432"/>
        <v>0</v>
      </c>
      <c r="J2810">
        <v>78.8</v>
      </c>
      <c r="K2810">
        <v>87.5</v>
      </c>
      <c r="L2810">
        <v>71.599999999999994</v>
      </c>
      <c r="M2810">
        <v>79.8</v>
      </c>
      <c r="N2810">
        <v>64.5</v>
      </c>
      <c r="O2810">
        <v>62</v>
      </c>
      <c r="S2810">
        <f t="shared" si="433"/>
        <v>1</v>
      </c>
      <c r="T2810">
        <f t="shared" si="434"/>
        <v>1</v>
      </c>
      <c r="U2810">
        <f t="shared" si="435"/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29.5</v>
      </c>
      <c r="AC2810">
        <v>13.9</v>
      </c>
      <c r="AG2810">
        <f t="shared" si="436"/>
        <v>1</v>
      </c>
      <c r="AH2810">
        <f t="shared" si="437"/>
        <v>0</v>
      </c>
      <c r="AI2810">
        <f t="shared" si="438"/>
        <v>1</v>
      </c>
      <c r="AJ2810">
        <v>297.39999999999998</v>
      </c>
      <c r="AK2810">
        <v>1013.4</v>
      </c>
      <c r="AL2810">
        <v>2.2000000000000002</v>
      </c>
      <c r="AM2810">
        <v>6.2</v>
      </c>
      <c r="AN2810">
        <v>318.2</v>
      </c>
      <c r="AO2810">
        <v>27.5</v>
      </c>
      <c r="AP2810">
        <v>9</v>
      </c>
      <c r="AQ2810">
        <v>0</v>
      </c>
      <c r="AR2810" t="s">
        <v>9706</v>
      </c>
      <c r="AS2810" t="s">
        <v>9707</v>
      </c>
      <c r="AT2810">
        <v>0.86</v>
      </c>
      <c r="AU2810" t="s">
        <v>74</v>
      </c>
      <c r="AV2810" t="s">
        <v>2955</v>
      </c>
      <c r="AW2810" t="s">
        <v>75</v>
      </c>
      <c r="AX2810" s="1">
        <v>0.61041666666666672</v>
      </c>
      <c r="AY2810" s="2">
        <v>45829.61041666667</v>
      </c>
      <c r="AZ2810">
        <v>363.99999999208381</v>
      </c>
      <c r="BA2810">
        <v>1</v>
      </c>
      <c r="BB2810">
        <v>0</v>
      </c>
      <c r="BC2810">
        <v>8</v>
      </c>
      <c r="BD2810">
        <v>0</v>
      </c>
      <c r="BE2810">
        <f t="shared" si="439"/>
        <v>1</v>
      </c>
    </row>
    <row r="2811" spans="1:57" x14ac:dyDescent="0.25">
      <c r="A2811" t="s">
        <v>39</v>
      </c>
      <c r="B2811" t="s">
        <v>9708</v>
      </c>
      <c r="C2811">
        <v>82.4</v>
      </c>
      <c r="D2811">
        <v>75.2</v>
      </c>
      <c r="G2811">
        <f t="shared" si="430"/>
        <v>1</v>
      </c>
      <c r="H2811">
        <f t="shared" si="431"/>
        <v>1</v>
      </c>
      <c r="I2811">
        <f t="shared" si="432"/>
        <v>0</v>
      </c>
      <c r="J2811">
        <v>78.900000000000006</v>
      </c>
      <c r="K2811">
        <v>84</v>
      </c>
      <c r="L2811">
        <v>75.2</v>
      </c>
      <c r="M2811">
        <v>79.5</v>
      </c>
      <c r="N2811">
        <v>63.1</v>
      </c>
      <c r="O2811">
        <v>58.6</v>
      </c>
      <c r="S2811">
        <f t="shared" si="433"/>
        <v>1</v>
      </c>
      <c r="T2811">
        <f t="shared" si="434"/>
        <v>0</v>
      </c>
      <c r="U2811">
        <f t="shared" si="435"/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38</v>
      </c>
      <c r="AC2811">
        <v>21.9</v>
      </c>
      <c r="AG2811">
        <f t="shared" si="436"/>
        <v>1</v>
      </c>
      <c r="AH2811">
        <f t="shared" si="437"/>
        <v>1</v>
      </c>
      <c r="AI2811">
        <f t="shared" si="438"/>
        <v>0</v>
      </c>
      <c r="AJ2811">
        <v>297.89999999999998</v>
      </c>
      <c r="AK2811">
        <v>1014.9</v>
      </c>
      <c r="AL2811">
        <v>0</v>
      </c>
      <c r="AM2811">
        <v>6.2</v>
      </c>
      <c r="AN2811">
        <v>343.8</v>
      </c>
      <c r="AO2811">
        <v>29.5</v>
      </c>
      <c r="AP2811">
        <v>10</v>
      </c>
      <c r="AQ2811">
        <v>0</v>
      </c>
      <c r="AR2811" t="s">
        <v>9709</v>
      </c>
      <c r="AS2811" t="s">
        <v>9710</v>
      </c>
      <c r="AT2811">
        <v>0.61</v>
      </c>
      <c r="AU2811" t="s">
        <v>74</v>
      </c>
      <c r="AV2811" t="s">
        <v>2955</v>
      </c>
      <c r="AW2811" t="s">
        <v>75</v>
      </c>
      <c r="AX2811" s="1">
        <v>0.45694444444444438</v>
      </c>
      <c r="AY2811" s="2">
        <v>45822.456944444442</v>
      </c>
      <c r="AZ2811">
        <v>3412.9999999981369</v>
      </c>
      <c r="BA2811">
        <v>1</v>
      </c>
      <c r="BB2811">
        <v>0</v>
      </c>
      <c r="BC2811">
        <v>0.5</v>
      </c>
      <c r="BD2811">
        <v>0</v>
      </c>
      <c r="BE2811">
        <f t="shared" si="439"/>
        <v>1</v>
      </c>
    </row>
    <row r="2812" spans="1:57" x14ac:dyDescent="0.25">
      <c r="A2812" t="s">
        <v>39</v>
      </c>
      <c r="B2812" t="s">
        <v>9711</v>
      </c>
      <c r="C2812">
        <v>80.599999999999994</v>
      </c>
      <c r="D2812">
        <v>68</v>
      </c>
      <c r="G2812">
        <f t="shared" si="430"/>
        <v>0</v>
      </c>
      <c r="H2812">
        <f t="shared" si="431"/>
        <v>0</v>
      </c>
      <c r="I2812">
        <f t="shared" si="432"/>
        <v>0</v>
      </c>
      <c r="J2812">
        <v>75.7</v>
      </c>
      <c r="K2812">
        <v>82.8</v>
      </c>
      <c r="L2812">
        <v>68</v>
      </c>
      <c r="M2812">
        <v>76.099999999999994</v>
      </c>
      <c r="N2812">
        <v>62.9</v>
      </c>
      <c r="O2812">
        <v>64.8</v>
      </c>
      <c r="S2812">
        <f t="shared" si="433"/>
        <v>1</v>
      </c>
      <c r="T2812">
        <f t="shared" si="434"/>
        <v>1</v>
      </c>
      <c r="U2812">
        <f t="shared" si="435"/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26.4</v>
      </c>
      <c r="AC2812">
        <v>20.8</v>
      </c>
      <c r="AG2812">
        <f t="shared" si="436"/>
        <v>1</v>
      </c>
      <c r="AH2812">
        <f t="shared" si="437"/>
        <v>1</v>
      </c>
      <c r="AI2812">
        <f t="shared" si="438"/>
        <v>0</v>
      </c>
      <c r="AJ2812">
        <v>303.2</v>
      </c>
      <c r="AK2812">
        <v>1014.8</v>
      </c>
      <c r="AL2812">
        <v>0</v>
      </c>
      <c r="AM2812">
        <v>6.2</v>
      </c>
      <c r="AN2812">
        <v>344.1</v>
      </c>
      <c r="AO2812">
        <v>29.7</v>
      </c>
      <c r="AP2812">
        <v>10</v>
      </c>
      <c r="AQ2812">
        <v>0</v>
      </c>
      <c r="AR2812" t="s">
        <v>9712</v>
      </c>
      <c r="AS2812" t="s">
        <v>9713</v>
      </c>
      <c r="AT2812">
        <v>0.75</v>
      </c>
      <c r="AU2812" t="s">
        <v>74</v>
      </c>
      <c r="AV2812" t="s">
        <v>2955</v>
      </c>
      <c r="AW2812" t="s">
        <v>75</v>
      </c>
      <c r="AX2812" s="1">
        <v>0.56527777777777777</v>
      </c>
      <c r="AY2812" s="2">
        <v>45826.56527777778</v>
      </c>
      <c r="AZ2812">
        <v>4215.9999999962747</v>
      </c>
      <c r="BA2812">
        <v>1</v>
      </c>
      <c r="BB2812">
        <v>0</v>
      </c>
      <c r="BC2812">
        <v>50</v>
      </c>
      <c r="BD2812">
        <v>0</v>
      </c>
      <c r="BE2812">
        <f t="shared" si="439"/>
        <v>1</v>
      </c>
    </row>
    <row r="2813" spans="1:57" x14ac:dyDescent="0.25">
      <c r="A2813" t="s">
        <v>39</v>
      </c>
      <c r="B2813" t="s">
        <v>9705</v>
      </c>
      <c r="C2813">
        <v>84.2</v>
      </c>
      <c r="D2813">
        <v>71.599999999999994</v>
      </c>
      <c r="G2813">
        <f t="shared" si="430"/>
        <v>1</v>
      </c>
      <c r="H2813">
        <f t="shared" si="431"/>
        <v>1</v>
      </c>
      <c r="I2813">
        <f t="shared" si="432"/>
        <v>0</v>
      </c>
      <c r="J2813">
        <v>78.8</v>
      </c>
      <c r="K2813">
        <v>87.5</v>
      </c>
      <c r="L2813">
        <v>71.599999999999994</v>
      </c>
      <c r="M2813">
        <v>79.8</v>
      </c>
      <c r="N2813">
        <v>64.5</v>
      </c>
      <c r="O2813">
        <v>62</v>
      </c>
      <c r="S2813">
        <f t="shared" si="433"/>
        <v>1</v>
      </c>
      <c r="T2813">
        <f t="shared" si="434"/>
        <v>1</v>
      </c>
      <c r="U2813">
        <f t="shared" si="435"/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29.5</v>
      </c>
      <c r="AC2813">
        <v>13.9</v>
      </c>
      <c r="AG2813">
        <f t="shared" si="436"/>
        <v>1</v>
      </c>
      <c r="AH2813">
        <f t="shared" si="437"/>
        <v>0</v>
      </c>
      <c r="AI2813">
        <f t="shared" si="438"/>
        <v>1</v>
      </c>
      <c r="AJ2813">
        <v>297.39999999999998</v>
      </c>
      <c r="AK2813">
        <v>1013.4</v>
      </c>
      <c r="AL2813">
        <v>2.2000000000000002</v>
      </c>
      <c r="AM2813">
        <v>6.2</v>
      </c>
      <c r="AN2813">
        <v>318.2</v>
      </c>
      <c r="AO2813">
        <v>27.5</v>
      </c>
      <c r="AP2813">
        <v>9</v>
      </c>
      <c r="AQ2813">
        <v>0</v>
      </c>
      <c r="AR2813" t="s">
        <v>9706</v>
      </c>
      <c r="AS2813" t="s">
        <v>9707</v>
      </c>
      <c r="AT2813">
        <v>0.86</v>
      </c>
      <c r="AU2813" t="s">
        <v>74</v>
      </c>
      <c r="AV2813" t="s">
        <v>2955</v>
      </c>
      <c r="AW2813" t="s">
        <v>75</v>
      </c>
      <c r="AX2813" s="1">
        <v>0.65069444444444446</v>
      </c>
      <c r="AY2813" s="2">
        <v>45829.650694444441</v>
      </c>
      <c r="AZ2813">
        <v>115.0000000081491</v>
      </c>
      <c r="BA2813">
        <v>0</v>
      </c>
      <c r="BB2813">
        <v>0</v>
      </c>
      <c r="BC2813">
        <v>1.2</v>
      </c>
      <c r="BD2813">
        <v>0</v>
      </c>
      <c r="BE2813">
        <f t="shared" si="439"/>
        <v>1</v>
      </c>
    </row>
    <row r="2814" spans="1:57" x14ac:dyDescent="0.25">
      <c r="A2814" t="s">
        <v>39</v>
      </c>
      <c r="B2814" t="s">
        <v>9714</v>
      </c>
      <c r="C2814">
        <v>80.599999999999994</v>
      </c>
      <c r="D2814">
        <v>70.8</v>
      </c>
      <c r="G2814">
        <f t="shared" si="430"/>
        <v>0</v>
      </c>
      <c r="H2814">
        <f t="shared" si="431"/>
        <v>0</v>
      </c>
      <c r="I2814">
        <f t="shared" si="432"/>
        <v>0</v>
      </c>
      <c r="J2814">
        <v>76</v>
      </c>
      <c r="K2814">
        <v>81.2</v>
      </c>
      <c r="L2814">
        <v>70.8</v>
      </c>
      <c r="M2814">
        <v>76</v>
      </c>
      <c r="N2814">
        <v>61.3</v>
      </c>
      <c r="O2814">
        <v>61.8</v>
      </c>
      <c r="S2814">
        <f t="shared" si="433"/>
        <v>1</v>
      </c>
      <c r="T2814">
        <f t="shared" si="434"/>
        <v>1</v>
      </c>
      <c r="U2814">
        <f t="shared" si="435"/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35.799999999999997</v>
      </c>
      <c r="AC2814">
        <v>25.3</v>
      </c>
      <c r="AG2814">
        <f t="shared" si="436"/>
        <v>1</v>
      </c>
      <c r="AH2814">
        <f t="shared" si="437"/>
        <v>1</v>
      </c>
      <c r="AI2814">
        <f t="shared" si="438"/>
        <v>0</v>
      </c>
      <c r="AJ2814">
        <v>304.3</v>
      </c>
      <c r="AK2814">
        <v>1015.7</v>
      </c>
      <c r="AL2814">
        <v>19</v>
      </c>
      <c r="AM2814">
        <v>6.2</v>
      </c>
      <c r="AN2814">
        <v>341.3</v>
      </c>
      <c r="AO2814">
        <v>29.4</v>
      </c>
      <c r="AP2814">
        <v>10</v>
      </c>
      <c r="AQ2814">
        <v>0</v>
      </c>
      <c r="AR2814" t="s">
        <v>9715</v>
      </c>
      <c r="AS2814" t="s">
        <v>9716</v>
      </c>
      <c r="AT2814">
        <v>0.89</v>
      </c>
      <c r="AU2814" t="s">
        <v>74</v>
      </c>
      <c r="AV2814" t="s">
        <v>2955</v>
      </c>
      <c r="AW2814" t="s">
        <v>75</v>
      </c>
      <c r="AX2814" s="1">
        <v>0.64097222222222228</v>
      </c>
      <c r="AY2814" s="2">
        <v>45830.640972222223</v>
      </c>
      <c r="AZ2814">
        <v>1352.999999999302</v>
      </c>
      <c r="BA2814">
        <v>1</v>
      </c>
      <c r="BB2814">
        <v>0</v>
      </c>
      <c r="BC2814">
        <v>5</v>
      </c>
      <c r="BD2814">
        <v>0</v>
      </c>
      <c r="BE2814">
        <f t="shared" si="439"/>
        <v>1</v>
      </c>
    </row>
    <row r="2815" spans="1:57" x14ac:dyDescent="0.25">
      <c r="A2815" t="s">
        <v>39</v>
      </c>
      <c r="B2815" t="s">
        <v>9714</v>
      </c>
      <c r="C2815">
        <v>80.599999999999994</v>
      </c>
      <c r="D2815">
        <v>70.8</v>
      </c>
      <c r="G2815">
        <f t="shared" si="430"/>
        <v>0</v>
      </c>
      <c r="H2815">
        <f t="shared" si="431"/>
        <v>0</v>
      </c>
      <c r="I2815">
        <f t="shared" si="432"/>
        <v>0</v>
      </c>
      <c r="J2815">
        <v>76</v>
      </c>
      <c r="K2815">
        <v>81.2</v>
      </c>
      <c r="L2815">
        <v>70.8</v>
      </c>
      <c r="M2815">
        <v>76</v>
      </c>
      <c r="N2815">
        <v>61.3</v>
      </c>
      <c r="O2815">
        <v>61.8</v>
      </c>
      <c r="S2815">
        <f t="shared" si="433"/>
        <v>1</v>
      </c>
      <c r="T2815">
        <f t="shared" si="434"/>
        <v>1</v>
      </c>
      <c r="U2815">
        <f t="shared" si="435"/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35.799999999999997</v>
      </c>
      <c r="AC2815">
        <v>25.3</v>
      </c>
      <c r="AG2815">
        <f t="shared" si="436"/>
        <v>1</v>
      </c>
      <c r="AH2815">
        <f t="shared" si="437"/>
        <v>1</v>
      </c>
      <c r="AI2815">
        <f t="shared" si="438"/>
        <v>0</v>
      </c>
      <c r="AJ2815">
        <v>304.3</v>
      </c>
      <c r="AK2815">
        <v>1015.7</v>
      </c>
      <c r="AL2815">
        <v>19</v>
      </c>
      <c r="AM2815">
        <v>6.2</v>
      </c>
      <c r="AN2815">
        <v>341.3</v>
      </c>
      <c r="AO2815">
        <v>29.4</v>
      </c>
      <c r="AP2815">
        <v>10</v>
      </c>
      <c r="AQ2815">
        <v>0</v>
      </c>
      <c r="AR2815" t="s">
        <v>9715</v>
      </c>
      <c r="AS2815" t="s">
        <v>9716</v>
      </c>
      <c r="AT2815">
        <v>0.89</v>
      </c>
      <c r="AU2815" t="s">
        <v>74</v>
      </c>
      <c r="AV2815" t="s">
        <v>2955</v>
      </c>
      <c r="AW2815" t="s">
        <v>75</v>
      </c>
      <c r="AX2815" s="1">
        <v>0.5541666666666667</v>
      </c>
      <c r="AY2815" s="2">
        <v>45830.554166666669</v>
      </c>
      <c r="AZ2815">
        <v>1824.9999999976719</v>
      </c>
      <c r="BA2815">
        <v>1</v>
      </c>
      <c r="BB2815">
        <v>0</v>
      </c>
      <c r="BC2815">
        <v>1</v>
      </c>
      <c r="BD2815">
        <v>0</v>
      </c>
      <c r="BE2815">
        <f t="shared" si="439"/>
        <v>1</v>
      </c>
    </row>
    <row r="2816" spans="1:57" x14ac:dyDescent="0.25">
      <c r="A2816" t="s">
        <v>39</v>
      </c>
      <c r="B2816" t="s">
        <v>9705</v>
      </c>
      <c r="C2816">
        <v>84.2</v>
      </c>
      <c r="D2816">
        <v>71.599999999999994</v>
      </c>
      <c r="G2816">
        <f t="shared" si="430"/>
        <v>1</v>
      </c>
      <c r="H2816">
        <f t="shared" si="431"/>
        <v>1</v>
      </c>
      <c r="I2816">
        <f t="shared" si="432"/>
        <v>0</v>
      </c>
      <c r="J2816">
        <v>78.8</v>
      </c>
      <c r="K2816">
        <v>87.5</v>
      </c>
      <c r="L2816">
        <v>71.599999999999994</v>
      </c>
      <c r="M2816">
        <v>79.8</v>
      </c>
      <c r="N2816">
        <v>64.5</v>
      </c>
      <c r="O2816">
        <v>62</v>
      </c>
      <c r="S2816">
        <f t="shared" si="433"/>
        <v>1</v>
      </c>
      <c r="T2816">
        <f t="shared" si="434"/>
        <v>1</v>
      </c>
      <c r="U2816">
        <f t="shared" si="435"/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29.5</v>
      </c>
      <c r="AC2816">
        <v>13.9</v>
      </c>
      <c r="AG2816">
        <f t="shared" si="436"/>
        <v>1</v>
      </c>
      <c r="AH2816">
        <f t="shared" si="437"/>
        <v>0</v>
      </c>
      <c r="AI2816">
        <f t="shared" si="438"/>
        <v>1</v>
      </c>
      <c r="AJ2816">
        <v>297.39999999999998</v>
      </c>
      <c r="AK2816">
        <v>1013.4</v>
      </c>
      <c r="AL2816">
        <v>2.2000000000000002</v>
      </c>
      <c r="AM2816">
        <v>6.2</v>
      </c>
      <c r="AN2816">
        <v>318.2</v>
      </c>
      <c r="AO2816">
        <v>27.5</v>
      </c>
      <c r="AP2816">
        <v>9</v>
      </c>
      <c r="AQ2816">
        <v>0</v>
      </c>
      <c r="AR2816" t="s">
        <v>9706</v>
      </c>
      <c r="AS2816" t="s">
        <v>9707</v>
      </c>
      <c r="AT2816">
        <v>0.86</v>
      </c>
      <c r="AU2816" t="s">
        <v>74</v>
      </c>
      <c r="AV2816" t="s">
        <v>2955</v>
      </c>
      <c r="AW2816" t="s">
        <v>75</v>
      </c>
      <c r="AX2816" s="1">
        <v>0.6069444444444444</v>
      </c>
      <c r="AY2816" s="2">
        <v>45829.606944444437</v>
      </c>
      <c r="AZ2816">
        <v>1753.9999999967399</v>
      </c>
      <c r="BA2816">
        <v>1</v>
      </c>
      <c r="BB2816">
        <v>0</v>
      </c>
      <c r="BC2816">
        <v>2</v>
      </c>
      <c r="BD2816">
        <v>0</v>
      </c>
      <c r="BE2816">
        <f t="shared" si="439"/>
        <v>1</v>
      </c>
    </row>
    <row r="2817" spans="1:57" x14ac:dyDescent="0.25">
      <c r="A2817" t="s">
        <v>39</v>
      </c>
      <c r="B2817" t="s">
        <v>9717</v>
      </c>
      <c r="C2817">
        <v>80.599999999999994</v>
      </c>
      <c r="D2817">
        <v>71.599999999999994</v>
      </c>
      <c r="G2817">
        <f t="shared" si="430"/>
        <v>0</v>
      </c>
      <c r="H2817">
        <f t="shared" si="431"/>
        <v>0</v>
      </c>
      <c r="I2817">
        <f t="shared" si="432"/>
        <v>0</v>
      </c>
      <c r="J2817">
        <v>76.599999999999994</v>
      </c>
      <c r="K2817">
        <v>83.3</v>
      </c>
      <c r="L2817">
        <v>71.599999999999994</v>
      </c>
      <c r="M2817">
        <v>76.8</v>
      </c>
      <c r="N2817">
        <v>59.1</v>
      </c>
      <c r="O2817">
        <v>55.1</v>
      </c>
      <c r="S2817">
        <f t="shared" si="433"/>
        <v>1</v>
      </c>
      <c r="T2817">
        <f t="shared" si="434"/>
        <v>0</v>
      </c>
      <c r="U2817">
        <f t="shared" si="435"/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34</v>
      </c>
      <c r="AC2817">
        <v>21.9</v>
      </c>
      <c r="AG2817">
        <f t="shared" si="436"/>
        <v>1</v>
      </c>
      <c r="AH2817">
        <f t="shared" si="437"/>
        <v>1</v>
      </c>
      <c r="AI2817">
        <f t="shared" si="438"/>
        <v>0</v>
      </c>
      <c r="AJ2817">
        <v>296.8</v>
      </c>
      <c r="AK2817">
        <v>1014.5</v>
      </c>
      <c r="AL2817">
        <v>13.3</v>
      </c>
      <c r="AM2817">
        <v>6.2</v>
      </c>
      <c r="AN2817">
        <v>346.9</v>
      </c>
      <c r="AO2817">
        <v>29.9</v>
      </c>
      <c r="AP2817">
        <v>10</v>
      </c>
      <c r="AQ2817">
        <v>0</v>
      </c>
      <c r="AR2817" t="s">
        <v>9718</v>
      </c>
      <c r="AS2817" t="s">
        <v>9719</v>
      </c>
      <c r="AT2817">
        <v>0.93</v>
      </c>
      <c r="AU2817" t="s">
        <v>74</v>
      </c>
      <c r="AV2817" t="s">
        <v>2955</v>
      </c>
      <c r="AW2817" t="s">
        <v>75</v>
      </c>
      <c r="AX2817" s="1">
        <v>0.19513888888888889</v>
      </c>
      <c r="AY2817" s="2">
        <v>45831.195138888892</v>
      </c>
      <c r="AZ2817">
        <v>6695.9999999916181</v>
      </c>
      <c r="BA2817">
        <v>1</v>
      </c>
      <c r="BB2817">
        <v>0</v>
      </c>
      <c r="BC2817">
        <v>60</v>
      </c>
      <c r="BD2817">
        <v>0</v>
      </c>
      <c r="BE2817">
        <f t="shared" si="439"/>
        <v>1</v>
      </c>
    </row>
    <row r="2818" spans="1:57" x14ac:dyDescent="0.25">
      <c r="A2818" t="s">
        <v>39</v>
      </c>
      <c r="B2818" t="s">
        <v>9720</v>
      </c>
      <c r="C2818">
        <v>87.8</v>
      </c>
      <c r="D2818">
        <v>78.8</v>
      </c>
      <c r="G2818">
        <f t="shared" si="430"/>
        <v>1</v>
      </c>
      <c r="H2818">
        <f t="shared" si="431"/>
        <v>1</v>
      </c>
      <c r="I2818">
        <f t="shared" si="432"/>
        <v>0</v>
      </c>
      <c r="J2818">
        <v>83.9</v>
      </c>
      <c r="K2818">
        <v>93.5</v>
      </c>
      <c r="L2818">
        <v>78.8</v>
      </c>
      <c r="M2818">
        <v>86.1</v>
      </c>
      <c r="N2818">
        <v>64.5</v>
      </c>
      <c r="O2818">
        <v>52.7</v>
      </c>
      <c r="S2818">
        <f t="shared" si="433"/>
        <v>1</v>
      </c>
      <c r="T2818">
        <f t="shared" si="434"/>
        <v>0</v>
      </c>
      <c r="U2818">
        <f t="shared" si="435"/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34.9</v>
      </c>
      <c r="AC2818">
        <v>21.9</v>
      </c>
      <c r="AG2818">
        <f t="shared" si="436"/>
        <v>1</v>
      </c>
      <c r="AH2818">
        <f t="shared" si="437"/>
        <v>1</v>
      </c>
      <c r="AI2818">
        <f t="shared" si="438"/>
        <v>0</v>
      </c>
      <c r="AJ2818">
        <v>295.7</v>
      </c>
      <c r="AK2818">
        <v>1008.4</v>
      </c>
      <c r="AL2818">
        <v>0</v>
      </c>
      <c r="AM2818">
        <v>6.2</v>
      </c>
      <c r="AN2818">
        <v>339.1</v>
      </c>
      <c r="AO2818">
        <v>29.3</v>
      </c>
      <c r="AP2818">
        <v>10</v>
      </c>
      <c r="AQ2818">
        <v>0</v>
      </c>
      <c r="AR2818" t="s">
        <v>9721</v>
      </c>
      <c r="AS2818" t="s">
        <v>9722</v>
      </c>
      <c r="AT2818">
        <v>0.1</v>
      </c>
      <c r="AU2818" t="s">
        <v>74</v>
      </c>
      <c r="AV2818" t="s">
        <v>2955</v>
      </c>
      <c r="AW2818" t="s">
        <v>75</v>
      </c>
      <c r="AX2818" s="1">
        <v>0.69374999999999998</v>
      </c>
      <c r="AY2818" s="2">
        <v>45836.693749999999</v>
      </c>
      <c r="AZ2818">
        <v>150.9999999997672</v>
      </c>
      <c r="BA2818">
        <v>0</v>
      </c>
      <c r="BB2818">
        <v>0</v>
      </c>
      <c r="BC2818">
        <v>1.5</v>
      </c>
      <c r="BD2818">
        <v>0</v>
      </c>
      <c r="BE2818">
        <f t="shared" si="439"/>
        <v>1</v>
      </c>
    </row>
    <row r="2819" spans="1:57" x14ac:dyDescent="0.25">
      <c r="A2819" t="s">
        <v>39</v>
      </c>
      <c r="B2819" t="s">
        <v>9720</v>
      </c>
      <c r="C2819">
        <v>87.8</v>
      </c>
      <c r="D2819">
        <v>78.8</v>
      </c>
      <c r="G2819">
        <f t="shared" ref="G2819:G2882" si="440">IF(ABS(C2819-INDEX($F$2:$F$13,MONTH(B2819)))&gt;1.8,1,0)</f>
        <v>1</v>
      </c>
      <c r="H2819">
        <f t="shared" ref="H2819:H2882" si="441">IF(C2819&gt;=INDEX($F$2:$F$13,MONTH(B2819))+1.8,1,0)</f>
        <v>1</v>
      </c>
      <c r="I2819">
        <f t="shared" ref="I2819:I2882" si="442">IF(C2819&lt;=INDEX($F$2:$F$13,MONTH(B2819))-1.8,1,0)</f>
        <v>0</v>
      </c>
      <c r="J2819">
        <v>83.9</v>
      </c>
      <c r="K2819">
        <v>93.5</v>
      </c>
      <c r="L2819">
        <v>78.8</v>
      </c>
      <c r="M2819">
        <v>86.1</v>
      </c>
      <c r="N2819">
        <v>64.5</v>
      </c>
      <c r="O2819">
        <v>52.7</v>
      </c>
      <c r="S2819">
        <f t="shared" ref="S2819:S2882" si="443">IF(OR(O2819&lt;INDEX($Q$2:$Q$13,MONTH(B2819)),O2819&gt;INDEX($R$2:$R$13,MONTH(B2819))),1,0)</f>
        <v>1</v>
      </c>
      <c r="T2819">
        <f t="shared" ref="T2819:T2882" si="444">IF(O2819&gt;INDEX($R$2:$R$13,MONTH(B2819)),1,0)</f>
        <v>0</v>
      </c>
      <c r="U2819">
        <f t="shared" ref="U2819:U2882" si="445">IF(O2819&lt;INDEX($Q$2:$Q$13,MONTH(B2819)),1,0)</f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34.9</v>
      </c>
      <c r="AC2819">
        <v>21.9</v>
      </c>
      <c r="AG2819">
        <f t="shared" ref="AG2819:AG2882" si="446">IF(OR(AC2819&lt;INDEX($AE$2:$AE$13,MONTH(B2819)),AC2819&gt;INDEX($AF$2:$AF$13,MONTH(B2819))),1,0)</f>
        <v>1</v>
      </c>
      <c r="AH2819">
        <f t="shared" ref="AH2819:AH2882" si="447">IF(AC2819&gt;INDEX($AF$2:$AF$13,MONTH(B2819)),1,0)</f>
        <v>1</v>
      </c>
      <c r="AI2819">
        <f t="shared" ref="AI2819:AI2882" si="448">IF(AC2819&lt;INDEX($AE$2:$AE$13,MONTH(B2819)),1,0)</f>
        <v>0</v>
      </c>
      <c r="AJ2819">
        <v>295.7</v>
      </c>
      <c r="AK2819">
        <v>1008.4</v>
      </c>
      <c r="AL2819">
        <v>0</v>
      </c>
      <c r="AM2819">
        <v>6.2</v>
      </c>
      <c r="AN2819">
        <v>339.1</v>
      </c>
      <c r="AO2819">
        <v>29.3</v>
      </c>
      <c r="AP2819">
        <v>10</v>
      </c>
      <c r="AQ2819">
        <v>0</v>
      </c>
      <c r="AR2819" t="s">
        <v>9721</v>
      </c>
      <c r="AS2819" t="s">
        <v>9722</v>
      </c>
      <c r="AT2819">
        <v>0.1</v>
      </c>
      <c r="AU2819" t="s">
        <v>74</v>
      </c>
      <c r="AV2819" t="s">
        <v>2955</v>
      </c>
      <c r="AW2819" t="s">
        <v>75</v>
      </c>
      <c r="AX2819" s="1">
        <v>0.90625</v>
      </c>
      <c r="AY2819" s="2">
        <v>45836.90625</v>
      </c>
      <c r="AZ2819">
        <v>2142.9999999969732</v>
      </c>
      <c r="BA2819">
        <v>1</v>
      </c>
      <c r="BB2819">
        <v>0</v>
      </c>
      <c r="BC2819">
        <v>0.1</v>
      </c>
      <c r="BD2819">
        <v>0</v>
      </c>
      <c r="BE2819">
        <f t="shared" ref="BE2819:BE2882" si="449">IF((3*AH2819+3*H2819+2*U2819+2*BA2819-(2*(1-T2819)+2*(1-I2819)+2*(1-AI2819)))&gt;=1,1,0)</f>
        <v>1</v>
      </c>
    </row>
    <row r="2820" spans="1:57" x14ac:dyDescent="0.25">
      <c r="A2820" t="s">
        <v>39</v>
      </c>
      <c r="B2820" t="s">
        <v>9723</v>
      </c>
      <c r="C2820">
        <v>80.599999999999994</v>
      </c>
      <c r="D2820">
        <v>73.400000000000006</v>
      </c>
      <c r="G2820">
        <f t="shared" si="440"/>
        <v>0</v>
      </c>
      <c r="H2820">
        <f t="shared" si="441"/>
        <v>0</v>
      </c>
      <c r="I2820">
        <f t="shared" si="442"/>
        <v>0</v>
      </c>
      <c r="J2820">
        <v>76.8</v>
      </c>
      <c r="K2820">
        <v>80.8</v>
      </c>
      <c r="L2820">
        <v>73.400000000000006</v>
      </c>
      <c r="M2820">
        <v>76.8</v>
      </c>
      <c r="N2820">
        <v>58.3</v>
      </c>
      <c r="O2820">
        <v>53.3</v>
      </c>
      <c r="S2820">
        <f t="shared" si="443"/>
        <v>1</v>
      </c>
      <c r="T2820">
        <f t="shared" si="444"/>
        <v>0</v>
      </c>
      <c r="U2820">
        <f t="shared" si="445"/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39.6</v>
      </c>
      <c r="AC2820">
        <v>23</v>
      </c>
      <c r="AG2820">
        <f t="shared" si="446"/>
        <v>1</v>
      </c>
      <c r="AH2820">
        <f t="shared" si="447"/>
        <v>1</v>
      </c>
      <c r="AI2820">
        <f t="shared" si="448"/>
        <v>0</v>
      </c>
      <c r="AJ2820">
        <v>301.89999999999998</v>
      </c>
      <c r="AK2820">
        <v>1014.5</v>
      </c>
      <c r="AL2820">
        <v>15.6</v>
      </c>
      <c r="AM2820">
        <v>6.2</v>
      </c>
      <c r="AN2820">
        <v>344.4</v>
      </c>
      <c r="AO2820">
        <v>29.8</v>
      </c>
      <c r="AP2820">
        <v>10</v>
      </c>
      <c r="AQ2820">
        <v>0</v>
      </c>
      <c r="AR2820" t="s">
        <v>9724</v>
      </c>
      <c r="AS2820" t="s">
        <v>9725</v>
      </c>
      <c r="AT2820">
        <v>0.68</v>
      </c>
      <c r="AU2820" t="s">
        <v>74</v>
      </c>
      <c r="AV2820" t="s">
        <v>2955</v>
      </c>
      <c r="AW2820" t="s">
        <v>75</v>
      </c>
      <c r="AX2820" s="1">
        <v>0.74444444444444446</v>
      </c>
      <c r="AY2820" s="2">
        <v>45824.744444444441</v>
      </c>
      <c r="AZ2820">
        <v>252.00000000419101</v>
      </c>
      <c r="BA2820">
        <v>0</v>
      </c>
      <c r="BB2820">
        <v>0</v>
      </c>
      <c r="BC2820">
        <v>0.1</v>
      </c>
      <c r="BD2820">
        <v>0</v>
      </c>
      <c r="BE2820">
        <f t="shared" si="449"/>
        <v>0</v>
      </c>
    </row>
    <row r="2821" spans="1:57" x14ac:dyDescent="0.25">
      <c r="A2821" t="s">
        <v>39</v>
      </c>
      <c r="B2821" t="s">
        <v>9726</v>
      </c>
      <c r="C2821">
        <v>84.2</v>
      </c>
      <c r="D2821">
        <v>75.2</v>
      </c>
      <c r="G2821">
        <f t="shared" si="440"/>
        <v>0</v>
      </c>
      <c r="H2821">
        <f t="shared" si="441"/>
        <v>0</v>
      </c>
      <c r="I2821">
        <f t="shared" si="442"/>
        <v>0</v>
      </c>
      <c r="J2821">
        <v>80.3</v>
      </c>
      <c r="K2821">
        <v>86.5</v>
      </c>
      <c r="L2821">
        <v>75.2</v>
      </c>
      <c r="M2821">
        <v>81.2</v>
      </c>
      <c r="N2821">
        <v>63.1</v>
      </c>
      <c r="O2821">
        <v>56</v>
      </c>
      <c r="S2821">
        <f t="shared" si="443"/>
        <v>1</v>
      </c>
      <c r="T2821">
        <f t="shared" si="444"/>
        <v>0</v>
      </c>
      <c r="U2821">
        <f t="shared" si="445"/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37.4</v>
      </c>
      <c r="AC2821">
        <v>24.2</v>
      </c>
      <c r="AG2821">
        <f t="shared" si="446"/>
        <v>1</v>
      </c>
      <c r="AH2821">
        <f t="shared" si="447"/>
        <v>1</v>
      </c>
      <c r="AI2821">
        <f t="shared" si="448"/>
        <v>0</v>
      </c>
      <c r="AJ2821">
        <v>302.10000000000002</v>
      </c>
      <c r="AK2821">
        <v>1011.8</v>
      </c>
      <c r="AL2821">
        <v>0</v>
      </c>
      <c r="AM2821">
        <v>6.2</v>
      </c>
      <c r="AN2821">
        <v>339.4</v>
      </c>
      <c r="AO2821">
        <v>29.3</v>
      </c>
      <c r="AP2821">
        <v>10</v>
      </c>
      <c r="AQ2821">
        <v>0</v>
      </c>
      <c r="AR2821" t="s">
        <v>9727</v>
      </c>
      <c r="AS2821" t="s">
        <v>9728</v>
      </c>
      <c r="AT2821">
        <v>0.25</v>
      </c>
      <c r="AU2821" t="s">
        <v>74</v>
      </c>
      <c r="AV2821" t="s">
        <v>2955</v>
      </c>
      <c r="AW2821" t="s">
        <v>75</v>
      </c>
      <c r="AX2821" s="1">
        <v>0.35972222222222222</v>
      </c>
      <c r="AY2821" s="2">
        <v>45840.359722222223</v>
      </c>
      <c r="AZ2821">
        <v>8.9999999979045242</v>
      </c>
      <c r="BA2821">
        <v>0</v>
      </c>
      <c r="BB2821">
        <v>0</v>
      </c>
      <c r="BC2821">
        <v>0</v>
      </c>
      <c r="BD2821">
        <v>0</v>
      </c>
      <c r="BE2821">
        <f t="shared" si="449"/>
        <v>0</v>
      </c>
    </row>
    <row r="2822" spans="1:57" x14ac:dyDescent="0.25">
      <c r="A2822" t="s">
        <v>39</v>
      </c>
      <c r="B2822" t="s">
        <v>9729</v>
      </c>
      <c r="C2822">
        <v>82.4</v>
      </c>
      <c r="D2822">
        <v>77</v>
      </c>
      <c r="G2822">
        <f t="shared" si="440"/>
        <v>0</v>
      </c>
      <c r="H2822">
        <f t="shared" si="441"/>
        <v>0</v>
      </c>
      <c r="I2822">
        <f t="shared" si="442"/>
        <v>0</v>
      </c>
      <c r="J2822">
        <v>79.3</v>
      </c>
      <c r="K2822">
        <v>83.5</v>
      </c>
      <c r="L2822">
        <v>77</v>
      </c>
      <c r="M2822">
        <v>79.599999999999994</v>
      </c>
      <c r="N2822">
        <v>60.9</v>
      </c>
      <c r="O2822">
        <v>53.6</v>
      </c>
      <c r="S2822">
        <f t="shared" si="443"/>
        <v>1</v>
      </c>
      <c r="T2822">
        <f t="shared" si="444"/>
        <v>0</v>
      </c>
      <c r="U2822">
        <f t="shared" si="445"/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38.5</v>
      </c>
      <c r="AC2822">
        <v>21.9</v>
      </c>
      <c r="AG2822">
        <f t="shared" si="446"/>
        <v>1</v>
      </c>
      <c r="AH2822">
        <f t="shared" si="447"/>
        <v>1</v>
      </c>
      <c r="AI2822">
        <f t="shared" si="448"/>
        <v>0</v>
      </c>
      <c r="AJ2822">
        <v>301.89999999999998</v>
      </c>
      <c r="AK2822">
        <v>1014.4</v>
      </c>
      <c r="AL2822">
        <v>0</v>
      </c>
      <c r="AM2822">
        <v>6.2</v>
      </c>
      <c r="AN2822">
        <v>348.2</v>
      </c>
      <c r="AO2822">
        <v>30.1</v>
      </c>
      <c r="AP2822">
        <v>10</v>
      </c>
      <c r="AQ2822">
        <v>0</v>
      </c>
      <c r="AR2822" t="s">
        <v>9730</v>
      </c>
      <c r="AS2822" t="s">
        <v>9731</v>
      </c>
      <c r="AT2822">
        <v>0.26</v>
      </c>
      <c r="AU2822" t="s">
        <v>74</v>
      </c>
      <c r="AV2822" t="s">
        <v>2955</v>
      </c>
      <c r="AW2822" t="s">
        <v>75</v>
      </c>
      <c r="AX2822" s="1">
        <v>0.38055555555555548</v>
      </c>
      <c r="AY2822" s="2">
        <v>45841.380555555559</v>
      </c>
      <c r="AZ2822">
        <v>305.9999999916181</v>
      </c>
      <c r="BA2822">
        <v>0</v>
      </c>
      <c r="BB2822">
        <v>0</v>
      </c>
      <c r="BC2822">
        <v>10</v>
      </c>
      <c r="BD2822">
        <v>0</v>
      </c>
      <c r="BE2822">
        <f t="shared" si="449"/>
        <v>0</v>
      </c>
    </row>
    <row r="2823" spans="1:57" x14ac:dyDescent="0.25">
      <c r="A2823" t="s">
        <v>39</v>
      </c>
      <c r="B2823" t="s">
        <v>9732</v>
      </c>
      <c r="C2823">
        <v>87.8</v>
      </c>
      <c r="D2823">
        <v>71.7</v>
      </c>
      <c r="G2823">
        <f t="shared" si="440"/>
        <v>1</v>
      </c>
      <c r="H2823">
        <f t="shared" si="441"/>
        <v>1</v>
      </c>
      <c r="I2823">
        <f t="shared" si="442"/>
        <v>0</v>
      </c>
      <c r="J2823">
        <v>80.400000000000006</v>
      </c>
      <c r="K2823">
        <v>87.8</v>
      </c>
      <c r="L2823">
        <v>71.7</v>
      </c>
      <c r="M2823">
        <v>81.400000000000006</v>
      </c>
      <c r="N2823">
        <v>60.4</v>
      </c>
      <c r="O2823">
        <v>50.9</v>
      </c>
      <c r="S2823">
        <f t="shared" si="443"/>
        <v>1</v>
      </c>
      <c r="T2823">
        <f t="shared" si="444"/>
        <v>0</v>
      </c>
      <c r="U2823">
        <f t="shared" si="445"/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28.9</v>
      </c>
      <c r="AC2823">
        <v>18.3</v>
      </c>
      <c r="AG2823">
        <f t="shared" si="446"/>
        <v>0</v>
      </c>
      <c r="AH2823">
        <f t="shared" si="447"/>
        <v>0</v>
      </c>
      <c r="AI2823">
        <f t="shared" si="448"/>
        <v>0</v>
      </c>
      <c r="AJ2823">
        <v>293.60000000000002</v>
      </c>
      <c r="AK2823">
        <v>1010.3</v>
      </c>
      <c r="AL2823">
        <v>0</v>
      </c>
      <c r="AM2823">
        <v>6.2</v>
      </c>
      <c r="AN2823">
        <v>345.2</v>
      </c>
      <c r="AO2823">
        <v>29.9</v>
      </c>
      <c r="AP2823">
        <v>10</v>
      </c>
      <c r="AQ2823">
        <v>0</v>
      </c>
      <c r="AR2823" t="s">
        <v>9733</v>
      </c>
      <c r="AS2823" t="s">
        <v>9734</v>
      </c>
      <c r="AT2823">
        <v>0.03</v>
      </c>
      <c r="AU2823" t="s">
        <v>74</v>
      </c>
      <c r="AV2823" t="s">
        <v>2955</v>
      </c>
      <c r="AW2823" t="s">
        <v>75</v>
      </c>
      <c r="AX2823" s="1">
        <v>7.6388888888888895E-2</v>
      </c>
      <c r="AY2823" s="2">
        <v>45834.076388888891</v>
      </c>
      <c r="AZ2823">
        <v>606.99999999837019</v>
      </c>
      <c r="BA2823">
        <v>1</v>
      </c>
      <c r="BB2823">
        <v>0</v>
      </c>
      <c r="BC2823">
        <v>2</v>
      </c>
      <c r="BD2823">
        <v>0</v>
      </c>
      <c r="BE2823">
        <f t="shared" si="449"/>
        <v>1</v>
      </c>
    </row>
    <row r="2824" spans="1:57" x14ac:dyDescent="0.25">
      <c r="A2824" t="s">
        <v>39</v>
      </c>
      <c r="B2824" t="s">
        <v>9720</v>
      </c>
      <c r="C2824">
        <v>87.8</v>
      </c>
      <c r="D2824">
        <v>78.8</v>
      </c>
      <c r="G2824">
        <f t="shared" si="440"/>
        <v>1</v>
      </c>
      <c r="H2824">
        <f t="shared" si="441"/>
        <v>1</v>
      </c>
      <c r="I2824">
        <f t="shared" si="442"/>
        <v>0</v>
      </c>
      <c r="J2824">
        <v>83.9</v>
      </c>
      <c r="K2824">
        <v>93.5</v>
      </c>
      <c r="L2824">
        <v>78.8</v>
      </c>
      <c r="M2824">
        <v>86.1</v>
      </c>
      <c r="N2824">
        <v>64.5</v>
      </c>
      <c r="O2824">
        <v>52.7</v>
      </c>
      <c r="S2824">
        <f t="shared" si="443"/>
        <v>1</v>
      </c>
      <c r="T2824">
        <f t="shared" si="444"/>
        <v>0</v>
      </c>
      <c r="U2824">
        <f t="shared" si="445"/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34.9</v>
      </c>
      <c r="AC2824">
        <v>21.9</v>
      </c>
      <c r="AG2824">
        <f t="shared" si="446"/>
        <v>1</v>
      </c>
      <c r="AH2824">
        <f t="shared" si="447"/>
        <v>1</v>
      </c>
      <c r="AI2824">
        <f t="shared" si="448"/>
        <v>0</v>
      </c>
      <c r="AJ2824">
        <v>295.7</v>
      </c>
      <c r="AK2824">
        <v>1008.4</v>
      </c>
      <c r="AL2824">
        <v>0</v>
      </c>
      <c r="AM2824">
        <v>6.2</v>
      </c>
      <c r="AN2824">
        <v>339.1</v>
      </c>
      <c r="AO2824">
        <v>29.3</v>
      </c>
      <c r="AP2824">
        <v>10</v>
      </c>
      <c r="AQ2824">
        <v>0</v>
      </c>
      <c r="AR2824" t="s">
        <v>9721</v>
      </c>
      <c r="AS2824" t="s">
        <v>9722</v>
      </c>
      <c r="AT2824">
        <v>0.1</v>
      </c>
      <c r="AU2824" t="s">
        <v>74</v>
      </c>
      <c r="AV2824" t="s">
        <v>2955</v>
      </c>
      <c r="AW2824" t="s">
        <v>75</v>
      </c>
      <c r="AX2824" s="1">
        <v>0.7</v>
      </c>
      <c r="AY2824" s="2">
        <v>45836.7</v>
      </c>
      <c r="AZ2824">
        <v>2325.000000003492</v>
      </c>
      <c r="BA2824">
        <v>1</v>
      </c>
      <c r="BB2824">
        <v>0</v>
      </c>
      <c r="BC2824">
        <v>40</v>
      </c>
      <c r="BD2824">
        <v>0</v>
      </c>
      <c r="BE2824">
        <f t="shared" si="449"/>
        <v>1</v>
      </c>
    </row>
    <row r="2825" spans="1:57" x14ac:dyDescent="0.25">
      <c r="A2825" t="s">
        <v>39</v>
      </c>
      <c r="B2825" t="s">
        <v>9735</v>
      </c>
      <c r="C2825">
        <v>87.8</v>
      </c>
      <c r="D2825">
        <v>73.400000000000006</v>
      </c>
      <c r="G2825">
        <f t="shared" si="440"/>
        <v>1</v>
      </c>
      <c r="H2825">
        <f t="shared" si="441"/>
        <v>1</v>
      </c>
      <c r="I2825">
        <f t="shared" si="442"/>
        <v>0</v>
      </c>
      <c r="J2825">
        <v>82.3</v>
      </c>
      <c r="K2825">
        <v>89.5</v>
      </c>
      <c r="L2825">
        <v>73.400000000000006</v>
      </c>
      <c r="M2825">
        <v>83.4</v>
      </c>
      <c r="N2825">
        <v>62.8</v>
      </c>
      <c r="O2825">
        <v>52.2</v>
      </c>
      <c r="S2825">
        <f t="shared" si="443"/>
        <v>1</v>
      </c>
      <c r="T2825">
        <f t="shared" si="444"/>
        <v>0</v>
      </c>
      <c r="U2825">
        <f t="shared" si="445"/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26.2</v>
      </c>
      <c r="AC2825">
        <v>20.8</v>
      </c>
      <c r="AG2825">
        <f t="shared" si="446"/>
        <v>1</v>
      </c>
      <c r="AH2825">
        <f t="shared" si="447"/>
        <v>1</v>
      </c>
      <c r="AI2825">
        <f t="shared" si="448"/>
        <v>0</v>
      </c>
      <c r="AJ2825">
        <v>296.2</v>
      </c>
      <c r="AK2825">
        <v>1010</v>
      </c>
      <c r="AL2825">
        <v>0</v>
      </c>
      <c r="AM2825">
        <v>6.2</v>
      </c>
      <c r="AN2825">
        <v>342.9</v>
      </c>
      <c r="AO2825">
        <v>29.7</v>
      </c>
      <c r="AP2825">
        <v>10</v>
      </c>
      <c r="AQ2825">
        <v>0</v>
      </c>
      <c r="AR2825" t="s">
        <v>9736</v>
      </c>
      <c r="AS2825" t="s">
        <v>9737</v>
      </c>
      <c r="AT2825">
        <v>0.06</v>
      </c>
      <c r="AU2825" t="s">
        <v>74</v>
      </c>
      <c r="AV2825" t="s">
        <v>2955</v>
      </c>
      <c r="AW2825" t="s">
        <v>75</v>
      </c>
      <c r="AX2825" s="1">
        <v>0.48958333333333331</v>
      </c>
      <c r="AY2825" s="2">
        <v>45835.489583333343</v>
      </c>
      <c r="AZ2825">
        <v>1980</v>
      </c>
      <c r="BA2825">
        <v>1</v>
      </c>
      <c r="BB2825">
        <v>0</v>
      </c>
      <c r="BC2825">
        <v>150</v>
      </c>
      <c r="BD2825">
        <v>0</v>
      </c>
      <c r="BE2825">
        <f t="shared" si="449"/>
        <v>1</v>
      </c>
    </row>
    <row r="2826" spans="1:57" x14ac:dyDescent="0.25">
      <c r="A2826" t="s">
        <v>39</v>
      </c>
      <c r="B2826" t="s">
        <v>9738</v>
      </c>
      <c r="C2826">
        <v>84.3</v>
      </c>
      <c r="D2826">
        <v>77</v>
      </c>
      <c r="G2826">
        <f t="shared" si="440"/>
        <v>0</v>
      </c>
      <c r="H2826">
        <f t="shared" si="441"/>
        <v>0</v>
      </c>
      <c r="I2826">
        <f t="shared" si="442"/>
        <v>0</v>
      </c>
      <c r="J2826">
        <v>81.400000000000006</v>
      </c>
      <c r="K2826">
        <v>86.6</v>
      </c>
      <c r="L2826">
        <v>77</v>
      </c>
      <c r="M2826">
        <v>82.3</v>
      </c>
      <c r="N2826">
        <v>63.6</v>
      </c>
      <c r="O2826">
        <v>55.4</v>
      </c>
      <c r="S2826">
        <f t="shared" si="443"/>
        <v>1</v>
      </c>
      <c r="T2826">
        <f t="shared" si="444"/>
        <v>0</v>
      </c>
      <c r="U2826">
        <f t="shared" si="445"/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30.4</v>
      </c>
      <c r="AC2826">
        <v>18.3</v>
      </c>
      <c r="AG2826">
        <f t="shared" si="446"/>
        <v>0</v>
      </c>
      <c r="AH2826">
        <f t="shared" si="447"/>
        <v>0</v>
      </c>
      <c r="AI2826">
        <f t="shared" si="448"/>
        <v>0</v>
      </c>
      <c r="AJ2826">
        <v>295.60000000000002</v>
      </c>
      <c r="AK2826">
        <v>1006.9</v>
      </c>
      <c r="AL2826">
        <v>0</v>
      </c>
      <c r="AM2826">
        <v>6.2</v>
      </c>
      <c r="AN2826">
        <v>334.7</v>
      </c>
      <c r="AO2826">
        <v>29.1</v>
      </c>
      <c r="AP2826">
        <v>10</v>
      </c>
      <c r="AQ2826">
        <v>0</v>
      </c>
      <c r="AR2826" t="s">
        <v>9739</v>
      </c>
      <c r="AS2826" t="s">
        <v>9740</v>
      </c>
      <c r="AT2826">
        <v>0.5</v>
      </c>
      <c r="AU2826" t="s">
        <v>74</v>
      </c>
      <c r="AV2826" t="s">
        <v>2955</v>
      </c>
      <c r="AW2826" t="s">
        <v>75</v>
      </c>
      <c r="AX2826" s="1">
        <v>3.4722222222222217E-2</v>
      </c>
      <c r="AY2826" s="2">
        <v>45848.034722222219</v>
      </c>
      <c r="AZ2826">
        <v>102.0000000076834</v>
      </c>
      <c r="BA2826">
        <v>0</v>
      </c>
      <c r="BB2826">
        <v>0</v>
      </c>
      <c r="BC2826">
        <v>0.05</v>
      </c>
      <c r="BD2826">
        <v>0</v>
      </c>
      <c r="BE2826">
        <f t="shared" si="449"/>
        <v>0</v>
      </c>
    </row>
    <row r="2827" spans="1:57" x14ac:dyDescent="0.25">
      <c r="A2827" t="s">
        <v>39</v>
      </c>
      <c r="B2827" t="s">
        <v>9732</v>
      </c>
      <c r="C2827">
        <v>87.8</v>
      </c>
      <c r="D2827">
        <v>71.7</v>
      </c>
      <c r="G2827">
        <f t="shared" si="440"/>
        <v>1</v>
      </c>
      <c r="H2827">
        <f t="shared" si="441"/>
        <v>1</v>
      </c>
      <c r="I2827">
        <f t="shared" si="442"/>
        <v>0</v>
      </c>
      <c r="J2827">
        <v>80.400000000000006</v>
      </c>
      <c r="K2827">
        <v>87.8</v>
      </c>
      <c r="L2827">
        <v>71.7</v>
      </c>
      <c r="M2827">
        <v>81.400000000000006</v>
      </c>
      <c r="N2827">
        <v>60.4</v>
      </c>
      <c r="O2827">
        <v>50.9</v>
      </c>
      <c r="S2827">
        <f t="shared" si="443"/>
        <v>1</v>
      </c>
      <c r="T2827">
        <f t="shared" si="444"/>
        <v>0</v>
      </c>
      <c r="U2827">
        <f t="shared" si="445"/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28.9</v>
      </c>
      <c r="AC2827">
        <v>18.3</v>
      </c>
      <c r="AG2827">
        <f t="shared" si="446"/>
        <v>0</v>
      </c>
      <c r="AH2827">
        <f t="shared" si="447"/>
        <v>0</v>
      </c>
      <c r="AI2827">
        <f t="shared" si="448"/>
        <v>0</v>
      </c>
      <c r="AJ2827">
        <v>293.60000000000002</v>
      </c>
      <c r="AK2827">
        <v>1010.3</v>
      </c>
      <c r="AL2827">
        <v>0</v>
      </c>
      <c r="AM2827">
        <v>6.2</v>
      </c>
      <c r="AN2827">
        <v>345.2</v>
      </c>
      <c r="AO2827">
        <v>29.9</v>
      </c>
      <c r="AP2827">
        <v>10</v>
      </c>
      <c r="AQ2827">
        <v>0</v>
      </c>
      <c r="AR2827" t="s">
        <v>9733</v>
      </c>
      <c r="AS2827" t="s">
        <v>9734</v>
      </c>
      <c r="AT2827">
        <v>0.03</v>
      </c>
      <c r="AU2827" t="s">
        <v>74</v>
      </c>
      <c r="AV2827" t="s">
        <v>2955</v>
      </c>
      <c r="AW2827" t="s">
        <v>75</v>
      </c>
      <c r="AX2827" s="1">
        <v>0.41249999999999998</v>
      </c>
      <c r="AY2827" s="2">
        <v>45834.412499999999</v>
      </c>
      <c r="AZ2827">
        <v>2990.0000000023279</v>
      </c>
      <c r="BA2827">
        <v>1</v>
      </c>
      <c r="BB2827">
        <v>0</v>
      </c>
      <c r="BC2827">
        <v>1</v>
      </c>
      <c r="BD2827">
        <v>0</v>
      </c>
      <c r="BE2827">
        <f t="shared" si="449"/>
        <v>1</v>
      </c>
    </row>
    <row r="2828" spans="1:57" x14ac:dyDescent="0.25">
      <c r="A2828" t="s">
        <v>39</v>
      </c>
      <c r="B2828" t="s">
        <v>9741</v>
      </c>
      <c r="C2828">
        <v>86</v>
      </c>
      <c r="D2828">
        <v>80.599999999999994</v>
      </c>
      <c r="G2828">
        <f t="shared" si="440"/>
        <v>1</v>
      </c>
      <c r="H2828">
        <f t="shared" si="441"/>
        <v>1</v>
      </c>
      <c r="I2828">
        <f t="shared" si="442"/>
        <v>0</v>
      </c>
      <c r="J2828">
        <v>83.8</v>
      </c>
      <c r="K2828">
        <v>89.5</v>
      </c>
      <c r="L2828">
        <v>81.400000000000006</v>
      </c>
      <c r="M2828">
        <v>85.1</v>
      </c>
      <c r="N2828">
        <v>63.1</v>
      </c>
      <c r="O2828">
        <v>49.9</v>
      </c>
      <c r="S2828">
        <f t="shared" si="443"/>
        <v>1</v>
      </c>
      <c r="T2828">
        <f t="shared" si="444"/>
        <v>0</v>
      </c>
      <c r="U2828">
        <f t="shared" si="445"/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33.1</v>
      </c>
      <c r="AC2828">
        <v>20.8</v>
      </c>
      <c r="AG2828">
        <f t="shared" si="446"/>
        <v>1</v>
      </c>
      <c r="AH2828">
        <f t="shared" si="447"/>
        <v>1</v>
      </c>
      <c r="AI2828">
        <f t="shared" si="448"/>
        <v>0</v>
      </c>
      <c r="AJ2828">
        <v>293.8</v>
      </c>
      <c r="AK2828">
        <v>1006.1</v>
      </c>
      <c r="AL2828">
        <v>0</v>
      </c>
      <c r="AM2828">
        <v>6.2</v>
      </c>
      <c r="AN2828">
        <v>333</v>
      </c>
      <c r="AO2828">
        <v>28.7</v>
      </c>
      <c r="AP2828">
        <v>10</v>
      </c>
      <c r="AQ2828">
        <v>0</v>
      </c>
      <c r="AR2828" t="s">
        <v>9742</v>
      </c>
      <c r="AS2828" t="s">
        <v>9743</v>
      </c>
      <c r="AT2828">
        <v>0.7</v>
      </c>
      <c r="AU2828" t="s">
        <v>74</v>
      </c>
      <c r="AV2828" t="s">
        <v>2955</v>
      </c>
      <c r="AW2828" t="s">
        <v>75</v>
      </c>
      <c r="AX2828" s="1">
        <v>0.63749999999999996</v>
      </c>
      <c r="AY2828" s="2">
        <v>45854.637499999997</v>
      </c>
      <c r="AZ2828">
        <v>6120</v>
      </c>
      <c r="BA2828">
        <v>1</v>
      </c>
      <c r="BB2828">
        <v>0</v>
      </c>
      <c r="BC2828">
        <v>250</v>
      </c>
      <c r="BD2828">
        <v>0</v>
      </c>
      <c r="BE2828">
        <f t="shared" si="449"/>
        <v>1</v>
      </c>
    </row>
    <row r="2829" spans="1:57" x14ac:dyDescent="0.25">
      <c r="A2829" t="s">
        <v>39</v>
      </c>
      <c r="B2829" t="s">
        <v>9744</v>
      </c>
      <c r="C2829">
        <v>89.6</v>
      </c>
      <c r="D2829">
        <v>73.400000000000006</v>
      </c>
      <c r="G2829">
        <f t="shared" si="440"/>
        <v>1</v>
      </c>
      <c r="H2829">
        <f t="shared" si="441"/>
        <v>1</v>
      </c>
      <c r="I2829">
        <f t="shared" si="442"/>
        <v>0</v>
      </c>
      <c r="J2829">
        <v>81.400000000000006</v>
      </c>
      <c r="K2829">
        <v>93.6</v>
      </c>
      <c r="L2829">
        <v>73.400000000000006</v>
      </c>
      <c r="M2829">
        <v>83.3</v>
      </c>
      <c r="N2829">
        <v>61.6</v>
      </c>
      <c r="O2829">
        <v>52.7</v>
      </c>
      <c r="S2829">
        <f t="shared" si="443"/>
        <v>1</v>
      </c>
      <c r="T2829">
        <f t="shared" si="444"/>
        <v>0</v>
      </c>
      <c r="U2829">
        <f t="shared" si="445"/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21.9</v>
      </c>
      <c r="AC2829">
        <v>11.4</v>
      </c>
      <c r="AG2829">
        <f t="shared" si="446"/>
        <v>1</v>
      </c>
      <c r="AH2829">
        <f t="shared" si="447"/>
        <v>0</v>
      </c>
      <c r="AI2829">
        <f t="shared" si="448"/>
        <v>1</v>
      </c>
      <c r="AJ2829">
        <v>99.8</v>
      </c>
      <c r="AK2829">
        <v>1009.8</v>
      </c>
      <c r="AL2829">
        <v>0</v>
      </c>
      <c r="AM2829">
        <v>6.2</v>
      </c>
      <c r="AN2829">
        <v>333.5</v>
      </c>
      <c r="AO2829">
        <v>28.7</v>
      </c>
      <c r="AP2829">
        <v>10</v>
      </c>
      <c r="AQ2829">
        <v>0</v>
      </c>
      <c r="AR2829" t="s">
        <v>9745</v>
      </c>
      <c r="AS2829" t="s">
        <v>9746</v>
      </c>
      <c r="AT2829">
        <v>0.75</v>
      </c>
      <c r="AU2829" t="s">
        <v>74</v>
      </c>
      <c r="AV2829" t="s">
        <v>2955</v>
      </c>
      <c r="AW2829" t="s">
        <v>75</v>
      </c>
      <c r="AX2829" s="1">
        <v>0.25624999999999998</v>
      </c>
      <c r="AY2829" s="2">
        <v>45856.256249999999</v>
      </c>
      <c r="AZ2829">
        <v>410.99999999860302</v>
      </c>
      <c r="BA2829">
        <v>1</v>
      </c>
      <c r="BB2829">
        <v>0</v>
      </c>
      <c r="BC2829">
        <v>0.5</v>
      </c>
      <c r="BD2829">
        <v>0</v>
      </c>
      <c r="BE2829">
        <f t="shared" si="449"/>
        <v>1</v>
      </c>
    </row>
    <row r="2830" spans="1:57" x14ac:dyDescent="0.25">
      <c r="A2830" t="s">
        <v>39</v>
      </c>
      <c r="B2830" t="s">
        <v>9726</v>
      </c>
      <c r="C2830">
        <v>84.2</v>
      </c>
      <c r="D2830">
        <v>75.2</v>
      </c>
      <c r="G2830">
        <f t="shared" si="440"/>
        <v>0</v>
      </c>
      <c r="H2830">
        <f t="shared" si="441"/>
        <v>0</v>
      </c>
      <c r="I2830">
        <f t="shared" si="442"/>
        <v>0</v>
      </c>
      <c r="J2830">
        <v>80.3</v>
      </c>
      <c r="K2830">
        <v>86.5</v>
      </c>
      <c r="L2830">
        <v>75.2</v>
      </c>
      <c r="M2830">
        <v>81.2</v>
      </c>
      <c r="N2830">
        <v>63.1</v>
      </c>
      <c r="O2830">
        <v>56</v>
      </c>
      <c r="S2830">
        <f t="shared" si="443"/>
        <v>1</v>
      </c>
      <c r="T2830">
        <f t="shared" si="444"/>
        <v>0</v>
      </c>
      <c r="U2830">
        <f t="shared" si="445"/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37.4</v>
      </c>
      <c r="AC2830">
        <v>24.2</v>
      </c>
      <c r="AG2830">
        <f t="shared" si="446"/>
        <v>1</v>
      </c>
      <c r="AH2830">
        <f t="shared" si="447"/>
        <v>1</v>
      </c>
      <c r="AI2830">
        <f t="shared" si="448"/>
        <v>0</v>
      </c>
      <c r="AJ2830">
        <v>302.10000000000002</v>
      </c>
      <c r="AK2830">
        <v>1011.8</v>
      </c>
      <c r="AL2830">
        <v>0</v>
      </c>
      <c r="AM2830">
        <v>6.2</v>
      </c>
      <c r="AN2830">
        <v>339.4</v>
      </c>
      <c r="AO2830">
        <v>29.3</v>
      </c>
      <c r="AP2830">
        <v>10</v>
      </c>
      <c r="AQ2830">
        <v>0</v>
      </c>
      <c r="AR2830" t="s">
        <v>9727</v>
      </c>
      <c r="AS2830" t="s">
        <v>9728</v>
      </c>
      <c r="AT2830">
        <v>0.25</v>
      </c>
      <c r="AU2830" t="s">
        <v>74</v>
      </c>
      <c r="AV2830" t="s">
        <v>2955</v>
      </c>
      <c r="AW2830" t="s">
        <v>75</v>
      </c>
      <c r="AX2830" s="1">
        <v>0.67500000000000004</v>
      </c>
      <c r="AY2830" s="2">
        <v>45840.675000000003</v>
      </c>
      <c r="AZ2830">
        <v>23281.999999992549</v>
      </c>
      <c r="BA2830">
        <v>1</v>
      </c>
      <c r="BB2830">
        <v>0</v>
      </c>
      <c r="BC2830">
        <v>2500</v>
      </c>
      <c r="BD2830">
        <v>0</v>
      </c>
      <c r="BE2830">
        <f t="shared" si="449"/>
        <v>1</v>
      </c>
    </row>
    <row r="2831" spans="1:57" x14ac:dyDescent="0.25">
      <c r="A2831" t="s">
        <v>39</v>
      </c>
      <c r="B2831" t="s">
        <v>9747</v>
      </c>
      <c r="C2831">
        <v>84.9</v>
      </c>
      <c r="D2831">
        <v>71.599999999999994</v>
      </c>
      <c r="G2831">
        <f t="shared" si="440"/>
        <v>0</v>
      </c>
      <c r="H2831">
        <f t="shared" si="441"/>
        <v>0</v>
      </c>
      <c r="I2831">
        <f t="shared" si="442"/>
        <v>0</v>
      </c>
      <c r="J2831">
        <v>79.3</v>
      </c>
      <c r="K2831">
        <v>91.9</v>
      </c>
      <c r="L2831">
        <v>71.599999999999994</v>
      </c>
      <c r="M2831">
        <v>82.4</v>
      </c>
      <c r="N2831">
        <v>70.3</v>
      </c>
      <c r="O2831">
        <v>75</v>
      </c>
      <c r="S2831">
        <f t="shared" si="443"/>
        <v>1</v>
      </c>
      <c r="T2831">
        <f t="shared" si="444"/>
        <v>1</v>
      </c>
      <c r="U2831">
        <f t="shared" si="445"/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29.8</v>
      </c>
      <c r="AC2831">
        <v>18.3</v>
      </c>
      <c r="AG2831">
        <f t="shared" si="446"/>
        <v>0</v>
      </c>
      <c r="AH2831">
        <f t="shared" si="447"/>
        <v>0</v>
      </c>
      <c r="AI2831">
        <f t="shared" si="448"/>
        <v>0</v>
      </c>
      <c r="AJ2831">
        <v>294.7</v>
      </c>
      <c r="AK2831">
        <v>1008.3</v>
      </c>
      <c r="AL2831">
        <v>9.9</v>
      </c>
      <c r="AM2831">
        <v>6.2</v>
      </c>
      <c r="AN2831">
        <v>316.7</v>
      </c>
      <c r="AO2831">
        <v>27.4</v>
      </c>
      <c r="AP2831">
        <v>9</v>
      </c>
      <c r="AQ2831">
        <v>0</v>
      </c>
      <c r="AR2831" t="s">
        <v>9748</v>
      </c>
      <c r="AS2831" t="s">
        <v>9749</v>
      </c>
      <c r="AT2831">
        <v>0.21</v>
      </c>
      <c r="AU2831" t="s">
        <v>74</v>
      </c>
      <c r="AV2831" t="s">
        <v>2955</v>
      </c>
      <c r="AW2831" t="s">
        <v>75</v>
      </c>
      <c r="AX2831" s="1">
        <v>0.61111111111111116</v>
      </c>
      <c r="AY2831" s="2">
        <v>45869.611111111109</v>
      </c>
      <c r="AZ2831">
        <v>3267.000000004191</v>
      </c>
      <c r="BA2831">
        <v>1</v>
      </c>
      <c r="BB2831">
        <v>0</v>
      </c>
      <c r="BC2831">
        <v>1</v>
      </c>
      <c r="BD2831">
        <v>0</v>
      </c>
      <c r="BE2831">
        <f t="shared" si="449"/>
        <v>0</v>
      </c>
    </row>
    <row r="2832" spans="1:57" x14ac:dyDescent="0.25">
      <c r="A2832" t="s">
        <v>39</v>
      </c>
      <c r="B2832" t="s">
        <v>9750</v>
      </c>
      <c r="C2832">
        <v>89.6</v>
      </c>
      <c r="D2832">
        <v>84.2</v>
      </c>
      <c r="G2832">
        <f t="shared" si="440"/>
        <v>1</v>
      </c>
      <c r="H2832">
        <f t="shared" si="441"/>
        <v>1</v>
      </c>
      <c r="I2832">
        <f t="shared" si="442"/>
        <v>0</v>
      </c>
      <c r="J2832">
        <v>86.7</v>
      </c>
      <c r="K2832">
        <v>93.5</v>
      </c>
      <c r="L2832">
        <v>86.4</v>
      </c>
      <c r="M2832">
        <v>89.6</v>
      </c>
      <c r="N2832">
        <v>66.7</v>
      </c>
      <c r="O2832">
        <v>51.5</v>
      </c>
      <c r="S2832">
        <f t="shared" si="443"/>
        <v>1</v>
      </c>
      <c r="T2832">
        <f t="shared" si="444"/>
        <v>0</v>
      </c>
      <c r="U2832">
        <f t="shared" si="445"/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33.1</v>
      </c>
      <c r="AC2832">
        <v>22.3</v>
      </c>
      <c r="AG2832">
        <f t="shared" si="446"/>
        <v>1</v>
      </c>
      <c r="AH2832">
        <f t="shared" si="447"/>
        <v>1</v>
      </c>
      <c r="AI2832">
        <f t="shared" si="448"/>
        <v>0</v>
      </c>
      <c r="AJ2832">
        <v>301.7</v>
      </c>
      <c r="AK2832">
        <v>1006.6</v>
      </c>
      <c r="AL2832">
        <v>0</v>
      </c>
      <c r="AM2832">
        <v>6.2</v>
      </c>
      <c r="AN2832">
        <v>329.4</v>
      </c>
      <c r="AO2832">
        <v>28.4</v>
      </c>
      <c r="AP2832">
        <v>10</v>
      </c>
      <c r="AQ2832">
        <v>0</v>
      </c>
      <c r="AR2832" t="s">
        <v>9751</v>
      </c>
      <c r="AS2832" t="s">
        <v>9752</v>
      </c>
      <c r="AT2832">
        <v>0.05</v>
      </c>
      <c r="AU2832" t="s">
        <v>74</v>
      </c>
      <c r="AV2832" t="s">
        <v>2955</v>
      </c>
      <c r="AW2832" t="s">
        <v>75</v>
      </c>
      <c r="AX2832" s="1">
        <v>0.74930555555555556</v>
      </c>
      <c r="AY2832" s="2">
        <v>45864.749305555553</v>
      </c>
      <c r="AZ2832">
        <v>4500</v>
      </c>
      <c r="BA2832">
        <v>1</v>
      </c>
      <c r="BB2832">
        <v>0</v>
      </c>
      <c r="BC2832">
        <v>1000</v>
      </c>
      <c r="BD2832">
        <v>0</v>
      </c>
      <c r="BE2832">
        <f t="shared" si="449"/>
        <v>1</v>
      </c>
    </row>
    <row r="2833" spans="1:57" x14ac:dyDescent="0.25">
      <c r="A2833" t="s">
        <v>39</v>
      </c>
      <c r="B2833" t="s">
        <v>9753</v>
      </c>
      <c r="C2833">
        <v>86</v>
      </c>
      <c r="D2833">
        <v>71.5</v>
      </c>
      <c r="G2833">
        <f t="shared" si="440"/>
        <v>1</v>
      </c>
      <c r="H2833">
        <f t="shared" si="441"/>
        <v>1</v>
      </c>
      <c r="I2833">
        <f t="shared" si="442"/>
        <v>0</v>
      </c>
      <c r="J2833">
        <v>80.7</v>
      </c>
      <c r="K2833">
        <v>92</v>
      </c>
      <c r="L2833">
        <v>71.5</v>
      </c>
      <c r="M2833">
        <v>83.2</v>
      </c>
      <c r="N2833">
        <v>66</v>
      </c>
      <c r="O2833">
        <v>61.6</v>
      </c>
      <c r="S2833">
        <f t="shared" si="443"/>
        <v>0</v>
      </c>
      <c r="T2833">
        <f t="shared" si="444"/>
        <v>0</v>
      </c>
      <c r="U2833">
        <f t="shared" si="445"/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25.9</v>
      </c>
      <c r="AC2833">
        <v>23</v>
      </c>
      <c r="AG2833">
        <f t="shared" si="446"/>
        <v>1</v>
      </c>
      <c r="AH2833">
        <f t="shared" si="447"/>
        <v>1</v>
      </c>
      <c r="AI2833">
        <f t="shared" si="448"/>
        <v>0</v>
      </c>
      <c r="AJ2833">
        <v>299.2</v>
      </c>
      <c r="AK2833">
        <v>1005.4</v>
      </c>
      <c r="AL2833">
        <v>0</v>
      </c>
      <c r="AM2833">
        <v>6.2</v>
      </c>
      <c r="AN2833">
        <v>324.5</v>
      </c>
      <c r="AO2833">
        <v>28.3</v>
      </c>
      <c r="AP2833">
        <v>10</v>
      </c>
      <c r="AQ2833">
        <v>0</v>
      </c>
      <c r="AR2833" t="s">
        <v>9754</v>
      </c>
      <c r="AS2833" t="s">
        <v>9755</v>
      </c>
      <c r="AT2833">
        <v>0.15</v>
      </c>
      <c r="AU2833" t="s">
        <v>74</v>
      </c>
      <c r="AV2833" t="s">
        <v>2955</v>
      </c>
      <c r="AW2833" t="s">
        <v>75</v>
      </c>
      <c r="AX2833" s="1">
        <v>0.59305555555555556</v>
      </c>
      <c r="AY2833" s="2">
        <v>45867.593055555553</v>
      </c>
      <c r="AZ2833">
        <v>2412.000000004191</v>
      </c>
      <c r="BA2833">
        <v>1</v>
      </c>
      <c r="BB2833">
        <v>0</v>
      </c>
      <c r="BC2833">
        <v>60</v>
      </c>
      <c r="BD2833">
        <v>0</v>
      </c>
      <c r="BE2833">
        <f t="shared" si="449"/>
        <v>1</v>
      </c>
    </row>
    <row r="2834" spans="1:57" x14ac:dyDescent="0.25">
      <c r="A2834" t="s">
        <v>39</v>
      </c>
      <c r="B2834" t="s">
        <v>9717</v>
      </c>
      <c r="C2834">
        <v>80.599999999999994</v>
      </c>
      <c r="D2834">
        <v>71.599999999999994</v>
      </c>
      <c r="G2834">
        <f t="shared" si="440"/>
        <v>0</v>
      </c>
      <c r="H2834">
        <f t="shared" si="441"/>
        <v>0</v>
      </c>
      <c r="I2834">
        <f t="shared" si="442"/>
        <v>0</v>
      </c>
      <c r="J2834">
        <v>76.599999999999994</v>
      </c>
      <c r="K2834">
        <v>83.3</v>
      </c>
      <c r="L2834">
        <v>71.599999999999994</v>
      </c>
      <c r="M2834">
        <v>76.8</v>
      </c>
      <c r="N2834">
        <v>59.1</v>
      </c>
      <c r="O2834">
        <v>55.1</v>
      </c>
      <c r="S2834">
        <f t="shared" si="443"/>
        <v>1</v>
      </c>
      <c r="T2834">
        <f t="shared" si="444"/>
        <v>0</v>
      </c>
      <c r="U2834">
        <f t="shared" si="445"/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34</v>
      </c>
      <c r="AC2834">
        <v>21.9</v>
      </c>
      <c r="AG2834">
        <f t="shared" si="446"/>
        <v>1</v>
      </c>
      <c r="AH2834">
        <f t="shared" si="447"/>
        <v>1</v>
      </c>
      <c r="AI2834">
        <f t="shared" si="448"/>
        <v>0</v>
      </c>
      <c r="AJ2834">
        <v>296.8</v>
      </c>
      <c r="AK2834">
        <v>1014.5</v>
      </c>
      <c r="AL2834">
        <v>13.3</v>
      </c>
      <c r="AM2834">
        <v>6.2</v>
      </c>
      <c r="AN2834">
        <v>346.9</v>
      </c>
      <c r="AO2834">
        <v>29.9</v>
      </c>
      <c r="AP2834">
        <v>10</v>
      </c>
      <c r="AQ2834">
        <v>0</v>
      </c>
      <c r="AR2834" t="s">
        <v>9718</v>
      </c>
      <c r="AS2834" t="s">
        <v>9719</v>
      </c>
      <c r="AT2834">
        <v>0.93</v>
      </c>
      <c r="AU2834" t="s">
        <v>74</v>
      </c>
      <c r="AV2834" t="s">
        <v>2955</v>
      </c>
      <c r="AW2834" t="s">
        <v>75</v>
      </c>
      <c r="AX2834" s="1">
        <v>0.53263888888888888</v>
      </c>
      <c r="AY2834" s="2">
        <v>45831.532638888893</v>
      </c>
      <c r="AZ2834">
        <v>6881.0000000079162</v>
      </c>
      <c r="BA2834">
        <v>1</v>
      </c>
      <c r="BB2834">
        <v>0</v>
      </c>
      <c r="BC2834">
        <v>1500</v>
      </c>
      <c r="BD2834">
        <v>0</v>
      </c>
      <c r="BE2834">
        <f t="shared" si="449"/>
        <v>1</v>
      </c>
    </row>
    <row r="2835" spans="1:57" x14ac:dyDescent="0.25">
      <c r="A2835" t="s">
        <v>39</v>
      </c>
      <c r="B2835" t="s">
        <v>9753</v>
      </c>
      <c r="C2835">
        <v>86</v>
      </c>
      <c r="D2835">
        <v>71.5</v>
      </c>
      <c r="G2835">
        <f t="shared" si="440"/>
        <v>1</v>
      </c>
      <c r="H2835">
        <f t="shared" si="441"/>
        <v>1</v>
      </c>
      <c r="I2835">
        <f t="shared" si="442"/>
        <v>0</v>
      </c>
      <c r="J2835">
        <v>80.7</v>
      </c>
      <c r="K2835">
        <v>92</v>
      </c>
      <c r="L2835">
        <v>71.5</v>
      </c>
      <c r="M2835">
        <v>83.2</v>
      </c>
      <c r="N2835">
        <v>66</v>
      </c>
      <c r="O2835">
        <v>61.6</v>
      </c>
      <c r="S2835">
        <f t="shared" si="443"/>
        <v>0</v>
      </c>
      <c r="T2835">
        <f t="shared" si="444"/>
        <v>0</v>
      </c>
      <c r="U2835">
        <f t="shared" si="445"/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25.9</v>
      </c>
      <c r="AC2835">
        <v>23</v>
      </c>
      <c r="AG2835">
        <f t="shared" si="446"/>
        <v>1</v>
      </c>
      <c r="AH2835">
        <f t="shared" si="447"/>
        <v>1</v>
      </c>
      <c r="AI2835">
        <f t="shared" si="448"/>
        <v>0</v>
      </c>
      <c r="AJ2835">
        <v>299.2</v>
      </c>
      <c r="AK2835">
        <v>1005.4</v>
      </c>
      <c r="AL2835">
        <v>0</v>
      </c>
      <c r="AM2835">
        <v>6.2</v>
      </c>
      <c r="AN2835">
        <v>324.5</v>
      </c>
      <c r="AO2835">
        <v>28.3</v>
      </c>
      <c r="AP2835">
        <v>10</v>
      </c>
      <c r="AQ2835">
        <v>0</v>
      </c>
      <c r="AR2835" t="s">
        <v>9754</v>
      </c>
      <c r="AS2835" t="s">
        <v>9755</v>
      </c>
      <c r="AT2835">
        <v>0.15</v>
      </c>
      <c r="AU2835" t="s">
        <v>74</v>
      </c>
      <c r="AV2835" t="s">
        <v>2955</v>
      </c>
      <c r="AW2835" t="s">
        <v>75</v>
      </c>
      <c r="AX2835" s="1">
        <v>0.70347222222222228</v>
      </c>
      <c r="AY2835" s="2">
        <v>45867.703472222223</v>
      </c>
      <c r="AZ2835">
        <v>3766.9999999995339</v>
      </c>
      <c r="BA2835">
        <v>1</v>
      </c>
      <c r="BB2835">
        <v>0</v>
      </c>
      <c r="BC2835">
        <v>200</v>
      </c>
      <c r="BD2835">
        <v>0</v>
      </c>
      <c r="BE2835">
        <f t="shared" si="449"/>
        <v>1</v>
      </c>
    </row>
    <row r="2836" spans="1:57" x14ac:dyDescent="0.25">
      <c r="A2836" t="s">
        <v>39</v>
      </c>
      <c r="B2836" t="s">
        <v>9756</v>
      </c>
      <c r="C2836">
        <v>84.2</v>
      </c>
      <c r="D2836">
        <v>70.5</v>
      </c>
      <c r="G2836">
        <f t="shared" si="440"/>
        <v>0</v>
      </c>
      <c r="H2836">
        <f t="shared" si="441"/>
        <v>0</v>
      </c>
      <c r="I2836">
        <f t="shared" si="442"/>
        <v>0</v>
      </c>
      <c r="J2836">
        <v>78.3</v>
      </c>
      <c r="K2836">
        <v>89.7</v>
      </c>
      <c r="L2836">
        <v>70.5</v>
      </c>
      <c r="M2836">
        <v>80.2</v>
      </c>
      <c r="N2836">
        <v>69.5</v>
      </c>
      <c r="O2836">
        <v>74.900000000000006</v>
      </c>
      <c r="S2836">
        <f t="shared" si="443"/>
        <v>1</v>
      </c>
      <c r="T2836">
        <f t="shared" si="444"/>
        <v>1</v>
      </c>
      <c r="U2836">
        <f t="shared" si="445"/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28.4</v>
      </c>
      <c r="AC2836">
        <v>20</v>
      </c>
      <c r="AG2836">
        <f t="shared" si="446"/>
        <v>1</v>
      </c>
      <c r="AH2836">
        <f t="shared" si="447"/>
        <v>1</v>
      </c>
      <c r="AI2836">
        <f t="shared" si="448"/>
        <v>0</v>
      </c>
      <c r="AJ2836">
        <v>299.3</v>
      </c>
      <c r="AK2836">
        <v>1010.4</v>
      </c>
      <c r="AL2836">
        <v>17.3</v>
      </c>
      <c r="AM2836">
        <v>6.2</v>
      </c>
      <c r="AN2836">
        <v>301</v>
      </c>
      <c r="AO2836">
        <v>26</v>
      </c>
      <c r="AP2836">
        <v>9</v>
      </c>
      <c r="AQ2836">
        <v>0</v>
      </c>
      <c r="AR2836" t="s">
        <v>9757</v>
      </c>
      <c r="AS2836" t="s">
        <v>9758</v>
      </c>
      <c r="AT2836">
        <v>0.4</v>
      </c>
      <c r="AU2836" t="s">
        <v>74</v>
      </c>
      <c r="AV2836" t="s">
        <v>2955</v>
      </c>
      <c r="AW2836" t="s">
        <v>75</v>
      </c>
      <c r="AX2836" s="1">
        <v>0.63541666666666663</v>
      </c>
      <c r="AY2836" s="2">
        <v>45875.635416666657</v>
      </c>
      <c r="AZ2836">
        <v>150.00000000698489</v>
      </c>
      <c r="BA2836">
        <v>0</v>
      </c>
      <c r="BB2836">
        <v>0</v>
      </c>
      <c r="BC2836">
        <v>5</v>
      </c>
      <c r="BD2836">
        <v>0</v>
      </c>
      <c r="BE2836">
        <f t="shared" si="449"/>
        <v>0</v>
      </c>
    </row>
    <row r="2837" spans="1:57" x14ac:dyDescent="0.25">
      <c r="A2837" t="s">
        <v>39</v>
      </c>
      <c r="B2837" t="s">
        <v>9756</v>
      </c>
      <c r="C2837">
        <v>84.2</v>
      </c>
      <c r="D2837">
        <v>70.5</v>
      </c>
      <c r="G2837">
        <f t="shared" si="440"/>
        <v>0</v>
      </c>
      <c r="H2837">
        <f t="shared" si="441"/>
        <v>0</v>
      </c>
      <c r="I2837">
        <f t="shared" si="442"/>
        <v>0</v>
      </c>
      <c r="J2837">
        <v>78.3</v>
      </c>
      <c r="K2837">
        <v>89.7</v>
      </c>
      <c r="L2837">
        <v>70.5</v>
      </c>
      <c r="M2837">
        <v>80.2</v>
      </c>
      <c r="N2837">
        <v>69.5</v>
      </c>
      <c r="O2837">
        <v>74.900000000000006</v>
      </c>
      <c r="S2837">
        <f t="shared" si="443"/>
        <v>1</v>
      </c>
      <c r="T2837">
        <f t="shared" si="444"/>
        <v>1</v>
      </c>
      <c r="U2837">
        <f t="shared" si="445"/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28.4</v>
      </c>
      <c r="AC2837">
        <v>20</v>
      </c>
      <c r="AG2837">
        <f t="shared" si="446"/>
        <v>1</v>
      </c>
      <c r="AH2837">
        <f t="shared" si="447"/>
        <v>1</v>
      </c>
      <c r="AI2837">
        <f t="shared" si="448"/>
        <v>0</v>
      </c>
      <c r="AJ2837">
        <v>299.3</v>
      </c>
      <c r="AK2837">
        <v>1010.4</v>
      </c>
      <c r="AL2837">
        <v>17.3</v>
      </c>
      <c r="AM2837">
        <v>6.2</v>
      </c>
      <c r="AN2837">
        <v>301</v>
      </c>
      <c r="AO2837">
        <v>26</v>
      </c>
      <c r="AP2837">
        <v>9</v>
      </c>
      <c r="AQ2837">
        <v>0</v>
      </c>
      <c r="AR2837" t="s">
        <v>9757</v>
      </c>
      <c r="AS2837" t="s">
        <v>9758</v>
      </c>
      <c r="AT2837">
        <v>0.4</v>
      </c>
      <c r="AU2837" t="s">
        <v>74</v>
      </c>
      <c r="AV2837" t="s">
        <v>2955</v>
      </c>
      <c r="AW2837" t="s">
        <v>75</v>
      </c>
      <c r="AX2837" s="1">
        <v>0.63541666666666663</v>
      </c>
      <c r="AY2837" s="2">
        <v>45875.635416666657</v>
      </c>
      <c r="AZ2837">
        <v>150.00000000698489</v>
      </c>
      <c r="BA2837">
        <v>0</v>
      </c>
      <c r="BB2837">
        <v>0</v>
      </c>
      <c r="BC2837">
        <v>5</v>
      </c>
      <c r="BD2837">
        <v>0</v>
      </c>
      <c r="BE2837">
        <f t="shared" si="449"/>
        <v>0</v>
      </c>
    </row>
    <row r="2838" spans="1:57" x14ac:dyDescent="0.25">
      <c r="A2838" t="s">
        <v>39</v>
      </c>
      <c r="B2838" t="s">
        <v>9759</v>
      </c>
      <c r="C2838">
        <v>84.9</v>
      </c>
      <c r="D2838">
        <v>78.8</v>
      </c>
      <c r="G2838">
        <f t="shared" si="440"/>
        <v>0</v>
      </c>
      <c r="H2838">
        <f t="shared" si="441"/>
        <v>0</v>
      </c>
      <c r="I2838">
        <f t="shared" si="442"/>
        <v>0</v>
      </c>
      <c r="J2838">
        <v>81.599999999999994</v>
      </c>
      <c r="K2838">
        <v>100.9</v>
      </c>
      <c r="L2838">
        <v>78.8</v>
      </c>
      <c r="M2838">
        <v>84.6</v>
      </c>
      <c r="N2838">
        <v>68.2</v>
      </c>
      <c r="O2838">
        <v>64.3</v>
      </c>
      <c r="S2838">
        <f t="shared" si="443"/>
        <v>1</v>
      </c>
      <c r="T2838">
        <f t="shared" si="444"/>
        <v>1</v>
      </c>
      <c r="U2838">
        <f t="shared" si="445"/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36.200000000000003</v>
      </c>
      <c r="AC2838">
        <v>23</v>
      </c>
      <c r="AG2838">
        <f t="shared" si="446"/>
        <v>1</v>
      </c>
      <c r="AH2838">
        <f t="shared" si="447"/>
        <v>1</v>
      </c>
      <c r="AI2838">
        <f t="shared" si="448"/>
        <v>0</v>
      </c>
      <c r="AJ2838">
        <v>293.2</v>
      </c>
      <c r="AK2838">
        <v>1010.3</v>
      </c>
      <c r="AL2838">
        <v>30.6</v>
      </c>
      <c r="AM2838">
        <v>6.2</v>
      </c>
      <c r="AN2838">
        <v>277.3</v>
      </c>
      <c r="AO2838">
        <v>23.8</v>
      </c>
      <c r="AP2838">
        <v>9</v>
      </c>
      <c r="AQ2838">
        <v>0</v>
      </c>
      <c r="AR2838" t="s">
        <v>9760</v>
      </c>
      <c r="AS2838" t="s">
        <v>9761</v>
      </c>
      <c r="AT2838">
        <v>0.44</v>
      </c>
      <c r="AU2838" t="s">
        <v>43</v>
      </c>
      <c r="AV2838" t="s">
        <v>44</v>
      </c>
      <c r="AW2838" t="s">
        <v>45</v>
      </c>
      <c r="AX2838" s="1">
        <v>0.45763888888888887</v>
      </c>
      <c r="AY2838" s="2">
        <v>45876.457638888889</v>
      </c>
      <c r="AZ2838">
        <v>164.0000000002328</v>
      </c>
      <c r="BA2838">
        <v>0</v>
      </c>
      <c r="BB2838">
        <v>0</v>
      </c>
      <c r="BC2838">
        <v>0.1</v>
      </c>
      <c r="BD2838">
        <v>0</v>
      </c>
      <c r="BE2838">
        <f t="shared" si="449"/>
        <v>0</v>
      </c>
    </row>
    <row r="2839" spans="1:57" x14ac:dyDescent="0.25">
      <c r="A2839" t="s">
        <v>39</v>
      </c>
      <c r="B2839" t="s">
        <v>9762</v>
      </c>
      <c r="C2839">
        <v>84.2</v>
      </c>
      <c r="D2839">
        <v>78.8</v>
      </c>
      <c r="G2839">
        <f t="shared" si="440"/>
        <v>0</v>
      </c>
      <c r="H2839">
        <f t="shared" si="441"/>
        <v>0</v>
      </c>
      <c r="I2839">
        <f t="shared" si="442"/>
        <v>0</v>
      </c>
      <c r="J2839">
        <v>82.3</v>
      </c>
      <c r="K2839">
        <v>90.5</v>
      </c>
      <c r="L2839">
        <v>78.8</v>
      </c>
      <c r="M2839">
        <v>85.8</v>
      </c>
      <c r="N2839">
        <v>69.2</v>
      </c>
      <c r="O2839">
        <v>64.8</v>
      </c>
      <c r="S2839">
        <f t="shared" si="443"/>
        <v>1</v>
      </c>
      <c r="T2839">
        <f t="shared" si="444"/>
        <v>1</v>
      </c>
      <c r="U2839">
        <f t="shared" si="445"/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36.200000000000003</v>
      </c>
      <c r="AC2839">
        <v>23</v>
      </c>
      <c r="AG2839">
        <f t="shared" si="446"/>
        <v>1</v>
      </c>
      <c r="AH2839">
        <f t="shared" si="447"/>
        <v>1</v>
      </c>
      <c r="AI2839">
        <f t="shared" si="448"/>
        <v>0</v>
      </c>
      <c r="AJ2839">
        <v>293.7</v>
      </c>
      <c r="AK2839">
        <v>1011.2</v>
      </c>
      <c r="AL2839">
        <v>18.399999999999999</v>
      </c>
      <c r="AM2839">
        <v>6.2</v>
      </c>
      <c r="AN2839">
        <v>280</v>
      </c>
      <c r="AO2839">
        <v>24.2</v>
      </c>
      <c r="AP2839">
        <v>9</v>
      </c>
      <c r="AQ2839">
        <v>0</v>
      </c>
      <c r="AR2839" t="s">
        <v>9763</v>
      </c>
      <c r="AS2839" t="s">
        <v>9764</v>
      </c>
      <c r="AT2839">
        <v>0.47</v>
      </c>
      <c r="AU2839" t="s">
        <v>74</v>
      </c>
      <c r="AV2839" t="s">
        <v>2955</v>
      </c>
      <c r="AW2839" t="s">
        <v>75</v>
      </c>
      <c r="AX2839" s="1">
        <v>0.61597222222222225</v>
      </c>
      <c r="AY2839" s="2">
        <v>45877.615972222222</v>
      </c>
      <c r="AZ2839">
        <v>88.999999996740371</v>
      </c>
      <c r="BA2839">
        <v>0</v>
      </c>
      <c r="BB2839">
        <v>0</v>
      </c>
      <c r="BC2839">
        <v>0.2</v>
      </c>
      <c r="BD2839">
        <v>0</v>
      </c>
      <c r="BE2839">
        <f t="shared" si="449"/>
        <v>0</v>
      </c>
    </row>
    <row r="2840" spans="1:57" x14ac:dyDescent="0.25">
      <c r="A2840" t="s">
        <v>39</v>
      </c>
      <c r="B2840" t="s">
        <v>9765</v>
      </c>
      <c r="C2840">
        <v>86</v>
      </c>
      <c r="D2840">
        <v>77</v>
      </c>
      <c r="G2840">
        <f t="shared" si="440"/>
        <v>1</v>
      </c>
      <c r="H2840">
        <f t="shared" si="441"/>
        <v>1</v>
      </c>
      <c r="I2840">
        <f t="shared" si="442"/>
        <v>0</v>
      </c>
      <c r="J2840">
        <v>81.599999999999994</v>
      </c>
      <c r="K2840">
        <v>89.5</v>
      </c>
      <c r="L2840">
        <v>77</v>
      </c>
      <c r="M2840">
        <v>83.5</v>
      </c>
      <c r="N2840">
        <v>67.099999999999994</v>
      </c>
      <c r="O2840">
        <v>61.8</v>
      </c>
      <c r="S2840">
        <f t="shared" si="443"/>
        <v>1</v>
      </c>
      <c r="T2840">
        <f t="shared" si="444"/>
        <v>1</v>
      </c>
      <c r="U2840">
        <f t="shared" si="445"/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38.5</v>
      </c>
      <c r="AC2840">
        <v>20.8</v>
      </c>
      <c r="AG2840">
        <f t="shared" si="446"/>
        <v>1</v>
      </c>
      <c r="AH2840">
        <f t="shared" si="447"/>
        <v>1</v>
      </c>
      <c r="AI2840">
        <f t="shared" si="448"/>
        <v>0</v>
      </c>
      <c r="AJ2840">
        <v>292.39999999999998</v>
      </c>
      <c r="AK2840">
        <v>1008.7</v>
      </c>
      <c r="AL2840">
        <v>22.3</v>
      </c>
      <c r="AM2840">
        <v>6.2</v>
      </c>
      <c r="AN2840">
        <v>296.5</v>
      </c>
      <c r="AO2840">
        <v>25.4</v>
      </c>
      <c r="AP2840">
        <v>9</v>
      </c>
      <c r="AQ2840">
        <v>0</v>
      </c>
      <c r="AR2840" t="s">
        <v>9766</v>
      </c>
      <c r="AS2840" t="s">
        <v>9767</v>
      </c>
      <c r="AT2840">
        <v>0.28000000000000003</v>
      </c>
      <c r="AU2840" t="s">
        <v>43</v>
      </c>
      <c r="AV2840" t="s">
        <v>44</v>
      </c>
      <c r="AW2840" t="s">
        <v>45</v>
      </c>
      <c r="AX2840" s="1">
        <v>0.60972222222222228</v>
      </c>
      <c r="AY2840" s="2">
        <v>45871.609722222223</v>
      </c>
      <c r="AZ2840">
        <v>8923.0000000004657</v>
      </c>
      <c r="BA2840">
        <v>1</v>
      </c>
      <c r="BB2840">
        <v>12</v>
      </c>
      <c r="BC2840">
        <v>0</v>
      </c>
      <c r="BD2840">
        <v>0</v>
      </c>
      <c r="BE2840">
        <f t="shared" si="449"/>
        <v>1</v>
      </c>
    </row>
    <row r="2841" spans="1:57" x14ac:dyDescent="0.25">
      <c r="A2841" t="s">
        <v>39</v>
      </c>
      <c r="B2841" t="s">
        <v>9768</v>
      </c>
      <c r="C2841">
        <v>84.2</v>
      </c>
      <c r="D2841">
        <v>78.8</v>
      </c>
      <c r="G2841">
        <f t="shared" si="440"/>
        <v>0</v>
      </c>
      <c r="H2841">
        <f t="shared" si="441"/>
        <v>0</v>
      </c>
      <c r="I2841">
        <f t="shared" si="442"/>
        <v>0</v>
      </c>
      <c r="J2841">
        <v>81.900000000000006</v>
      </c>
      <c r="K2841">
        <v>88.5</v>
      </c>
      <c r="L2841">
        <v>78.8</v>
      </c>
      <c r="M2841">
        <v>85.3</v>
      </c>
      <c r="N2841">
        <v>69.7</v>
      </c>
      <c r="O2841">
        <v>66.900000000000006</v>
      </c>
      <c r="S2841">
        <f t="shared" si="443"/>
        <v>1</v>
      </c>
      <c r="T2841">
        <f t="shared" si="444"/>
        <v>1</v>
      </c>
      <c r="U2841">
        <f t="shared" si="445"/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27.7</v>
      </c>
      <c r="AC2841">
        <v>24.5</v>
      </c>
      <c r="AG2841">
        <f t="shared" si="446"/>
        <v>1</v>
      </c>
      <c r="AH2841">
        <f t="shared" si="447"/>
        <v>1</v>
      </c>
      <c r="AI2841">
        <f t="shared" si="448"/>
        <v>0</v>
      </c>
      <c r="AJ2841">
        <v>296.60000000000002</v>
      </c>
      <c r="AK2841">
        <v>1012.7</v>
      </c>
      <c r="AL2841">
        <v>15</v>
      </c>
      <c r="AM2841">
        <v>6.2</v>
      </c>
      <c r="AN2841">
        <v>290.89999999999998</v>
      </c>
      <c r="AO2841">
        <v>25.3</v>
      </c>
      <c r="AP2841">
        <v>9</v>
      </c>
      <c r="AQ2841">
        <v>0</v>
      </c>
      <c r="AR2841" t="s">
        <v>9769</v>
      </c>
      <c r="AS2841" t="s">
        <v>9770</v>
      </c>
      <c r="AT2841">
        <v>0.5</v>
      </c>
      <c r="AU2841" t="s">
        <v>74</v>
      </c>
      <c r="AV2841" t="s">
        <v>2955</v>
      </c>
      <c r="AW2841" t="s">
        <v>75</v>
      </c>
      <c r="AX2841" s="1">
        <v>0.74652777777777779</v>
      </c>
      <c r="AY2841" s="2">
        <v>45878.746527777781</v>
      </c>
      <c r="AZ2841">
        <v>3829.9999999953429</v>
      </c>
      <c r="BA2841">
        <v>1</v>
      </c>
      <c r="BB2841">
        <v>0</v>
      </c>
      <c r="BC2841">
        <v>17</v>
      </c>
      <c r="BD2841">
        <v>0</v>
      </c>
      <c r="BE2841">
        <f t="shared" si="449"/>
        <v>1</v>
      </c>
    </row>
    <row r="2842" spans="1:57" x14ac:dyDescent="0.25">
      <c r="A2842" t="s">
        <v>39</v>
      </c>
      <c r="B2842" t="s">
        <v>9759</v>
      </c>
      <c r="C2842">
        <v>84.9</v>
      </c>
      <c r="D2842">
        <v>78.8</v>
      </c>
      <c r="G2842">
        <f t="shared" si="440"/>
        <v>0</v>
      </c>
      <c r="H2842">
        <f t="shared" si="441"/>
        <v>0</v>
      </c>
      <c r="I2842">
        <f t="shared" si="442"/>
        <v>0</v>
      </c>
      <c r="J2842">
        <v>81.599999999999994</v>
      </c>
      <c r="K2842">
        <v>100.9</v>
      </c>
      <c r="L2842">
        <v>78.8</v>
      </c>
      <c r="M2842">
        <v>84.6</v>
      </c>
      <c r="N2842">
        <v>68.2</v>
      </c>
      <c r="O2842">
        <v>64.3</v>
      </c>
      <c r="S2842">
        <f t="shared" si="443"/>
        <v>1</v>
      </c>
      <c r="T2842">
        <f t="shared" si="444"/>
        <v>1</v>
      </c>
      <c r="U2842">
        <f t="shared" si="445"/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36.200000000000003</v>
      </c>
      <c r="AC2842">
        <v>23</v>
      </c>
      <c r="AG2842">
        <f t="shared" si="446"/>
        <v>1</v>
      </c>
      <c r="AH2842">
        <f t="shared" si="447"/>
        <v>1</v>
      </c>
      <c r="AI2842">
        <f t="shared" si="448"/>
        <v>0</v>
      </c>
      <c r="AJ2842">
        <v>293.2</v>
      </c>
      <c r="AK2842">
        <v>1010.3</v>
      </c>
      <c r="AL2842">
        <v>30.6</v>
      </c>
      <c r="AM2842">
        <v>6.2</v>
      </c>
      <c r="AN2842">
        <v>277.3</v>
      </c>
      <c r="AO2842">
        <v>23.8</v>
      </c>
      <c r="AP2842">
        <v>9</v>
      </c>
      <c r="AQ2842">
        <v>0</v>
      </c>
      <c r="AR2842" t="s">
        <v>9760</v>
      </c>
      <c r="AS2842" t="s">
        <v>9761</v>
      </c>
      <c r="AT2842">
        <v>0.44</v>
      </c>
      <c r="AU2842" t="s">
        <v>43</v>
      </c>
      <c r="AV2842" t="s">
        <v>44</v>
      </c>
      <c r="AW2842" t="s">
        <v>45</v>
      </c>
      <c r="AX2842" s="1">
        <v>0.84166666666666667</v>
      </c>
      <c r="AY2842" s="2">
        <v>45876.841666666667</v>
      </c>
      <c r="AZ2842">
        <v>4250.0000000023283</v>
      </c>
      <c r="BA2842">
        <v>1</v>
      </c>
      <c r="BB2842">
        <v>0</v>
      </c>
      <c r="BC2842">
        <v>10</v>
      </c>
      <c r="BD2842">
        <v>0</v>
      </c>
      <c r="BE2842">
        <f t="shared" si="449"/>
        <v>1</v>
      </c>
    </row>
    <row r="2843" spans="1:57" x14ac:dyDescent="0.25">
      <c r="A2843" t="s">
        <v>39</v>
      </c>
      <c r="B2843" t="s">
        <v>9771</v>
      </c>
      <c r="C2843">
        <v>86</v>
      </c>
      <c r="D2843">
        <v>71.599999999999994</v>
      </c>
      <c r="G2843">
        <f t="shared" si="440"/>
        <v>1</v>
      </c>
      <c r="H2843">
        <f t="shared" si="441"/>
        <v>1</v>
      </c>
      <c r="I2843">
        <f t="shared" si="442"/>
        <v>0</v>
      </c>
      <c r="J2843">
        <v>78.599999999999994</v>
      </c>
      <c r="K2843">
        <v>89.2</v>
      </c>
      <c r="L2843">
        <v>71.599999999999994</v>
      </c>
      <c r="M2843">
        <v>80.3</v>
      </c>
      <c r="N2843">
        <v>65.099999999999994</v>
      </c>
      <c r="O2843">
        <v>64</v>
      </c>
      <c r="S2843">
        <f t="shared" si="443"/>
        <v>1</v>
      </c>
      <c r="T2843">
        <f t="shared" si="444"/>
        <v>1</v>
      </c>
      <c r="U2843">
        <f t="shared" si="445"/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29.5</v>
      </c>
      <c r="AC2843">
        <v>15.7</v>
      </c>
      <c r="AG2843">
        <f t="shared" si="446"/>
        <v>1</v>
      </c>
      <c r="AH2843">
        <f t="shared" si="447"/>
        <v>0</v>
      </c>
      <c r="AI2843">
        <f t="shared" si="448"/>
        <v>1</v>
      </c>
      <c r="AJ2843">
        <v>285.39999999999998</v>
      </c>
      <c r="AK2843">
        <v>1011.4</v>
      </c>
      <c r="AL2843">
        <v>1.7</v>
      </c>
      <c r="AM2843">
        <v>6.2</v>
      </c>
      <c r="AN2843">
        <v>296.5</v>
      </c>
      <c r="AO2843">
        <v>25.5</v>
      </c>
      <c r="AP2843">
        <v>9</v>
      </c>
      <c r="AQ2843">
        <v>0</v>
      </c>
      <c r="AR2843" t="s">
        <v>9772</v>
      </c>
      <c r="AS2843" t="s">
        <v>9773</v>
      </c>
      <c r="AT2843">
        <v>0.93</v>
      </c>
      <c r="AU2843" t="s">
        <v>74</v>
      </c>
      <c r="AV2843" t="s">
        <v>2955</v>
      </c>
      <c r="AW2843" t="s">
        <v>75</v>
      </c>
      <c r="AX2843" s="1">
        <v>0.54305555555555551</v>
      </c>
      <c r="AY2843" s="2">
        <v>45890.543055555558</v>
      </c>
      <c r="AZ2843">
        <v>331.99999999254942</v>
      </c>
      <c r="BA2843">
        <v>0</v>
      </c>
      <c r="BB2843">
        <v>0</v>
      </c>
      <c r="BC2843">
        <v>1</v>
      </c>
      <c r="BD2843">
        <v>0</v>
      </c>
      <c r="BE2843">
        <f t="shared" si="449"/>
        <v>1</v>
      </c>
    </row>
    <row r="2844" spans="1:57" x14ac:dyDescent="0.25">
      <c r="A2844" t="s">
        <v>39</v>
      </c>
      <c r="B2844" t="s">
        <v>9774</v>
      </c>
      <c r="C2844">
        <v>84.2</v>
      </c>
      <c r="D2844">
        <v>78.8</v>
      </c>
      <c r="G2844">
        <f t="shared" si="440"/>
        <v>0</v>
      </c>
      <c r="H2844">
        <f t="shared" si="441"/>
        <v>0</v>
      </c>
      <c r="I2844">
        <f t="shared" si="442"/>
        <v>0</v>
      </c>
      <c r="J2844">
        <v>80.599999999999994</v>
      </c>
      <c r="K2844">
        <v>86.6</v>
      </c>
      <c r="L2844">
        <v>78.8</v>
      </c>
      <c r="M2844">
        <v>81.5</v>
      </c>
      <c r="N2844">
        <v>64.099999999999994</v>
      </c>
      <c r="O2844">
        <v>57.4</v>
      </c>
      <c r="S2844">
        <f t="shared" si="443"/>
        <v>1</v>
      </c>
      <c r="T2844">
        <f t="shared" si="444"/>
        <v>0</v>
      </c>
      <c r="U2844">
        <f t="shared" si="445"/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34.200000000000003</v>
      </c>
      <c r="AC2844">
        <v>21.5</v>
      </c>
      <c r="AG2844">
        <f t="shared" si="446"/>
        <v>1</v>
      </c>
      <c r="AH2844">
        <f t="shared" si="447"/>
        <v>1</v>
      </c>
      <c r="AI2844">
        <f t="shared" si="448"/>
        <v>0</v>
      </c>
      <c r="AJ2844">
        <v>290.7</v>
      </c>
      <c r="AK2844">
        <v>1009.9</v>
      </c>
      <c r="AL2844">
        <v>23.1</v>
      </c>
      <c r="AM2844">
        <v>6.2</v>
      </c>
      <c r="AN2844">
        <v>295.60000000000002</v>
      </c>
      <c r="AO2844">
        <v>25.7</v>
      </c>
      <c r="AP2844">
        <v>9</v>
      </c>
      <c r="AQ2844">
        <v>0</v>
      </c>
      <c r="AR2844" t="s">
        <v>9775</v>
      </c>
      <c r="AS2844" t="s">
        <v>9776</v>
      </c>
      <c r="AT2844">
        <v>0.75</v>
      </c>
      <c r="AU2844" t="s">
        <v>43</v>
      </c>
      <c r="AV2844" t="s">
        <v>80</v>
      </c>
      <c r="AW2844" t="s">
        <v>45</v>
      </c>
      <c r="AX2844" s="1">
        <v>0.67638888888888893</v>
      </c>
      <c r="AY2844" s="2">
        <v>45885.676388888889</v>
      </c>
      <c r="AZ2844">
        <v>390.00000000349252</v>
      </c>
      <c r="BA2844">
        <v>1</v>
      </c>
      <c r="BB2844">
        <v>6</v>
      </c>
      <c r="BC2844">
        <v>0</v>
      </c>
      <c r="BD2844">
        <v>0</v>
      </c>
      <c r="BE2844">
        <f t="shared" si="449"/>
        <v>1</v>
      </c>
    </row>
    <row r="2845" spans="1:57" x14ac:dyDescent="0.25">
      <c r="A2845" t="s">
        <v>39</v>
      </c>
      <c r="B2845" t="s">
        <v>9777</v>
      </c>
      <c r="C2845">
        <v>84.2</v>
      </c>
      <c r="D2845">
        <v>75.2</v>
      </c>
      <c r="G2845">
        <f t="shared" si="440"/>
        <v>1</v>
      </c>
      <c r="H2845">
        <f t="shared" si="441"/>
        <v>1</v>
      </c>
      <c r="I2845">
        <f t="shared" si="442"/>
        <v>0</v>
      </c>
      <c r="J2845">
        <v>80.400000000000006</v>
      </c>
      <c r="K2845">
        <v>88.4</v>
      </c>
      <c r="L2845">
        <v>75.2</v>
      </c>
      <c r="M2845">
        <v>81.599999999999994</v>
      </c>
      <c r="N2845">
        <v>66.099999999999994</v>
      </c>
      <c r="O2845">
        <v>62</v>
      </c>
      <c r="S2845">
        <f t="shared" si="443"/>
        <v>1</v>
      </c>
      <c r="T2845">
        <f t="shared" si="444"/>
        <v>0</v>
      </c>
      <c r="U2845">
        <f t="shared" si="445"/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30.9</v>
      </c>
      <c r="AC2845">
        <v>18.3</v>
      </c>
      <c r="AG2845">
        <f t="shared" si="446"/>
        <v>1</v>
      </c>
      <c r="AH2845">
        <f t="shared" si="447"/>
        <v>1</v>
      </c>
      <c r="AI2845">
        <f t="shared" si="448"/>
        <v>0</v>
      </c>
      <c r="AJ2845">
        <v>300.7</v>
      </c>
      <c r="AK2845">
        <v>1014.1</v>
      </c>
      <c r="AL2845">
        <v>29.8</v>
      </c>
      <c r="AM2845">
        <v>6.2</v>
      </c>
      <c r="AN2845">
        <v>258</v>
      </c>
      <c r="AO2845">
        <v>22.3</v>
      </c>
      <c r="AP2845">
        <v>8</v>
      </c>
      <c r="AQ2845">
        <v>0</v>
      </c>
      <c r="AR2845" t="s">
        <v>9778</v>
      </c>
      <c r="AS2845" t="s">
        <v>9779</v>
      </c>
      <c r="AT2845">
        <v>0.46</v>
      </c>
      <c r="AU2845" t="s">
        <v>43</v>
      </c>
      <c r="AV2845" t="s">
        <v>44</v>
      </c>
      <c r="AW2845" t="s">
        <v>45</v>
      </c>
      <c r="AX2845" s="1">
        <v>0.49444444444444452</v>
      </c>
      <c r="AY2845" s="2">
        <v>45906.494444444441</v>
      </c>
      <c r="AZ2845">
        <v>4496.0000000079162</v>
      </c>
      <c r="BA2845">
        <v>1</v>
      </c>
      <c r="BB2845">
        <v>0</v>
      </c>
      <c r="BC2845">
        <v>5</v>
      </c>
      <c r="BD2845">
        <v>0</v>
      </c>
      <c r="BE2845">
        <f t="shared" si="449"/>
        <v>1</v>
      </c>
    </row>
    <row r="2846" spans="1:57" x14ac:dyDescent="0.25">
      <c r="A2846" t="s">
        <v>39</v>
      </c>
      <c r="B2846" t="s">
        <v>9780</v>
      </c>
      <c r="C2846">
        <v>82.4</v>
      </c>
      <c r="D2846">
        <v>75.099999999999994</v>
      </c>
      <c r="G2846">
        <f t="shared" si="440"/>
        <v>1</v>
      </c>
      <c r="H2846">
        <f t="shared" si="441"/>
        <v>1</v>
      </c>
      <c r="I2846">
        <f t="shared" si="442"/>
        <v>0</v>
      </c>
      <c r="J2846">
        <v>78.3</v>
      </c>
      <c r="K2846">
        <v>84</v>
      </c>
      <c r="L2846">
        <v>75.099999999999994</v>
      </c>
      <c r="M2846">
        <v>78.8</v>
      </c>
      <c r="N2846">
        <v>62.2</v>
      </c>
      <c r="O2846">
        <v>58</v>
      </c>
      <c r="S2846">
        <f t="shared" si="443"/>
        <v>1</v>
      </c>
      <c r="T2846">
        <f t="shared" si="444"/>
        <v>0</v>
      </c>
      <c r="U2846">
        <f t="shared" si="445"/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32</v>
      </c>
      <c r="AC2846">
        <v>19.7</v>
      </c>
      <c r="AG2846">
        <f t="shared" si="446"/>
        <v>1</v>
      </c>
      <c r="AH2846">
        <f t="shared" si="447"/>
        <v>1</v>
      </c>
      <c r="AI2846">
        <f t="shared" si="448"/>
        <v>0</v>
      </c>
      <c r="AJ2846">
        <v>301.89999999999998</v>
      </c>
      <c r="AK2846">
        <v>1013.8</v>
      </c>
      <c r="AL2846">
        <v>25</v>
      </c>
      <c r="AM2846">
        <v>6.2</v>
      </c>
      <c r="AN2846">
        <v>262.8</v>
      </c>
      <c r="AO2846">
        <v>22.6</v>
      </c>
      <c r="AP2846">
        <v>8</v>
      </c>
      <c r="AQ2846">
        <v>0</v>
      </c>
      <c r="AR2846" t="s">
        <v>9781</v>
      </c>
      <c r="AS2846" t="s">
        <v>9782</v>
      </c>
      <c r="AT2846">
        <v>0.56000000000000005</v>
      </c>
      <c r="AU2846" t="s">
        <v>43</v>
      </c>
      <c r="AV2846" t="s">
        <v>44</v>
      </c>
      <c r="AW2846" t="s">
        <v>45</v>
      </c>
      <c r="AX2846" s="1">
        <v>0.59930555555555554</v>
      </c>
      <c r="AY2846" s="2">
        <v>45909.599305555559</v>
      </c>
      <c r="AZ2846">
        <v>1815.9999999997669</v>
      </c>
      <c r="BA2846">
        <v>1</v>
      </c>
      <c r="BB2846">
        <v>2</v>
      </c>
      <c r="BC2846">
        <v>0</v>
      </c>
      <c r="BD2846">
        <v>0</v>
      </c>
      <c r="BE2846">
        <f t="shared" si="449"/>
        <v>1</v>
      </c>
    </row>
    <row r="2847" spans="1:57" x14ac:dyDescent="0.25">
      <c r="A2847" t="s">
        <v>39</v>
      </c>
      <c r="B2847" t="s">
        <v>9783</v>
      </c>
      <c r="C2847">
        <v>87.8</v>
      </c>
      <c r="D2847">
        <v>69.8</v>
      </c>
      <c r="G2847">
        <f t="shared" si="440"/>
        <v>1</v>
      </c>
      <c r="H2847">
        <f t="shared" si="441"/>
        <v>1</v>
      </c>
      <c r="I2847">
        <f t="shared" si="442"/>
        <v>0</v>
      </c>
      <c r="J2847">
        <v>78.8</v>
      </c>
      <c r="K2847">
        <v>87.4</v>
      </c>
      <c r="L2847">
        <v>69.8</v>
      </c>
      <c r="M2847">
        <v>79</v>
      </c>
      <c r="N2847">
        <v>58.5</v>
      </c>
      <c r="O2847">
        <v>51</v>
      </c>
      <c r="S2847">
        <f t="shared" si="443"/>
        <v>1</v>
      </c>
      <c r="T2847">
        <f t="shared" si="444"/>
        <v>0</v>
      </c>
      <c r="U2847">
        <f t="shared" si="445"/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23.5</v>
      </c>
      <c r="AC2847">
        <v>9.1999999999999993</v>
      </c>
      <c r="AG2847">
        <f t="shared" si="446"/>
        <v>1</v>
      </c>
      <c r="AH2847">
        <f t="shared" si="447"/>
        <v>0</v>
      </c>
      <c r="AI2847">
        <f t="shared" si="448"/>
        <v>1</v>
      </c>
      <c r="AJ2847">
        <v>189.9</v>
      </c>
      <c r="AK2847">
        <v>1013.9</v>
      </c>
      <c r="AL2847">
        <v>0</v>
      </c>
      <c r="AM2847">
        <v>6.2</v>
      </c>
      <c r="AN2847">
        <v>258.89999999999998</v>
      </c>
      <c r="AO2847">
        <v>22.5</v>
      </c>
      <c r="AP2847">
        <v>8</v>
      </c>
      <c r="AQ2847">
        <v>0</v>
      </c>
      <c r="AR2847" t="s">
        <v>9784</v>
      </c>
      <c r="AS2847" t="s">
        <v>9785</v>
      </c>
      <c r="AT2847">
        <v>0.66</v>
      </c>
      <c r="AU2847" t="s">
        <v>74</v>
      </c>
      <c r="AV2847" t="s">
        <v>2955</v>
      </c>
      <c r="AW2847" t="s">
        <v>75</v>
      </c>
      <c r="AX2847" s="1">
        <v>0.64375000000000004</v>
      </c>
      <c r="AY2847" s="2">
        <v>45912.643750000003</v>
      </c>
      <c r="AZ2847">
        <v>83.999999990919605</v>
      </c>
      <c r="BA2847">
        <v>0</v>
      </c>
      <c r="BB2847">
        <v>0</v>
      </c>
      <c r="BC2847">
        <v>3.0000000000000001E-3</v>
      </c>
      <c r="BD2847">
        <v>0</v>
      </c>
      <c r="BE2847">
        <f t="shared" si="449"/>
        <v>1</v>
      </c>
    </row>
    <row r="2848" spans="1:57" x14ac:dyDescent="0.25">
      <c r="A2848" t="s">
        <v>39</v>
      </c>
      <c r="B2848" t="s">
        <v>9786</v>
      </c>
      <c r="C2848">
        <v>84.2</v>
      </c>
      <c r="D2848">
        <v>66.2</v>
      </c>
      <c r="G2848">
        <f t="shared" si="440"/>
        <v>1</v>
      </c>
      <c r="H2848">
        <f t="shared" si="441"/>
        <v>1</v>
      </c>
      <c r="I2848">
        <f t="shared" si="442"/>
        <v>0</v>
      </c>
      <c r="J2848">
        <v>77</v>
      </c>
      <c r="K2848">
        <v>84.5</v>
      </c>
      <c r="L2848">
        <v>66.2</v>
      </c>
      <c r="M2848">
        <v>77.099999999999994</v>
      </c>
      <c r="N2848">
        <v>61.1</v>
      </c>
      <c r="O2848">
        <v>59.6</v>
      </c>
      <c r="S2848">
        <f t="shared" si="443"/>
        <v>1</v>
      </c>
      <c r="T2848">
        <f t="shared" si="444"/>
        <v>0</v>
      </c>
      <c r="U2848">
        <f t="shared" si="445"/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22.6</v>
      </c>
      <c r="AC2848">
        <v>13.9</v>
      </c>
      <c r="AG2848">
        <f t="shared" si="446"/>
        <v>1</v>
      </c>
      <c r="AH2848">
        <f t="shared" si="447"/>
        <v>0</v>
      </c>
      <c r="AI2848">
        <f t="shared" si="448"/>
        <v>1</v>
      </c>
      <c r="AJ2848">
        <v>308.8</v>
      </c>
      <c r="AK2848">
        <v>1013.3</v>
      </c>
      <c r="AL2848">
        <v>7.3</v>
      </c>
      <c r="AM2848">
        <v>6.2</v>
      </c>
      <c r="AN2848">
        <v>258</v>
      </c>
      <c r="AO2848">
        <v>22.3</v>
      </c>
      <c r="AP2848">
        <v>9</v>
      </c>
      <c r="AQ2848">
        <v>0</v>
      </c>
      <c r="AR2848" t="s">
        <v>9787</v>
      </c>
      <c r="AS2848" t="s">
        <v>9788</v>
      </c>
      <c r="AT2848">
        <v>0.84</v>
      </c>
      <c r="AU2848" t="s">
        <v>74</v>
      </c>
      <c r="AV2848" t="s">
        <v>2955</v>
      </c>
      <c r="AW2848" t="s">
        <v>75</v>
      </c>
      <c r="AX2848" s="1">
        <v>0.58680555555555558</v>
      </c>
      <c r="AY2848" s="2">
        <v>45917.586805555547</v>
      </c>
      <c r="AZ2848">
        <v>432.9999999969732</v>
      </c>
      <c r="BA2848">
        <v>1</v>
      </c>
      <c r="BB2848">
        <v>0.04</v>
      </c>
      <c r="BC2848">
        <v>0</v>
      </c>
      <c r="BD2848">
        <v>0</v>
      </c>
      <c r="BE2848">
        <f t="shared" si="449"/>
        <v>1</v>
      </c>
    </row>
    <row r="2849" spans="1:57" x14ac:dyDescent="0.25">
      <c r="A2849" t="s">
        <v>39</v>
      </c>
      <c r="B2849" t="s">
        <v>9789</v>
      </c>
      <c r="C2849">
        <v>78.8</v>
      </c>
      <c r="D2849">
        <v>71.599999999999994</v>
      </c>
      <c r="G2849">
        <f t="shared" si="440"/>
        <v>0</v>
      </c>
      <c r="H2849">
        <f t="shared" si="441"/>
        <v>0</v>
      </c>
      <c r="I2849">
        <f t="shared" si="442"/>
        <v>0</v>
      </c>
      <c r="J2849">
        <v>74.3</v>
      </c>
      <c r="K2849">
        <v>78.8</v>
      </c>
      <c r="L2849">
        <v>71.599999999999994</v>
      </c>
      <c r="M2849">
        <v>74.3</v>
      </c>
      <c r="N2849">
        <v>62.4</v>
      </c>
      <c r="O2849">
        <v>66.599999999999994</v>
      </c>
      <c r="S2849">
        <f t="shared" si="443"/>
        <v>0</v>
      </c>
      <c r="T2849">
        <f t="shared" si="444"/>
        <v>0</v>
      </c>
      <c r="U2849">
        <f t="shared" si="445"/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22.4</v>
      </c>
      <c r="AC2849">
        <v>18.3</v>
      </c>
      <c r="AG2849">
        <f t="shared" si="446"/>
        <v>1</v>
      </c>
      <c r="AH2849">
        <f t="shared" si="447"/>
        <v>1</v>
      </c>
      <c r="AI2849">
        <f t="shared" si="448"/>
        <v>0</v>
      </c>
      <c r="AJ2849">
        <v>308.39999999999998</v>
      </c>
      <c r="AK2849">
        <v>1016.5</v>
      </c>
      <c r="AL2849">
        <v>24</v>
      </c>
      <c r="AM2849">
        <v>6.2</v>
      </c>
      <c r="AN2849">
        <v>241.2</v>
      </c>
      <c r="AO2849">
        <v>20.6</v>
      </c>
      <c r="AP2849">
        <v>8</v>
      </c>
      <c r="AQ2849">
        <v>0</v>
      </c>
      <c r="AR2849" t="s">
        <v>9790</v>
      </c>
      <c r="AS2849" t="s">
        <v>9791</v>
      </c>
      <c r="AT2849">
        <v>0</v>
      </c>
      <c r="AU2849" t="s">
        <v>43</v>
      </c>
      <c r="AV2849" t="s">
        <v>44</v>
      </c>
      <c r="AW2849" t="s">
        <v>45</v>
      </c>
      <c r="AX2849" s="1">
        <v>0.3527777777777778</v>
      </c>
      <c r="AY2849" s="2">
        <v>45921.352777777778</v>
      </c>
      <c r="AZ2849">
        <v>5863.0000000004657</v>
      </c>
      <c r="BA2849">
        <v>1</v>
      </c>
      <c r="BB2849">
        <v>0</v>
      </c>
      <c r="BC2849">
        <v>2</v>
      </c>
      <c r="BD2849">
        <v>0</v>
      </c>
      <c r="BE2849">
        <f t="shared" si="449"/>
        <v>0</v>
      </c>
    </row>
    <row r="2850" spans="1:57" x14ac:dyDescent="0.25">
      <c r="A2850" t="s">
        <v>39</v>
      </c>
      <c r="B2850" t="s">
        <v>9792</v>
      </c>
      <c r="C2850">
        <v>78.8</v>
      </c>
      <c r="D2850">
        <v>71.599999999999994</v>
      </c>
      <c r="G2850">
        <f t="shared" si="440"/>
        <v>0</v>
      </c>
      <c r="H2850">
        <f t="shared" si="441"/>
        <v>0</v>
      </c>
      <c r="I2850">
        <f t="shared" si="442"/>
        <v>0</v>
      </c>
      <c r="J2850">
        <v>74.2</v>
      </c>
      <c r="K2850">
        <v>78.8</v>
      </c>
      <c r="L2850">
        <v>71.599999999999994</v>
      </c>
      <c r="M2850">
        <v>74.2</v>
      </c>
      <c r="N2850">
        <v>56.2</v>
      </c>
      <c r="O2850">
        <v>54.2</v>
      </c>
      <c r="S2850">
        <f t="shared" si="443"/>
        <v>1</v>
      </c>
      <c r="T2850">
        <f t="shared" si="444"/>
        <v>0</v>
      </c>
      <c r="U2850">
        <f t="shared" si="445"/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42.1</v>
      </c>
      <c r="AC2850">
        <v>24.2</v>
      </c>
      <c r="AG2850">
        <f t="shared" si="446"/>
        <v>1</v>
      </c>
      <c r="AH2850">
        <f t="shared" si="447"/>
        <v>1</v>
      </c>
      <c r="AI2850">
        <f t="shared" si="448"/>
        <v>0</v>
      </c>
      <c r="AJ2850">
        <v>331.5</v>
      </c>
      <c r="AK2850">
        <v>1019.9</v>
      </c>
      <c r="AL2850">
        <v>36.4</v>
      </c>
      <c r="AM2850">
        <v>6.2</v>
      </c>
      <c r="AN2850">
        <v>247.7</v>
      </c>
      <c r="AO2850">
        <v>21.3</v>
      </c>
      <c r="AP2850">
        <v>8</v>
      </c>
      <c r="AQ2850">
        <v>0</v>
      </c>
      <c r="AR2850" t="s">
        <v>9793</v>
      </c>
      <c r="AS2850" t="s">
        <v>9794</v>
      </c>
      <c r="AT2850">
        <v>0.91</v>
      </c>
      <c r="AU2850" t="s">
        <v>43</v>
      </c>
      <c r="AV2850" t="s">
        <v>44</v>
      </c>
      <c r="AW2850" t="s">
        <v>45</v>
      </c>
      <c r="AX2850" s="1">
        <v>0.71458333333333335</v>
      </c>
      <c r="AY2850" s="2">
        <v>45919.714583333327</v>
      </c>
      <c r="AZ2850">
        <v>4002.9999999934812</v>
      </c>
      <c r="BA2850">
        <v>1</v>
      </c>
      <c r="BB2850">
        <v>0</v>
      </c>
      <c r="BC2850">
        <v>5</v>
      </c>
      <c r="BD2850">
        <v>0</v>
      </c>
      <c r="BE2850">
        <f t="shared" si="449"/>
        <v>1</v>
      </c>
    </row>
    <row r="2851" spans="1:57" x14ac:dyDescent="0.25">
      <c r="A2851" t="s">
        <v>39</v>
      </c>
      <c r="B2851" t="s">
        <v>9795</v>
      </c>
      <c r="C2851">
        <v>84.2</v>
      </c>
      <c r="D2851">
        <v>69.8</v>
      </c>
      <c r="G2851">
        <f t="shared" si="440"/>
        <v>1</v>
      </c>
      <c r="H2851">
        <f t="shared" si="441"/>
        <v>1</v>
      </c>
      <c r="I2851">
        <f t="shared" si="442"/>
        <v>0</v>
      </c>
      <c r="J2851">
        <v>76.099999999999994</v>
      </c>
      <c r="K2851">
        <v>85.7</v>
      </c>
      <c r="L2851">
        <v>69.8</v>
      </c>
      <c r="M2851">
        <v>76.7</v>
      </c>
      <c r="N2851">
        <v>64.8</v>
      </c>
      <c r="O2851">
        <v>69.099999999999994</v>
      </c>
      <c r="S2851">
        <f t="shared" si="443"/>
        <v>1</v>
      </c>
      <c r="T2851">
        <f t="shared" si="444"/>
        <v>1</v>
      </c>
      <c r="U2851">
        <f t="shared" si="445"/>
        <v>0</v>
      </c>
      <c r="V2851">
        <v>4.0000000000000001E-3</v>
      </c>
      <c r="W2851">
        <v>100</v>
      </c>
      <c r="X2851">
        <v>4.17</v>
      </c>
      <c r="Y2851" t="s">
        <v>103</v>
      </c>
      <c r="Z2851">
        <v>0</v>
      </c>
      <c r="AA2851">
        <v>0</v>
      </c>
      <c r="AB2851">
        <v>30.9</v>
      </c>
      <c r="AC2851">
        <v>25.3</v>
      </c>
      <c r="AG2851">
        <f t="shared" si="446"/>
        <v>1</v>
      </c>
      <c r="AH2851">
        <f t="shared" si="447"/>
        <v>1</v>
      </c>
      <c r="AI2851">
        <f t="shared" si="448"/>
        <v>0</v>
      </c>
      <c r="AJ2851">
        <v>270.3</v>
      </c>
      <c r="AK2851">
        <v>1013.1</v>
      </c>
      <c r="AL2851">
        <v>53.6</v>
      </c>
      <c r="AM2851">
        <v>6.2</v>
      </c>
      <c r="AN2851">
        <v>188.8</v>
      </c>
      <c r="AO2851">
        <v>16.399999999999999</v>
      </c>
      <c r="AP2851">
        <v>7</v>
      </c>
      <c r="AQ2851">
        <v>0</v>
      </c>
      <c r="AR2851" t="s">
        <v>9796</v>
      </c>
      <c r="AS2851" t="s">
        <v>9797</v>
      </c>
      <c r="AT2851">
        <v>0.25</v>
      </c>
      <c r="AU2851" t="s">
        <v>106</v>
      </c>
      <c r="AV2851" t="s">
        <v>438</v>
      </c>
      <c r="AW2851" t="s">
        <v>103</v>
      </c>
      <c r="AX2851" s="1">
        <v>0.58194444444444449</v>
      </c>
      <c r="AY2851" s="2">
        <v>45929.581944444442</v>
      </c>
      <c r="AZ2851">
        <v>211.00000000675209</v>
      </c>
      <c r="BA2851">
        <v>0</v>
      </c>
      <c r="BB2851">
        <v>0</v>
      </c>
      <c r="BC2851">
        <v>1</v>
      </c>
      <c r="BD2851">
        <v>0</v>
      </c>
      <c r="BE2851">
        <f t="shared" si="449"/>
        <v>1</v>
      </c>
    </row>
    <row r="2852" spans="1:57" x14ac:dyDescent="0.25">
      <c r="A2852" t="s">
        <v>39</v>
      </c>
      <c r="B2852" t="s">
        <v>9798</v>
      </c>
      <c r="C2852">
        <v>80.599999999999994</v>
      </c>
      <c r="D2852">
        <v>75.2</v>
      </c>
      <c r="G2852">
        <f t="shared" si="440"/>
        <v>0</v>
      </c>
      <c r="H2852">
        <f t="shared" si="441"/>
        <v>0</v>
      </c>
      <c r="I2852">
        <f t="shared" si="442"/>
        <v>0</v>
      </c>
      <c r="J2852">
        <v>77.8</v>
      </c>
      <c r="K2852">
        <v>82.3</v>
      </c>
      <c r="L2852">
        <v>75.2</v>
      </c>
      <c r="M2852">
        <v>78.3</v>
      </c>
      <c r="N2852">
        <v>64</v>
      </c>
      <c r="O2852">
        <v>63.1</v>
      </c>
      <c r="S2852">
        <f t="shared" si="443"/>
        <v>1</v>
      </c>
      <c r="T2852">
        <f t="shared" si="444"/>
        <v>0</v>
      </c>
      <c r="U2852">
        <f t="shared" si="445"/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34</v>
      </c>
      <c r="AC2852">
        <v>19.7</v>
      </c>
      <c r="AG2852">
        <f t="shared" si="446"/>
        <v>1</v>
      </c>
      <c r="AH2852">
        <f t="shared" si="447"/>
        <v>1</v>
      </c>
      <c r="AI2852">
        <f t="shared" si="448"/>
        <v>0</v>
      </c>
      <c r="AJ2852">
        <v>306.89999999999998</v>
      </c>
      <c r="AK2852">
        <v>1015.8</v>
      </c>
      <c r="AL2852">
        <v>27.1</v>
      </c>
      <c r="AM2852">
        <v>6.2</v>
      </c>
      <c r="AN2852">
        <v>244.3</v>
      </c>
      <c r="AO2852">
        <v>21</v>
      </c>
      <c r="AP2852">
        <v>8</v>
      </c>
      <c r="AQ2852">
        <v>0</v>
      </c>
      <c r="AR2852" t="s">
        <v>9799</v>
      </c>
      <c r="AS2852" t="s">
        <v>9800</v>
      </c>
      <c r="AT2852">
        <v>0.81</v>
      </c>
      <c r="AU2852" t="s">
        <v>43</v>
      </c>
      <c r="AV2852" t="s">
        <v>44</v>
      </c>
      <c r="AW2852" t="s">
        <v>45</v>
      </c>
      <c r="AX2852" s="1">
        <v>0.72291666666666665</v>
      </c>
      <c r="AY2852" s="2">
        <v>45916.722916666673</v>
      </c>
      <c r="AZ2852">
        <v>248.00000000162979</v>
      </c>
      <c r="BA2852">
        <v>0</v>
      </c>
      <c r="BB2852">
        <v>0</v>
      </c>
      <c r="BC2852">
        <v>1E-3</v>
      </c>
      <c r="BD2852">
        <v>0</v>
      </c>
      <c r="BE2852">
        <f t="shared" si="449"/>
        <v>0</v>
      </c>
    </row>
    <row r="2853" spans="1:57" x14ac:dyDescent="0.25">
      <c r="A2853" t="s">
        <v>39</v>
      </c>
      <c r="B2853" t="s">
        <v>9795</v>
      </c>
      <c r="C2853">
        <v>84.2</v>
      </c>
      <c r="D2853">
        <v>69.8</v>
      </c>
      <c r="G2853">
        <f t="shared" si="440"/>
        <v>1</v>
      </c>
      <c r="H2853">
        <f t="shared" si="441"/>
        <v>1</v>
      </c>
      <c r="I2853">
        <f t="shared" si="442"/>
        <v>0</v>
      </c>
      <c r="J2853">
        <v>76.099999999999994</v>
      </c>
      <c r="K2853">
        <v>85.7</v>
      </c>
      <c r="L2853">
        <v>69.8</v>
      </c>
      <c r="M2853">
        <v>76.7</v>
      </c>
      <c r="N2853">
        <v>64.8</v>
      </c>
      <c r="O2853">
        <v>69.099999999999994</v>
      </c>
      <c r="S2853">
        <f t="shared" si="443"/>
        <v>1</v>
      </c>
      <c r="T2853">
        <f t="shared" si="444"/>
        <v>1</v>
      </c>
      <c r="U2853">
        <f t="shared" si="445"/>
        <v>0</v>
      </c>
      <c r="V2853">
        <v>4.0000000000000001E-3</v>
      </c>
      <c r="W2853">
        <v>100</v>
      </c>
      <c r="X2853">
        <v>4.17</v>
      </c>
      <c r="Y2853" t="s">
        <v>103</v>
      </c>
      <c r="Z2853">
        <v>0</v>
      </c>
      <c r="AA2853">
        <v>0</v>
      </c>
      <c r="AB2853">
        <v>30.9</v>
      </c>
      <c r="AC2853">
        <v>25.3</v>
      </c>
      <c r="AG2853">
        <f t="shared" si="446"/>
        <v>1</v>
      </c>
      <c r="AH2853">
        <f t="shared" si="447"/>
        <v>1</v>
      </c>
      <c r="AI2853">
        <f t="shared" si="448"/>
        <v>0</v>
      </c>
      <c r="AJ2853">
        <v>270.3</v>
      </c>
      <c r="AK2853">
        <v>1013.1</v>
      </c>
      <c r="AL2853">
        <v>53.6</v>
      </c>
      <c r="AM2853">
        <v>6.2</v>
      </c>
      <c r="AN2853">
        <v>188.8</v>
      </c>
      <c r="AO2853">
        <v>16.399999999999999</v>
      </c>
      <c r="AP2853">
        <v>7</v>
      </c>
      <c r="AQ2853">
        <v>0</v>
      </c>
      <c r="AR2853" t="s">
        <v>9796</v>
      </c>
      <c r="AS2853" t="s">
        <v>9797</v>
      </c>
      <c r="AT2853">
        <v>0.25</v>
      </c>
      <c r="AU2853" t="s">
        <v>106</v>
      </c>
      <c r="AV2853" t="s">
        <v>438</v>
      </c>
      <c r="AW2853" t="s">
        <v>103</v>
      </c>
      <c r="AX2853" s="1">
        <v>0.23333333333333331</v>
      </c>
      <c r="AY2853" s="2">
        <v>45929.23333333333</v>
      </c>
      <c r="AZ2853">
        <v>870.99999999976717</v>
      </c>
      <c r="BA2853">
        <v>1</v>
      </c>
      <c r="BB2853">
        <v>0</v>
      </c>
      <c r="BC2853">
        <v>1</v>
      </c>
      <c r="BD2853">
        <v>0</v>
      </c>
      <c r="BE2853">
        <f t="shared" si="449"/>
        <v>1</v>
      </c>
    </row>
    <row r="2854" spans="1:57" x14ac:dyDescent="0.25">
      <c r="A2854" t="s">
        <v>39</v>
      </c>
      <c r="B2854" t="s">
        <v>9801</v>
      </c>
      <c r="C2854">
        <v>84.2</v>
      </c>
      <c r="D2854">
        <v>60.8</v>
      </c>
      <c r="G2854">
        <f t="shared" si="440"/>
        <v>1</v>
      </c>
      <c r="H2854">
        <f t="shared" si="441"/>
        <v>1</v>
      </c>
      <c r="I2854">
        <f t="shared" si="442"/>
        <v>0</v>
      </c>
      <c r="J2854">
        <v>71.900000000000006</v>
      </c>
      <c r="K2854">
        <v>82.7</v>
      </c>
      <c r="L2854">
        <v>60.8</v>
      </c>
      <c r="M2854">
        <v>71.8</v>
      </c>
      <c r="N2854">
        <v>56.1</v>
      </c>
      <c r="O2854">
        <v>59.2</v>
      </c>
      <c r="S2854">
        <f t="shared" si="443"/>
        <v>1</v>
      </c>
      <c r="T2854">
        <f t="shared" si="444"/>
        <v>0</v>
      </c>
      <c r="U2854">
        <f t="shared" si="445"/>
        <v>1</v>
      </c>
      <c r="V2854">
        <v>2.8000000000000001E-2</v>
      </c>
      <c r="W2854">
        <v>100</v>
      </c>
      <c r="X2854">
        <v>8.33</v>
      </c>
      <c r="Y2854" t="s">
        <v>103</v>
      </c>
      <c r="Z2854">
        <v>0</v>
      </c>
      <c r="AA2854">
        <v>0</v>
      </c>
      <c r="AB2854">
        <v>25.3</v>
      </c>
      <c r="AC2854">
        <v>23</v>
      </c>
      <c r="AG2854">
        <f t="shared" si="446"/>
        <v>1</v>
      </c>
      <c r="AH2854">
        <f t="shared" si="447"/>
        <v>1</v>
      </c>
      <c r="AI2854">
        <f t="shared" si="448"/>
        <v>0</v>
      </c>
      <c r="AJ2854">
        <v>185.1</v>
      </c>
      <c r="AK2854">
        <v>1010.1</v>
      </c>
      <c r="AL2854">
        <v>30.5</v>
      </c>
      <c r="AM2854">
        <v>6.2</v>
      </c>
      <c r="AN2854">
        <v>203.7</v>
      </c>
      <c r="AO2854">
        <v>17.5</v>
      </c>
      <c r="AP2854">
        <v>7</v>
      </c>
      <c r="AQ2854">
        <v>0</v>
      </c>
      <c r="AR2854" t="s">
        <v>9802</v>
      </c>
      <c r="AS2854" t="s">
        <v>9803</v>
      </c>
      <c r="AT2854">
        <v>0.34</v>
      </c>
      <c r="AU2854" t="s">
        <v>106</v>
      </c>
      <c r="AV2854" t="s">
        <v>1180</v>
      </c>
      <c r="AW2854" t="s">
        <v>103</v>
      </c>
      <c r="AX2854" s="1">
        <v>0.60347222222222219</v>
      </c>
      <c r="AY2854" s="2">
        <v>45932.603472222218</v>
      </c>
      <c r="AZ2854">
        <v>2915.9999999916181</v>
      </c>
      <c r="BA2854">
        <v>1</v>
      </c>
      <c r="BB2854">
        <v>0</v>
      </c>
      <c r="BC2854">
        <v>0.5</v>
      </c>
      <c r="BD2854">
        <v>0</v>
      </c>
      <c r="BE2854">
        <f t="shared" si="449"/>
        <v>1</v>
      </c>
    </row>
    <row r="2855" spans="1:57" x14ac:dyDescent="0.25">
      <c r="A2855" t="s">
        <v>39</v>
      </c>
      <c r="B2855" t="s">
        <v>9804</v>
      </c>
      <c r="C2855">
        <v>84.2</v>
      </c>
      <c r="D2855">
        <v>71.599999999999994</v>
      </c>
      <c r="G2855">
        <f t="shared" si="440"/>
        <v>0</v>
      </c>
      <c r="H2855">
        <f t="shared" si="441"/>
        <v>0</v>
      </c>
      <c r="I2855">
        <f t="shared" si="442"/>
        <v>0</v>
      </c>
      <c r="J2855">
        <v>77.7</v>
      </c>
      <c r="K2855">
        <v>87.4</v>
      </c>
      <c r="L2855">
        <v>71.599999999999994</v>
      </c>
      <c r="M2855">
        <v>78.5</v>
      </c>
      <c r="N2855">
        <v>66.099999999999994</v>
      </c>
      <c r="O2855">
        <v>68.2</v>
      </c>
      <c r="S2855">
        <f t="shared" si="443"/>
        <v>1</v>
      </c>
      <c r="T2855">
        <f t="shared" si="444"/>
        <v>1</v>
      </c>
      <c r="U2855">
        <f t="shared" si="445"/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22.6</v>
      </c>
      <c r="AC2855">
        <v>16.100000000000001</v>
      </c>
      <c r="AG2855">
        <f t="shared" si="446"/>
        <v>0</v>
      </c>
      <c r="AH2855">
        <f t="shared" si="447"/>
        <v>0</v>
      </c>
      <c r="AI2855">
        <f t="shared" si="448"/>
        <v>0</v>
      </c>
      <c r="AJ2855">
        <v>313.3</v>
      </c>
      <c r="AK2855">
        <v>1012.4</v>
      </c>
      <c r="AL2855">
        <v>15.6</v>
      </c>
      <c r="AM2855">
        <v>6.2</v>
      </c>
      <c r="AN2855">
        <v>276.60000000000002</v>
      </c>
      <c r="AO2855">
        <v>23.8</v>
      </c>
      <c r="AP2855">
        <v>9</v>
      </c>
      <c r="AQ2855">
        <v>0</v>
      </c>
      <c r="AR2855" t="s">
        <v>9805</v>
      </c>
      <c r="AS2855" t="s">
        <v>9806</v>
      </c>
      <c r="AT2855">
        <v>0.2</v>
      </c>
      <c r="AU2855" t="s">
        <v>74</v>
      </c>
      <c r="AV2855" t="s">
        <v>2955</v>
      </c>
      <c r="AW2855" t="s">
        <v>75</v>
      </c>
      <c r="AX2855" s="1">
        <v>0.52916666666666667</v>
      </c>
      <c r="AY2855" s="2">
        <v>45898.529166666667</v>
      </c>
      <c r="AZ2855">
        <v>1161.000000002095</v>
      </c>
      <c r="BA2855">
        <v>1</v>
      </c>
      <c r="BB2855">
        <v>0</v>
      </c>
      <c r="BC2855">
        <v>7</v>
      </c>
      <c r="BD2855">
        <v>0</v>
      </c>
      <c r="BE2855">
        <f t="shared" si="449"/>
        <v>0</v>
      </c>
    </row>
    <row r="2856" spans="1:57" x14ac:dyDescent="0.25">
      <c r="A2856" t="s">
        <v>39</v>
      </c>
      <c r="B2856" t="s">
        <v>9807</v>
      </c>
      <c r="C2856">
        <v>89.6</v>
      </c>
      <c r="D2856">
        <v>77</v>
      </c>
      <c r="G2856">
        <f t="shared" si="440"/>
        <v>1</v>
      </c>
      <c r="H2856">
        <f t="shared" si="441"/>
        <v>1</v>
      </c>
      <c r="I2856">
        <f t="shared" si="442"/>
        <v>0</v>
      </c>
      <c r="J2856">
        <v>83.8</v>
      </c>
      <c r="K2856">
        <v>91.5</v>
      </c>
      <c r="L2856">
        <v>77</v>
      </c>
      <c r="M2856">
        <v>85.1</v>
      </c>
      <c r="N2856">
        <v>61.5</v>
      </c>
      <c r="O2856">
        <v>47.8</v>
      </c>
      <c r="S2856">
        <f t="shared" si="443"/>
        <v>1</v>
      </c>
      <c r="T2856">
        <f t="shared" si="444"/>
        <v>0</v>
      </c>
      <c r="U2856">
        <f t="shared" si="445"/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26.2</v>
      </c>
      <c r="AC2856">
        <v>26</v>
      </c>
      <c r="AG2856">
        <f t="shared" si="446"/>
        <v>1</v>
      </c>
      <c r="AH2856">
        <f t="shared" si="447"/>
        <v>1</v>
      </c>
      <c r="AI2856">
        <f t="shared" si="448"/>
        <v>0</v>
      </c>
      <c r="AJ2856">
        <v>297.5</v>
      </c>
      <c r="AK2856">
        <v>1003.1</v>
      </c>
      <c r="AL2856">
        <v>0</v>
      </c>
      <c r="AM2856">
        <v>6.2</v>
      </c>
      <c r="AN2856">
        <v>332.3</v>
      </c>
      <c r="AO2856">
        <v>28.5</v>
      </c>
      <c r="AP2856">
        <v>10</v>
      </c>
      <c r="AQ2856">
        <v>0</v>
      </c>
      <c r="AR2856" t="s">
        <v>9808</v>
      </c>
      <c r="AS2856" t="s">
        <v>9809</v>
      </c>
      <c r="AT2856">
        <v>0.12</v>
      </c>
      <c r="AU2856" t="s">
        <v>74</v>
      </c>
      <c r="AV2856" t="s">
        <v>2955</v>
      </c>
      <c r="AW2856" t="s">
        <v>75</v>
      </c>
      <c r="AX2856" s="1">
        <v>0.39166666666666672</v>
      </c>
      <c r="AY2856" s="2">
        <v>45866.39166666667</v>
      </c>
      <c r="AZ2856">
        <v>135.99999999278231</v>
      </c>
      <c r="BA2856">
        <v>0</v>
      </c>
      <c r="BB2856">
        <v>0</v>
      </c>
      <c r="BC2856">
        <v>0.01</v>
      </c>
      <c r="BD2856">
        <v>0</v>
      </c>
      <c r="BE2856">
        <f t="shared" si="449"/>
        <v>1</v>
      </c>
    </row>
    <row r="2857" spans="1:57" x14ac:dyDescent="0.25">
      <c r="A2857" t="s">
        <v>39</v>
      </c>
      <c r="B2857" t="s">
        <v>9810</v>
      </c>
      <c r="C2857">
        <v>77</v>
      </c>
      <c r="D2857">
        <v>62.6</v>
      </c>
      <c r="G2857">
        <f t="shared" si="440"/>
        <v>1</v>
      </c>
      <c r="H2857">
        <f t="shared" si="441"/>
        <v>1</v>
      </c>
      <c r="I2857">
        <f t="shared" si="442"/>
        <v>0</v>
      </c>
      <c r="J2857">
        <v>68.8</v>
      </c>
      <c r="K2857">
        <v>77</v>
      </c>
      <c r="L2857">
        <v>62.6</v>
      </c>
      <c r="M2857">
        <v>68.8</v>
      </c>
      <c r="N2857">
        <v>59.2</v>
      </c>
      <c r="O2857">
        <v>72.3</v>
      </c>
      <c r="S2857">
        <f t="shared" si="443"/>
        <v>1</v>
      </c>
      <c r="T2857">
        <f t="shared" si="444"/>
        <v>1</v>
      </c>
      <c r="U2857">
        <f t="shared" si="445"/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17</v>
      </c>
      <c r="AC2857">
        <v>6.9</v>
      </c>
      <c r="AG2857">
        <f t="shared" si="446"/>
        <v>1</v>
      </c>
      <c r="AH2857">
        <f t="shared" si="447"/>
        <v>0</v>
      </c>
      <c r="AI2857">
        <f t="shared" si="448"/>
        <v>1</v>
      </c>
      <c r="AJ2857">
        <v>158.5</v>
      </c>
      <c r="AK2857">
        <v>1015.7</v>
      </c>
      <c r="AL2857">
        <v>25</v>
      </c>
      <c r="AM2857">
        <v>6.2</v>
      </c>
      <c r="AN2857">
        <v>206.9</v>
      </c>
      <c r="AO2857">
        <v>17.7</v>
      </c>
      <c r="AP2857">
        <v>7</v>
      </c>
      <c r="AQ2857">
        <v>0</v>
      </c>
      <c r="AR2857" t="s">
        <v>9811</v>
      </c>
      <c r="AS2857" t="s">
        <v>9812</v>
      </c>
      <c r="AT2857">
        <v>0.31</v>
      </c>
      <c r="AU2857" t="s">
        <v>43</v>
      </c>
      <c r="AV2857" t="s">
        <v>44</v>
      </c>
      <c r="AW2857" t="s">
        <v>45</v>
      </c>
      <c r="AX2857" s="1">
        <v>0.81527777777777777</v>
      </c>
      <c r="AY2857" s="2">
        <v>45931.81527777778</v>
      </c>
      <c r="AZ2857">
        <v>2444.999999996508</v>
      </c>
      <c r="BA2857">
        <v>1</v>
      </c>
      <c r="BB2857">
        <v>0</v>
      </c>
      <c r="BC2857">
        <v>2</v>
      </c>
      <c r="BD2857">
        <v>0</v>
      </c>
      <c r="BE2857">
        <f t="shared" si="449"/>
        <v>1</v>
      </c>
    </row>
    <row r="2858" spans="1:57" x14ac:dyDescent="0.25">
      <c r="A2858" t="s">
        <v>39</v>
      </c>
      <c r="B2858" t="s">
        <v>9813</v>
      </c>
      <c r="C2858">
        <v>71.599999999999994</v>
      </c>
      <c r="D2858">
        <v>66.2</v>
      </c>
      <c r="G2858">
        <f t="shared" si="440"/>
        <v>1</v>
      </c>
      <c r="H2858">
        <f t="shared" si="441"/>
        <v>0</v>
      </c>
      <c r="I2858">
        <f t="shared" si="442"/>
        <v>1</v>
      </c>
      <c r="J2858">
        <v>69.099999999999994</v>
      </c>
      <c r="K2858">
        <v>71.599999999999994</v>
      </c>
      <c r="L2858">
        <v>66.2</v>
      </c>
      <c r="M2858">
        <v>69.099999999999994</v>
      </c>
      <c r="N2858">
        <v>52.5</v>
      </c>
      <c r="O2858">
        <v>56.2</v>
      </c>
      <c r="S2858">
        <f t="shared" si="443"/>
        <v>1</v>
      </c>
      <c r="T2858">
        <f t="shared" si="444"/>
        <v>0</v>
      </c>
      <c r="U2858">
        <f t="shared" si="445"/>
        <v>1</v>
      </c>
      <c r="V2858">
        <v>0.02</v>
      </c>
      <c r="W2858">
        <v>100</v>
      </c>
      <c r="X2858">
        <v>16.670000000000002</v>
      </c>
      <c r="Y2858" t="s">
        <v>103</v>
      </c>
      <c r="Z2858">
        <v>0</v>
      </c>
      <c r="AA2858">
        <v>0</v>
      </c>
      <c r="AB2858">
        <v>35.299999999999997</v>
      </c>
      <c r="AC2858">
        <v>19.7</v>
      </c>
      <c r="AG2858">
        <f t="shared" si="446"/>
        <v>1</v>
      </c>
      <c r="AH2858">
        <f t="shared" si="447"/>
        <v>1</v>
      </c>
      <c r="AI2858">
        <f t="shared" si="448"/>
        <v>0</v>
      </c>
      <c r="AJ2858">
        <v>330.8</v>
      </c>
      <c r="AK2858">
        <v>1021.1</v>
      </c>
      <c r="AL2858">
        <v>40.799999999999997</v>
      </c>
      <c r="AM2858">
        <v>6.2</v>
      </c>
      <c r="AN2858">
        <v>199.8</v>
      </c>
      <c r="AO2858">
        <v>17.3</v>
      </c>
      <c r="AP2858">
        <v>7</v>
      </c>
      <c r="AQ2858">
        <v>0</v>
      </c>
      <c r="AR2858" t="s">
        <v>9814</v>
      </c>
      <c r="AS2858" t="s">
        <v>9815</v>
      </c>
      <c r="AT2858">
        <v>0.68</v>
      </c>
      <c r="AU2858" t="s">
        <v>106</v>
      </c>
      <c r="AV2858" t="s">
        <v>433</v>
      </c>
      <c r="AW2858" t="s">
        <v>103</v>
      </c>
      <c r="AX2858" s="1">
        <v>0.53611111111111109</v>
      </c>
      <c r="AY2858" s="2">
        <v>45942.536111111112</v>
      </c>
      <c r="AZ2858">
        <v>148.00000000046569</v>
      </c>
      <c r="BA2858">
        <v>0</v>
      </c>
      <c r="BB2858">
        <v>0</v>
      </c>
      <c r="BC2858">
        <v>3</v>
      </c>
      <c r="BD2858">
        <v>0</v>
      </c>
      <c r="BE2858">
        <f t="shared" si="449"/>
        <v>1</v>
      </c>
    </row>
    <row r="2859" spans="1:57" x14ac:dyDescent="0.25">
      <c r="A2859" t="s">
        <v>39</v>
      </c>
      <c r="B2859" t="s">
        <v>9816</v>
      </c>
      <c r="C2859">
        <v>82.4</v>
      </c>
      <c r="D2859">
        <v>68</v>
      </c>
      <c r="G2859">
        <f t="shared" si="440"/>
        <v>1</v>
      </c>
      <c r="H2859">
        <f t="shared" si="441"/>
        <v>1</v>
      </c>
      <c r="I2859">
        <f t="shared" si="442"/>
        <v>0</v>
      </c>
      <c r="J2859">
        <v>76.900000000000006</v>
      </c>
      <c r="K2859">
        <v>86.3</v>
      </c>
      <c r="L2859">
        <v>68</v>
      </c>
      <c r="M2859">
        <v>77.900000000000006</v>
      </c>
      <c r="N2859">
        <v>64.3</v>
      </c>
      <c r="O2859">
        <v>65.400000000000006</v>
      </c>
      <c r="S2859">
        <f t="shared" si="443"/>
        <v>1</v>
      </c>
      <c r="T2859">
        <f t="shared" si="444"/>
        <v>1</v>
      </c>
      <c r="U2859">
        <f t="shared" si="445"/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27.1</v>
      </c>
      <c r="AC2859">
        <v>20.8</v>
      </c>
      <c r="AG2859">
        <f t="shared" si="446"/>
        <v>1</v>
      </c>
      <c r="AH2859">
        <f t="shared" si="447"/>
        <v>1</v>
      </c>
      <c r="AI2859">
        <f t="shared" si="448"/>
        <v>0</v>
      </c>
      <c r="AJ2859">
        <v>296.8</v>
      </c>
      <c r="AK2859">
        <v>1012.1</v>
      </c>
      <c r="AL2859">
        <v>0</v>
      </c>
      <c r="AM2859">
        <v>6.2</v>
      </c>
      <c r="AN2859">
        <v>342.9</v>
      </c>
      <c r="AO2859">
        <v>29.5</v>
      </c>
      <c r="AP2859">
        <v>10</v>
      </c>
      <c r="AQ2859">
        <v>0</v>
      </c>
      <c r="AR2859" t="s">
        <v>9817</v>
      </c>
      <c r="AS2859" t="s">
        <v>9818</v>
      </c>
      <c r="AT2859">
        <v>0.47</v>
      </c>
      <c r="AU2859" t="s">
        <v>74</v>
      </c>
      <c r="AV2859" t="s">
        <v>2955</v>
      </c>
      <c r="AW2859" t="s">
        <v>75</v>
      </c>
      <c r="AX2859" s="1">
        <v>0.75694444444444442</v>
      </c>
      <c r="AY2859" s="2">
        <v>45818.756944444453</v>
      </c>
      <c r="AZ2859">
        <v>1614.000000001397</v>
      </c>
      <c r="BA2859">
        <v>1</v>
      </c>
      <c r="BB2859">
        <v>0</v>
      </c>
      <c r="BC2859">
        <v>0.2</v>
      </c>
      <c r="BD2859">
        <v>0</v>
      </c>
      <c r="BE2859">
        <f t="shared" si="449"/>
        <v>1</v>
      </c>
    </row>
    <row r="2860" spans="1:57" x14ac:dyDescent="0.25">
      <c r="A2860" t="s">
        <v>39</v>
      </c>
      <c r="B2860" t="s">
        <v>9819</v>
      </c>
      <c r="C2860">
        <v>86</v>
      </c>
      <c r="D2860">
        <v>75.2</v>
      </c>
      <c r="G2860">
        <f t="shared" si="440"/>
        <v>1</v>
      </c>
      <c r="H2860">
        <f t="shared" si="441"/>
        <v>1</v>
      </c>
      <c r="I2860">
        <f t="shared" si="442"/>
        <v>0</v>
      </c>
      <c r="J2860">
        <v>80.2</v>
      </c>
      <c r="K2860">
        <v>91.9</v>
      </c>
      <c r="L2860">
        <v>75.2</v>
      </c>
      <c r="M2860">
        <v>82.1</v>
      </c>
      <c r="N2860">
        <v>65.3</v>
      </c>
      <c r="O2860">
        <v>61</v>
      </c>
      <c r="S2860">
        <f t="shared" si="443"/>
        <v>0</v>
      </c>
      <c r="T2860">
        <f t="shared" si="444"/>
        <v>0</v>
      </c>
      <c r="U2860">
        <f t="shared" si="445"/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26.2</v>
      </c>
      <c r="AC2860">
        <v>14.6</v>
      </c>
      <c r="AG2860">
        <f t="shared" si="446"/>
        <v>1</v>
      </c>
      <c r="AH2860">
        <f t="shared" si="447"/>
        <v>0</v>
      </c>
      <c r="AI2860">
        <f t="shared" si="448"/>
        <v>1</v>
      </c>
      <c r="AJ2860">
        <v>297.8</v>
      </c>
      <c r="AK2860">
        <v>1009.3</v>
      </c>
      <c r="AL2860">
        <v>12.2</v>
      </c>
      <c r="AM2860">
        <v>6.2</v>
      </c>
      <c r="AN2860">
        <v>300.2</v>
      </c>
      <c r="AO2860">
        <v>25.9</v>
      </c>
      <c r="AP2860">
        <v>9</v>
      </c>
      <c r="AQ2860">
        <v>0</v>
      </c>
      <c r="AR2860" t="s">
        <v>9820</v>
      </c>
      <c r="AS2860" t="s">
        <v>9821</v>
      </c>
      <c r="AT2860">
        <v>0.79</v>
      </c>
      <c r="AU2860" t="s">
        <v>74</v>
      </c>
      <c r="AV2860" t="s">
        <v>2955</v>
      </c>
      <c r="AW2860" t="s">
        <v>75</v>
      </c>
      <c r="AX2860" s="1">
        <v>0.39097222222222222</v>
      </c>
      <c r="AY2860" s="2">
        <v>45886.390972222223</v>
      </c>
      <c r="AZ2860">
        <v>1341.999999994878</v>
      </c>
      <c r="BA2860">
        <v>1</v>
      </c>
      <c r="BB2860">
        <v>0</v>
      </c>
      <c r="BC2860">
        <v>5</v>
      </c>
      <c r="BD2860">
        <v>0</v>
      </c>
      <c r="BE2860">
        <f t="shared" si="449"/>
        <v>1</v>
      </c>
    </row>
    <row r="2861" spans="1:57" x14ac:dyDescent="0.25">
      <c r="A2861" t="s">
        <v>39</v>
      </c>
      <c r="B2861" t="s">
        <v>9822</v>
      </c>
      <c r="C2861">
        <v>84.2</v>
      </c>
      <c r="D2861">
        <v>71.599999999999994</v>
      </c>
      <c r="G2861">
        <f t="shared" si="440"/>
        <v>1</v>
      </c>
      <c r="H2861">
        <f t="shared" si="441"/>
        <v>1</v>
      </c>
      <c r="I2861">
        <f t="shared" si="442"/>
        <v>0</v>
      </c>
      <c r="J2861">
        <v>79</v>
      </c>
      <c r="K2861">
        <v>88.4</v>
      </c>
      <c r="L2861">
        <v>71.599999999999994</v>
      </c>
      <c r="M2861">
        <v>80.400000000000006</v>
      </c>
      <c r="N2861">
        <v>65.2</v>
      </c>
      <c r="O2861">
        <v>63.2</v>
      </c>
      <c r="S2861">
        <f t="shared" si="443"/>
        <v>1</v>
      </c>
      <c r="T2861">
        <f t="shared" si="444"/>
        <v>0</v>
      </c>
      <c r="U2861">
        <f t="shared" si="445"/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26.4</v>
      </c>
      <c r="AC2861">
        <v>16.100000000000001</v>
      </c>
      <c r="AG2861">
        <f t="shared" si="446"/>
        <v>0</v>
      </c>
      <c r="AH2861">
        <f t="shared" si="447"/>
        <v>0</v>
      </c>
      <c r="AI2861">
        <f t="shared" si="448"/>
        <v>0</v>
      </c>
      <c r="AJ2861">
        <v>316.10000000000002</v>
      </c>
      <c r="AK2861">
        <v>1015.5</v>
      </c>
      <c r="AL2861">
        <v>6.2</v>
      </c>
      <c r="AM2861">
        <v>6.2</v>
      </c>
      <c r="AN2861">
        <v>265.5</v>
      </c>
      <c r="AO2861">
        <v>22.6</v>
      </c>
      <c r="AP2861">
        <v>9</v>
      </c>
      <c r="AQ2861">
        <v>0</v>
      </c>
      <c r="AR2861" t="s">
        <v>9823</v>
      </c>
      <c r="AS2861" t="s">
        <v>9824</v>
      </c>
      <c r="AT2861">
        <v>0.59</v>
      </c>
      <c r="AU2861" t="s">
        <v>74</v>
      </c>
      <c r="AV2861" t="s">
        <v>2955</v>
      </c>
      <c r="AW2861" t="s">
        <v>75</v>
      </c>
      <c r="AX2861" s="1">
        <v>0.41805555555555562</v>
      </c>
      <c r="AY2861" s="2">
        <v>45910.418055555558</v>
      </c>
      <c r="AZ2861">
        <v>29.000000000232831</v>
      </c>
      <c r="BA2861">
        <v>0</v>
      </c>
      <c r="BB2861">
        <v>1E-3</v>
      </c>
      <c r="BC2861">
        <v>0</v>
      </c>
      <c r="BD2861">
        <v>0</v>
      </c>
      <c r="BE2861">
        <f t="shared" si="449"/>
        <v>0</v>
      </c>
    </row>
    <row r="2862" spans="1:57" x14ac:dyDescent="0.25">
      <c r="A2862" t="s">
        <v>39</v>
      </c>
      <c r="B2862" t="s">
        <v>9825</v>
      </c>
      <c r="C2862">
        <v>80.599999999999994</v>
      </c>
      <c r="D2862">
        <v>59</v>
      </c>
      <c r="G2862">
        <f t="shared" si="440"/>
        <v>1</v>
      </c>
      <c r="H2862">
        <f t="shared" si="441"/>
        <v>1</v>
      </c>
      <c r="I2862">
        <f t="shared" si="442"/>
        <v>0</v>
      </c>
      <c r="J2862">
        <v>67.8</v>
      </c>
      <c r="K2862">
        <v>81.099999999999994</v>
      </c>
      <c r="L2862">
        <v>59</v>
      </c>
      <c r="M2862">
        <v>67.8</v>
      </c>
      <c r="N2862">
        <v>56.8</v>
      </c>
      <c r="O2862">
        <v>69.599999999999994</v>
      </c>
      <c r="S2862">
        <f t="shared" si="443"/>
        <v>1</v>
      </c>
      <c r="T2862">
        <f t="shared" si="444"/>
        <v>1</v>
      </c>
      <c r="U2862">
        <f t="shared" si="445"/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32.200000000000003</v>
      </c>
      <c r="AC2862">
        <v>20.8</v>
      </c>
      <c r="AG2862">
        <f t="shared" si="446"/>
        <v>1</v>
      </c>
      <c r="AH2862">
        <f t="shared" si="447"/>
        <v>1</v>
      </c>
      <c r="AI2862">
        <f t="shared" si="448"/>
        <v>0</v>
      </c>
      <c r="AJ2862">
        <v>163.4</v>
      </c>
      <c r="AK2862">
        <v>1018.8</v>
      </c>
      <c r="AL2862">
        <v>23.4</v>
      </c>
      <c r="AM2862">
        <v>6.2</v>
      </c>
      <c r="AN2862">
        <v>185.5</v>
      </c>
      <c r="AO2862">
        <v>15.9</v>
      </c>
      <c r="AP2862">
        <v>7</v>
      </c>
      <c r="AQ2862">
        <v>0</v>
      </c>
      <c r="AR2862" t="s">
        <v>9826</v>
      </c>
      <c r="AS2862" t="s">
        <v>9827</v>
      </c>
      <c r="AT2862">
        <v>0.86</v>
      </c>
      <c r="AU2862" t="s">
        <v>43</v>
      </c>
      <c r="AV2862" t="s">
        <v>44</v>
      </c>
      <c r="AW2862" t="s">
        <v>45</v>
      </c>
      <c r="AX2862" s="1">
        <v>0.43541666666666667</v>
      </c>
      <c r="AY2862" s="2">
        <v>45947.435416666667</v>
      </c>
      <c r="AZ2862">
        <v>155.99999999511061</v>
      </c>
      <c r="BA2862">
        <v>0</v>
      </c>
      <c r="BB2862">
        <v>0</v>
      </c>
      <c r="BC2862">
        <v>8</v>
      </c>
      <c r="BD2862">
        <v>0</v>
      </c>
      <c r="BE2862">
        <f t="shared" si="449"/>
        <v>1</v>
      </c>
    </row>
    <row r="2863" spans="1:57" x14ac:dyDescent="0.25">
      <c r="A2863" t="s">
        <v>39</v>
      </c>
      <c r="B2863" t="s">
        <v>9828</v>
      </c>
      <c r="C2863">
        <v>75.2</v>
      </c>
      <c r="D2863">
        <v>68</v>
      </c>
      <c r="G2863">
        <f t="shared" si="440"/>
        <v>0</v>
      </c>
      <c r="H2863">
        <f t="shared" si="441"/>
        <v>0</v>
      </c>
      <c r="I2863">
        <f t="shared" si="442"/>
        <v>0</v>
      </c>
      <c r="J2863">
        <v>72.599999999999994</v>
      </c>
      <c r="K2863">
        <v>75.2</v>
      </c>
      <c r="L2863">
        <v>68</v>
      </c>
      <c r="M2863">
        <v>72.599999999999994</v>
      </c>
      <c r="N2863">
        <v>58</v>
      </c>
      <c r="O2863">
        <v>60.7</v>
      </c>
      <c r="S2863">
        <f t="shared" si="443"/>
        <v>1</v>
      </c>
      <c r="T2863">
        <f t="shared" si="444"/>
        <v>0</v>
      </c>
      <c r="U2863">
        <f t="shared" si="445"/>
        <v>1</v>
      </c>
      <c r="V2863">
        <v>0.104</v>
      </c>
      <c r="W2863">
        <v>100</v>
      </c>
      <c r="X2863">
        <v>45.83</v>
      </c>
      <c r="Y2863" t="s">
        <v>103</v>
      </c>
      <c r="Z2863">
        <v>0</v>
      </c>
      <c r="AA2863">
        <v>0</v>
      </c>
      <c r="AB2863">
        <v>34.4</v>
      </c>
      <c r="AC2863">
        <v>27.7</v>
      </c>
      <c r="AG2863">
        <f t="shared" si="446"/>
        <v>1</v>
      </c>
      <c r="AH2863">
        <f t="shared" si="447"/>
        <v>1</v>
      </c>
      <c r="AI2863">
        <f t="shared" si="448"/>
        <v>0</v>
      </c>
      <c r="AJ2863">
        <v>263.3</v>
      </c>
      <c r="AK2863">
        <v>1008.6</v>
      </c>
      <c r="AL2863">
        <v>54.4</v>
      </c>
      <c r="AM2863">
        <v>6.2</v>
      </c>
      <c r="AN2863">
        <v>162.6</v>
      </c>
      <c r="AO2863">
        <v>14.2</v>
      </c>
      <c r="AP2863">
        <v>6</v>
      </c>
      <c r="AQ2863">
        <v>0</v>
      </c>
      <c r="AR2863" t="s">
        <v>9829</v>
      </c>
      <c r="AS2863" t="s">
        <v>9830</v>
      </c>
      <c r="AT2863">
        <v>0.38</v>
      </c>
      <c r="AU2863" t="s">
        <v>106</v>
      </c>
      <c r="AV2863" t="s">
        <v>257</v>
      </c>
      <c r="AW2863" t="s">
        <v>103</v>
      </c>
      <c r="AX2863" s="1">
        <v>0.59305555555555556</v>
      </c>
      <c r="AY2863" s="2">
        <v>45933.593055555553</v>
      </c>
      <c r="AZ2863">
        <v>619.99999999883585</v>
      </c>
      <c r="BA2863">
        <v>1</v>
      </c>
      <c r="BB2863">
        <v>0</v>
      </c>
      <c r="BC2863">
        <v>1</v>
      </c>
      <c r="BD2863">
        <v>0</v>
      </c>
      <c r="BE2863">
        <f t="shared" si="449"/>
        <v>1</v>
      </c>
    </row>
    <row r="2864" spans="1:57" x14ac:dyDescent="0.25">
      <c r="A2864" t="s">
        <v>39</v>
      </c>
      <c r="B2864" t="s">
        <v>9831</v>
      </c>
      <c r="C2864">
        <v>78.8</v>
      </c>
      <c r="D2864">
        <v>60.8</v>
      </c>
      <c r="G2864">
        <f t="shared" si="440"/>
        <v>1</v>
      </c>
      <c r="H2864">
        <f t="shared" si="441"/>
        <v>1</v>
      </c>
      <c r="I2864">
        <f t="shared" si="442"/>
        <v>0</v>
      </c>
      <c r="J2864">
        <v>69.5</v>
      </c>
      <c r="K2864">
        <v>78.8</v>
      </c>
      <c r="L2864">
        <v>60.8</v>
      </c>
      <c r="M2864">
        <v>69.5</v>
      </c>
      <c r="N2864">
        <v>60.5</v>
      </c>
      <c r="O2864">
        <v>73.599999999999994</v>
      </c>
      <c r="S2864">
        <f t="shared" si="443"/>
        <v>1</v>
      </c>
      <c r="T2864">
        <f t="shared" si="444"/>
        <v>1</v>
      </c>
      <c r="U2864">
        <f t="shared" si="445"/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14.8</v>
      </c>
      <c r="AC2864">
        <v>13.9</v>
      </c>
      <c r="AG2864">
        <f t="shared" si="446"/>
        <v>1</v>
      </c>
      <c r="AH2864">
        <f t="shared" si="447"/>
        <v>0</v>
      </c>
      <c r="AI2864">
        <f t="shared" si="448"/>
        <v>1</v>
      </c>
      <c r="AJ2864">
        <v>130.6</v>
      </c>
      <c r="AK2864">
        <v>1018.9</v>
      </c>
      <c r="AL2864">
        <v>26.8</v>
      </c>
      <c r="AM2864">
        <v>6.2</v>
      </c>
      <c r="AN2864">
        <v>173.2</v>
      </c>
      <c r="AO2864">
        <v>15</v>
      </c>
      <c r="AP2864">
        <v>6</v>
      </c>
      <c r="AQ2864">
        <v>0</v>
      </c>
      <c r="AR2864" t="s">
        <v>9832</v>
      </c>
      <c r="AS2864" t="s">
        <v>9833</v>
      </c>
      <c r="AT2864">
        <v>0.93</v>
      </c>
      <c r="AU2864" t="s">
        <v>43</v>
      </c>
      <c r="AV2864" t="s">
        <v>44</v>
      </c>
      <c r="AW2864" t="s">
        <v>45</v>
      </c>
      <c r="AX2864" s="1">
        <v>0.78402777777777777</v>
      </c>
      <c r="AY2864" s="2">
        <v>45949.78402777778</v>
      </c>
      <c r="AZ2864">
        <v>285.99999999976723</v>
      </c>
      <c r="BA2864">
        <v>0</v>
      </c>
      <c r="BB2864">
        <v>0</v>
      </c>
      <c r="BC2864">
        <v>0.1</v>
      </c>
      <c r="BD2864">
        <v>0</v>
      </c>
      <c r="BE2864">
        <f t="shared" si="449"/>
        <v>1</v>
      </c>
    </row>
    <row r="2865" spans="1:57" x14ac:dyDescent="0.25">
      <c r="A2865" t="s">
        <v>39</v>
      </c>
      <c r="B2865" t="s">
        <v>9834</v>
      </c>
      <c r="C2865">
        <v>75.2</v>
      </c>
      <c r="D2865">
        <v>64.400000000000006</v>
      </c>
      <c r="G2865">
        <f t="shared" si="440"/>
        <v>0</v>
      </c>
      <c r="H2865">
        <f t="shared" si="441"/>
        <v>0</v>
      </c>
      <c r="I2865">
        <f t="shared" si="442"/>
        <v>0</v>
      </c>
      <c r="J2865">
        <v>69.400000000000006</v>
      </c>
      <c r="K2865">
        <v>75.2</v>
      </c>
      <c r="L2865">
        <v>64.400000000000006</v>
      </c>
      <c r="M2865">
        <v>69.400000000000006</v>
      </c>
      <c r="N2865">
        <v>63.7</v>
      </c>
      <c r="O2865">
        <v>82.6</v>
      </c>
      <c r="S2865">
        <f t="shared" si="443"/>
        <v>1</v>
      </c>
      <c r="T2865">
        <f t="shared" si="444"/>
        <v>1</v>
      </c>
      <c r="U2865">
        <f t="shared" si="445"/>
        <v>0</v>
      </c>
      <c r="V2865">
        <v>2.8000000000000001E-2</v>
      </c>
      <c r="W2865">
        <v>100</v>
      </c>
      <c r="X2865">
        <v>20.83</v>
      </c>
      <c r="Y2865" t="s">
        <v>103</v>
      </c>
      <c r="Z2865">
        <v>0</v>
      </c>
      <c r="AA2865">
        <v>0</v>
      </c>
      <c r="AB2865">
        <v>14.1</v>
      </c>
      <c r="AC2865">
        <v>9.1999999999999993</v>
      </c>
      <c r="AG2865">
        <f t="shared" si="446"/>
        <v>1</v>
      </c>
      <c r="AH2865">
        <f t="shared" si="447"/>
        <v>0</v>
      </c>
      <c r="AI2865">
        <f t="shared" si="448"/>
        <v>1</v>
      </c>
      <c r="AJ2865">
        <v>240.1</v>
      </c>
      <c r="AK2865">
        <v>1014.5</v>
      </c>
      <c r="AL2865">
        <v>31.6</v>
      </c>
      <c r="AM2865">
        <v>6.2</v>
      </c>
      <c r="AN2865">
        <v>160.19999999999999</v>
      </c>
      <c r="AO2865">
        <v>13.8</v>
      </c>
      <c r="AP2865">
        <v>6</v>
      </c>
      <c r="AQ2865">
        <v>0</v>
      </c>
      <c r="AR2865" t="s">
        <v>9835</v>
      </c>
      <c r="AS2865" t="s">
        <v>9836</v>
      </c>
      <c r="AT2865">
        <v>0.03</v>
      </c>
      <c r="AU2865" t="s">
        <v>106</v>
      </c>
      <c r="AV2865" t="s">
        <v>1180</v>
      </c>
      <c r="AW2865" t="s">
        <v>103</v>
      </c>
      <c r="AX2865" s="1">
        <v>0.67013888888888884</v>
      </c>
      <c r="AY2865" s="2">
        <v>45952.670138888891</v>
      </c>
      <c r="AZ2865">
        <v>1363.0000000004659</v>
      </c>
      <c r="BA2865">
        <v>1</v>
      </c>
      <c r="BB2865">
        <v>0</v>
      </c>
      <c r="BC2865">
        <v>0.5</v>
      </c>
      <c r="BD2865">
        <v>0</v>
      </c>
      <c r="BE2865">
        <f t="shared" si="449"/>
        <v>0</v>
      </c>
    </row>
    <row r="2866" spans="1:57" x14ac:dyDescent="0.25">
      <c r="A2866" t="s">
        <v>39</v>
      </c>
      <c r="B2866" t="s">
        <v>9837</v>
      </c>
      <c r="C2866">
        <v>71.599999999999994</v>
      </c>
      <c r="D2866">
        <v>53.6</v>
      </c>
      <c r="G2866">
        <f t="shared" si="440"/>
        <v>1</v>
      </c>
      <c r="H2866">
        <f t="shared" si="441"/>
        <v>0</v>
      </c>
      <c r="I2866">
        <f t="shared" si="442"/>
        <v>1</v>
      </c>
      <c r="J2866">
        <v>63.8</v>
      </c>
      <c r="K2866">
        <v>71.599999999999994</v>
      </c>
      <c r="L2866">
        <v>53.6</v>
      </c>
      <c r="M2866">
        <v>63.8</v>
      </c>
      <c r="N2866">
        <v>53.8</v>
      </c>
      <c r="O2866">
        <v>70.900000000000006</v>
      </c>
      <c r="S2866">
        <f t="shared" si="443"/>
        <v>1</v>
      </c>
      <c r="T2866">
        <f t="shared" si="444"/>
        <v>1</v>
      </c>
      <c r="U2866">
        <f t="shared" si="445"/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11</v>
      </c>
      <c r="AC2866">
        <v>12.8</v>
      </c>
      <c r="AG2866">
        <f t="shared" si="446"/>
        <v>1</v>
      </c>
      <c r="AH2866">
        <f t="shared" si="447"/>
        <v>0</v>
      </c>
      <c r="AI2866">
        <f t="shared" si="448"/>
        <v>1</v>
      </c>
      <c r="AJ2866">
        <v>133.9</v>
      </c>
      <c r="AK2866">
        <v>1020.2</v>
      </c>
      <c r="AL2866">
        <v>57.4</v>
      </c>
      <c r="AM2866">
        <v>6.2</v>
      </c>
      <c r="AN2866">
        <v>148.80000000000001</v>
      </c>
      <c r="AO2866">
        <v>12.7</v>
      </c>
      <c r="AP2866">
        <v>6</v>
      </c>
      <c r="AQ2866">
        <v>0</v>
      </c>
      <c r="AR2866" t="s">
        <v>9838</v>
      </c>
      <c r="AS2866" t="s">
        <v>9839</v>
      </c>
      <c r="AT2866">
        <v>0.33</v>
      </c>
      <c r="AU2866" t="s">
        <v>43</v>
      </c>
      <c r="AV2866" t="s">
        <v>44</v>
      </c>
      <c r="AW2866" t="s">
        <v>45</v>
      </c>
      <c r="AX2866" s="1">
        <v>0.63888888888888884</v>
      </c>
      <c r="AY2866" s="2">
        <v>45961.638888888891</v>
      </c>
      <c r="AZ2866">
        <v>30.99999999627471</v>
      </c>
      <c r="BA2866">
        <v>0</v>
      </c>
      <c r="BB2866">
        <v>0</v>
      </c>
      <c r="BC2866">
        <v>1E-3</v>
      </c>
      <c r="BD2866">
        <v>0</v>
      </c>
      <c r="BE2866">
        <f t="shared" si="449"/>
        <v>0</v>
      </c>
    </row>
    <row r="2867" spans="1:57" x14ac:dyDescent="0.25">
      <c r="A2867" t="s">
        <v>39</v>
      </c>
      <c r="B2867" t="s">
        <v>9840</v>
      </c>
      <c r="C2867">
        <v>73.400000000000006</v>
      </c>
      <c r="D2867">
        <v>60.8</v>
      </c>
      <c r="G2867">
        <f t="shared" si="440"/>
        <v>1</v>
      </c>
      <c r="H2867">
        <f t="shared" si="441"/>
        <v>1</v>
      </c>
      <c r="I2867">
        <f t="shared" si="442"/>
        <v>0</v>
      </c>
      <c r="J2867">
        <v>65.400000000000006</v>
      </c>
      <c r="K2867">
        <v>73.400000000000006</v>
      </c>
      <c r="L2867">
        <v>60.8</v>
      </c>
      <c r="M2867">
        <v>65.400000000000006</v>
      </c>
      <c r="N2867">
        <v>59</v>
      </c>
      <c r="O2867">
        <v>81.400000000000006</v>
      </c>
      <c r="S2867">
        <f t="shared" si="443"/>
        <v>1</v>
      </c>
      <c r="T2867">
        <f t="shared" si="444"/>
        <v>1</v>
      </c>
      <c r="U2867">
        <f t="shared" si="445"/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10.5</v>
      </c>
      <c r="AC2867">
        <v>6.9</v>
      </c>
      <c r="AG2867">
        <f t="shared" si="446"/>
        <v>1</v>
      </c>
      <c r="AH2867">
        <f t="shared" si="447"/>
        <v>0</v>
      </c>
      <c r="AI2867">
        <f t="shared" si="448"/>
        <v>1</v>
      </c>
      <c r="AJ2867">
        <v>154.80000000000001</v>
      </c>
      <c r="AK2867">
        <v>1019.5</v>
      </c>
      <c r="AL2867">
        <v>29.1</v>
      </c>
      <c r="AM2867">
        <v>6.2</v>
      </c>
      <c r="AN2867">
        <v>144.4</v>
      </c>
      <c r="AO2867">
        <v>12.5</v>
      </c>
      <c r="AP2867">
        <v>5</v>
      </c>
      <c r="AQ2867">
        <v>0</v>
      </c>
      <c r="AR2867" t="s">
        <v>9841</v>
      </c>
      <c r="AS2867" t="s">
        <v>9842</v>
      </c>
      <c r="AT2867">
        <v>0.43</v>
      </c>
      <c r="AU2867" t="s">
        <v>43</v>
      </c>
      <c r="AV2867" t="s">
        <v>44</v>
      </c>
      <c r="AW2867" t="s">
        <v>45</v>
      </c>
      <c r="AX2867" s="1">
        <v>0.52430555555555558</v>
      </c>
      <c r="AY2867" s="2">
        <v>45964.524305555547</v>
      </c>
      <c r="AZ2867">
        <v>175.00000000465661</v>
      </c>
      <c r="BA2867">
        <v>0</v>
      </c>
      <c r="BB2867">
        <v>0</v>
      </c>
      <c r="BC2867">
        <v>1</v>
      </c>
      <c r="BD2867">
        <v>0</v>
      </c>
      <c r="BE2867">
        <f t="shared" si="449"/>
        <v>1</v>
      </c>
    </row>
    <row r="2868" spans="1:57" x14ac:dyDescent="0.25">
      <c r="A2868" t="s">
        <v>39</v>
      </c>
      <c r="B2868" t="s">
        <v>9843</v>
      </c>
      <c r="C2868">
        <v>73.400000000000006</v>
      </c>
      <c r="D2868">
        <v>62.6</v>
      </c>
      <c r="G2868">
        <f t="shared" si="440"/>
        <v>1</v>
      </c>
      <c r="H2868">
        <f t="shared" si="441"/>
        <v>1</v>
      </c>
      <c r="I2868">
        <f t="shared" si="442"/>
        <v>0</v>
      </c>
      <c r="J2868">
        <v>69.099999999999994</v>
      </c>
      <c r="K2868">
        <v>73.400000000000006</v>
      </c>
      <c r="L2868">
        <v>62.6</v>
      </c>
      <c r="M2868">
        <v>69.099999999999994</v>
      </c>
      <c r="N2868">
        <v>57.9</v>
      </c>
      <c r="O2868">
        <v>67.8</v>
      </c>
      <c r="S2868">
        <f t="shared" si="443"/>
        <v>0</v>
      </c>
      <c r="T2868">
        <f t="shared" si="444"/>
        <v>0</v>
      </c>
      <c r="U2868">
        <f t="shared" si="445"/>
        <v>0</v>
      </c>
      <c r="V2868">
        <v>2.4E-2</v>
      </c>
      <c r="W2868">
        <v>100</v>
      </c>
      <c r="X2868">
        <v>12.5</v>
      </c>
      <c r="Y2868" t="s">
        <v>103</v>
      </c>
      <c r="Z2868">
        <v>0</v>
      </c>
      <c r="AA2868">
        <v>0</v>
      </c>
      <c r="AB2868">
        <v>22.6</v>
      </c>
      <c r="AC2868">
        <v>18.3</v>
      </c>
      <c r="AG2868">
        <f t="shared" si="446"/>
        <v>1</v>
      </c>
      <c r="AH2868">
        <f t="shared" si="447"/>
        <v>1</v>
      </c>
      <c r="AI2868">
        <f t="shared" si="448"/>
        <v>0</v>
      </c>
      <c r="AJ2868">
        <v>263.89999999999998</v>
      </c>
      <c r="AK2868">
        <v>1015.3</v>
      </c>
      <c r="AL2868">
        <v>41.1</v>
      </c>
      <c r="AM2868">
        <v>6.2</v>
      </c>
      <c r="AN2868">
        <v>134.30000000000001</v>
      </c>
      <c r="AO2868">
        <v>11.7</v>
      </c>
      <c r="AP2868">
        <v>5</v>
      </c>
      <c r="AQ2868">
        <v>0</v>
      </c>
      <c r="AR2868" t="s">
        <v>9844</v>
      </c>
      <c r="AS2868" t="s">
        <v>9845</v>
      </c>
      <c r="AT2868">
        <v>0.7</v>
      </c>
      <c r="AU2868" t="s">
        <v>106</v>
      </c>
      <c r="AV2868" t="s">
        <v>107</v>
      </c>
      <c r="AW2868" t="s">
        <v>103</v>
      </c>
      <c r="AX2868" s="1">
        <v>0.51875000000000004</v>
      </c>
      <c r="AY2868" s="2">
        <v>45972.518750000003</v>
      </c>
      <c r="AZ2868">
        <v>106.99999999254941</v>
      </c>
      <c r="BA2868">
        <v>0</v>
      </c>
      <c r="BB2868">
        <v>0</v>
      </c>
      <c r="BC2868">
        <v>1E-3</v>
      </c>
      <c r="BD2868">
        <v>0</v>
      </c>
      <c r="BE2868">
        <f t="shared" si="449"/>
        <v>0</v>
      </c>
    </row>
    <row r="2869" spans="1:57" x14ac:dyDescent="0.25">
      <c r="A2869" t="s">
        <v>39</v>
      </c>
      <c r="B2869" t="s">
        <v>9846</v>
      </c>
      <c r="C2869">
        <v>86</v>
      </c>
      <c r="D2869">
        <v>73.400000000000006</v>
      </c>
      <c r="G2869">
        <f t="shared" si="440"/>
        <v>1</v>
      </c>
      <c r="H2869">
        <f t="shared" si="441"/>
        <v>1</v>
      </c>
      <c r="I2869">
        <f t="shared" si="442"/>
        <v>0</v>
      </c>
      <c r="J2869">
        <v>80.5</v>
      </c>
      <c r="K2869">
        <v>88.5</v>
      </c>
      <c r="L2869">
        <v>73.400000000000006</v>
      </c>
      <c r="M2869">
        <v>81.900000000000006</v>
      </c>
      <c r="N2869">
        <v>63.9</v>
      </c>
      <c r="O2869">
        <v>58.2</v>
      </c>
      <c r="S2869">
        <f t="shared" si="443"/>
        <v>1</v>
      </c>
      <c r="T2869">
        <f t="shared" si="444"/>
        <v>0</v>
      </c>
      <c r="U2869">
        <f t="shared" si="445"/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29.8</v>
      </c>
      <c r="AC2869">
        <v>20.8</v>
      </c>
      <c r="AG2869">
        <f t="shared" si="446"/>
        <v>1</v>
      </c>
      <c r="AH2869">
        <f t="shared" si="447"/>
        <v>1</v>
      </c>
      <c r="AI2869">
        <f t="shared" si="448"/>
        <v>0</v>
      </c>
      <c r="AJ2869">
        <v>304.3</v>
      </c>
      <c r="AK2869">
        <v>1008.3</v>
      </c>
      <c r="AL2869">
        <v>0</v>
      </c>
      <c r="AM2869">
        <v>6.2</v>
      </c>
      <c r="AN2869">
        <v>272.60000000000002</v>
      </c>
      <c r="AO2869">
        <v>23.7</v>
      </c>
      <c r="AP2869">
        <v>9</v>
      </c>
      <c r="AQ2869">
        <v>0</v>
      </c>
      <c r="AR2869" t="s">
        <v>9847</v>
      </c>
      <c r="AS2869" t="s">
        <v>9848</v>
      </c>
      <c r="AT2869">
        <v>0.39</v>
      </c>
      <c r="AU2869" t="s">
        <v>74</v>
      </c>
      <c r="AV2869" t="s">
        <v>2955</v>
      </c>
      <c r="AW2869" t="s">
        <v>75</v>
      </c>
      <c r="AX2869" s="1">
        <v>0.92013888888888884</v>
      </c>
      <c r="AY2869" s="2">
        <v>45904.920138888891</v>
      </c>
      <c r="AZ2869">
        <v>2022.000000000698</v>
      </c>
      <c r="BA2869">
        <v>1</v>
      </c>
      <c r="BB2869">
        <v>0</v>
      </c>
      <c r="BC2869">
        <v>5</v>
      </c>
      <c r="BD2869">
        <v>0</v>
      </c>
      <c r="BE2869">
        <f t="shared" si="449"/>
        <v>1</v>
      </c>
    </row>
    <row r="2870" spans="1:57" x14ac:dyDescent="0.25">
      <c r="A2870" t="s">
        <v>39</v>
      </c>
      <c r="B2870" t="s">
        <v>9849</v>
      </c>
      <c r="C2870">
        <v>71.599999999999994</v>
      </c>
      <c r="D2870">
        <v>55.4</v>
      </c>
      <c r="G2870">
        <f t="shared" si="440"/>
        <v>1</v>
      </c>
      <c r="H2870">
        <f t="shared" si="441"/>
        <v>1</v>
      </c>
      <c r="I2870">
        <f t="shared" si="442"/>
        <v>0</v>
      </c>
      <c r="J2870">
        <v>62.7</v>
      </c>
      <c r="K2870">
        <v>71.599999999999994</v>
      </c>
      <c r="L2870">
        <v>55.4</v>
      </c>
      <c r="M2870">
        <v>62.7</v>
      </c>
      <c r="N2870">
        <v>55.7</v>
      </c>
      <c r="O2870">
        <v>79.2</v>
      </c>
      <c r="S2870">
        <f t="shared" si="443"/>
        <v>1</v>
      </c>
      <c r="T2870">
        <f t="shared" si="444"/>
        <v>1</v>
      </c>
      <c r="U2870">
        <f t="shared" si="445"/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13.2</v>
      </c>
      <c r="AC2870">
        <v>11.4</v>
      </c>
      <c r="AG2870">
        <f t="shared" si="446"/>
        <v>1</v>
      </c>
      <c r="AH2870">
        <f t="shared" si="447"/>
        <v>0</v>
      </c>
      <c r="AI2870">
        <f t="shared" si="448"/>
        <v>1</v>
      </c>
      <c r="AJ2870">
        <v>170.1</v>
      </c>
      <c r="AK2870">
        <v>1019.3</v>
      </c>
      <c r="AL2870">
        <v>29.3</v>
      </c>
      <c r="AM2870">
        <v>6.2</v>
      </c>
      <c r="AN2870">
        <v>143.19999999999999</v>
      </c>
      <c r="AO2870">
        <v>12.5</v>
      </c>
      <c r="AP2870">
        <v>6</v>
      </c>
      <c r="AQ2870">
        <v>0</v>
      </c>
      <c r="AR2870" t="s">
        <v>9850</v>
      </c>
      <c r="AS2870" t="s">
        <v>9851</v>
      </c>
      <c r="AT2870">
        <v>0.87</v>
      </c>
      <c r="AU2870" t="s">
        <v>43</v>
      </c>
      <c r="AV2870" t="s">
        <v>44</v>
      </c>
      <c r="AW2870" t="s">
        <v>45</v>
      </c>
      <c r="AX2870" s="1">
        <v>0.75</v>
      </c>
      <c r="AY2870" s="2">
        <v>45977.75</v>
      </c>
      <c r="AZ2870">
        <v>58.000000000465661</v>
      </c>
      <c r="BA2870">
        <v>0</v>
      </c>
      <c r="BB2870">
        <v>0</v>
      </c>
      <c r="BC2870">
        <v>0.15</v>
      </c>
      <c r="BD2870">
        <v>0</v>
      </c>
      <c r="BE2870">
        <f t="shared" si="449"/>
        <v>1</v>
      </c>
    </row>
    <row r="2871" spans="1:57" x14ac:dyDescent="0.25">
      <c r="A2871" t="s">
        <v>39</v>
      </c>
      <c r="B2871" t="s">
        <v>9852</v>
      </c>
      <c r="C2871">
        <v>77</v>
      </c>
      <c r="D2871">
        <v>57.2</v>
      </c>
      <c r="G2871">
        <f t="shared" si="440"/>
        <v>1</v>
      </c>
      <c r="H2871">
        <f t="shared" si="441"/>
        <v>1</v>
      </c>
      <c r="I2871">
        <f t="shared" si="442"/>
        <v>0</v>
      </c>
      <c r="J2871">
        <v>65.099999999999994</v>
      </c>
      <c r="K2871">
        <v>77</v>
      </c>
      <c r="L2871">
        <v>57.2</v>
      </c>
      <c r="M2871">
        <v>65.099999999999994</v>
      </c>
      <c r="N2871">
        <v>55.5</v>
      </c>
      <c r="O2871">
        <v>73</v>
      </c>
      <c r="S2871">
        <f t="shared" si="443"/>
        <v>1</v>
      </c>
      <c r="T2871">
        <f t="shared" si="444"/>
        <v>1</v>
      </c>
      <c r="U2871">
        <f t="shared" si="445"/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14.5</v>
      </c>
      <c r="AC2871">
        <v>16.100000000000001</v>
      </c>
      <c r="AG2871">
        <f t="shared" si="446"/>
        <v>0</v>
      </c>
      <c r="AH2871">
        <f t="shared" si="447"/>
        <v>0</v>
      </c>
      <c r="AI2871">
        <f t="shared" si="448"/>
        <v>0</v>
      </c>
      <c r="AJ2871">
        <v>155.1</v>
      </c>
      <c r="AK2871">
        <v>1022.1</v>
      </c>
      <c r="AL2871">
        <v>13.5</v>
      </c>
      <c r="AM2871">
        <v>6.2</v>
      </c>
      <c r="AN2871">
        <v>142.5</v>
      </c>
      <c r="AO2871">
        <v>12.2</v>
      </c>
      <c r="AP2871">
        <v>6</v>
      </c>
      <c r="AQ2871">
        <v>0</v>
      </c>
      <c r="AR2871" t="s">
        <v>9853</v>
      </c>
      <c r="AS2871" t="s">
        <v>9854</v>
      </c>
      <c r="AT2871">
        <v>0.9</v>
      </c>
      <c r="AU2871" t="s">
        <v>74</v>
      </c>
      <c r="AV2871" t="s">
        <v>2955</v>
      </c>
      <c r="AW2871" t="s">
        <v>75</v>
      </c>
      <c r="AX2871" s="1">
        <v>0.75347222222222221</v>
      </c>
      <c r="AY2871" s="2">
        <v>45978.753472222219</v>
      </c>
      <c r="AZ2871">
        <v>319.00000000256108</v>
      </c>
      <c r="BA2871">
        <v>0</v>
      </c>
      <c r="BB2871">
        <v>0</v>
      </c>
      <c r="BC2871">
        <v>0.1</v>
      </c>
      <c r="BD2871">
        <v>0</v>
      </c>
      <c r="BE2871">
        <f t="shared" si="449"/>
        <v>0</v>
      </c>
    </row>
    <row r="2872" spans="1:57" x14ac:dyDescent="0.25">
      <c r="A2872" t="s">
        <v>39</v>
      </c>
      <c r="B2872" t="s">
        <v>9855</v>
      </c>
      <c r="C2872">
        <v>78.8</v>
      </c>
      <c r="D2872">
        <v>64.400000000000006</v>
      </c>
      <c r="G2872">
        <f t="shared" si="440"/>
        <v>1</v>
      </c>
      <c r="H2872">
        <f t="shared" si="441"/>
        <v>1</v>
      </c>
      <c r="I2872">
        <f t="shared" si="442"/>
        <v>0</v>
      </c>
      <c r="J2872">
        <v>69.2</v>
      </c>
      <c r="K2872">
        <v>78.8</v>
      </c>
      <c r="L2872">
        <v>64.400000000000006</v>
      </c>
      <c r="M2872">
        <v>69.2</v>
      </c>
      <c r="N2872">
        <v>51.7</v>
      </c>
      <c r="O2872">
        <v>55.9</v>
      </c>
      <c r="S2872">
        <f t="shared" si="443"/>
        <v>1</v>
      </c>
      <c r="T2872">
        <f t="shared" si="444"/>
        <v>0</v>
      </c>
      <c r="U2872">
        <f t="shared" si="445"/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16.8</v>
      </c>
      <c r="AC2872">
        <v>16.100000000000001</v>
      </c>
      <c r="AG2872">
        <f t="shared" si="446"/>
        <v>0</v>
      </c>
      <c r="AH2872">
        <f t="shared" si="447"/>
        <v>0</v>
      </c>
      <c r="AI2872">
        <f t="shared" si="448"/>
        <v>0</v>
      </c>
      <c r="AJ2872">
        <v>166.8</v>
      </c>
      <c r="AK2872">
        <v>1018.1</v>
      </c>
      <c r="AL2872">
        <v>18.7</v>
      </c>
      <c r="AM2872">
        <v>6.2</v>
      </c>
      <c r="AN2872">
        <v>140.19999999999999</v>
      </c>
      <c r="AO2872">
        <v>12.1</v>
      </c>
      <c r="AP2872">
        <v>6</v>
      </c>
      <c r="AQ2872">
        <v>0</v>
      </c>
      <c r="AR2872" t="s">
        <v>9856</v>
      </c>
      <c r="AS2872" t="s">
        <v>9857</v>
      </c>
      <c r="AT2872">
        <v>0</v>
      </c>
      <c r="AU2872" t="s">
        <v>74</v>
      </c>
      <c r="AV2872" t="s">
        <v>2955</v>
      </c>
      <c r="AW2872" t="s">
        <v>75</v>
      </c>
      <c r="AX2872" s="1">
        <v>0.84236111111111112</v>
      </c>
      <c r="AY2872" s="2">
        <v>45981.842361111107</v>
      </c>
      <c r="AZ2872">
        <v>132.99999999348071</v>
      </c>
      <c r="BA2872">
        <v>0</v>
      </c>
      <c r="BB2872">
        <v>0</v>
      </c>
      <c r="BC2872">
        <v>0.05</v>
      </c>
      <c r="BD2872">
        <v>0</v>
      </c>
      <c r="BE2872">
        <f t="shared" si="449"/>
        <v>0</v>
      </c>
    </row>
    <row r="2873" spans="1:57" x14ac:dyDescent="0.25">
      <c r="A2873" t="s">
        <v>39</v>
      </c>
      <c r="B2873" t="s">
        <v>9855</v>
      </c>
      <c r="C2873">
        <v>78.8</v>
      </c>
      <c r="D2873">
        <v>64.400000000000006</v>
      </c>
      <c r="G2873">
        <f t="shared" si="440"/>
        <v>1</v>
      </c>
      <c r="H2873">
        <f t="shared" si="441"/>
        <v>1</v>
      </c>
      <c r="I2873">
        <f t="shared" si="442"/>
        <v>0</v>
      </c>
      <c r="J2873">
        <v>69.2</v>
      </c>
      <c r="K2873">
        <v>78.8</v>
      </c>
      <c r="L2873">
        <v>64.400000000000006</v>
      </c>
      <c r="M2873">
        <v>69.2</v>
      </c>
      <c r="N2873">
        <v>51.7</v>
      </c>
      <c r="O2873">
        <v>55.9</v>
      </c>
      <c r="S2873">
        <f t="shared" si="443"/>
        <v>1</v>
      </c>
      <c r="T2873">
        <f t="shared" si="444"/>
        <v>0</v>
      </c>
      <c r="U2873">
        <f t="shared" si="445"/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16.8</v>
      </c>
      <c r="AC2873">
        <v>16.100000000000001</v>
      </c>
      <c r="AG2873">
        <f t="shared" si="446"/>
        <v>0</v>
      </c>
      <c r="AH2873">
        <f t="shared" si="447"/>
        <v>0</v>
      </c>
      <c r="AI2873">
        <f t="shared" si="448"/>
        <v>0</v>
      </c>
      <c r="AJ2873">
        <v>166.8</v>
      </c>
      <c r="AK2873">
        <v>1018.1</v>
      </c>
      <c r="AL2873">
        <v>18.7</v>
      </c>
      <c r="AM2873">
        <v>6.2</v>
      </c>
      <c r="AN2873">
        <v>140.19999999999999</v>
      </c>
      <c r="AO2873">
        <v>12.1</v>
      </c>
      <c r="AP2873">
        <v>6</v>
      </c>
      <c r="AQ2873">
        <v>0</v>
      </c>
      <c r="AR2873" t="s">
        <v>9856</v>
      </c>
      <c r="AS2873" t="s">
        <v>9857</v>
      </c>
      <c r="AT2873">
        <v>0</v>
      </c>
      <c r="AU2873" t="s">
        <v>74</v>
      </c>
      <c r="AV2873" t="s">
        <v>2955</v>
      </c>
      <c r="AW2873" t="s">
        <v>75</v>
      </c>
      <c r="AX2873" s="1">
        <v>0.56527777777777777</v>
      </c>
      <c r="AY2873" s="2">
        <v>45981.56527777778</v>
      </c>
      <c r="AZ2873">
        <v>204.99999999767169</v>
      </c>
      <c r="BA2873">
        <v>0</v>
      </c>
      <c r="BB2873">
        <v>0</v>
      </c>
      <c r="BC2873">
        <v>1</v>
      </c>
      <c r="BD2873">
        <v>0</v>
      </c>
      <c r="BE2873">
        <f t="shared" si="449"/>
        <v>0</v>
      </c>
    </row>
    <row r="2874" spans="1:57" x14ac:dyDescent="0.25">
      <c r="A2874" t="s">
        <v>39</v>
      </c>
      <c r="B2874" t="s">
        <v>9858</v>
      </c>
      <c r="C2874">
        <v>77</v>
      </c>
      <c r="D2874">
        <v>66.2</v>
      </c>
      <c r="G2874">
        <f t="shared" si="440"/>
        <v>1</v>
      </c>
      <c r="H2874">
        <f t="shared" si="441"/>
        <v>1</v>
      </c>
      <c r="I2874">
        <f t="shared" si="442"/>
        <v>0</v>
      </c>
      <c r="J2874">
        <v>70</v>
      </c>
      <c r="K2874">
        <v>77</v>
      </c>
      <c r="L2874">
        <v>66.2</v>
      </c>
      <c r="M2874">
        <v>70</v>
      </c>
      <c r="N2874">
        <v>54.9</v>
      </c>
      <c r="O2874">
        <v>59.5</v>
      </c>
      <c r="S2874">
        <f t="shared" si="443"/>
        <v>1</v>
      </c>
      <c r="T2874">
        <f t="shared" si="444"/>
        <v>0</v>
      </c>
      <c r="U2874">
        <f t="shared" si="445"/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32.200000000000003</v>
      </c>
      <c r="AC2874">
        <v>24.1</v>
      </c>
      <c r="AG2874">
        <f t="shared" si="446"/>
        <v>1</v>
      </c>
      <c r="AH2874">
        <f t="shared" si="447"/>
        <v>1</v>
      </c>
      <c r="AI2874">
        <f t="shared" si="448"/>
        <v>0</v>
      </c>
      <c r="AJ2874">
        <v>174.9</v>
      </c>
      <c r="AK2874">
        <v>1016.8</v>
      </c>
      <c r="AL2874">
        <v>25</v>
      </c>
      <c r="AM2874">
        <v>6.2</v>
      </c>
      <c r="AN2874">
        <v>134.69999999999999</v>
      </c>
      <c r="AO2874">
        <v>11.7</v>
      </c>
      <c r="AP2874">
        <v>5</v>
      </c>
      <c r="AQ2874">
        <v>0</v>
      </c>
      <c r="AR2874" t="s">
        <v>9859</v>
      </c>
      <c r="AS2874" t="s">
        <v>9860</v>
      </c>
      <c r="AT2874">
        <v>0.04</v>
      </c>
      <c r="AU2874" t="s">
        <v>43</v>
      </c>
      <c r="AV2874" t="s">
        <v>44</v>
      </c>
      <c r="AW2874" t="s">
        <v>45</v>
      </c>
      <c r="AX2874" s="1">
        <v>0.56805555555555554</v>
      </c>
      <c r="AY2874" s="2">
        <v>45982.568055555559</v>
      </c>
      <c r="AZ2874">
        <v>448.99999999674043</v>
      </c>
      <c r="BA2874">
        <v>1</v>
      </c>
      <c r="BB2874">
        <v>0</v>
      </c>
      <c r="BC2874">
        <v>2</v>
      </c>
      <c r="BD2874">
        <v>0</v>
      </c>
      <c r="BE2874">
        <f t="shared" si="449"/>
        <v>1</v>
      </c>
    </row>
    <row r="2875" spans="1:57" x14ac:dyDescent="0.25">
      <c r="A2875" t="s">
        <v>39</v>
      </c>
      <c r="B2875" t="s">
        <v>9861</v>
      </c>
      <c r="C2875">
        <v>71.599999999999994</v>
      </c>
      <c r="D2875">
        <v>60.8</v>
      </c>
      <c r="G2875">
        <f t="shared" si="440"/>
        <v>1</v>
      </c>
      <c r="H2875">
        <f t="shared" si="441"/>
        <v>1</v>
      </c>
      <c r="I2875">
        <f t="shared" si="442"/>
        <v>0</v>
      </c>
      <c r="J2875">
        <v>66.2</v>
      </c>
      <c r="K2875">
        <v>71.599999999999994</v>
      </c>
      <c r="L2875">
        <v>60.8</v>
      </c>
      <c r="M2875">
        <v>66.2</v>
      </c>
      <c r="N2875">
        <v>55.5</v>
      </c>
      <c r="O2875">
        <v>68.7</v>
      </c>
      <c r="S2875">
        <f t="shared" si="443"/>
        <v>0</v>
      </c>
      <c r="T2875">
        <f t="shared" si="444"/>
        <v>0</v>
      </c>
      <c r="U2875">
        <f t="shared" si="445"/>
        <v>0</v>
      </c>
      <c r="V2875">
        <v>8.4000000000000005E-2</v>
      </c>
      <c r="W2875">
        <v>100</v>
      </c>
      <c r="X2875">
        <v>29.17</v>
      </c>
      <c r="Y2875" t="s">
        <v>103</v>
      </c>
      <c r="Z2875">
        <v>0</v>
      </c>
      <c r="AA2875">
        <v>0</v>
      </c>
      <c r="AB2875">
        <v>19</v>
      </c>
      <c r="AC2875">
        <v>19.7</v>
      </c>
      <c r="AG2875">
        <f t="shared" si="446"/>
        <v>1</v>
      </c>
      <c r="AH2875">
        <f t="shared" si="447"/>
        <v>1</v>
      </c>
      <c r="AI2875">
        <f t="shared" si="448"/>
        <v>0</v>
      </c>
      <c r="AJ2875">
        <v>266.3</v>
      </c>
      <c r="AK2875">
        <v>1017.8</v>
      </c>
      <c r="AL2875">
        <v>48.4</v>
      </c>
      <c r="AM2875">
        <v>6.2</v>
      </c>
      <c r="AN2875">
        <v>99</v>
      </c>
      <c r="AO2875">
        <v>8.4</v>
      </c>
      <c r="AP2875">
        <v>4</v>
      </c>
      <c r="AQ2875">
        <v>0</v>
      </c>
      <c r="AR2875" t="s">
        <v>9862</v>
      </c>
      <c r="AS2875" t="s">
        <v>9863</v>
      </c>
      <c r="AT2875">
        <v>0.11</v>
      </c>
      <c r="AU2875" t="s">
        <v>106</v>
      </c>
      <c r="AV2875" t="s">
        <v>9864</v>
      </c>
      <c r="AW2875" t="s">
        <v>103</v>
      </c>
      <c r="AX2875" s="1">
        <v>0.40902777777777782</v>
      </c>
      <c r="AY2875" s="2">
        <v>45984.40902777778</v>
      </c>
      <c r="AZ2875">
        <v>432.9999999969732</v>
      </c>
      <c r="BA2875">
        <v>1</v>
      </c>
      <c r="BB2875">
        <v>0</v>
      </c>
      <c r="BC2875">
        <v>0.01</v>
      </c>
      <c r="BD2875">
        <v>0</v>
      </c>
      <c r="BE2875">
        <f t="shared" si="449"/>
        <v>1</v>
      </c>
    </row>
    <row r="2876" spans="1:57" x14ac:dyDescent="0.25">
      <c r="A2876" t="s">
        <v>39</v>
      </c>
      <c r="B2876" t="s">
        <v>9861</v>
      </c>
      <c r="C2876">
        <v>71.599999999999994</v>
      </c>
      <c r="D2876">
        <v>60.8</v>
      </c>
      <c r="G2876">
        <f t="shared" si="440"/>
        <v>1</v>
      </c>
      <c r="H2876">
        <f t="shared" si="441"/>
        <v>1</v>
      </c>
      <c r="I2876">
        <f t="shared" si="442"/>
        <v>0</v>
      </c>
      <c r="J2876">
        <v>66.2</v>
      </c>
      <c r="K2876">
        <v>71.599999999999994</v>
      </c>
      <c r="L2876">
        <v>60.8</v>
      </c>
      <c r="M2876">
        <v>66.2</v>
      </c>
      <c r="N2876">
        <v>55.5</v>
      </c>
      <c r="O2876">
        <v>68.7</v>
      </c>
      <c r="S2876">
        <f t="shared" si="443"/>
        <v>0</v>
      </c>
      <c r="T2876">
        <f t="shared" si="444"/>
        <v>0</v>
      </c>
      <c r="U2876">
        <f t="shared" si="445"/>
        <v>0</v>
      </c>
      <c r="V2876">
        <v>8.4000000000000005E-2</v>
      </c>
      <c r="W2876">
        <v>100</v>
      </c>
      <c r="X2876">
        <v>29.17</v>
      </c>
      <c r="Y2876" t="s">
        <v>103</v>
      </c>
      <c r="Z2876">
        <v>0</v>
      </c>
      <c r="AA2876">
        <v>0</v>
      </c>
      <c r="AB2876">
        <v>19</v>
      </c>
      <c r="AC2876">
        <v>19.7</v>
      </c>
      <c r="AG2876">
        <f t="shared" si="446"/>
        <v>1</v>
      </c>
      <c r="AH2876">
        <f t="shared" si="447"/>
        <v>1</v>
      </c>
      <c r="AI2876">
        <f t="shared" si="448"/>
        <v>0</v>
      </c>
      <c r="AJ2876">
        <v>266.3</v>
      </c>
      <c r="AK2876">
        <v>1017.8</v>
      </c>
      <c r="AL2876">
        <v>48.4</v>
      </c>
      <c r="AM2876">
        <v>6.2</v>
      </c>
      <c r="AN2876">
        <v>99</v>
      </c>
      <c r="AO2876">
        <v>8.4</v>
      </c>
      <c r="AP2876">
        <v>4</v>
      </c>
      <c r="AQ2876">
        <v>0</v>
      </c>
      <c r="AR2876" t="s">
        <v>9862</v>
      </c>
      <c r="AS2876" t="s">
        <v>9863</v>
      </c>
      <c r="AT2876">
        <v>0.11</v>
      </c>
      <c r="AU2876" t="s">
        <v>106</v>
      </c>
      <c r="AV2876" t="s">
        <v>9864</v>
      </c>
      <c r="AW2876" t="s">
        <v>103</v>
      </c>
      <c r="AX2876" s="1">
        <v>0.48333333333333328</v>
      </c>
      <c r="AY2876" s="2">
        <v>45984.48333333333</v>
      </c>
      <c r="AZ2876">
        <v>131.00000000791621</v>
      </c>
      <c r="BA2876">
        <v>0</v>
      </c>
      <c r="BB2876">
        <v>5</v>
      </c>
      <c r="BC2876">
        <v>0</v>
      </c>
      <c r="BD2876">
        <v>0</v>
      </c>
      <c r="BE2876">
        <f t="shared" si="449"/>
        <v>0</v>
      </c>
    </row>
    <row r="2877" spans="1:57" x14ac:dyDescent="0.25">
      <c r="A2877" t="s">
        <v>39</v>
      </c>
      <c r="B2877" t="s">
        <v>9861</v>
      </c>
      <c r="C2877">
        <v>71.599999999999994</v>
      </c>
      <c r="D2877">
        <v>60.8</v>
      </c>
      <c r="G2877">
        <f t="shared" si="440"/>
        <v>1</v>
      </c>
      <c r="H2877">
        <f t="shared" si="441"/>
        <v>1</v>
      </c>
      <c r="I2877">
        <f t="shared" si="442"/>
        <v>0</v>
      </c>
      <c r="J2877">
        <v>66.2</v>
      </c>
      <c r="K2877">
        <v>71.599999999999994</v>
      </c>
      <c r="L2877">
        <v>60.8</v>
      </c>
      <c r="M2877">
        <v>66.2</v>
      </c>
      <c r="N2877">
        <v>55.5</v>
      </c>
      <c r="O2877">
        <v>68.7</v>
      </c>
      <c r="S2877">
        <f t="shared" si="443"/>
        <v>0</v>
      </c>
      <c r="T2877">
        <f t="shared" si="444"/>
        <v>0</v>
      </c>
      <c r="U2877">
        <f t="shared" si="445"/>
        <v>0</v>
      </c>
      <c r="V2877">
        <v>8.4000000000000005E-2</v>
      </c>
      <c r="W2877">
        <v>100</v>
      </c>
      <c r="X2877">
        <v>29.17</v>
      </c>
      <c r="Y2877" t="s">
        <v>103</v>
      </c>
      <c r="Z2877">
        <v>0</v>
      </c>
      <c r="AA2877">
        <v>0</v>
      </c>
      <c r="AB2877">
        <v>19</v>
      </c>
      <c r="AC2877">
        <v>19.7</v>
      </c>
      <c r="AG2877">
        <f t="shared" si="446"/>
        <v>1</v>
      </c>
      <c r="AH2877">
        <f t="shared" si="447"/>
        <v>1</v>
      </c>
      <c r="AI2877">
        <f t="shared" si="448"/>
        <v>0</v>
      </c>
      <c r="AJ2877">
        <v>266.3</v>
      </c>
      <c r="AK2877">
        <v>1017.8</v>
      </c>
      <c r="AL2877">
        <v>48.4</v>
      </c>
      <c r="AM2877">
        <v>6.2</v>
      </c>
      <c r="AN2877">
        <v>99</v>
      </c>
      <c r="AO2877">
        <v>8.4</v>
      </c>
      <c r="AP2877">
        <v>4</v>
      </c>
      <c r="AQ2877">
        <v>0</v>
      </c>
      <c r="AR2877" t="s">
        <v>9862</v>
      </c>
      <c r="AS2877" t="s">
        <v>9863</v>
      </c>
      <c r="AT2877">
        <v>0.11</v>
      </c>
      <c r="AU2877" t="s">
        <v>106</v>
      </c>
      <c r="AV2877" t="s">
        <v>9864</v>
      </c>
      <c r="AW2877" t="s">
        <v>103</v>
      </c>
      <c r="AX2877" s="1">
        <v>0.52847222222222223</v>
      </c>
      <c r="AY2877" s="2">
        <v>45984.52847222222</v>
      </c>
      <c r="AZ2877">
        <v>245.00000000232831</v>
      </c>
      <c r="BA2877">
        <v>0</v>
      </c>
      <c r="BB2877">
        <v>0.1</v>
      </c>
      <c r="BC2877">
        <v>0</v>
      </c>
      <c r="BD2877">
        <v>0</v>
      </c>
      <c r="BE2877">
        <f t="shared" si="449"/>
        <v>0</v>
      </c>
    </row>
    <row r="2878" spans="1:57" x14ac:dyDescent="0.25">
      <c r="A2878" t="s">
        <v>39</v>
      </c>
      <c r="B2878" t="s">
        <v>9865</v>
      </c>
      <c r="C2878">
        <v>69.8</v>
      </c>
      <c r="D2878">
        <v>53.6</v>
      </c>
      <c r="G2878">
        <f t="shared" si="440"/>
        <v>1</v>
      </c>
      <c r="H2878">
        <f t="shared" si="441"/>
        <v>1</v>
      </c>
      <c r="I2878">
        <f t="shared" si="442"/>
        <v>0</v>
      </c>
      <c r="J2878">
        <v>62.1</v>
      </c>
      <c r="K2878">
        <v>69.8</v>
      </c>
      <c r="L2878">
        <v>53.6</v>
      </c>
      <c r="M2878">
        <v>62.1</v>
      </c>
      <c r="N2878">
        <v>48</v>
      </c>
      <c r="O2878">
        <v>60.5</v>
      </c>
      <c r="S2878">
        <f t="shared" si="443"/>
        <v>1</v>
      </c>
      <c r="T2878">
        <f t="shared" si="444"/>
        <v>0</v>
      </c>
      <c r="U2878">
        <f t="shared" si="445"/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15.9</v>
      </c>
      <c r="AC2878">
        <v>16.100000000000001</v>
      </c>
      <c r="AG2878">
        <f t="shared" si="446"/>
        <v>0</v>
      </c>
      <c r="AH2878">
        <f t="shared" si="447"/>
        <v>0</v>
      </c>
      <c r="AI2878">
        <f t="shared" si="448"/>
        <v>0</v>
      </c>
      <c r="AJ2878">
        <v>184.5</v>
      </c>
      <c r="AK2878">
        <v>1018.9</v>
      </c>
      <c r="AL2878">
        <v>25</v>
      </c>
      <c r="AM2878">
        <v>6.2</v>
      </c>
      <c r="AN2878">
        <v>122.6</v>
      </c>
      <c r="AO2878">
        <v>10.5</v>
      </c>
      <c r="AP2878">
        <v>5</v>
      </c>
      <c r="AQ2878">
        <v>0</v>
      </c>
      <c r="AR2878" t="s">
        <v>9866</v>
      </c>
      <c r="AS2878" t="s">
        <v>9867</v>
      </c>
      <c r="AT2878">
        <v>0.17</v>
      </c>
      <c r="AU2878" t="s">
        <v>43</v>
      </c>
      <c r="AV2878" t="s">
        <v>44</v>
      </c>
      <c r="AW2878" t="s">
        <v>45</v>
      </c>
      <c r="AX2878" s="1">
        <v>0.61805555555555558</v>
      </c>
      <c r="AY2878" s="2">
        <v>45986.618055555547</v>
      </c>
      <c r="AZ2878">
        <v>120.9999999962747</v>
      </c>
      <c r="BA2878">
        <v>0</v>
      </c>
      <c r="BB2878">
        <v>0</v>
      </c>
      <c r="BC2878">
        <v>0.5</v>
      </c>
      <c r="BD2878">
        <v>0</v>
      </c>
      <c r="BE2878">
        <f t="shared" si="449"/>
        <v>0</v>
      </c>
    </row>
    <row r="2879" spans="1:57" x14ac:dyDescent="0.25">
      <c r="A2879" t="s">
        <v>39</v>
      </c>
      <c r="B2879" t="s">
        <v>9868</v>
      </c>
      <c r="C2879">
        <v>73.400000000000006</v>
      </c>
      <c r="D2879">
        <v>64.400000000000006</v>
      </c>
      <c r="G2879">
        <f t="shared" si="440"/>
        <v>1</v>
      </c>
      <c r="H2879">
        <f t="shared" si="441"/>
        <v>1</v>
      </c>
      <c r="I2879">
        <f t="shared" si="442"/>
        <v>0</v>
      </c>
      <c r="J2879">
        <v>67.599999999999994</v>
      </c>
      <c r="K2879">
        <v>73.400000000000006</v>
      </c>
      <c r="L2879">
        <v>64.400000000000006</v>
      </c>
      <c r="M2879">
        <v>67.599999999999994</v>
      </c>
      <c r="N2879">
        <v>47.4</v>
      </c>
      <c r="O2879">
        <v>49</v>
      </c>
      <c r="S2879">
        <f t="shared" si="443"/>
        <v>1</v>
      </c>
      <c r="T2879">
        <f t="shared" si="444"/>
        <v>0</v>
      </c>
      <c r="U2879">
        <f t="shared" si="445"/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39.1</v>
      </c>
      <c r="AC2879">
        <v>27.7</v>
      </c>
      <c r="AG2879">
        <f t="shared" si="446"/>
        <v>1</v>
      </c>
      <c r="AH2879">
        <f t="shared" si="447"/>
        <v>1</v>
      </c>
      <c r="AI2879">
        <f t="shared" si="448"/>
        <v>0</v>
      </c>
      <c r="AJ2879">
        <v>182.4</v>
      </c>
      <c r="AK2879">
        <v>1015</v>
      </c>
      <c r="AL2879">
        <v>31.2</v>
      </c>
      <c r="AM2879">
        <v>6.2</v>
      </c>
      <c r="AN2879">
        <v>113.6</v>
      </c>
      <c r="AO2879">
        <v>9.8000000000000007</v>
      </c>
      <c r="AP2879">
        <v>4</v>
      </c>
      <c r="AQ2879">
        <v>0</v>
      </c>
      <c r="AR2879" t="s">
        <v>9869</v>
      </c>
      <c r="AS2879" t="s">
        <v>9870</v>
      </c>
      <c r="AT2879">
        <v>0.24</v>
      </c>
      <c r="AU2879" t="s">
        <v>43</v>
      </c>
      <c r="AV2879" t="s">
        <v>44</v>
      </c>
      <c r="AW2879" t="s">
        <v>45</v>
      </c>
      <c r="AX2879" s="1">
        <v>0.53055555555555556</v>
      </c>
      <c r="AY2879" s="2">
        <v>45988.530555555553</v>
      </c>
      <c r="AZ2879">
        <v>330.99999999976723</v>
      </c>
      <c r="BA2879">
        <v>0</v>
      </c>
      <c r="BB2879">
        <v>0</v>
      </c>
      <c r="BC2879">
        <v>0.5</v>
      </c>
      <c r="BD2879">
        <v>0</v>
      </c>
      <c r="BE2879">
        <f t="shared" si="449"/>
        <v>1</v>
      </c>
    </row>
    <row r="2880" spans="1:57" x14ac:dyDescent="0.25">
      <c r="A2880" t="s">
        <v>39</v>
      </c>
      <c r="B2880" t="s">
        <v>9861</v>
      </c>
      <c r="C2880">
        <v>71.599999999999994</v>
      </c>
      <c r="D2880">
        <v>60.8</v>
      </c>
      <c r="G2880">
        <f t="shared" si="440"/>
        <v>1</v>
      </c>
      <c r="H2880">
        <f t="shared" si="441"/>
        <v>1</v>
      </c>
      <c r="I2880">
        <f t="shared" si="442"/>
        <v>0</v>
      </c>
      <c r="J2880">
        <v>66.2</v>
      </c>
      <c r="K2880">
        <v>71.599999999999994</v>
      </c>
      <c r="L2880">
        <v>60.8</v>
      </c>
      <c r="M2880">
        <v>66.2</v>
      </c>
      <c r="N2880">
        <v>55.5</v>
      </c>
      <c r="O2880">
        <v>68.7</v>
      </c>
      <c r="S2880">
        <f t="shared" si="443"/>
        <v>0</v>
      </c>
      <c r="T2880">
        <f t="shared" si="444"/>
        <v>0</v>
      </c>
      <c r="U2880">
        <f t="shared" si="445"/>
        <v>0</v>
      </c>
      <c r="V2880">
        <v>8.4000000000000005E-2</v>
      </c>
      <c r="W2880">
        <v>100</v>
      </c>
      <c r="X2880">
        <v>29.17</v>
      </c>
      <c r="Y2880" t="s">
        <v>103</v>
      </c>
      <c r="Z2880">
        <v>0</v>
      </c>
      <c r="AA2880">
        <v>0</v>
      </c>
      <c r="AB2880">
        <v>19</v>
      </c>
      <c r="AC2880">
        <v>19.7</v>
      </c>
      <c r="AG2880">
        <f t="shared" si="446"/>
        <v>1</v>
      </c>
      <c r="AH2880">
        <f t="shared" si="447"/>
        <v>1</v>
      </c>
      <c r="AI2880">
        <f t="shared" si="448"/>
        <v>0</v>
      </c>
      <c r="AJ2880">
        <v>266.3</v>
      </c>
      <c r="AK2880">
        <v>1017.8</v>
      </c>
      <c r="AL2880">
        <v>48.4</v>
      </c>
      <c r="AM2880">
        <v>6.2</v>
      </c>
      <c r="AN2880">
        <v>99</v>
      </c>
      <c r="AO2880">
        <v>8.4</v>
      </c>
      <c r="AP2880">
        <v>4</v>
      </c>
      <c r="AQ2880">
        <v>0</v>
      </c>
      <c r="AR2880" t="s">
        <v>9862</v>
      </c>
      <c r="AS2880" t="s">
        <v>9863</v>
      </c>
      <c r="AT2880">
        <v>0.11</v>
      </c>
      <c r="AU2880" t="s">
        <v>106</v>
      </c>
      <c r="AV2880" t="s">
        <v>9864</v>
      </c>
      <c r="AW2880" t="s">
        <v>103</v>
      </c>
      <c r="AX2880" s="1">
        <v>0.44097222222222221</v>
      </c>
      <c r="AY2880" s="2">
        <v>45984.440972222219</v>
      </c>
      <c r="AZ2880">
        <v>1371.0000000055879</v>
      </c>
      <c r="BA2880">
        <v>1</v>
      </c>
      <c r="BB2880">
        <v>0</v>
      </c>
      <c r="BC2880">
        <v>3</v>
      </c>
      <c r="BD2880">
        <v>0</v>
      </c>
      <c r="BE2880">
        <f t="shared" si="449"/>
        <v>1</v>
      </c>
    </row>
    <row r="2881" spans="1:57" x14ac:dyDescent="0.25">
      <c r="A2881" t="s">
        <v>39</v>
      </c>
      <c r="B2881" t="s">
        <v>9849</v>
      </c>
      <c r="C2881">
        <v>71.599999999999994</v>
      </c>
      <c r="D2881">
        <v>55.4</v>
      </c>
      <c r="G2881">
        <f t="shared" si="440"/>
        <v>1</v>
      </c>
      <c r="H2881">
        <f t="shared" si="441"/>
        <v>1</v>
      </c>
      <c r="I2881">
        <f t="shared" si="442"/>
        <v>0</v>
      </c>
      <c r="J2881">
        <v>62.7</v>
      </c>
      <c r="K2881">
        <v>71.599999999999994</v>
      </c>
      <c r="L2881">
        <v>55.4</v>
      </c>
      <c r="M2881">
        <v>62.7</v>
      </c>
      <c r="N2881">
        <v>55.7</v>
      </c>
      <c r="O2881">
        <v>79.2</v>
      </c>
      <c r="S2881">
        <f t="shared" si="443"/>
        <v>1</v>
      </c>
      <c r="T2881">
        <f t="shared" si="444"/>
        <v>1</v>
      </c>
      <c r="U2881">
        <f t="shared" si="445"/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13.2</v>
      </c>
      <c r="AC2881">
        <v>11.4</v>
      </c>
      <c r="AG2881">
        <f t="shared" si="446"/>
        <v>1</v>
      </c>
      <c r="AH2881">
        <f t="shared" si="447"/>
        <v>0</v>
      </c>
      <c r="AI2881">
        <f t="shared" si="448"/>
        <v>1</v>
      </c>
      <c r="AJ2881">
        <v>170.1</v>
      </c>
      <c r="AK2881">
        <v>1019.3</v>
      </c>
      <c r="AL2881">
        <v>29.3</v>
      </c>
      <c r="AM2881">
        <v>6.2</v>
      </c>
      <c r="AN2881">
        <v>143.19999999999999</v>
      </c>
      <c r="AO2881">
        <v>12.5</v>
      </c>
      <c r="AP2881">
        <v>6</v>
      </c>
      <c r="AQ2881">
        <v>0</v>
      </c>
      <c r="AR2881" t="s">
        <v>9850</v>
      </c>
      <c r="AS2881" t="s">
        <v>9851</v>
      </c>
      <c r="AT2881">
        <v>0.87</v>
      </c>
      <c r="AU2881" t="s">
        <v>43</v>
      </c>
      <c r="AV2881" t="s">
        <v>44</v>
      </c>
      <c r="AW2881" t="s">
        <v>45</v>
      </c>
      <c r="AX2881" s="1">
        <v>0.48333333333333328</v>
      </c>
      <c r="AY2881" s="2">
        <v>45977.48333333333</v>
      </c>
      <c r="AZ2881">
        <v>531.00000000209548</v>
      </c>
      <c r="BA2881">
        <v>1</v>
      </c>
      <c r="BB2881">
        <v>0</v>
      </c>
      <c r="BC2881">
        <v>3</v>
      </c>
      <c r="BD2881">
        <v>0</v>
      </c>
      <c r="BE2881">
        <f t="shared" si="449"/>
        <v>1</v>
      </c>
    </row>
    <row r="2882" spans="1:57" x14ac:dyDescent="0.25">
      <c r="A2882" t="s">
        <v>39</v>
      </c>
      <c r="B2882" t="s">
        <v>9868</v>
      </c>
      <c r="C2882">
        <v>73.400000000000006</v>
      </c>
      <c r="D2882">
        <v>64.400000000000006</v>
      </c>
      <c r="G2882">
        <f t="shared" si="440"/>
        <v>1</v>
      </c>
      <c r="H2882">
        <f t="shared" si="441"/>
        <v>1</v>
      </c>
      <c r="I2882">
        <f t="shared" si="442"/>
        <v>0</v>
      </c>
      <c r="J2882">
        <v>67.599999999999994</v>
      </c>
      <c r="K2882">
        <v>73.400000000000006</v>
      </c>
      <c r="L2882">
        <v>64.400000000000006</v>
      </c>
      <c r="M2882">
        <v>67.599999999999994</v>
      </c>
      <c r="N2882">
        <v>47.4</v>
      </c>
      <c r="O2882">
        <v>49</v>
      </c>
      <c r="S2882">
        <f t="shared" si="443"/>
        <v>1</v>
      </c>
      <c r="T2882">
        <f t="shared" si="444"/>
        <v>0</v>
      </c>
      <c r="U2882">
        <f t="shared" si="445"/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39.1</v>
      </c>
      <c r="AC2882">
        <v>27.7</v>
      </c>
      <c r="AG2882">
        <f t="shared" si="446"/>
        <v>1</v>
      </c>
      <c r="AH2882">
        <f t="shared" si="447"/>
        <v>1</v>
      </c>
      <c r="AI2882">
        <f t="shared" si="448"/>
        <v>0</v>
      </c>
      <c r="AJ2882">
        <v>182.4</v>
      </c>
      <c r="AK2882">
        <v>1015</v>
      </c>
      <c r="AL2882">
        <v>31.2</v>
      </c>
      <c r="AM2882">
        <v>6.2</v>
      </c>
      <c r="AN2882">
        <v>113.6</v>
      </c>
      <c r="AO2882">
        <v>9.8000000000000007</v>
      </c>
      <c r="AP2882">
        <v>4</v>
      </c>
      <c r="AQ2882">
        <v>0</v>
      </c>
      <c r="AR2882" t="s">
        <v>9869</v>
      </c>
      <c r="AS2882" t="s">
        <v>9870</v>
      </c>
      <c r="AT2882">
        <v>0.24</v>
      </c>
      <c r="AU2882" t="s">
        <v>43</v>
      </c>
      <c r="AV2882" t="s">
        <v>44</v>
      </c>
      <c r="AW2882" t="s">
        <v>45</v>
      </c>
      <c r="AX2882" s="1">
        <v>0.75486111111111109</v>
      </c>
      <c r="AY2882" s="2">
        <v>45988.754861111112</v>
      </c>
      <c r="AZ2882">
        <v>445.99999999743892</v>
      </c>
      <c r="BA2882">
        <v>1</v>
      </c>
      <c r="BB2882">
        <v>0</v>
      </c>
      <c r="BC2882">
        <v>1</v>
      </c>
      <c r="BD2882">
        <v>0</v>
      </c>
      <c r="BE2882">
        <f t="shared" si="449"/>
        <v>1</v>
      </c>
    </row>
    <row r="2883" spans="1:57" x14ac:dyDescent="0.25">
      <c r="A2883" t="s">
        <v>39</v>
      </c>
      <c r="B2883" t="s">
        <v>9871</v>
      </c>
      <c r="C2883">
        <v>78.8</v>
      </c>
      <c r="D2883">
        <v>64.5</v>
      </c>
      <c r="G2883">
        <f t="shared" ref="G2883:G2894" si="450">IF(ABS(C2883-INDEX($F$2:$F$13,MONTH(B2883)))&gt;1.8,1,0)</f>
        <v>1</v>
      </c>
      <c r="H2883">
        <f t="shared" ref="H2883:H2894" si="451">IF(C2883&gt;=INDEX($F$2:$F$13,MONTH(B2883))+1.8,1,0)</f>
        <v>1</v>
      </c>
      <c r="I2883">
        <f t="shared" ref="I2883:I2894" si="452">IF(C2883&lt;=INDEX($F$2:$F$13,MONTH(B2883))-1.8,1,0)</f>
        <v>0</v>
      </c>
      <c r="J2883">
        <v>71</v>
      </c>
      <c r="K2883">
        <v>78.8</v>
      </c>
      <c r="L2883">
        <v>64.5</v>
      </c>
      <c r="M2883">
        <v>71</v>
      </c>
      <c r="N2883">
        <v>56.4</v>
      </c>
      <c r="O2883">
        <v>61.2</v>
      </c>
      <c r="S2883">
        <f t="shared" ref="S2883:S2894" si="453">IF(OR(O2883&lt;INDEX($Q$2:$Q$13,MONTH(B2883)),O2883&gt;INDEX($R$2:$R$13,MONTH(B2883))),1,0)</f>
        <v>1</v>
      </c>
      <c r="T2883">
        <f t="shared" ref="T2883:T2894" si="454">IF(O2883&gt;INDEX($R$2:$R$13,MONTH(B2883)),1,0)</f>
        <v>0</v>
      </c>
      <c r="U2883">
        <f t="shared" ref="U2883:U2894" si="455">IF(O2883&lt;INDEX($Q$2:$Q$13,MONTH(B2883)),1,0)</f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23</v>
      </c>
      <c r="AC2883">
        <v>21.9</v>
      </c>
      <c r="AG2883">
        <f t="shared" ref="AG2883:AG2894" si="456">IF(OR(AC2883&lt;INDEX($AE$2:$AE$13,MONTH(B2883)),AC2883&gt;INDEX($AF$2:$AF$13,MONTH(B2883))),1,0)</f>
        <v>1</v>
      </c>
      <c r="AH2883">
        <f t="shared" ref="AH2883:AH2894" si="457">IF(AC2883&gt;INDEX($AF$2:$AF$13,MONTH(B2883)),1,0)</f>
        <v>1</v>
      </c>
      <c r="AI2883">
        <f t="shared" ref="AI2883:AI2894" si="458">IF(AC2883&lt;INDEX($AE$2:$AE$13,MONTH(B2883)),1,0)</f>
        <v>0</v>
      </c>
      <c r="AJ2883">
        <v>172.1</v>
      </c>
      <c r="AK2883">
        <v>1017.3</v>
      </c>
      <c r="AL2883">
        <v>27.9</v>
      </c>
      <c r="AM2883">
        <v>6.2</v>
      </c>
      <c r="AN2883">
        <v>129.69999999999999</v>
      </c>
      <c r="AO2883">
        <v>11.1</v>
      </c>
      <c r="AP2883">
        <v>5</v>
      </c>
      <c r="AQ2883">
        <v>0</v>
      </c>
      <c r="AR2883" t="s">
        <v>9872</v>
      </c>
      <c r="AS2883" t="s">
        <v>9873</v>
      </c>
      <c r="AT2883">
        <v>7.0000000000000007E-2</v>
      </c>
      <c r="AU2883" t="s">
        <v>43</v>
      </c>
      <c r="AV2883" t="s">
        <v>80</v>
      </c>
      <c r="AW2883" t="s">
        <v>45</v>
      </c>
      <c r="AX2883" s="1">
        <v>0.37777777777777782</v>
      </c>
      <c r="AY2883" s="2">
        <v>45983.37777777778</v>
      </c>
      <c r="AZ2883">
        <v>97.999999994644895</v>
      </c>
      <c r="BA2883">
        <v>0</v>
      </c>
      <c r="BB2883">
        <v>0</v>
      </c>
      <c r="BC2883">
        <v>1E-3</v>
      </c>
      <c r="BD2883">
        <v>0</v>
      </c>
      <c r="BE2883">
        <f t="shared" ref="BE2883:BE2894" si="459">IF((3*AH2883+3*H2883+2*U2883+2*BA2883-(2*(1-T2883)+2*(1-I2883)+2*(1-AI2883)))&gt;=1,1,0)</f>
        <v>1</v>
      </c>
    </row>
    <row r="2884" spans="1:57" x14ac:dyDescent="0.25">
      <c r="A2884" t="s">
        <v>39</v>
      </c>
      <c r="B2884" t="s">
        <v>9858</v>
      </c>
      <c r="C2884">
        <v>77</v>
      </c>
      <c r="D2884">
        <v>66.2</v>
      </c>
      <c r="G2884">
        <f t="shared" si="450"/>
        <v>1</v>
      </c>
      <c r="H2884">
        <f t="shared" si="451"/>
        <v>1</v>
      </c>
      <c r="I2884">
        <f t="shared" si="452"/>
        <v>0</v>
      </c>
      <c r="J2884">
        <v>70</v>
      </c>
      <c r="K2884">
        <v>77</v>
      </c>
      <c r="L2884">
        <v>66.2</v>
      </c>
      <c r="M2884">
        <v>70</v>
      </c>
      <c r="N2884">
        <v>54.9</v>
      </c>
      <c r="O2884">
        <v>59.5</v>
      </c>
      <c r="S2884">
        <f t="shared" si="453"/>
        <v>1</v>
      </c>
      <c r="T2884">
        <f t="shared" si="454"/>
        <v>0</v>
      </c>
      <c r="U2884">
        <f t="shared" si="455"/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32.200000000000003</v>
      </c>
      <c r="AC2884">
        <v>24.1</v>
      </c>
      <c r="AG2884">
        <f t="shared" si="456"/>
        <v>1</v>
      </c>
      <c r="AH2884">
        <f t="shared" si="457"/>
        <v>1</v>
      </c>
      <c r="AI2884">
        <f t="shared" si="458"/>
        <v>0</v>
      </c>
      <c r="AJ2884">
        <v>174.9</v>
      </c>
      <c r="AK2884">
        <v>1016.8</v>
      </c>
      <c r="AL2884">
        <v>25</v>
      </c>
      <c r="AM2884">
        <v>6.2</v>
      </c>
      <c r="AN2884">
        <v>134.69999999999999</v>
      </c>
      <c r="AO2884">
        <v>11.7</v>
      </c>
      <c r="AP2884">
        <v>5</v>
      </c>
      <c r="AQ2884">
        <v>0</v>
      </c>
      <c r="AR2884" t="s">
        <v>9859</v>
      </c>
      <c r="AS2884" t="s">
        <v>9860</v>
      </c>
      <c r="AT2884">
        <v>0.04</v>
      </c>
      <c r="AU2884" t="s">
        <v>43</v>
      </c>
      <c r="AV2884" t="s">
        <v>44</v>
      </c>
      <c r="AW2884" t="s">
        <v>45</v>
      </c>
      <c r="AX2884" s="1">
        <v>0.72916666666666663</v>
      </c>
      <c r="AY2884" s="2">
        <v>45982.729166666657</v>
      </c>
      <c r="AZ2884">
        <v>1394.000000007218</v>
      </c>
      <c r="BA2884">
        <v>1</v>
      </c>
      <c r="BB2884">
        <v>0</v>
      </c>
      <c r="BC2884">
        <v>2</v>
      </c>
      <c r="BD2884">
        <v>0</v>
      </c>
      <c r="BE2884">
        <f t="shared" si="459"/>
        <v>1</v>
      </c>
    </row>
    <row r="2885" spans="1:57" x14ac:dyDescent="0.25">
      <c r="A2885" t="s">
        <v>39</v>
      </c>
      <c r="B2885" t="s">
        <v>9874</v>
      </c>
      <c r="C2885">
        <v>66.2</v>
      </c>
      <c r="D2885">
        <v>55.4</v>
      </c>
      <c r="G2885">
        <f t="shared" si="450"/>
        <v>1</v>
      </c>
      <c r="H2885">
        <f t="shared" si="451"/>
        <v>1</v>
      </c>
      <c r="I2885">
        <f t="shared" si="452"/>
        <v>0</v>
      </c>
      <c r="J2885">
        <v>60.3</v>
      </c>
      <c r="K2885">
        <v>66.2</v>
      </c>
      <c r="L2885">
        <v>55.4</v>
      </c>
      <c r="M2885">
        <v>60.3</v>
      </c>
      <c r="N2885">
        <v>53.2</v>
      </c>
      <c r="O2885">
        <v>77.599999999999994</v>
      </c>
      <c r="S2885">
        <f t="shared" si="453"/>
        <v>1</v>
      </c>
      <c r="T2885">
        <f t="shared" si="454"/>
        <v>1</v>
      </c>
      <c r="U2885">
        <f t="shared" si="455"/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22.1</v>
      </c>
      <c r="AC2885">
        <v>13.9</v>
      </c>
      <c r="AG2885">
        <f t="shared" si="456"/>
        <v>1</v>
      </c>
      <c r="AH2885">
        <f t="shared" si="457"/>
        <v>0</v>
      </c>
      <c r="AI2885">
        <f t="shared" si="458"/>
        <v>1</v>
      </c>
      <c r="AJ2885">
        <v>333.7</v>
      </c>
      <c r="AK2885">
        <v>1021.3</v>
      </c>
      <c r="AL2885">
        <v>64.099999999999994</v>
      </c>
      <c r="AM2885">
        <v>6.2</v>
      </c>
      <c r="AN2885">
        <v>93.1</v>
      </c>
      <c r="AO2885">
        <v>7.9</v>
      </c>
      <c r="AP2885">
        <v>4</v>
      </c>
      <c r="AQ2885">
        <v>0</v>
      </c>
      <c r="AR2885" t="s">
        <v>9875</v>
      </c>
      <c r="AS2885" t="s">
        <v>9876</v>
      </c>
      <c r="AT2885">
        <v>0.78</v>
      </c>
      <c r="AU2885" t="s">
        <v>43</v>
      </c>
      <c r="AV2885" t="s">
        <v>44</v>
      </c>
      <c r="AW2885" t="s">
        <v>45</v>
      </c>
      <c r="AX2885" s="1">
        <v>0.72222222222222221</v>
      </c>
      <c r="AY2885" s="2">
        <v>46004.722222222219</v>
      </c>
      <c r="AZ2885">
        <v>285.99999999976723</v>
      </c>
      <c r="BA2885">
        <v>0</v>
      </c>
      <c r="BB2885">
        <v>0</v>
      </c>
      <c r="BC2885">
        <v>0.05</v>
      </c>
      <c r="BD2885">
        <v>0</v>
      </c>
      <c r="BE2885">
        <f t="shared" si="459"/>
        <v>1</v>
      </c>
    </row>
    <row r="2886" spans="1:57" x14ac:dyDescent="0.25">
      <c r="A2886" t="s">
        <v>39</v>
      </c>
      <c r="B2886" t="s">
        <v>9877</v>
      </c>
      <c r="C2886">
        <v>73.400000000000006</v>
      </c>
      <c r="D2886">
        <v>60.8</v>
      </c>
      <c r="G2886">
        <f t="shared" si="450"/>
        <v>1</v>
      </c>
      <c r="H2886">
        <f t="shared" si="451"/>
        <v>1</v>
      </c>
      <c r="I2886">
        <f t="shared" si="452"/>
        <v>0</v>
      </c>
      <c r="J2886">
        <v>66.3</v>
      </c>
      <c r="K2886">
        <v>73.400000000000006</v>
      </c>
      <c r="L2886">
        <v>60.8</v>
      </c>
      <c r="M2886">
        <v>66.3</v>
      </c>
      <c r="N2886">
        <v>49.8</v>
      </c>
      <c r="O2886">
        <v>56.7</v>
      </c>
      <c r="S2886">
        <f t="shared" si="453"/>
        <v>1</v>
      </c>
      <c r="T2886">
        <f t="shared" si="454"/>
        <v>0</v>
      </c>
      <c r="U2886">
        <f t="shared" si="455"/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31.1</v>
      </c>
      <c r="AC2886">
        <v>20.8</v>
      </c>
      <c r="AG2886">
        <f t="shared" si="456"/>
        <v>1</v>
      </c>
      <c r="AH2886">
        <f t="shared" si="457"/>
        <v>1</v>
      </c>
      <c r="AI2886">
        <f t="shared" si="458"/>
        <v>0</v>
      </c>
      <c r="AJ2886">
        <v>180.9</v>
      </c>
      <c r="AK2886">
        <v>1016.1</v>
      </c>
      <c r="AL2886">
        <v>25</v>
      </c>
      <c r="AM2886">
        <v>6.2</v>
      </c>
      <c r="AN2886">
        <v>121.5</v>
      </c>
      <c r="AO2886">
        <v>10.3</v>
      </c>
      <c r="AP2886">
        <v>5</v>
      </c>
      <c r="AQ2886">
        <v>0</v>
      </c>
      <c r="AR2886" t="s">
        <v>9878</v>
      </c>
      <c r="AS2886" t="s">
        <v>9879</v>
      </c>
      <c r="AT2886">
        <v>0.21</v>
      </c>
      <c r="AU2886" t="s">
        <v>43</v>
      </c>
      <c r="AV2886" t="s">
        <v>44</v>
      </c>
      <c r="AW2886" t="s">
        <v>45</v>
      </c>
      <c r="AX2886" s="1">
        <v>0.60902777777777772</v>
      </c>
      <c r="AY2886" s="2">
        <v>45987.609027777777</v>
      </c>
      <c r="AZ2886">
        <v>389.00000000023277</v>
      </c>
      <c r="BA2886">
        <v>1</v>
      </c>
      <c r="BB2886">
        <v>0</v>
      </c>
      <c r="BC2886">
        <v>1</v>
      </c>
      <c r="BD2886">
        <v>0</v>
      </c>
      <c r="BE2886">
        <f t="shared" si="459"/>
        <v>1</v>
      </c>
    </row>
    <row r="2887" spans="1:57" x14ac:dyDescent="0.25">
      <c r="A2887" t="s">
        <v>39</v>
      </c>
      <c r="B2887" t="s">
        <v>9880</v>
      </c>
      <c r="C2887">
        <v>68</v>
      </c>
      <c r="D2887">
        <v>54.2</v>
      </c>
      <c r="G2887">
        <f t="shared" si="450"/>
        <v>1</v>
      </c>
      <c r="H2887">
        <f t="shared" si="451"/>
        <v>1</v>
      </c>
      <c r="I2887">
        <f t="shared" si="452"/>
        <v>0</v>
      </c>
      <c r="J2887">
        <v>61.1</v>
      </c>
      <c r="K2887">
        <v>68</v>
      </c>
      <c r="L2887">
        <v>54.2</v>
      </c>
      <c r="M2887">
        <v>61.1</v>
      </c>
      <c r="N2887">
        <v>56.1</v>
      </c>
      <c r="O2887">
        <v>84.9</v>
      </c>
      <c r="S2887">
        <f t="shared" si="453"/>
        <v>1</v>
      </c>
      <c r="T2887">
        <f t="shared" si="454"/>
        <v>1</v>
      </c>
      <c r="U2887">
        <f t="shared" si="455"/>
        <v>0</v>
      </c>
      <c r="V2887">
        <v>8.7999999999999995E-2</v>
      </c>
      <c r="W2887">
        <v>100</v>
      </c>
      <c r="X2887">
        <v>45.83</v>
      </c>
      <c r="Y2887" t="s">
        <v>103</v>
      </c>
      <c r="Z2887">
        <v>0</v>
      </c>
      <c r="AA2887">
        <v>0</v>
      </c>
      <c r="AB2887">
        <v>32</v>
      </c>
      <c r="AC2887">
        <v>18.3</v>
      </c>
      <c r="AG2887">
        <f t="shared" si="456"/>
        <v>1</v>
      </c>
      <c r="AH2887">
        <f t="shared" si="457"/>
        <v>0</v>
      </c>
      <c r="AI2887">
        <f t="shared" si="458"/>
        <v>1</v>
      </c>
      <c r="AJ2887">
        <v>157.80000000000001</v>
      </c>
      <c r="AK2887">
        <v>1013.2</v>
      </c>
      <c r="AL2887">
        <v>88.1</v>
      </c>
      <c r="AM2887">
        <v>6</v>
      </c>
      <c r="AN2887">
        <v>104.6</v>
      </c>
      <c r="AO2887">
        <v>9.1</v>
      </c>
      <c r="AP2887">
        <v>5</v>
      </c>
      <c r="AQ2887">
        <v>0</v>
      </c>
      <c r="AR2887" t="s">
        <v>9881</v>
      </c>
      <c r="AS2887" t="s">
        <v>9882</v>
      </c>
      <c r="AT2887">
        <v>0.48</v>
      </c>
      <c r="AU2887" t="s">
        <v>106</v>
      </c>
      <c r="AV2887" t="s">
        <v>257</v>
      </c>
      <c r="AW2887" t="s">
        <v>103</v>
      </c>
      <c r="AX2887" s="1">
        <v>0.69027777777777777</v>
      </c>
      <c r="AY2887" s="2">
        <v>45995.69027777778</v>
      </c>
      <c r="AZ2887">
        <v>280.00000000116421</v>
      </c>
      <c r="BA2887">
        <v>0</v>
      </c>
      <c r="BB2887">
        <v>0</v>
      </c>
      <c r="BC2887">
        <v>10</v>
      </c>
      <c r="BD2887">
        <v>0</v>
      </c>
      <c r="BE2887">
        <f t="shared" si="459"/>
        <v>1</v>
      </c>
    </row>
    <row r="2888" spans="1:57" x14ac:dyDescent="0.25">
      <c r="A2888" t="s">
        <v>39</v>
      </c>
      <c r="B2888" t="s">
        <v>9883</v>
      </c>
      <c r="C2888">
        <v>62.6</v>
      </c>
      <c r="D2888">
        <v>59</v>
      </c>
      <c r="G2888">
        <f t="shared" si="450"/>
        <v>0</v>
      </c>
      <c r="H2888">
        <f t="shared" si="451"/>
        <v>0</v>
      </c>
      <c r="I2888">
        <f t="shared" si="452"/>
        <v>0</v>
      </c>
      <c r="J2888">
        <v>60.9</v>
      </c>
      <c r="K2888">
        <v>62.6</v>
      </c>
      <c r="L2888">
        <v>59</v>
      </c>
      <c r="M2888">
        <v>60.9</v>
      </c>
      <c r="N2888">
        <v>50.9</v>
      </c>
      <c r="O2888">
        <v>69.8</v>
      </c>
      <c r="S2888">
        <f t="shared" si="453"/>
        <v>1</v>
      </c>
      <c r="T2888">
        <f t="shared" si="454"/>
        <v>1</v>
      </c>
      <c r="U2888">
        <f t="shared" si="455"/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28.6</v>
      </c>
      <c r="AC2888">
        <v>16.100000000000001</v>
      </c>
      <c r="AG2888">
        <f t="shared" si="456"/>
        <v>1</v>
      </c>
      <c r="AH2888">
        <f t="shared" si="457"/>
        <v>0</v>
      </c>
      <c r="AI2888">
        <f t="shared" si="458"/>
        <v>1</v>
      </c>
      <c r="AJ2888">
        <v>326.8</v>
      </c>
      <c r="AK2888">
        <v>1023.3</v>
      </c>
      <c r="AL2888">
        <v>72.7</v>
      </c>
      <c r="AM2888">
        <v>6.2</v>
      </c>
      <c r="AN2888">
        <v>101.1</v>
      </c>
      <c r="AO2888">
        <v>8.9</v>
      </c>
      <c r="AP2888">
        <v>4</v>
      </c>
      <c r="AQ2888">
        <v>0</v>
      </c>
      <c r="AR2888" t="s">
        <v>9884</v>
      </c>
      <c r="AS2888" t="s">
        <v>9885</v>
      </c>
      <c r="AT2888">
        <v>0.81</v>
      </c>
      <c r="AU2888" t="s">
        <v>43</v>
      </c>
      <c r="AV2888" t="s">
        <v>44</v>
      </c>
      <c r="AW2888" t="s">
        <v>45</v>
      </c>
      <c r="AX2888" s="1">
        <v>0.41041666666666671</v>
      </c>
      <c r="AY2888" s="2">
        <v>46005.410416666673</v>
      </c>
      <c r="AZ2888">
        <v>135</v>
      </c>
      <c r="BA2888">
        <v>0</v>
      </c>
      <c r="BB2888">
        <v>0</v>
      </c>
      <c r="BC2888">
        <v>0.5</v>
      </c>
      <c r="BD2888">
        <v>0</v>
      </c>
      <c r="BE2888">
        <f t="shared" si="459"/>
        <v>0</v>
      </c>
    </row>
    <row r="2889" spans="1:57" x14ac:dyDescent="0.25">
      <c r="A2889" t="s">
        <v>39</v>
      </c>
      <c r="B2889" t="s">
        <v>9886</v>
      </c>
      <c r="C2889">
        <v>62.6</v>
      </c>
      <c r="D2889">
        <v>59</v>
      </c>
      <c r="G2889">
        <f t="shared" si="450"/>
        <v>0</v>
      </c>
      <c r="H2889">
        <f t="shared" si="451"/>
        <v>0</v>
      </c>
      <c r="I2889">
        <f t="shared" si="452"/>
        <v>0</v>
      </c>
      <c r="J2889">
        <v>60.7</v>
      </c>
      <c r="K2889">
        <v>62.6</v>
      </c>
      <c r="L2889">
        <v>59</v>
      </c>
      <c r="M2889">
        <v>60.7</v>
      </c>
      <c r="N2889">
        <v>47.9</v>
      </c>
      <c r="O2889">
        <v>63</v>
      </c>
      <c r="S2889">
        <f t="shared" si="453"/>
        <v>1</v>
      </c>
      <c r="T2889">
        <f t="shared" si="454"/>
        <v>0</v>
      </c>
      <c r="U2889">
        <f t="shared" si="455"/>
        <v>1</v>
      </c>
      <c r="V2889">
        <v>4.0000000000000001E-3</v>
      </c>
      <c r="W2889">
        <v>100</v>
      </c>
      <c r="X2889">
        <v>4.17</v>
      </c>
      <c r="Y2889" t="s">
        <v>103</v>
      </c>
      <c r="Z2889">
        <v>0</v>
      </c>
      <c r="AA2889">
        <v>0</v>
      </c>
      <c r="AB2889">
        <v>35.799999999999997</v>
      </c>
      <c r="AC2889">
        <v>21.9</v>
      </c>
      <c r="AG2889">
        <f t="shared" si="456"/>
        <v>1</v>
      </c>
      <c r="AH2889">
        <f t="shared" si="457"/>
        <v>1</v>
      </c>
      <c r="AI2889">
        <f t="shared" si="458"/>
        <v>0</v>
      </c>
      <c r="AJ2889">
        <v>330.4</v>
      </c>
      <c r="AK2889">
        <v>1023.4</v>
      </c>
      <c r="AL2889">
        <v>60.4</v>
      </c>
      <c r="AM2889">
        <v>6.2</v>
      </c>
      <c r="AN2889">
        <v>110.3</v>
      </c>
      <c r="AO2889">
        <v>9.4</v>
      </c>
      <c r="AP2889">
        <v>5</v>
      </c>
      <c r="AQ2889">
        <v>0</v>
      </c>
      <c r="AR2889" t="s">
        <v>9887</v>
      </c>
      <c r="AS2889" t="s">
        <v>9888</v>
      </c>
      <c r="AT2889">
        <v>0.85</v>
      </c>
      <c r="AU2889" t="s">
        <v>106</v>
      </c>
      <c r="AV2889" t="s">
        <v>296</v>
      </c>
      <c r="AW2889" t="s">
        <v>103</v>
      </c>
      <c r="AX2889" s="1">
        <v>0.6791666666666667</v>
      </c>
      <c r="AY2889" s="2">
        <v>46006.679166666669</v>
      </c>
      <c r="AZ2889">
        <v>335.00000000232831</v>
      </c>
      <c r="BA2889">
        <v>0</v>
      </c>
      <c r="BB2889">
        <v>0</v>
      </c>
      <c r="BC2889">
        <v>1</v>
      </c>
      <c r="BD2889">
        <v>0</v>
      </c>
      <c r="BE2889">
        <f t="shared" si="459"/>
        <v>0</v>
      </c>
    </row>
    <row r="2890" spans="1:57" x14ac:dyDescent="0.25">
      <c r="A2890" t="s">
        <v>39</v>
      </c>
      <c r="B2890" t="s">
        <v>9889</v>
      </c>
      <c r="C2890">
        <v>62.6</v>
      </c>
      <c r="D2890">
        <v>57.2</v>
      </c>
      <c r="G2890">
        <f t="shared" si="450"/>
        <v>0</v>
      </c>
      <c r="H2890">
        <f t="shared" si="451"/>
        <v>0</v>
      </c>
      <c r="I2890">
        <f t="shared" si="452"/>
        <v>0</v>
      </c>
      <c r="J2890">
        <v>59.8</v>
      </c>
      <c r="K2890">
        <v>62.6</v>
      </c>
      <c r="L2890">
        <v>57.2</v>
      </c>
      <c r="M2890">
        <v>59.8</v>
      </c>
      <c r="N2890">
        <v>46.1</v>
      </c>
      <c r="O2890">
        <v>60.7</v>
      </c>
      <c r="S2890">
        <f t="shared" si="453"/>
        <v>1</v>
      </c>
      <c r="T2890">
        <f t="shared" si="454"/>
        <v>0</v>
      </c>
      <c r="U2890">
        <f t="shared" si="455"/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25.3</v>
      </c>
      <c r="AC2890">
        <v>18.3</v>
      </c>
      <c r="AG2890">
        <f t="shared" si="456"/>
        <v>1</v>
      </c>
      <c r="AH2890">
        <f t="shared" si="457"/>
        <v>0</v>
      </c>
      <c r="AI2890">
        <f t="shared" si="458"/>
        <v>1</v>
      </c>
      <c r="AJ2890">
        <v>321.2</v>
      </c>
      <c r="AK2890">
        <v>1023.6</v>
      </c>
      <c r="AL2890">
        <v>52.6</v>
      </c>
      <c r="AM2890">
        <v>6.2</v>
      </c>
      <c r="AN2890">
        <v>123.9</v>
      </c>
      <c r="AO2890">
        <v>10.7</v>
      </c>
      <c r="AP2890">
        <v>5</v>
      </c>
      <c r="AQ2890">
        <v>0</v>
      </c>
      <c r="AR2890" t="s">
        <v>9890</v>
      </c>
      <c r="AS2890" t="s">
        <v>9891</v>
      </c>
      <c r="AT2890">
        <v>0.88</v>
      </c>
      <c r="AU2890" t="s">
        <v>43</v>
      </c>
      <c r="AV2890" t="s">
        <v>44</v>
      </c>
      <c r="AW2890" t="s">
        <v>45</v>
      </c>
      <c r="AX2890" s="1">
        <v>0.53749999999999998</v>
      </c>
      <c r="AY2890" s="2">
        <v>46007.537499999999</v>
      </c>
      <c r="AZ2890">
        <v>301.00000000675209</v>
      </c>
      <c r="BA2890">
        <v>0</v>
      </c>
      <c r="BB2890">
        <v>0</v>
      </c>
      <c r="BC2890">
        <v>1</v>
      </c>
      <c r="BD2890">
        <v>0</v>
      </c>
      <c r="BE2890">
        <f t="shared" si="459"/>
        <v>0</v>
      </c>
    </row>
    <row r="2891" spans="1:57" x14ac:dyDescent="0.25">
      <c r="A2891" t="s">
        <v>39</v>
      </c>
      <c r="B2891" t="s">
        <v>9892</v>
      </c>
      <c r="C2891">
        <v>64.400000000000006</v>
      </c>
      <c r="D2891">
        <v>50</v>
      </c>
      <c r="G2891">
        <f t="shared" si="450"/>
        <v>1</v>
      </c>
      <c r="H2891">
        <f t="shared" si="451"/>
        <v>1</v>
      </c>
      <c r="I2891">
        <f t="shared" si="452"/>
        <v>0</v>
      </c>
      <c r="J2891">
        <v>56.1</v>
      </c>
      <c r="K2891">
        <v>64.400000000000006</v>
      </c>
      <c r="L2891">
        <v>46.3</v>
      </c>
      <c r="M2891">
        <v>55.8</v>
      </c>
      <c r="N2891">
        <v>50.8</v>
      </c>
      <c r="O2891">
        <v>83.1</v>
      </c>
      <c r="S2891">
        <f t="shared" si="453"/>
        <v>1</v>
      </c>
      <c r="T2891">
        <f t="shared" si="454"/>
        <v>1</v>
      </c>
      <c r="U2891">
        <f t="shared" si="455"/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9.4</v>
      </c>
      <c r="AC2891">
        <v>10.3</v>
      </c>
      <c r="AG2891">
        <f t="shared" si="456"/>
        <v>1</v>
      </c>
      <c r="AH2891">
        <f t="shared" si="457"/>
        <v>0</v>
      </c>
      <c r="AI2891">
        <f t="shared" si="458"/>
        <v>1</v>
      </c>
      <c r="AJ2891">
        <v>168.7</v>
      </c>
      <c r="AK2891">
        <v>1026</v>
      </c>
      <c r="AL2891">
        <v>30.4</v>
      </c>
      <c r="AM2891">
        <v>6.2</v>
      </c>
      <c r="AN2891">
        <v>115.6</v>
      </c>
      <c r="AO2891">
        <v>9.8000000000000007</v>
      </c>
      <c r="AP2891">
        <v>5</v>
      </c>
      <c r="AQ2891">
        <v>0</v>
      </c>
      <c r="AR2891" t="s">
        <v>9893</v>
      </c>
      <c r="AS2891" t="s">
        <v>9894</v>
      </c>
      <c r="AT2891">
        <v>0.98</v>
      </c>
      <c r="AU2891" t="s">
        <v>43</v>
      </c>
      <c r="AV2891" t="s">
        <v>44</v>
      </c>
      <c r="AW2891" t="s">
        <v>45</v>
      </c>
      <c r="AX2891" s="1">
        <v>0.54027777777777775</v>
      </c>
      <c r="AY2891" s="2">
        <v>46010.540277777778</v>
      </c>
      <c r="AZ2891">
        <v>187.00000000186259</v>
      </c>
      <c r="BA2891">
        <v>0</v>
      </c>
      <c r="BB2891">
        <v>0</v>
      </c>
      <c r="BC2891">
        <v>5</v>
      </c>
      <c r="BD2891">
        <v>0</v>
      </c>
      <c r="BE2891">
        <f t="shared" si="459"/>
        <v>1</v>
      </c>
    </row>
    <row r="2892" spans="1:57" x14ac:dyDescent="0.25">
      <c r="A2892" t="s">
        <v>39</v>
      </c>
      <c r="B2892" t="s">
        <v>9614</v>
      </c>
      <c r="C2892">
        <v>60.8</v>
      </c>
      <c r="D2892">
        <v>46.4</v>
      </c>
      <c r="G2892">
        <f t="shared" si="450"/>
        <v>1</v>
      </c>
      <c r="H2892">
        <f t="shared" si="451"/>
        <v>1</v>
      </c>
      <c r="I2892">
        <f t="shared" si="452"/>
        <v>0</v>
      </c>
      <c r="J2892">
        <v>53.4</v>
      </c>
      <c r="K2892">
        <v>60.8</v>
      </c>
      <c r="L2892">
        <v>41.9</v>
      </c>
      <c r="M2892">
        <v>51.9</v>
      </c>
      <c r="N2892">
        <v>47.9</v>
      </c>
      <c r="O2892">
        <v>82.2</v>
      </c>
      <c r="S2892">
        <f t="shared" si="453"/>
        <v>1</v>
      </c>
      <c r="T2892">
        <f t="shared" si="454"/>
        <v>1</v>
      </c>
      <c r="U2892">
        <f t="shared" si="455"/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11.4</v>
      </c>
      <c r="AC2892">
        <v>9.1999999999999993</v>
      </c>
      <c r="AG2892">
        <f t="shared" si="456"/>
        <v>1</v>
      </c>
      <c r="AH2892">
        <f t="shared" si="457"/>
        <v>0</v>
      </c>
      <c r="AI2892">
        <f t="shared" si="458"/>
        <v>1</v>
      </c>
      <c r="AJ2892">
        <v>174.2</v>
      </c>
      <c r="AK2892">
        <v>1023.1</v>
      </c>
      <c r="AL2892">
        <v>26.7</v>
      </c>
      <c r="AM2892">
        <v>6.2</v>
      </c>
      <c r="AN2892">
        <v>143.4</v>
      </c>
      <c r="AO2892">
        <v>12.4</v>
      </c>
      <c r="AP2892">
        <v>6</v>
      </c>
      <c r="AQ2892">
        <v>0</v>
      </c>
      <c r="AR2892" t="s">
        <v>9615</v>
      </c>
      <c r="AS2892" t="s">
        <v>9616</v>
      </c>
      <c r="AT2892">
        <v>0.93</v>
      </c>
      <c r="AU2892" t="s">
        <v>43</v>
      </c>
      <c r="AV2892" t="s">
        <v>44</v>
      </c>
      <c r="AW2892" t="s">
        <v>45</v>
      </c>
      <c r="AX2892" s="1">
        <v>0.65069444444444446</v>
      </c>
      <c r="AY2892" s="2">
        <v>45684.650694444441</v>
      </c>
      <c r="AZ2892">
        <v>261.00000000209548</v>
      </c>
      <c r="BA2892">
        <v>0</v>
      </c>
      <c r="BB2892">
        <v>0</v>
      </c>
      <c r="BC2892">
        <v>1</v>
      </c>
      <c r="BD2892">
        <v>0</v>
      </c>
      <c r="BE2892">
        <f t="shared" si="459"/>
        <v>1</v>
      </c>
    </row>
    <row r="2893" spans="1:57" x14ac:dyDescent="0.25">
      <c r="A2893" t="s">
        <v>39</v>
      </c>
      <c r="B2893" t="s">
        <v>9895</v>
      </c>
      <c r="C2893">
        <v>89.6</v>
      </c>
      <c r="D2893">
        <v>68</v>
      </c>
      <c r="G2893">
        <f t="shared" si="450"/>
        <v>1</v>
      </c>
      <c r="H2893">
        <f t="shared" si="451"/>
        <v>1</v>
      </c>
      <c r="I2893">
        <f t="shared" si="452"/>
        <v>0</v>
      </c>
      <c r="J2893">
        <v>77.400000000000006</v>
      </c>
      <c r="K2893">
        <v>88.3</v>
      </c>
      <c r="L2893">
        <v>68</v>
      </c>
      <c r="M2893">
        <v>77</v>
      </c>
      <c r="N2893">
        <v>58</v>
      </c>
      <c r="O2893">
        <v>55.3</v>
      </c>
      <c r="S2893">
        <f t="shared" si="453"/>
        <v>1</v>
      </c>
      <c r="T2893">
        <f t="shared" si="454"/>
        <v>0</v>
      </c>
      <c r="U2893">
        <f t="shared" si="455"/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19</v>
      </c>
      <c r="AC2893">
        <v>23</v>
      </c>
      <c r="AG2893">
        <f t="shared" si="456"/>
        <v>1</v>
      </c>
      <c r="AH2893">
        <f t="shared" si="457"/>
        <v>1</v>
      </c>
      <c r="AI2893">
        <f t="shared" si="458"/>
        <v>0</v>
      </c>
      <c r="AJ2893">
        <v>170.3</v>
      </c>
      <c r="AK2893">
        <v>1011.6</v>
      </c>
      <c r="AL2893">
        <v>25</v>
      </c>
      <c r="AM2893">
        <v>6.2</v>
      </c>
      <c r="AN2893">
        <v>171.1</v>
      </c>
      <c r="AO2893">
        <v>14.8</v>
      </c>
      <c r="AP2893">
        <v>6</v>
      </c>
      <c r="AQ2893">
        <v>0</v>
      </c>
      <c r="AR2893" t="s">
        <v>9896</v>
      </c>
      <c r="AS2893" t="s">
        <v>9897</v>
      </c>
      <c r="AT2893">
        <v>0.2</v>
      </c>
      <c r="AU2893" t="s">
        <v>43</v>
      </c>
      <c r="AV2893" t="s">
        <v>44</v>
      </c>
      <c r="AW2893" t="s">
        <v>45</v>
      </c>
      <c r="AX2893" s="1">
        <v>0.58333333333333337</v>
      </c>
      <c r="AY2893" s="2">
        <v>45957.583333333343</v>
      </c>
      <c r="AZ2893">
        <v>1361.999999997206</v>
      </c>
      <c r="BA2893">
        <v>1</v>
      </c>
      <c r="BB2893">
        <v>0.5</v>
      </c>
      <c r="BC2893">
        <v>0</v>
      </c>
      <c r="BD2893">
        <v>0</v>
      </c>
      <c r="BE2893">
        <f t="shared" si="459"/>
        <v>1</v>
      </c>
    </row>
    <row r="2894" spans="1:57" x14ac:dyDescent="0.25">
      <c r="A2894" t="s">
        <v>39</v>
      </c>
      <c r="B2894" t="s">
        <v>9898</v>
      </c>
      <c r="C2894">
        <v>94.5</v>
      </c>
      <c r="D2894">
        <v>81.8</v>
      </c>
      <c r="G2894">
        <f t="shared" si="450"/>
        <v>1</v>
      </c>
      <c r="H2894">
        <f t="shared" si="451"/>
        <v>1</v>
      </c>
      <c r="I2894">
        <f t="shared" si="452"/>
        <v>0</v>
      </c>
      <c r="J2894">
        <v>88</v>
      </c>
      <c r="K2894">
        <v>95</v>
      </c>
      <c r="L2894">
        <v>81.5</v>
      </c>
      <c r="M2894">
        <v>88.9</v>
      </c>
      <c r="N2894">
        <v>62.4</v>
      </c>
      <c r="O2894">
        <v>42.9</v>
      </c>
      <c r="S2894">
        <f t="shared" si="453"/>
        <v>1</v>
      </c>
      <c r="T2894">
        <f t="shared" si="454"/>
        <v>0</v>
      </c>
      <c r="U2894">
        <f t="shared" si="455"/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28.2</v>
      </c>
      <c r="AC2894">
        <v>15.3</v>
      </c>
      <c r="AG2894">
        <f t="shared" si="456"/>
        <v>1</v>
      </c>
      <c r="AH2894">
        <f t="shared" si="457"/>
        <v>0</v>
      </c>
      <c r="AI2894">
        <f t="shared" si="458"/>
        <v>1</v>
      </c>
      <c r="AJ2894">
        <v>309.39999999999998</v>
      </c>
      <c r="AK2894">
        <v>1004.7</v>
      </c>
      <c r="AL2894">
        <v>0</v>
      </c>
      <c r="AM2894">
        <v>6.2</v>
      </c>
      <c r="AN2894">
        <v>329.7</v>
      </c>
      <c r="AO2894">
        <v>28.4</v>
      </c>
      <c r="AP2894">
        <v>10</v>
      </c>
      <c r="AQ2894">
        <v>0</v>
      </c>
      <c r="AR2894" t="s">
        <v>9899</v>
      </c>
      <c r="AS2894" t="s">
        <v>9900</v>
      </c>
      <c r="AT2894">
        <v>0.08</v>
      </c>
      <c r="AU2894" t="s">
        <v>74</v>
      </c>
      <c r="AV2894" t="s">
        <v>2955</v>
      </c>
      <c r="AW2894" t="s">
        <v>75</v>
      </c>
      <c r="AX2894" s="1">
        <v>0.62083333333333335</v>
      </c>
      <c r="AY2894" s="2">
        <v>45865.620833333327</v>
      </c>
      <c r="AZ2894">
        <v>2414.0000000002328</v>
      </c>
      <c r="BA2894">
        <v>1</v>
      </c>
      <c r="BB2894">
        <v>0</v>
      </c>
      <c r="BC2894">
        <v>5</v>
      </c>
      <c r="BD2894">
        <v>0</v>
      </c>
      <c r="BE2894">
        <f t="shared" si="459"/>
        <v>1</v>
      </c>
    </row>
  </sheetData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Κωνσταντίνα</cp:lastModifiedBy>
  <dcterms:created xsi:type="dcterms:W3CDTF">2026-07-09T03:35:28Z</dcterms:created>
  <dcterms:modified xsi:type="dcterms:W3CDTF">2026-07-15T14:02:51Z</dcterms:modified>
</cp:coreProperties>
</file>